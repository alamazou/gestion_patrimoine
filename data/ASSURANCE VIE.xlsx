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VIX HISTORIQUE" sheetId="2" r:id="rId5"/>
    <sheet state="visible" name="VIX HISTORIQUE OPEN" sheetId="3" r:id="rId6"/>
    <sheet state="visible" name="VIXHISTORIQUEMODEL" sheetId="4" r:id="rId7"/>
    <sheet state="visible" name="Portfolio" sheetId="5" r:id="rId8"/>
    <sheet state="visible" name="Historique" sheetId="6" r:id="rId9"/>
    <sheet state="visible" name="EQUITY BACKTEST" sheetId="7" r:id="rId10"/>
    <sheet state="visible" name="vsSTOXX50E" sheetId="8" r:id="rId11"/>
    <sheet state="visible" name="SX5E vs INVERSE ETF" sheetId="9" r:id="rId12"/>
    <sheet state="visible" name="EQUITYFXCORRELATION" sheetId="10" r:id="rId13"/>
    <sheet state="visible" name="CRASH CORREL ANALYSIS" sheetId="11" r:id="rId14"/>
    <sheet state="visible" name="EQUITY BACKTEST STRATEGY" sheetId="12" r:id="rId15"/>
    <sheet state="visible" name="Daily Perf" sheetId="13" r:id="rId16"/>
    <sheet state="visible" name="Sheet1" sheetId="14" r:id="rId17"/>
  </sheets>
  <definedNames/>
  <calcPr/>
  <extLst>
    <ext uri="GoogleSheetsCustomDataVersion2">
      <go:sheetsCustomData xmlns:go="http://customooxmlschemas.google.com/" r:id="rId18" roundtripDataChecksum="D7t/rB+++4AWtYx1z5OcisW8CmSyG1Me8dWx7kn0jX8="/>
    </ext>
  </extLst>
</workbook>
</file>

<file path=xl/sharedStrings.xml><?xml version="1.0" encoding="utf-8"?>
<sst xmlns="http://schemas.openxmlformats.org/spreadsheetml/2006/main" count="373" uniqueCount="180">
  <si>
    <t>ASSET</t>
  </si>
  <si>
    <t>ISIN</t>
  </si>
  <si>
    <r>
      <rPr>
        <rFont val="lato"/>
        <b/>
        <color rgb="FF003D39"/>
        <sz val="9.0"/>
      </rPr>
      <t>Libellé</t>
    </r>
    <r>
      <rPr>
        <rFont val="lato"/>
        <b/>
        <color rgb="FF003D39"/>
        <sz val="8.0"/>
      </rPr>
      <t>ISIN</t>
    </r>
  </si>
  <si>
    <r>
      <rPr>
        <rFont val="lato"/>
        <b/>
        <color rgb="FF003D39"/>
        <sz val="9.0"/>
      </rPr>
      <t>Quantité</t>
    </r>
  </si>
  <si>
    <r>
      <rPr>
        <rFont val="lato"/>
        <b/>
        <color rgb="FF003D39"/>
        <sz val="9.0"/>
      </rPr>
      <t>Prix de revient</t>
    </r>
  </si>
  <si>
    <r>
      <rPr>
        <rFont val="lato"/>
        <b/>
        <color rgb="FF003D39"/>
        <sz val="9.0"/>
      </rPr>
      <t>Place de Cotation</t>
    </r>
  </si>
  <si>
    <t>Cours en devise</t>
  </si>
  <si>
    <r>
      <rPr>
        <rFont val="lato"/>
        <b/>
        <color rgb="FF003D39"/>
        <sz val="9.0"/>
      </rPr>
      <t>Cours/VL</t>
    </r>
  </si>
  <si>
    <r>
      <rPr>
        <rFont val="lato"/>
        <b/>
        <color rgb="FF003D39"/>
        <sz val="9.0"/>
      </rPr>
      <t>Date du cours / VL</t>
    </r>
  </si>
  <si>
    <r>
      <rPr>
        <rFont val="lato"/>
        <b/>
        <color rgb="FF003D39"/>
        <sz val="9.0"/>
      </rPr>
      <t>Valorisation *</t>
    </r>
  </si>
  <si>
    <t>"+/- Values latentes"</t>
  </si>
  <si>
    <r>
      <rPr>
        <rFont val="lato"/>
        <b/>
        <color rgb="FF003D39"/>
        <sz val="9.0"/>
      </rPr>
      <t>Performance**</t>
    </r>
  </si>
  <si>
    <t>Poids %</t>
  </si>
  <si>
    <t>OBLIGATION</t>
  </si>
  <si>
    <t>IE0000UJ3480</t>
  </si>
  <si>
    <r>
      <rPr>
        <rFont val="Arial"/>
        <color rgb="FF182630"/>
        <sz val="9.0"/>
        <u/>
      </rPr>
      <t>IS.IBD.DEC.28 T.USD UC.ETF USD</t>
    </r>
    <r>
      <rPr>
        <rFont val="Arial"/>
        <sz val="9.0"/>
      </rPr>
      <t xml:space="preserve">
IE0000UJ3480</t>
    </r>
  </si>
  <si>
    <t>1 015</t>
  </si>
  <si>
    <t>98,55 €</t>
  </si>
  <si>
    <t>Paris</t>
  </si>
  <si>
    <t>99,3746 EUR</t>
  </si>
  <si>
    <t>100 865,22 €</t>
  </si>
  <si>
    <t>836,97 €</t>
  </si>
  <si>
    <t>0,84 %</t>
  </si>
  <si>
    <t>IE000ZOI8OK5</t>
  </si>
  <si>
    <t>ISHARES IBONDS DEC 2027 ¤ CORP
IE000ZOI8OK5</t>
  </si>
  <si>
    <t>9 435</t>
  </si>
  <si>
    <t>5,30 €</t>
  </si>
  <si>
    <t>Frankfurt_ETF_ETP</t>
  </si>
  <si>
    <t>5,3822 EUR</t>
  </si>
  <si>
    <t>50 781,06 €</t>
  </si>
  <si>
    <t>775,56 €</t>
  </si>
  <si>
    <t>1,55 %</t>
  </si>
  <si>
    <t>IE000BWITBP9</t>
  </si>
  <si>
    <t>ISHRS IBD DEC 26 USD -ACC
IE000BWITBP9</t>
  </si>
  <si>
    <t>2 040</t>
  </si>
  <si>
    <t>London</t>
  </si>
  <si>
    <t>108,07 USD</t>
  </si>
  <si>
    <t>199 712,66 €</t>
  </si>
  <si>
    <t>-102,69 €</t>
  </si>
  <si>
    <t>-0,05 %</t>
  </si>
  <si>
    <t>IE000GUOATN7</t>
  </si>
  <si>
    <t>ISHS IBONDS DEC25 UC.ETF C EUR
IE000GUOATN7</t>
  </si>
  <si>
    <t>19 212</t>
  </si>
  <si>
    <t>5,2234 EUR</t>
  </si>
  <si>
    <t>100 351,96 €</t>
  </si>
  <si>
    <t>353,50 €</t>
  </si>
  <si>
    <t>0,35 %</t>
  </si>
  <si>
    <t>IE000WA6L436</t>
  </si>
  <si>
    <r>
      <rPr>
        <rFont val="Arial"/>
        <color rgb="FF182630"/>
        <sz val="9.0"/>
        <u/>
      </rPr>
      <t>ISHS IBONDS DEC26 UC.ETF C EUR</t>
    </r>
    <r>
      <rPr>
        <rFont val="Arial"/>
        <sz val="9.0"/>
      </rPr>
      <t xml:space="preserve">
IE000WA6L436</t>
    </r>
  </si>
  <si>
    <t>19 665</t>
  </si>
  <si>
    <t>5,313 EUR</t>
  </si>
  <si>
    <t>104 480,15 €</t>
  </si>
  <si>
    <t>1 223,17 €</t>
  </si>
  <si>
    <t>1,18 %</t>
  </si>
  <si>
    <t>IE000I1D7D10</t>
  </si>
  <si>
    <r>
      <rPr>
        <rFont val="Arial"/>
        <color rgb="FF182630"/>
        <sz val="9.0"/>
        <u/>
      </rPr>
      <t>ISHS IBONDS DEC27 UC.ETF C USD</t>
    </r>
    <r>
      <rPr>
        <rFont val="Arial"/>
        <sz val="9.0"/>
      </rPr>
      <t xml:space="preserve">
IE000I1D7D10</t>
    </r>
  </si>
  <si>
    <t>98,70 €</t>
  </si>
  <si>
    <t>99,1209 EUR</t>
  </si>
  <si>
    <t>100 607,71 €</t>
  </si>
  <si>
    <t>427,21 €</t>
  </si>
  <si>
    <t>0,43 %</t>
  </si>
  <si>
    <t>IE0008UEVOE0</t>
  </si>
  <si>
    <r>
      <rPr>
        <rFont val="Arial"/>
        <color rgb="FF182630"/>
        <sz val="9.0"/>
        <u/>
      </rPr>
      <t>ISHS IBONDS DEC28 UC.ETF C EUR</t>
    </r>
    <r>
      <rPr>
        <rFont val="Arial"/>
        <sz val="9.0"/>
      </rPr>
      <t xml:space="preserve">
IE0008UEVOE0</t>
    </r>
  </si>
  <si>
    <t>9 375</t>
  </si>
  <si>
    <t>5,432 EUR</t>
  </si>
  <si>
    <t>50 925,00 €</t>
  </si>
  <si>
    <t>915,94 €</t>
  </si>
  <si>
    <t>1,83 %</t>
  </si>
  <si>
    <t>LU0115290974</t>
  </si>
  <si>
    <r>
      <rPr>
        <rFont val="Arial"/>
        <color rgb="FF182630"/>
        <sz val="9.0"/>
        <u/>
      </rPr>
      <t>ODDO BHF EUR.HIG.YLD BD CR-EUR</t>
    </r>
    <r>
      <rPr>
        <rFont val="Arial"/>
        <sz val="9.0"/>
      </rPr>
      <t xml:space="preserve">
LU0115290974</t>
    </r>
  </si>
  <si>
    <t>8 319,19</t>
  </si>
  <si>
    <t>OPC</t>
  </si>
  <si>
    <t>30,477 EUR</t>
  </si>
  <si>
    <t>253 543,95 €</t>
  </si>
  <si>
    <t>3 543,97 €</t>
  </si>
  <si>
    <t>1,42 %</t>
  </si>
  <si>
    <t>DE000A2QBG39</t>
  </si>
  <si>
    <t>ODDO BHF MONEY MARKET CN-EUR
DE000A2QBG39</t>
  </si>
  <si>
    <t>1 041,74000 €</t>
  </si>
  <si>
    <t>1048,23 EUR</t>
  </si>
  <si>
    <t>1048,23 €</t>
  </si>
  <si>
    <t>543 363,65 €</t>
  </si>
  <si>
    <t>3 364,18 €</t>
  </si>
  <si>
    <t>0,62 %</t>
  </si>
  <si>
    <t>EQUITY</t>
  </si>
  <si>
    <t>IE00B5BMR087</t>
  </si>
  <si>
    <t>ISHARES CORE S&amp;P 500 UCITS ETF
IE00B5BMR087</t>
  </si>
  <si>
    <t>545,48 EUR</t>
  </si>
  <si>
    <t>545,48 €</t>
  </si>
  <si>
    <t>763 672,00 €</t>
  </si>
  <si>
    <t>15448,00 €</t>
  </si>
  <si>
    <t>2,06 %</t>
  </si>
  <si>
    <t>PRODUCT</t>
  </si>
  <si>
    <t>DATE</t>
  </si>
  <si>
    <t>TYPE</t>
  </si>
  <si>
    <t>DAILY</t>
  </si>
  <si>
    <t>S&amp;P</t>
  </si>
  <si>
    <t xml:space="preserve"> .INX</t>
  </si>
  <si>
    <t>VIX</t>
  </si>
  <si>
    <t>VIX3M</t>
  </si>
  <si>
    <t>VIX6M</t>
  </si>
  <si>
    <t>VIX1Y</t>
  </si>
  <si>
    <t>aa</t>
  </si>
  <si>
    <t>Date</t>
  </si>
  <si>
    <t>SPX</t>
  </si>
  <si>
    <t>CURRENCY</t>
  </si>
  <si>
    <t>GCODE</t>
  </si>
  <si>
    <t>DESCR</t>
  </si>
  <si>
    <t>MAT</t>
  </si>
  <si>
    <t>YTM</t>
  </si>
  <si>
    <r>
      <rPr>
        <rFont val="lato"/>
        <b/>
        <color rgb="FF003D39"/>
        <sz val="9.0"/>
      </rPr>
      <t>Libellé</t>
    </r>
    <r>
      <rPr>
        <rFont val="lato"/>
        <b/>
        <color rgb="FF003D39"/>
        <sz val="8.0"/>
      </rPr>
      <t>ISIN</t>
    </r>
  </si>
  <si>
    <r>
      <rPr>
        <rFont val="lato"/>
        <b/>
        <color rgb="FF003D39"/>
        <sz val="9.0"/>
      </rPr>
      <t>Quantité</t>
    </r>
  </si>
  <si>
    <r>
      <rPr>
        <rFont val="lato"/>
        <b/>
        <color rgb="FF003D39"/>
        <sz val="9.0"/>
      </rPr>
      <t>Prix de revient</t>
    </r>
  </si>
  <si>
    <r>
      <rPr>
        <rFont val="lato"/>
        <b/>
        <color rgb="FF003D39"/>
        <sz val="9.0"/>
      </rPr>
      <t>Place de Cotation</t>
    </r>
  </si>
  <si>
    <r>
      <rPr>
        <rFont val="lato"/>
        <b/>
        <color rgb="FF003D39"/>
        <sz val="9.0"/>
      </rPr>
      <t>Cours/VL</t>
    </r>
  </si>
  <si>
    <r>
      <rPr>
        <rFont val="lato"/>
        <b/>
        <color rgb="FF003D39"/>
        <sz val="9.0"/>
      </rPr>
      <t>Date du cours / VL</t>
    </r>
  </si>
  <si>
    <r>
      <rPr>
        <rFont val="lato"/>
        <b/>
        <color rgb="FF003D39"/>
        <sz val="9.0"/>
      </rPr>
      <t>Valorisation *</t>
    </r>
  </si>
  <si>
    <r>
      <rPr>
        <rFont val="lato"/>
        <b/>
        <color rgb="FF003D39"/>
        <sz val="9.0"/>
      </rPr>
      <t>Performance**</t>
    </r>
  </si>
  <si>
    <t>EUR</t>
  </si>
  <si>
    <t>28ID</t>
  </si>
  <si>
    <t xml:space="preserve">US CORPORATE, US A 45%, BBB 55% </t>
  </si>
  <si>
    <r>
      <rPr>
        <rFont val="Arial"/>
        <color rgb="FF182630"/>
        <sz val="9.0"/>
        <u/>
      </rPr>
      <t>IS.IBD.DEC.28 T.USD UC.ETF USD</t>
    </r>
    <r>
      <rPr>
        <rFont val="Arial"/>
        <sz val="9.0"/>
      </rPr>
      <t xml:space="preserve">
IE0000UJ3480</t>
    </r>
  </si>
  <si>
    <t>IB27</t>
  </si>
  <si>
    <t>EURO CORPORATE , A Or AA 50%, BBB 50%</t>
  </si>
  <si>
    <t>26ID</t>
  </si>
  <si>
    <t xml:space="preserve">US CORPORATE, A or AA 60%, BBB 40% </t>
  </si>
  <si>
    <t>IB25</t>
  </si>
  <si>
    <t>CEBE</t>
  </si>
  <si>
    <t>EURO CORPORATE , A Or AA 55%, BBB 45%</t>
  </si>
  <si>
    <r>
      <rPr>
        <rFont val="Arial"/>
        <color rgb="FF182630"/>
        <sz val="9.0"/>
        <u/>
      </rPr>
      <t>ISHS IBONDS DEC26 UC.ETF C EUR</t>
    </r>
    <r>
      <rPr>
        <rFont val="Arial"/>
        <sz val="9.0"/>
      </rPr>
      <t xml:space="preserve">
IE000WA6L436</t>
    </r>
  </si>
  <si>
    <t>USD</t>
  </si>
  <si>
    <t>DI27</t>
  </si>
  <si>
    <t>US CORPORATE, A Or AA 50%, BBB 50%</t>
  </si>
  <si>
    <r>
      <rPr>
        <rFont val="Arial"/>
        <color rgb="FF182630"/>
        <sz val="9.0"/>
        <u/>
      </rPr>
      <t>ISHS IBONDS DEC27 UC.ETF C USD</t>
    </r>
    <r>
      <rPr>
        <rFont val="Arial"/>
        <sz val="9.0"/>
      </rPr>
      <t xml:space="preserve">
IE000I1D7D10</t>
    </r>
  </si>
  <si>
    <t>IVOA</t>
  </si>
  <si>
    <r>
      <rPr>
        <rFont val="Arial"/>
        <color rgb="FF182630"/>
        <sz val="9.0"/>
        <u/>
      </rPr>
      <t>ISHS IBONDS DEC28 UC.ETF C EUR</t>
    </r>
    <r>
      <rPr>
        <rFont val="Arial"/>
        <sz val="9.0"/>
      </rPr>
      <t xml:space="preserve">
IE0008UEVOE0</t>
    </r>
  </si>
  <si>
    <t>CSPX</t>
  </si>
  <si>
    <t>S&amp;P ETF</t>
  </si>
  <si>
    <t>IHYA</t>
  </si>
  <si>
    <t>IE00BYXYYL56</t>
  </si>
  <si>
    <t>BB 45, B 38, CCC and below 17</t>
  </si>
  <si>
    <t>3.6 YEAR</t>
  </si>
  <si>
    <t>ID30</t>
  </si>
  <si>
    <t>IE0008TDJ461</t>
  </si>
  <si>
    <t>US CORPORATE, A or AA 42 BBB 48</t>
  </si>
  <si>
    <t>US46436E3797</t>
  </si>
  <si>
    <t>IBHI</t>
  </si>
  <si>
    <t>EURUSD</t>
  </si>
  <si>
    <t>WEEKLY</t>
  </si>
  <si>
    <t>PROBABILITY</t>
  </si>
  <si>
    <t>TOTAL RETURN</t>
  </si>
  <si>
    <t>CURRENCY:EURUSD</t>
  </si>
  <si>
    <t>3Y ROLL</t>
  </si>
  <si>
    <t>5Y ROLL</t>
  </si>
  <si>
    <t>YIELD</t>
  </si>
  <si>
    <t>BIN</t>
  </si>
  <si>
    <t>3 YEAR</t>
  </si>
  <si>
    <t>5 YEAR</t>
  </si>
  <si>
    <t>COMPOSITE</t>
  </si>
  <si>
    <t>RETURN</t>
  </si>
  <si>
    <t>SX5E</t>
  </si>
  <si>
    <t>BSX</t>
  </si>
  <si>
    <t>USDEUR</t>
  </si>
  <si>
    <t>CORREL</t>
  </si>
  <si>
    <t>WEEKLY S&amp;P RETURN</t>
  </si>
  <si>
    <t>ANNUAL S&amp;P RETURN</t>
  </si>
  <si>
    <t>ANNUAL FX RETURN</t>
  </si>
  <si>
    <t>CRASH TEST</t>
  </si>
  <si>
    <t>EQITY CRASH MOVE</t>
  </si>
  <si>
    <t>FX CORREL CRASH</t>
  </si>
  <si>
    <t>TIME TO RECOVERY</t>
  </si>
  <si>
    <t>WEEKLY FX RETURN</t>
  </si>
  <si>
    <t>CRASH</t>
  </si>
  <si>
    <t>PROBILITY</t>
  </si>
  <si>
    <t>FX</t>
  </si>
  <si>
    <t>5Y FX PERF</t>
  </si>
  <si>
    <t>PORTFOLIO ALL</t>
  </si>
  <si>
    <t>PORTFOLIO BOND</t>
  </si>
  <si>
    <t>VOLATILITY</t>
  </si>
  <si>
    <t>SHARP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</si>
</sst>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€&quot;"/>
    <numFmt numFmtId="165" formatCode="mm/dd/yyyy"/>
    <numFmt numFmtId="166" formatCode="m/d/yyyy h:mm:ss"/>
    <numFmt numFmtId="167" formatCode="mmm d"/>
    <numFmt numFmtId="168" formatCode="M/d/yyyy"/>
    <numFmt numFmtId="169" formatCode="&quot;$&quot;#,##0.00"/>
  </numFmts>
  <fonts count="17">
    <font>
      <sz val="10.0"/>
      <color rgb="FF000000"/>
      <name val="Arial"/>
      <scheme val="minor"/>
    </font>
    <font>
      <b/>
      <color theme="1"/>
      <name val="Arial"/>
    </font>
    <font>
      <b/>
      <u/>
      <sz val="9.0"/>
      <color rgb="FF0000FF"/>
      <name val="Lato"/>
    </font>
    <font>
      <b/>
      <sz val="9.0"/>
      <color rgb="FF003D39"/>
      <name val="Lato"/>
    </font>
    <font>
      <b/>
      <sz val="9.0"/>
      <color theme="1"/>
      <name val="Arial"/>
    </font>
    <font>
      <b/>
      <sz val="9.0"/>
      <color rgb="FF003D39"/>
      <name val="Arial"/>
    </font>
    <font>
      <sz val="9.0"/>
      <color rgb="FF000000"/>
      <name val="Arial"/>
    </font>
    <font>
      <u/>
      <sz val="9.0"/>
      <color rgb="FF0000FF"/>
      <name val="Lato"/>
    </font>
    <font>
      <sz val="9.0"/>
      <color rgb="FF182630"/>
      <name val="Lato"/>
    </font>
    <font>
      <sz val="9.0"/>
      <color rgb="FF55A185"/>
      <name val="Lato"/>
    </font>
    <font>
      <sz val="9.0"/>
      <color theme="1"/>
      <name val="Arial"/>
    </font>
    <font>
      <sz val="9.0"/>
      <color rgb="FFC96048"/>
      <name val="Lato"/>
    </font>
    <font>
      <color theme="1"/>
      <name val="Arial"/>
    </font>
    <font>
      <sz val="9.0"/>
      <color rgb="FF182630"/>
      <name val="Arial"/>
    </font>
    <font>
      <color theme="1"/>
      <name val="Arial"/>
      <scheme val="minor"/>
    </font>
    <font>
      <b/>
      <sz val="9.0"/>
      <color rgb="FF000000"/>
      <name val="Arial"/>
    </font>
    <font>
      <sz val="12.0"/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7F9F9"/>
        <bgColor rgb="FFF7F9F9"/>
      </patternFill>
    </fill>
  </fills>
  <borders count="2">
    <border/>
    <border>
      <bottom style="thin">
        <color rgb="FFE7E9EA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shrinkToFit="0" wrapText="0"/>
    </xf>
    <xf borderId="0" fillId="2" fontId="3" numFmtId="0" xfId="0" applyAlignment="1" applyFont="1">
      <alignment horizontal="left" shrinkToFit="0" wrapText="0"/>
    </xf>
    <xf borderId="0" fillId="2" fontId="4" numFmtId="0" xfId="0" applyAlignment="1" applyFont="1">
      <alignment horizontal="left" shrinkToFit="0" wrapText="0"/>
    </xf>
    <xf borderId="0" fillId="2" fontId="5" numFmtId="0" xfId="0" applyAlignment="1" applyFont="1">
      <alignment horizontal="left" shrinkToFit="0" wrapText="0"/>
    </xf>
    <xf borderId="0" fillId="3" fontId="6" numFmtId="0" xfId="0" applyAlignment="1" applyFill="1" applyFont="1">
      <alignment horizontal="left"/>
    </xf>
    <xf borderId="1" fillId="0" fontId="7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horizontal="right" shrinkToFit="0" wrapText="0"/>
    </xf>
    <xf borderId="1" fillId="3" fontId="8" numFmtId="0" xfId="0" applyAlignment="1" applyBorder="1" applyFont="1">
      <alignment horizontal="left" shrinkToFit="0" wrapText="0"/>
    </xf>
    <xf borderId="1" fillId="3" fontId="8" numFmtId="164" xfId="0" applyAlignment="1" applyBorder="1" applyFont="1" applyNumberFormat="1">
      <alignment horizontal="right" shrinkToFit="0" wrapText="0"/>
    </xf>
    <xf borderId="1" fillId="3" fontId="8" numFmtId="165" xfId="0" applyAlignment="1" applyBorder="1" applyFont="1" applyNumberFormat="1">
      <alignment horizontal="right" shrinkToFit="0" wrapText="0"/>
    </xf>
    <xf borderId="1" fillId="3" fontId="9" numFmtId="0" xfId="0" applyAlignment="1" applyBorder="1" applyFont="1">
      <alignment horizontal="right" shrinkToFit="0" wrapText="0"/>
    </xf>
    <xf borderId="1" fillId="3" fontId="8" numFmtId="4" xfId="0" applyAlignment="1" applyBorder="1" applyFont="1" applyNumberFormat="1">
      <alignment horizontal="right" shrinkToFit="0" wrapText="0"/>
    </xf>
    <xf borderId="0" fillId="0" fontId="10" numFmtId="0" xfId="0" applyAlignment="1" applyFont="1">
      <alignment horizontal="left" shrinkToFit="0" wrapText="0"/>
    </xf>
    <xf borderId="1" fillId="0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horizontal="right" shrinkToFit="0" wrapText="0"/>
    </xf>
    <xf borderId="1" fillId="4" fontId="8" numFmtId="3" xfId="0" applyAlignment="1" applyBorder="1" applyFill="1" applyFont="1" applyNumberFormat="1">
      <alignment horizontal="right" shrinkToFit="0" wrapText="0"/>
    </xf>
    <xf borderId="1" fillId="4" fontId="8" numFmtId="0" xfId="0" applyAlignment="1" applyBorder="1" applyFont="1">
      <alignment horizontal="right" shrinkToFit="0" wrapText="0"/>
    </xf>
    <xf borderId="1" fillId="4" fontId="8" numFmtId="0" xfId="0" applyAlignment="1" applyBorder="1" applyFont="1">
      <alignment horizontal="left" shrinkToFit="0" wrapText="0"/>
    </xf>
    <xf borderId="1" fillId="4" fontId="8" numFmtId="165" xfId="0" applyAlignment="1" applyBorder="1" applyFont="1" applyNumberFormat="1">
      <alignment horizontal="right" shrinkToFit="0" wrapText="0"/>
    </xf>
    <xf borderId="1" fillId="4" fontId="9" numFmtId="0" xfId="0" applyAlignment="1" applyBorder="1" applyFont="1">
      <alignment horizontal="right" shrinkToFit="0" wrapText="0"/>
    </xf>
    <xf borderId="0" fillId="0" fontId="12" numFmtId="0" xfId="0" applyFont="1"/>
    <xf borderId="1" fillId="4" fontId="13" numFmtId="0" xfId="0" applyAlignment="1" applyBorder="1" applyFont="1">
      <alignment horizontal="right" shrinkToFit="0" wrapText="0"/>
    </xf>
    <xf borderId="1" fillId="4" fontId="8" numFmtId="164" xfId="0" applyAlignment="1" applyBorder="1" applyFont="1" applyNumberFormat="1">
      <alignment horizontal="right" shrinkToFit="0" wrapText="0"/>
    </xf>
    <xf borderId="0" fillId="0" fontId="12" numFmtId="166" xfId="0" applyFont="1" applyNumberFormat="1"/>
    <xf borderId="0" fillId="0" fontId="14" numFmtId="0" xfId="0" applyAlignment="1" applyFont="1">
      <alignment readingOrder="0"/>
    </xf>
    <xf borderId="0" fillId="0" fontId="14" numFmtId="0" xfId="0" applyFont="1"/>
    <xf borderId="0" fillId="0" fontId="10" numFmtId="167" xfId="0" applyAlignment="1" applyFont="1" applyNumberFormat="1">
      <alignment horizontal="left" shrinkToFit="0" wrapText="0"/>
    </xf>
    <xf borderId="0" fillId="3" fontId="15" numFmtId="0" xfId="0" applyAlignment="1" applyFont="1">
      <alignment horizontal="left"/>
    </xf>
    <xf borderId="0" fillId="0" fontId="12" numFmtId="167" xfId="0" applyFont="1" applyNumberFormat="1"/>
    <xf borderId="0" fillId="0" fontId="12" numFmtId="168" xfId="0" applyFont="1" applyNumberFormat="1"/>
    <xf borderId="0" fillId="0" fontId="12" numFmtId="4" xfId="0" applyFont="1" applyNumberFormat="1"/>
    <xf borderId="0" fillId="3" fontId="16" numFmtId="0" xfId="0" applyAlignment="1" applyFont="1">
      <alignment horizontal="left"/>
    </xf>
    <xf borderId="0" fillId="0" fontId="12" numFmtId="10" xfId="0" applyFont="1" applyNumberFormat="1"/>
    <xf borderId="0" fillId="0" fontId="12" numFmtId="0" xfId="0" applyAlignment="1" applyFont="1">
      <alignment readingOrder="0"/>
    </xf>
    <xf borderId="0" fillId="3" fontId="16" numFmtId="0" xfId="0" applyAlignment="1" applyFont="1">
      <alignment horizontal="left" readingOrder="0"/>
    </xf>
    <xf borderId="0" fillId="0" fontId="12" numFmtId="169" xfId="0" applyFont="1" applyNumberFormat="1"/>
    <xf borderId="0" fillId="0" fontId="14" numFmtId="168" xfId="0" applyFont="1" applyNumberFormat="1"/>
    <xf borderId="0" fillId="0" fontId="12" numFmtId="0" xfId="0" applyAlignment="1" applyFont="1">
      <alignment vertical="bottom"/>
    </xf>
    <xf borderId="0" fillId="0" fontId="12" numFmtId="168" xfId="0" applyAlignment="1" applyFont="1" applyNumberFormat="1">
      <alignment horizontal="right" vertical="bottom"/>
    </xf>
    <xf borderId="0" fillId="0" fontId="12" numFmtId="0" xfId="0" applyAlignment="1" applyFont="1">
      <alignment horizontal="right" vertical="bottom"/>
    </xf>
    <xf borderId="0" fillId="3" fontId="6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3 YEAR vs.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BACKTEST'!$R$3</c:f>
            </c:strRef>
          </c:tx>
          <c:cat>
            <c:strRef>
              <c:f>'EQUITY BACKTEST'!$O$4:$O$28</c:f>
            </c:strRef>
          </c:cat>
          <c:val>
            <c:numRef>
              <c:f>'EQUITY BACKTEST'!$R$4:$R$28</c:f>
              <c:numCache/>
            </c:numRef>
          </c:val>
        </c:ser>
        <c:axId val="2141020610"/>
        <c:axId val="997048313"/>
      </c:barChart>
      <c:catAx>
        <c:axId val="2141020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97048313"/>
      </c:catAx>
      <c:valAx>
        <c:axId val="99704831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14102061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5 YEAR return cumulated probability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BACKTEST'!$W$3</c:f>
            </c:strRef>
          </c:tx>
          <c:cat>
            <c:strRef>
              <c:f>'EQUITY BACKTEST'!$O$4:$O$28</c:f>
            </c:strRef>
          </c:cat>
          <c:val>
            <c:numRef>
              <c:f>'EQUITY BACKTEST'!$W$4:$W$28</c:f>
              <c:numCache/>
            </c:numRef>
          </c:val>
        </c:ser>
        <c:axId val="1763280242"/>
        <c:axId val="632513749"/>
      </c:barChart>
      <c:catAx>
        <c:axId val="1763280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5Y 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32513749"/>
      </c:catAx>
      <c:valAx>
        <c:axId val="6325137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6328024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3 YEAR vs. BIN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'EQUITY BACKTEST STRATEGY'!$S$3</c:f>
            </c:strRef>
          </c:tx>
          <c:cat>
            <c:strRef>
              <c:f>'EQUITY BACKTEST STRATEGY'!$P$4:$P$28</c:f>
            </c:strRef>
          </c:cat>
          <c:val>
            <c:numRef>
              <c:f>'EQUITY BACKTEST STRATEGY'!$S$4:$S$28</c:f>
              <c:numCache/>
            </c:numRef>
          </c:val>
        </c:ser>
        <c:axId val="520935966"/>
        <c:axId val="1085587584"/>
      </c:barChart>
      <c:catAx>
        <c:axId val="520935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BIN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5587584"/>
      </c:catAx>
      <c:valAx>
        <c:axId val="108558758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2093596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'Daily Perf'!$A$2:$A$56</c:f>
            </c:strRef>
          </c:cat>
          <c:val>
            <c:numRef>
              <c:f>'Daily Perf'!$K$2:$K$56</c:f>
              <c:numCache/>
            </c:numRef>
          </c:val>
          <c:smooth val="0"/>
        </c:ser>
        <c:axId val="897354755"/>
        <c:axId val="898820260"/>
      </c:lineChart>
      <c:catAx>
        <c:axId val="897354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8820260"/>
      </c:catAx>
      <c:valAx>
        <c:axId val="898820260"/>
        <c:scaling>
          <c:orientation val="minMax"/>
          <c:max val="1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9735475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581025</xdr:colOff>
      <xdr:row>1</xdr:row>
      <xdr:rowOff>171450</xdr:rowOff>
    </xdr:from>
    <xdr:ext cx="5715000" cy="3533775"/>
    <xdr:graphicFrame>
      <xdr:nvGraphicFramePr>
        <xdr:cNvPr id="5704738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25</xdr:col>
      <xdr:colOff>38100</xdr:colOff>
      <xdr:row>20</xdr:row>
      <xdr:rowOff>152400</xdr:rowOff>
    </xdr:from>
    <xdr:ext cx="5715000" cy="3533775"/>
    <xdr:graphicFrame>
      <xdr:nvGraphicFramePr>
        <xdr:cNvPr id="170463864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57150</xdr:colOff>
      <xdr:row>2</xdr:row>
      <xdr:rowOff>38100</xdr:rowOff>
    </xdr:from>
    <xdr:ext cx="5715000" cy="3533775"/>
    <xdr:graphicFrame>
      <xdr:nvGraphicFramePr>
        <xdr:cNvPr id="124106094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6</xdr:row>
      <xdr:rowOff>66675</xdr:rowOff>
    </xdr:from>
    <xdr:ext cx="5715000" cy="3533775"/>
    <xdr:graphicFrame>
      <xdr:nvGraphicFramePr>
        <xdr:cNvPr id="742658505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y-fr.oddo-bhf.com/private/" TargetMode="External"/><Relationship Id="rId10" Type="http://schemas.openxmlformats.org/officeDocument/2006/relationships/hyperlink" Target="https://my-fr.oddo-bhf.com/private/" TargetMode="External"/><Relationship Id="rId13" Type="http://schemas.openxmlformats.org/officeDocument/2006/relationships/hyperlink" Target="https://my-fr.oddo-bhf.com/private/" TargetMode="External"/><Relationship Id="rId12" Type="http://schemas.openxmlformats.org/officeDocument/2006/relationships/hyperlink" Target="https://my-fr.oddo-bhf.com/private/" TargetMode="External"/><Relationship Id="rId1" Type="http://schemas.openxmlformats.org/officeDocument/2006/relationships/hyperlink" Target="https://my-fr.oddo-bhf.com/private/" TargetMode="External"/><Relationship Id="rId2" Type="http://schemas.openxmlformats.org/officeDocument/2006/relationships/hyperlink" Target="https://my-fr.oddo-bhf.com/private/" TargetMode="External"/><Relationship Id="rId3" Type="http://schemas.openxmlformats.org/officeDocument/2006/relationships/hyperlink" Target="https://my-fr.oddo-bhf.com/private/" TargetMode="External"/><Relationship Id="rId4" Type="http://schemas.openxmlformats.org/officeDocument/2006/relationships/hyperlink" Target="https://my-fr.oddo-bhf.com/private/" TargetMode="External"/><Relationship Id="rId9" Type="http://schemas.openxmlformats.org/officeDocument/2006/relationships/hyperlink" Target="https://my-fr.oddo-bhf.com/private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y-fr.oddo-bhf.com/private/" TargetMode="External"/><Relationship Id="rId6" Type="http://schemas.openxmlformats.org/officeDocument/2006/relationships/hyperlink" Target="https://my-fr.oddo-bhf.com/private/" TargetMode="External"/><Relationship Id="rId7" Type="http://schemas.openxmlformats.org/officeDocument/2006/relationships/hyperlink" Target="https://my-fr.oddo-bhf.com/private/" TargetMode="External"/><Relationship Id="rId8" Type="http://schemas.openxmlformats.org/officeDocument/2006/relationships/hyperlink" Target="https://my-fr.oddo-bhf.com/private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my-fr.oddo-bhf.com/private/" TargetMode="External"/><Relationship Id="rId10" Type="http://schemas.openxmlformats.org/officeDocument/2006/relationships/hyperlink" Target="https://my-fr.oddo-bhf.com/private/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my-fr.oddo-bhf.com/private/" TargetMode="External"/><Relationship Id="rId1" Type="http://schemas.openxmlformats.org/officeDocument/2006/relationships/hyperlink" Target="https://my-fr.oddo-bhf.com/private/" TargetMode="External"/><Relationship Id="rId2" Type="http://schemas.openxmlformats.org/officeDocument/2006/relationships/hyperlink" Target="https://my-fr.oddo-bhf.com/private/" TargetMode="External"/><Relationship Id="rId3" Type="http://schemas.openxmlformats.org/officeDocument/2006/relationships/hyperlink" Target="https://my-fr.oddo-bhf.com/private/" TargetMode="External"/><Relationship Id="rId4" Type="http://schemas.openxmlformats.org/officeDocument/2006/relationships/hyperlink" Target="https://my-fr.oddo-bhf.com/private/" TargetMode="External"/><Relationship Id="rId9" Type="http://schemas.openxmlformats.org/officeDocument/2006/relationships/hyperlink" Target="https://my-fr.oddo-bhf.com/private/" TargetMode="External"/><Relationship Id="rId5" Type="http://schemas.openxmlformats.org/officeDocument/2006/relationships/hyperlink" Target="https://my-fr.oddo-bhf.com/private/" TargetMode="External"/><Relationship Id="rId6" Type="http://schemas.openxmlformats.org/officeDocument/2006/relationships/hyperlink" Target="https://my-fr.oddo-bhf.com/private/" TargetMode="External"/><Relationship Id="rId7" Type="http://schemas.openxmlformats.org/officeDocument/2006/relationships/hyperlink" Target="https://my-fr.oddo-bhf.com/private/" TargetMode="External"/><Relationship Id="rId8" Type="http://schemas.openxmlformats.org/officeDocument/2006/relationships/hyperlink" Target="https://my-fr.oddo-bhf.com/private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7.25"/>
    <col customWidth="1" min="11" max="11" width="14.63"/>
    <col customWidth="1" min="12" max="12" width="18.13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5" t="s">
        <v>12</v>
      </c>
    </row>
    <row r="2" ht="15.75" customHeight="1">
      <c r="A2" s="6" t="s">
        <v>13</v>
      </c>
      <c r="B2" s="6" t="s">
        <v>14</v>
      </c>
      <c r="C2" s="7" t="s">
        <v>15</v>
      </c>
      <c r="D2" s="8" t="s">
        <v>16</v>
      </c>
      <c r="E2" s="8" t="s">
        <v>17</v>
      </c>
      <c r="F2" s="9" t="s">
        <v>18</v>
      </c>
      <c r="G2" s="8" t="s">
        <v>19</v>
      </c>
      <c r="H2" s="10">
        <v>993746.0</v>
      </c>
      <c r="I2" s="11">
        <v>45361.0</v>
      </c>
      <c r="J2" s="8" t="s">
        <v>20</v>
      </c>
      <c r="K2" s="8" t="s">
        <v>21</v>
      </c>
      <c r="L2" s="12" t="s">
        <v>22</v>
      </c>
      <c r="M2" s="13">
        <v>4.446666666666666</v>
      </c>
    </row>
    <row r="3" ht="15.75" customHeight="1">
      <c r="A3" s="6" t="s">
        <v>13</v>
      </c>
      <c r="B3" s="14" t="s">
        <v>23</v>
      </c>
      <c r="C3" s="15" t="s">
        <v>24</v>
      </c>
      <c r="D3" s="8" t="s">
        <v>25</v>
      </c>
      <c r="E3" s="8" t="s">
        <v>26</v>
      </c>
      <c r="F3" s="9" t="s">
        <v>27</v>
      </c>
      <c r="G3" s="8" t="s">
        <v>28</v>
      </c>
      <c r="H3" s="10">
        <v>53822.0</v>
      </c>
      <c r="I3" s="11">
        <v>45361.0</v>
      </c>
      <c r="J3" s="8" t="s">
        <v>29</v>
      </c>
      <c r="K3" s="8" t="s">
        <v>30</v>
      </c>
      <c r="L3" s="12" t="s">
        <v>31</v>
      </c>
      <c r="M3" s="13">
        <v>2.2399999999999998</v>
      </c>
    </row>
    <row r="4" ht="15.75" customHeight="1">
      <c r="A4" s="6" t="s">
        <v>13</v>
      </c>
      <c r="B4" s="14" t="s">
        <v>32</v>
      </c>
      <c r="C4" s="15" t="s">
        <v>33</v>
      </c>
      <c r="D4" s="8" t="s">
        <v>34</v>
      </c>
      <c r="E4" s="10">
        <v>9794870.0</v>
      </c>
      <c r="F4" s="9" t="s">
        <v>35</v>
      </c>
      <c r="G4" s="8" t="s">
        <v>36</v>
      </c>
      <c r="H4" s="10">
        <v>9789836.0</v>
      </c>
      <c r="I4" s="11">
        <v>45361.0</v>
      </c>
      <c r="J4" s="8" t="s">
        <v>37</v>
      </c>
      <c r="K4" s="8" t="s">
        <v>38</v>
      </c>
      <c r="L4" s="16" t="s">
        <v>39</v>
      </c>
      <c r="M4" s="13">
        <v>8.806666666666667</v>
      </c>
    </row>
    <row r="5" ht="15.75" customHeight="1">
      <c r="A5" s="6" t="s">
        <v>13</v>
      </c>
      <c r="B5" s="14" t="s">
        <v>40</v>
      </c>
      <c r="C5" s="15" t="s">
        <v>41</v>
      </c>
      <c r="D5" s="8" t="s">
        <v>42</v>
      </c>
      <c r="E5" s="10">
        <v>5205.0</v>
      </c>
      <c r="F5" s="9" t="s">
        <v>27</v>
      </c>
      <c r="G5" s="8" t="s">
        <v>43</v>
      </c>
      <c r="H5" s="10">
        <v>52234.0</v>
      </c>
      <c r="I5" s="11">
        <v>45361.0</v>
      </c>
      <c r="J5" s="8" t="s">
        <v>44</v>
      </c>
      <c r="K5" s="8" t="s">
        <v>45</v>
      </c>
      <c r="L5" s="12" t="s">
        <v>46</v>
      </c>
      <c r="M5" s="13">
        <v>4.426666666666666</v>
      </c>
    </row>
    <row r="6" ht="15.75" customHeight="1">
      <c r="A6" s="6" t="s">
        <v>13</v>
      </c>
      <c r="B6" s="14" t="s">
        <v>47</v>
      </c>
      <c r="C6" s="7" t="s">
        <v>48</v>
      </c>
      <c r="D6" s="8" t="s">
        <v>49</v>
      </c>
      <c r="E6" s="10">
        <v>52508.0</v>
      </c>
      <c r="F6" s="9" t="s">
        <v>18</v>
      </c>
      <c r="G6" s="8" t="s">
        <v>50</v>
      </c>
      <c r="H6" s="10">
        <v>5313.0</v>
      </c>
      <c r="I6" s="11">
        <v>45361.0</v>
      </c>
      <c r="J6" s="8" t="s">
        <v>51</v>
      </c>
      <c r="K6" s="8" t="s">
        <v>52</v>
      </c>
      <c r="L6" s="12" t="s">
        <v>53</v>
      </c>
      <c r="M6" s="13">
        <v>4.6066666666666665</v>
      </c>
    </row>
    <row r="7" ht="15.75" customHeight="1">
      <c r="A7" s="6" t="s">
        <v>13</v>
      </c>
      <c r="B7" s="14" t="s">
        <v>54</v>
      </c>
      <c r="C7" s="7" t="s">
        <v>55</v>
      </c>
      <c r="D7" s="8" t="s">
        <v>16</v>
      </c>
      <c r="E7" s="8" t="s">
        <v>56</v>
      </c>
      <c r="F7" s="9" t="s">
        <v>18</v>
      </c>
      <c r="G7" s="8" t="s">
        <v>57</v>
      </c>
      <c r="H7" s="10">
        <v>991209.0</v>
      </c>
      <c r="I7" s="11">
        <v>45361.0</v>
      </c>
      <c r="J7" s="8" t="s">
        <v>58</v>
      </c>
      <c r="K7" s="8" t="s">
        <v>59</v>
      </c>
      <c r="L7" s="12" t="s">
        <v>60</v>
      </c>
      <c r="M7" s="13">
        <v>4.4399999999999995</v>
      </c>
    </row>
    <row r="8" ht="15.75" customHeight="1">
      <c r="A8" s="6" t="s">
        <v>13</v>
      </c>
      <c r="B8" s="14" t="s">
        <v>61</v>
      </c>
      <c r="C8" s="7" t="s">
        <v>62</v>
      </c>
      <c r="D8" s="8" t="s">
        <v>63</v>
      </c>
      <c r="E8" s="10">
        <v>53343.0</v>
      </c>
      <c r="F8" s="9" t="s">
        <v>18</v>
      </c>
      <c r="G8" s="8" t="s">
        <v>64</v>
      </c>
      <c r="H8" s="10">
        <v>5432.0</v>
      </c>
      <c r="I8" s="11">
        <v>45361.0</v>
      </c>
      <c r="J8" s="8" t="s">
        <v>65</v>
      </c>
      <c r="K8" s="8" t="s">
        <v>66</v>
      </c>
      <c r="L8" s="12" t="s">
        <v>67</v>
      </c>
      <c r="M8" s="13">
        <v>2.2466666666666666</v>
      </c>
    </row>
    <row r="9" ht="15.75" customHeight="1">
      <c r="A9" s="6" t="s">
        <v>13</v>
      </c>
      <c r="B9" s="14" t="s">
        <v>68</v>
      </c>
      <c r="C9" s="7" t="s">
        <v>69</v>
      </c>
      <c r="D9" s="8" t="s">
        <v>70</v>
      </c>
      <c r="E9" s="10">
        <v>30051.0</v>
      </c>
      <c r="F9" s="9" t="s">
        <v>71</v>
      </c>
      <c r="G9" s="8" t="s">
        <v>72</v>
      </c>
      <c r="H9" s="10">
        <v>30477.0</v>
      </c>
      <c r="I9" s="11">
        <v>45332.0</v>
      </c>
      <c r="J9" s="8" t="s">
        <v>73</v>
      </c>
      <c r="K9" s="8" t="s">
        <v>74</v>
      </c>
      <c r="L9" s="12" t="s">
        <v>75</v>
      </c>
      <c r="M9" s="13">
        <v>11.186666666666667</v>
      </c>
    </row>
    <row r="10" ht="15.75" customHeight="1">
      <c r="A10" s="6" t="s">
        <v>13</v>
      </c>
      <c r="B10" s="14" t="s">
        <v>76</v>
      </c>
      <c r="C10" s="15" t="s">
        <v>77</v>
      </c>
      <c r="D10" s="17">
        <v>518363.0</v>
      </c>
      <c r="E10" s="18" t="s">
        <v>78</v>
      </c>
      <c r="F10" s="19" t="s">
        <v>71</v>
      </c>
      <c r="G10" s="18" t="s">
        <v>79</v>
      </c>
      <c r="H10" s="18" t="s">
        <v>80</v>
      </c>
      <c r="I10" s="20">
        <v>45332.0</v>
      </c>
      <c r="J10" s="18" t="s">
        <v>81</v>
      </c>
      <c r="K10" s="18" t="s">
        <v>82</v>
      </c>
      <c r="L10" s="21" t="s">
        <v>83</v>
      </c>
      <c r="M10" s="13">
        <v>23.96666666666667</v>
      </c>
    </row>
    <row r="11" ht="15.75" customHeight="1">
      <c r="A11" s="22" t="s">
        <v>84</v>
      </c>
      <c r="B11" s="22" t="s">
        <v>85</v>
      </c>
      <c r="C11" s="15" t="s">
        <v>86</v>
      </c>
      <c r="D11" s="23">
        <v>1400.0</v>
      </c>
      <c r="E11" s="24">
        <v>5.3444571E7</v>
      </c>
      <c r="F11" s="19" t="s">
        <v>27</v>
      </c>
      <c r="G11" s="18" t="s">
        <v>87</v>
      </c>
      <c r="H11" s="18" t="s">
        <v>88</v>
      </c>
      <c r="I11" s="20">
        <v>45361.0</v>
      </c>
      <c r="J11" s="23" t="s">
        <v>89</v>
      </c>
      <c r="K11" s="23" t="s">
        <v>90</v>
      </c>
      <c r="L11" s="21" t="s">
        <v>91</v>
      </c>
      <c r="M11" s="13">
        <v>33.333333333333336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1"/>
    <hyperlink r:id="rId2" ref="D1"/>
    <hyperlink r:id="rId3" ref="E1"/>
    <hyperlink r:id="rId4" ref="F1"/>
    <hyperlink r:id="rId5" ref="H1"/>
    <hyperlink r:id="rId6" ref="I1"/>
    <hyperlink r:id="rId7" ref="J1"/>
    <hyperlink r:id="rId8" ref="L1"/>
    <hyperlink r:id="rId9" ref="C2"/>
    <hyperlink r:id="rId10" ref="C6"/>
    <hyperlink r:id="rId11" ref="C7"/>
    <hyperlink r:id="rId12" ref="C8"/>
    <hyperlink r:id="rId13" ref="C9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</cols>
  <sheetData>
    <row r="1" ht="15.75" customHeight="1">
      <c r="B1" s="22" t="s">
        <v>92</v>
      </c>
      <c r="D1" s="22" t="s">
        <v>93</v>
      </c>
      <c r="E1" s="22">
        <v>2018.0</v>
      </c>
      <c r="F1" s="22">
        <v>6.0</v>
      </c>
      <c r="G1" s="22">
        <v>8.0</v>
      </c>
      <c r="I1" s="22" t="s">
        <v>94</v>
      </c>
      <c r="J1" s="22" t="s">
        <v>95</v>
      </c>
    </row>
    <row r="2" ht="15.75" customHeight="1">
      <c r="B2" s="22" t="s">
        <v>96</v>
      </c>
      <c r="D2" s="22"/>
      <c r="G2" s="22"/>
      <c r="H2" s="14"/>
      <c r="I2" s="22"/>
      <c r="J2" s="22"/>
    </row>
    <row r="3" ht="15.75" customHeight="1">
      <c r="B3" s="22" t="s">
        <v>97</v>
      </c>
      <c r="D3" s="22" t="s">
        <v>98</v>
      </c>
      <c r="F3" s="22" t="s">
        <v>99</v>
      </c>
      <c r="H3" s="22" t="s">
        <v>100</v>
      </c>
      <c r="J3" s="22" t="s">
        <v>101</v>
      </c>
    </row>
    <row r="4" ht="15.75" customHeight="1">
      <c r="A4" s="22" t="str">
        <f>IFERROR(__xludf.DUMMYFUNCTION("GOOGLEFINANCE(B$3, ""price"", DATE($E$1, $F$1, $G$1), TODAY(), $J$1)"),"Loading...")</f>
        <v>Loading...</v>
      </c>
      <c r="B4" s="22"/>
      <c r="C4" s="22" t="str">
        <f>IFERROR(__xludf.DUMMYFUNCTION("GOOGLEFINANCE(D$3, ""price"", DATE($E$1, $F$1, $G$1), TODAY(), $J$1)"),"Loading...")</f>
        <v>Loading...</v>
      </c>
      <c r="D4" s="22"/>
      <c r="E4" s="22" t="str">
        <f>IFERROR(__xludf.DUMMYFUNCTION("GOOGLEFINANCE(F$3, ""price"", DATE($E$1, $F$1, $G$1), TODAY(), $J$1)"),"Loading...")</f>
        <v>Loading...</v>
      </c>
      <c r="F4" s="22"/>
      <c r="G4" s="22" t="str">
        <f>IFERROR(__xludf.DUMMYFUNCTION("GOOGLEFINANCE(H$3, ""price"", DATE($E$1, $F$1, $G$1), TODAY(), $J$1)"),"Loading...")</f>
        <v>Loading...</v>
      </c>
      <c r="H4" s="22"/>
      <c r="I4" s="22" t="str">
        <f>IFERROR(__xludf.DUMMYFUNCTION("GOOGLEFINANCE(J$3, ""price"", DATE($E$1, $F$1, $G$1), TODAY(), $J$1)"),"Loading...")</f>
        <v>Loading...</v>
      </c>
      <c r="J4" s="22"/>
    </row>
    <row r="5" ht="15.75" customHeight="1">
      <c r="A5" s="25"/>
      <c r="B5" s="22"/>
      <c r="C5" s="25"/>
      <c r="D5" s="22"/>
      <c r="E5" s="25"/>
      <c r="F5" s="22"/>
      <c r="G5" s="25"/>
      <c r="H5" s="22"/>
      <c r="I5" s="25"/>
      <c r="J5" s="22"/>
    </row>
    <row r="6" ht="15.75" customHeight="1">
      <c r="A6" s="25"/>
      <c r="B6" s="22"/>
      <c r="C6" s="25"/>
      <c r="D6" s="22"/>
      <c r="E6" s="25"/>
      <c r="F6" s="22"/>
      <c r="G6" s="25"/>
      <c r="H6" s="22"/>
      <c r="I6" s="25"/>
      <c r="J6" s="22"/>
    </row>
    <row r="7" ht="15.75" customHeight="1">
      <c r="A7" s="25"/>
      <c r="B7" s="22"/>
      <c r="C7" s="25"/>
      <c r="D7" s="22"/>
      <c r="E7" s="25"/>
      <c r="F7" s="22"/>
      <c r="G7" s="25"/>
      <c r="H7" s="22"/>
      <c r="I7" s="25"/>
      <c r="J7" s="22"/>
    </row>
    <row r="8" ht="15.75" customHeight="1">
      <c r="A8" s="25"/>
      <c r="B8" s="22"/>
      <c r="C8" s="25"/>
      <c r="D8" s="22"/>
      <c r="E8" s="25"/>
      <c r="F8" s="22"/>
      <c r="G8" s="25"/>
      <c r="H8" s="22"/>
      <c r="I8" s="25"/>
      <c r="J8" s="22"/>
      <c r="L8" s="26" t="s">
        <v>102</v>
      </c>
    </row>
    <row r="9" ht="15.75" customHeight="1">
      <c r="A9" s="25"/>
      <c r="B9" s="22"/>
      <c r="C9" s="25"/>
      <c r="D9" s="22"/>
      <c r="E9" s="25"/>
      <c r="F9" s="22"/>
      <c r="G9" s="25"/>
      <c r="H9" s="22"/>
      <c r="I9" s="25"/>
      <c r="J9" s="22"/>
      <c r="L9" s="27">
        <f>58000*1.202</f>
        <v>69716</v>
      </c>
    </row>
    <row r="10" ht="15.75" customHeight="1">
      <c r="A10" s="25"/>
      <c r="B10" s="22"/>
      <c r="C10" s="25"/>
      <c r="D10" s="22"/>
      <c r="E10" s="25"/>
      <c r="F10" s="22"/>
      <c r="G10" s="25"/>
      <c r="H10" s="22"/>
      <c r="I10" s="25"/>
      <c r="J10" s="22"/>
    </row>
    <row r="11" ht="15.75" customHeight="1">
      <c r="A11" s="25"/>
      <c r="B11" s="22"/>
      <c r="C11" s="25"/>
      <c r="D11" s="22"/>
      <c r="E11" s="25"/>
      <c r="F11" s="22"/>
      <c r="G11" s="25"/>
      <c r="H11" s="22"/>
      <c r="I11" s="25"/>
      <c r="J11" s="22"/>
      <c r="L11" s="27">
        <f>6*1500+6*5000</f>
        <v>39000</v>
      </c>
    </row>
    <row r="12" ht="15.75" customHeight="1">
      <c r="A12" s="25"/>
      <c r="B12" s="22"/>
      <c r="C12" s="25"/>
      <c r="D12" s="22"/>
      <c r="E12" s="25"/>
      <c r="F12" s="22"/>
      <c r="G12" s="25"/>
      <c r="H12" s="22"/>
      <c r="I12" s="25"/>
      <c r="J12" s="22"/>
      <c r="L12" s="27">
        <f>12*1800</f>
        <v>21600</v>
      </c>
    </row>
    <row r="13" ht="15.75" customHeight="1">
      <c r="A13" s="25"/>
      <c r="B13" s="22"/>
      <c r="C13" s="25"/>
      <c r="D13" s="22"/>
      <c r="E13" s="25"/>
      <c r="F13" s="22"/>
      <c r="G13" s="25"/>
      <c r="H13" s="22"/>
      <c r="I13" s="25"/>
      <c r="J13" s="22"/>
    </row>
    <row r="14" ht="15.75" customHeight="1">
      <c r="A14" s="25"/>
      <c r="B14" s="22"/>
      <c r="C14" s="25"/>
      <c r="D14" s="22"/>
      <c r="E14" s="25"/>
      <c r="F14" s="22"/>
      <c r="G14" s="25"/>
      <c r="H14" s="22"/>
      <c r="I14" s="25"/>
      <c r="J14" s="22"/>
    </row>
    <row r="15" ht="15.75" customHeight="1">
      <c r="A15" s="25"/>
      <c r="B15" s="22"/>
      <c r="C15" s="25"/>
      <c r="D15" s="22"/>
      <c r="E15" s="25"/>
      <c r="F15" s="22"/>
      <c r="G15" s="25"/>
      <c r="H15" s="22"/>
      <c r="I15" s="25"/>
      <c r="J15" s="22"/>
    </row>
    <row r="16" ht="15.75" customHeight="1">
      <c r="A16" s="25"/>
      <c r="B16" s="22"/>
      <c r="C16" s="25"/>
      <c r="D16" s="22"/>
      <c r="E16" s="25"/>
      <c r="F16" s="22"/>
      <c r="G16" s="25"/>
      <c r="H16" s="22"/>
      <c r="I16" s="25"/>
      <c r="J16" s="22"/>
    </row>
    <row r="17" ht="15.75" customHeight="1">
      <c r="A17" s="25"/>
      <c r="B17" s="22"/>
      <c r="C17" s="25"/>
      <c r="D17" s="22"/>
      <c r="E17" s="25"/>
      <c r="F17" s="22"/>
      <c r="G17" s="25"/>
      <c r="H17" s="22"/>
      <c r="I17" s="25"/>
      <c r="J17" s="22"/>
    </row>
    <row r="18" ht="15.75" customHeight="1">
      <c r="A18" s="25"/>
      <c r="B18" s="22"/>
      <c r="C18" s="25"/>
      <c r="D18" s="22"/>
      <c r="E18" s="25"/>
      <c r="F18" s="22"/>
      <c r="G18" s="25"/>
      <c r="H18" s="22"/>
      <c r="I18" s="25"/>
      <c r="J18" s="22"/>
    </row>
    <row r="19" ht="15.75" customHeight="1">
      <c r="A19" s="25"/>
      <c r="B19" s="22"/>
      <c r="C19" s="25"/>
      <c r="D19" s="22"/>
      <c r="E19" s="25"/>
      <c r="F19" s="22"/>
      <c r="G19" s="25"/>
      <c r="H19" s="22"/>
      <c r="I19" s="25"/>
      <c r="J19" s="22"/>
    </row>
    <row r="20" ht="15.75" customHeight="1">
      <c r="A20" s="25"/>
      <c r="B20" s="22"/>
      <c r="C20" s="25"/>
      <c r="D20" s="22"/>
      <c r="E20" s="25"/>
      <c r="F20" s="22"/>
      <c r="G20" s="25"/>
      <c r="H20" s="22"/>
      <c r="I20" s="25"/>
      <c r="J20" s="22"/>
    </row>
    <row r="21" ht="15.75" customHeight="1">
      <c r="A21" s="25"/>
      <c r="B21" s="22"/>
      <c r="C21" s="25"/>
      <c r="D21" s="22"/>
      <c r="E21" s="25"/>
      <c r="F21" s="22"/>
      <c r="G21" s="25"/>
      <c r="H21" s="22"/>
      <c r="I21" s="25"/>
      <c r="J21" s="22"/>
    </row>
    <row r="22" ht="15.75" customHeight="1">
      <c r="A22" s="25"/>
      <c r="B22" s="22"/>
      <c r="C22" s="25"/>
      <c r="D22" s="22"/>
      <c r="E22" s="25"/>
      <c r="F22" s="22"/>
      <c r="G22" s="25"/>
      <c r="H22" s="22"/>
      <c r="I22" s="25"/>
      <c r="J22" s="22"/>
    </row>
    <row r="23" ht="15.75" customHeight="1">
      <c r="A23" s="25"/>
      <c r="B23" s="22"/>
      <c r="C23" s="25"/>
      <c r="D23" s="22"/>
      <c r="E23" s="25"/>
      <c r="F23" s="22"/>
      <c r="G23" s="25"/>
      <c r="H23" s="22"/>
      <c r="I23" s="25"/>
      <c r="J23" s="22"/>
    </row>
    <row r="24" ht="15.75" customHeight="1">
      <c r="A24" s="25"/>
      <c r="B24" s="22"/>
      <c r="C24" s="25"/>
      <c r="D24" s="22"/>
      <c r="E24" s="25"/>
      <c r="F24" s="22"/>
      <c r="G24" s="25"/>
      <c r="H24" s="22"/>
      <c r="I24" s="25"/>
      <c r="J24" s="22"/>
    </row>
    <row r="25" ht="15.75" customHeight="1">
      <c r="A25" s="25"/>
      <c r="B25" s="22"/>
      <c r="C25" s="25"/>
      <c r="D25" s="22"/>
      <c r="E25" s="25"/>
      <c r="F25" s="22"/>
      <c r="G25" s="25"/>
      <c r="H25" s="22"/>
      <c r="I25" s="25"/>
      <c r="J25" s="22"/>
    </row>
    <row r="26" ht="15.75" customHeight="1">
      <c r="A26" s="25"/>
      <c r="B26" s="22"/>
      <c r="C26" s="25"/>
      <c r="D26" s="22"/>
      <c r="E26" s="25"/>
      <c r="F26" s="22"/>
      <c r="G26" s="25"/>
      <c r="H26" s="22"/>
      <c r="I26" s="25"/>
      <c r="J26" s="22"/>
    </row>
    <row r="27" ht="15.75" customHeight="1">
      <c r="A27" s="25"/>
      <c r="B27" s="22"/>
      <c r="C27" s="25"/>
      <c r="D27" s="22"/>
      <c r="E27" s="25"/>
      <c r="F27" s="22"/>
      <c r="G27" s="25"/>
      <c r="H27" s="22"/>
      <c r="I27" s="25"/>
      <c r="J27" s="22"/>
    </row>
    <row r="28" ht="15.75" customHeight="1">
      <c r="A28" s="25"/>
      <c r="B28" s="22"/>
      <c r="C28" s="25"/>
      <c r="D28" s="22"/>
      <c r="E28" s="25"/>
      <c r="F28" s="22"/>
      <c r="G28" s="25"/>
      <c r="H28" s="22"/>
      <c r="I28" s="25"/>
      <c r="J28" s="22"/>
    </row>
    <row r="29" ht="15.75" customHeight="1">
      <c r="A29" s="25"/>
      <c r="B29" s="22"/>
      <c r="C29" s="25"/>
      <c r="D29" s="22"/>
      <c r="E29" s="25"/>
      <c r="F29" s="22"/>
      <c r="G29" s="25"/>
      <c r="H29" s="22"/>
      <c r="I29" s="25"/>
      <c r="J29" s="22"/>
    </row>
    <row r="30" ht="15.75" customHeight="1">
      <c r="A30" s="25"/>
      <c r="B30" s="22"/>
      <c r="C30" s="25"/>
      <c r="D30" s="22"/>
      <c r="E30" s="25"/>
      <c r="F30" s="22"/>
      <c r="G30" s="25"/>
      <c r="H30" s="22"/>
      <c r="I30" s="25"/>
      <c r="J30" s="22"/>
    </row>
    <row r="31" ht="15.75" customHeight="1">
      <c r="A31" s="25"/>
      <c r="B31" s="22"/>
      <c r="C31" s="25"/>
      <c r="D31" s="22"/>
      <c r="E31" s="25"/>
      <c r="F31" s="22"/>
      <c r="G31" s="25"/>
      <c r="H31" s="22"/>
      <c r="I31" s="25"/>
      <c r="J31" s="22"/>
    </row>
    <row r="32" ht="15.75" customHeight="1">
      <c r="A32" s="25"/>
      <c r="B32" s="22"/>
      <c r="C32" s="25"/>
      <c r="D32" s="22"/>
      <c r="E32" s="25"/>
      <c r="F32" s="22"/>
      <c r="G32" s="25"/>
      <c r="H32" s="22"/>
      <c r="I32" s="25"/>
      <c r="J32" s="22"/>
    </row>
    <row r="33" ht="15.75" customHeight="1">
      <c r="A33" s="25"/>
      <c r="B33" s="22"/>
      <c r="C33" s="25"/>
      <c r="D33" s="22"/>
      <c r="E33" s="25"/>
      <c r="F33" s="22"/>
      <c r="G33" s="25"/>
      <c r="H33" s="22"/>
      <c r="I33" s="25"/>
      <c r="J33" s="22"/>
    </row>
    <row r="34" ht="15.75" customHeight="1">
      <c r="A34" s="25"/>
      <c r="B34" s="22"/>
      <c r="C34" s="25"/>
      <c r="D34" s="22"/>
      <c r="E34" s="25"/>
      <c r="F34" s="22"/>
      <c r="G34" s="25"/>
      <c r="H34" s="22"/>
      <c r="I34" s="25"/>
      <c r="J34" s="22"/>
    </row>
    <row r="35" ht="15.75" customHeight="1">
      <c r="A35" s="25"/>
      <c r="B35" s="22"/>
      <c r="C35" s="25"/>
      <c r="D35" s="22"/>
      <c r="E35" s="25"/>
      <c r="F35" s="22"/>
      <c r="G35" s="25"/>
      <c r="H35" s="22"/>
      <c r="I35" s="25"/>
      <c r="J35" s="22"/>
    </row>
    <row r="36" ht="15.75" customHeight="1">
      <c r="A36" s="25"/>
      <c r="B36" s="22"/>
      <c r="C36" s="25"/>
      <c r="D36" s="22"/>
      <c r="E36" s="25"/>
      <c r="F36" s="22"/>
      <c r="G36" s="25"/>
      <c r="H36" s="22"/>
      <c r="I36" s="25"/>
      <c r="J36" s="22"/>
    </row>
    <row r="37" ht="15.75" customHeight="1">
      <c r="A37" s="25"/>
      <c r="B37" s="22"/>
      <c r="C37" s="25"/>
      <c r="D37" s="22"/>
      <c r="E37" s="25"/>
      <c r="F37" s="22"/>
      <c r="G37" s="25"/>
      <c r="H37" s="22"/>
      <c r="I37" s="25"/>
      <c r="J37" s="22"/>
    </row>
    <row r="38" ht="15.75" customHeight="1">
      <c r="A38" s="25"/>
      <c r="B38" s="22"/>
      <c r="C38" s="25"/>
      <c r="D38" s="22"/>
      <c r="E38" s="25"/>
      <c r="F38" s="22"/>
      <c r="G38" s="25"/>
      <c r="H38" s="22"/>
      <c r="I38" s="25"/>
      <c r="J38" s="22"/>
    </row>
    <row r="39" ht="15.75" customHeight="1">
      <c r="A39" s="25"/>
      <c r="B39" s="22"/>
      <c r="C39" s="25"/>
      <c r="D39" s="22"/>
      <c r="E39" s="25"/>
      <c r="F39" s="22"/>
      <c r="G39" s="25"/>
      <c r="H39" s="22"/>
      <c r="I39" s="25"/>
      <c r="J39" s="22"/>
    </row>
    <row r="40" ht="15.75" customHeight="1">
      <c r="A40" s="25"/>
      <c r="B40" s="22"/>
      <c r="C40" s="25"/>
      <c r="D40" s="22"/>
      <c r="E40" s="25"/>
      <c r="F40" s="22"/>
      <c r="G40" s="25"/>
      <c r="H40" s="22"/>
      <c r="I40" s="25"/>
      <c r="J40" s="22"/>
    </row>
    <row r="41" ht="15.75" customHeight="1">
      <c r="A41" s="25"/>
      <c r="B41" s="22"/>
      <c r="C41" s="25"/>
      <c r="D41" s="22"/>
      <c r="E41" s="25"/>
      <c r="F41" s="22"/>
      <c r="G41" s="25"/>
      <c r="H41" s="22"/>
      <c r="I41" s="25"/>
      <c r="J41" s="22"/>
    </row>
    <row r="42" ht="15.75" customHeight="1">
      <c r="A42" s="25"/>
      <c r="B42" s="22"/>
      <c r="C42" s="25"/>
      <c r="D42" s="22"/>
      <c r="E42" s="25"/>
      <c r="F42" s="22"/>
      <c r="G42" s="25"/>
      <c r="H42" s="22"/>
      <c r="I42" s="25"/>
      <c r="J42" s="22"/>
    </row>
    <row r="43" ht="15.75" customHeight="1">
      <c r="A43" s="25"/>
      <c r="B43" s="22"/>
      <c r="C43" s="25"/>
      <c r="D43" s="22"/>
      <c r="E43" s="25"/>
      <c r="F43" s="22"/>
      <c r="G43" s="25"/>
      <c r="H43" s="22"/>
      <c r="I43" s="25"/>
      <c r="J43" s="22"/>
    </row>
    <row r="44" ht="15.75" customHeight="1">
      <c r="A44" s="25"/>
      <c r="B44" s="22"/>
      <c r="C44" s="25"/>
      <c r="D44" s="22"/>
      <c r="E44" s="25"/>
      <c r="F44" s="22"/>
      <c r="G44" s="25"/>
      <c r="H44" s="22"/>
      <c r="I44" s="25"/>
      <c r="J44" s="22"/>
    </row>
    <row r="45" ht="15.75" customHeight="1">
      <c r="A45" s="25"/>
      <c r="B45" s="22"/>
      <c r="C45" s="25"/>
      <c r="D45" s="22"/>
      <c r="E45" s="25"/>
      <c r="F45" s="22"/>
      <c r="G45" s="25"/>
      <c r="H45" s="22"/>
      <c r="I45" s="25"/>
      <c r="J45" s="22"/>
    </row>
    <row r="46" ht="15.75" customHeight="1">
      <c r="A46" s="25"/>
      <c r="B46" s="22"/>
      <c r="C46" s="25"/>
      <c r="D46" s="22"/>
      <c r="E46" s="25"/>
      <c r="F46" s="22"/>
      <c r="G46" s="25"/>
      <c r="H46" s="22"/>
      <c r="I46" s="25"/>
      <c r="J46" s="22"/>
    </row>
    <row r="47" ht="15.75" customHeight="1">
      <c r="A47" s="25"/>
      <c r="B47" s="22"/>
      <c r="C47" s="25"/>
      <c r="D47" s="22"/>
      <c r="E47" s="25"/>
      <c r="F47" s="22"/>
      <c r="G47" s="25"/>
      <c r="H47" s="22"/>
      <c r="I47" s="25"/>
      <c r="J47" s="22"/>
    </row>
    <row r="48" ht="15.75" customHeight="1">
      <c r="A48" s="25"/>
      <c r="B48" s="22"/>
      <c r="C48" s="25"/>
      <c r="D48" s="22"/>
      <c r="E48" s="25"/>
      <c r="F48" s="22"/>
      <c r="G48" s="25"/>
      <c r="H48" s="22"/>
      <c r="I48" s="25"/>
      <c r="J48" s="22"/>
    </row>
    <row r="49" ht="15.75" customHeight="1">
      <c r="A49" s="25"/>
      <c r="B49" s="22"/>
      <c r="C49" s="25"/>
      <c r="D49" s="22"/>
      <c r="E49" s="25"/>
      <c r="F49" s="22"/>
      <c r="G49" s="25"/>
      <c r="H49" s="22"/>
      <c r="I49" s="25"/>
      <c r="J49" s="22"/>
    </row>
    <row r="50" ht="15.75" customHeight="1">
      <c r="A50" s="25"/>
      <c r="B50" s="22"/>
      <c r="C50" s="25"/>
      <c r="D50" s="22"/>
      <c r="E50" s="25"/>
      <c r="F50" s="22"/>
      <c r="G50" s="25"/>
      <c r="H50" s="22"/>
      <c r="I50" s="25"/>
      <c r="J50" s="22"/>
    </row>
    <row r="51" ht="15.75" customHeight="1">
      <c r="A51" s="25"/>
      <c r="B51" s="22"/>
      <c r="C51" s="25"/>
      <c r="D51" s="22"/>
      <c r="E51" s="25"/>
      <c r="F51" s="22"/>
      <c r="G51" s="25"/>
      <c r="H51" s="22"/>
      <c r="I51" s="25"/>
      <c r="J51" s="22"/>
    </row>
    <row r="52" ht="15.75" customHeight="1">
      <c r="A52" s="25"/>
      <c r="B52" s="22"/>
      <c r="C52" s="25"/>
      <c r="D52" s="22"/>
      <c r="E52" s="25"/>
      <c r="F52" s="22"/>
      <c r="G52" s="25"/>
      <c r="H52" s="22"/>
      <c r="I52" s="25"/>
      <c r="J52" s="22"/>
    </row>
    <row r="53" ht="15.75" customHeight="1">
      <c r="A53" s="25"/>
      <c r="B53" s="22"/>
      <c r="C53" s="25"/>
      <c r="D53" s="22"/>
      <c r="E53" s="25"/>
      <c r="F53" s="22"/>
      <c r="G53" s="25"/>
      <c r="H53" s="22"/>
      <c r="I53" s="25"/>
      <c r="J53" s="22"/>
    </row>
    <row r="54" ht="15.75" customHeight="1">
      <c r="A54" s="25"/>
      <c r="B54" s="22"/>
      <c r="C54" s="25"/>
      <c r="D54" s="22"/>
      <c r="E54" s="25"/>
      <c r="F54" s="22"/>
      <c r="G54" s="25"/>
      <c r="H54" s="22"/>
      <c r="I54" s="25"/>
      <c r="J54" s="22"/>
    </row>
    <row r="55" ht="15.75" customHeight="1">
      <c r="A55" s="25"/>
      <c r="B55" s="22"/>
      <c r="C55" s="25"/>
      <c r="D55" s="22"/>
      <c r="E55" s="25"/>
      <c r="F55" s="22"/>
      <c r="G55" s="25"/>
      <c r="H55" s="22"/>
      <c r="I55" s="25"/>
      <c r="J55" s="22"/>
    </row>
    <row r="56" ht="15.75" customHeight="1">
      <c r="A56" s="25"/>
      <c r="B56" s="22"/>
      <c r="C56" s="25"/>
      <c r="D56" s="22"/>
      <c r="E56" s="25"/>
      <c r="F56" s="22"/>
      <c r="G56" s="25"/>
      <c r="H56" s="22"/>
      <c r="I56" s="25"/>
      <c r="J56" s="22"/>
    </row>
    <row r="57" ht="15.75" customHeight="1">
      <c r="A57" s="25"/>
      <c r="B57" s="22"/>
      <c r="C57" s="25"/>
      <c r="D57" s="22"/>
      <c r="E57" s="25"/>
      <c r="F57" s="22"/>
      <c r="G57" s="25"/>
      <c r="H57" s="22"/>
      <c r="I57" s="25"/>
      <c r="J57" s="22"/>
    </row>
    <row r="58" ht="15.75" customHeight="1">
      <c r="A58" s="25"/>
      <c r="B58" s="22"/>
      <c r="C58" s="25"/>
      <c r="D58" s="22"/>
      <c r="E58" s="25"/>
      <c r="F58" s="22"/>
      <c r="G58" s="25"/>
      <c r="H58" s="22"/>
      <c r="I58" s="25"/>
      <c r="J58" s="22"/>
    </row>
    <row r="59" ht="15.75" customHeight="1">
      <c r="A59" s="25"/>
      <c r="B59" s="22"/>
      <c r="C59" s="25"/>
      <c r="D59" s="22"/>
      <c r="E59" s="25"/>
      <c r="F59" s="22"/>
      <c r="G59" s="25"/>
      <c r="H59" s="22"/>
      <c r="I59" s="25"/>
      <c r="J59" s="22"/>
    </row>
    <row r="60" ht="15.75" customHeight="1">
      <c r="A60" s="25"/>
      <c r="B60" s="22"/>
      <c r="C60" s="25"/>
      <c r="D60" s="22"/>
      <c r="E60" s="25"/>
      <c r="F60" s="22"/>
      <c r="G60" s="25"/>
      <c r="H60" s="22"/>
      <c r="I60" s="25"/>
      <c r="J60" s="22"/>
    </row>
    <row r="61" ht="15.75" customHeight="1">
      <c r="A61" s="25"/>
      <c r="B61" s="22"/>
      <c r="C61" s="25"/>
      <c r="D61" s="22"/>
      <c r="E61" s="25"/>
      <c r="F61" s="22"/>
      <c r="G61" s="25"/>
      <c r="H61" s="22"/>
      <c r="I61" s="25"/>
      <c r="J61" s="22"/>
    </row>
    <row r="62" ht="15.75" customHeight="1">
      <c r="A62" s="25"/>
      <c r="B62" s="22"/>
      <c r="C62" s="25"/>
      <c r="D62" s="22"/>
      <c r="E62" s="25"/>
      <c r="F62" s="22"/>
      <c r="G62" s="25"/>
      <c r="H62" s="22"/>
      <c r="I62" s="25"/>
      <c r="J62" s="22"/>
    </row>
    <row r="63" ht="15.75" customHeight="1">
      <c r="A63" s="25"/>
      <c r="B63" s="22"/>
      <c r="C63" s="25"/>
      <c r="D63" s="22"/>
      <c r="E63" s="25"/>
      <c r="F63" s="22"/>
      <c r="G63" s="25"/>
      <c r="H63" s="22"/>
      <c r="I63" s="25"/>
      <c r="J63" s="22"/>
    </row>
    <row r="64" ht="15.75" customHeight="1">
      <c r="A64" s="25"/>
      <c r="B64" s="22"/>
      <c r="C64" s="25"/>
      <c r="D64" s="22"/>
      <c r="E64" s="25"/>
      <c r="F64" s="22"/>
      <c r="G64" s="25"/>
      <c r="H64" s="22"/>
      <c r="I64" s="25"/>
      <c r="J64" s="22"/>
    </row>
    <row r="65" ht="15.75" customHeight="1">
      <c r="A65" s="25"/>
      <c r="B65" s="22"/>
      <c r="C65" s="25"/>
      <c r="D65" s="22"/>
      <c r="E65" s="25"/>
      <c r="F65" s="22"/>
      <c r="G65" s="25"/>
      <c r="H65" s="22"/>
      <c r="I65" s="25"/>
      <c r="J65" s="22"/>
    </row>
    <row r="66" ht="15.75" customHeight="1">
      <c r="A66" s="25"/>
      <c r="B66" s="22"/>
      <c r="C66" s="25"/>
      <c r="D66" s="22"/>
      <c r="E66" s="25"/>
      <c r="F66" s="22"/>
      <c r="G66" s="25"/>
      <c r="H66" s="22"/>
      <c r="I66" s="25"/>
      <c r="J66" s="22"/>
    </row>
    <row r="67" ht="15.75" customHeight="1">
      <c r="A67" s="25"/>
      <c r="B67" s="22"/>
      <c r="C67" s="25"/>
      <c r="D67" s="22"/>
      <c r="E67" s="25"/>
      <c r="F67" s="22"/>
      <c r="G67" s="25"/>
      <c r="H67" s="22"/>
      <c r="I67" s="25"/>
      <c r="J67" s="22"/>
    </row>
    <row r="68" ht="15.75" customHeight="1">
      <c r="A68" s="25"/>
      <c r="B68" s="22"/>
      <c r="C68" s="25"/>
      <c r="D68" s="22"/>
      <c r="E68" s="25"/>
      <c r="F68" s="22"/>
      <c r="G68" s="25"/>
      <c r="H68" s="22"/>
      <c r="I68" s="25"/>
      <c r="J68" s="22"/>
    </row>
    <row r="69" ht="15.75" customHeight="1">
      <c r="A69" s="25"/>
      <c r="B69" s="22"/>
      <c r="C69" s="25"/>
      <c r="D69" s="22"/>
      <c r="E69" s="25"/>
      <c r="F69" s="22"/>
      <c r="G69" s="25"/>
      <c r="H69" s="22"/>
      <c r="I69" s="25"/>
      <c r="J69" s="22"/>
    </row>
    <row r="70" ht="15.75" customHeight="1">
      <c r="A70" s="25"/>
      <c r="B70" s="22"/>
      <c r="C70" s="25"/>
      <c r="D70" s="22"/>
      <c r="E70" s="25"/>
      <c r="F70" s="22"/>
      <c r="G70" s="25"/>
      <c r="H70" s="22"/>
      <c r="I70" s="25"/>
      <c r="J70" s="22"/>
    </row>
    <row r="71" ht="15.75" customHeight="1">
      <c r="A71" s="25"/>
      <c r="B71" s="22"/>
      <c r="C71" s="25"/>
      <c r="D71" s="22"/>
      <c r="E71" s="25"/>
      <c r="F71" s="22"/>
      <c r="G71" s="25"/>
      <c r="H71" s="22"/>
      <c r="I71" s="25"/>
      <c r="J71" s="22"/>
    </row>
    <row r="72" ht="15.75" customHeight="1">
      <c r="A72" s="25"/>
      <c r="B72" s="22"/>
      <c r="C72" s="25"/>
      <c r="D72" s="22"/>
      <c r="E72" s="25"/>
      <c r="F72" s="22"/>
      <c r="G72" s="25"/>
      <c r="H72" s="22"/>
      <c r="I72" s="25"/>
      <c r="J72" s="22"/>
    </row>
    <row r="73" ht="15.75" customHeight="1">
      <c r="A73" s="25"/>
      <c r="B73" s="22"/>
      <c r="C73" s="25"/>
      <c r="D73" s="22"/>
      <c r="E73" s="25"/>
      <c r="F73" s="22"/>
      <c r="G73" s="25"/>
      <c r="H73" s="22"/>
      <c r="I73" s="25"/>
      <c r="J73" s="22"/>
    </row>
    <row r="74" ht="15.75" customHeight="1">
      <c r="A74" s="25"/>
      <c r="B74" s="22"/>
      <c r="C74" s="25"/>
      <c r="D74" s="22"/>
      <c r="E74" s="25"/>
      <c r="F74" s="22"/>
      <c r="G74" s="25"/>
      <c r="H74" s="22"/>
      <c r="I74" s="25"/>
      <c r="J74" s="22"/>
    </row>
    <row r="75" ht="15.75" customHeight="1">
      <c r="A75" s="25"/>
      <c r="B75" s="22"/>
      <c r="C75" s="25"/>
      <c r="D75" s="22"/>
      <c r="E75" s="25"/>
      <c r="F75" s="22"/>
      <c r="G75" s="25"/>
      <c r="H75" s="22"/>
      <c r="I75" s="25"/>
      <c r="J75" s="22"/>
    </row>
    <row r="76" ht="15.75" customHeight="1">
      <c r="A76" s="25"/>
      <c r="B76" s="22"/>
      <c r="C76" s="25"/>
      <c r="D76" s="22"/>
      <c r="E76" s="25"/>
      <c r="F76" s="22"/>
      <c r="G76" s="25"/>
      <c r="H76" s="22"/>
      <c r="I76" s="25"/>
      <c r="J76" s="22"/>
    </row>
    <row r="77" ht="15.75" customHeight="1">
      <c r="A77" s="25"/>
      <c r="B77" s="22"/>
      <c r="C77" s="25"/>
      <c r="D77" s="22"/>
      <c r="E77" s="25"/>
      <c r="F77" s="22"/>
      <c r="G77" s="25"/>
      <c r="H77" s="22"/>
      <c r="I77" s="25"/>
      <c r="J77" s="22"/>
    </row>
    <row r="78" ht="15.75" customHeight="1">
      <c r="A78" s="25"/>
      <c r="B78" s="22"/>
      <c r="C78" s="25"/>
      <c r="D78" s="22"/>
      <c r="E78" s="25"/>
      <c r="F78" s="22"/>
      <c r="G78" s="25"/>
      <c r="H78" s="22"/>
      <c r="I78" s="25"/>
      <c r="J78" s="22"/>
    </row>
    <row r="79" ht="15.75" customHeight="1">
      <c r="A79" s="25"/>
      <c r="B79" s="22"/>
      <c r="C79" s="25"/>
      <c r="D79" s="22"/>
      <c r="E79" s="25"/>
      <c r="F79" s="22"/>
      <c r="G79" s="25"/>
      <c r="H79" s="22"/>
      <c r="I79" s="25"/>
      <c r="J79" s="22"/>
    </row>
    <row r="80" ht="15.75" customHeight="1">
      <c r="A80" s="25"/>
      <c r="B80" s="22"/>
      <c r="C80" s="25"/>
      <c r="D80" s="22"/>
      <c r="E80" s="25"/>
      <c r="F80" s="22"/>
      <c r="G80" s="25"/>
      <c r="H80" s="22"/>
      <c r="I80" s="25"/>
      <c r="J80" s="22"/>
    </row>
    <row r="81" ht="15.75" customHeight="1">
      <c r="A81" s="25"/>
      <c r="B81" s="22"/>
      <c r="C81" s="25"/>
      <c r="D81" s="22"/>
      <c r="E81" s="25"/>
      <c r="F81" s="22"/>
      <c r="G81" s="25"/>
      <c r="H81" s="22"/>
      <c r="I81" s="25"/>
      <c r="J81" s="22"/>
    </row>
    <row r="82" ht="15.75" customHeight="1">
      <c r="A82" s="25"/>
      <c r="B82" s="22"/>
      <c r="C82" s="25"/>
      <c r="D82" s="22"/>
      <c r="E82" s="25"/>
      <c r="F82" s="22"/>
      <c r="G82" s="25"/>
      <c r="H82" s="22"/>
      <c r="I82" s="25"/>
      <c r="J82" s="22"/>
    </row>
    <row r="83" ht="15.75" customHeight="1">
      <c r="A83" s="25"/>
      <c r="B83" s="22"/>
      <c r="C83" s="25"/>
      <c r="D83" s="22"/>
      <c r="E83" s="25"/>
      <c r="F83" s="22"/>
      <c r="G83" s="25"/>
      <c r="H83" s="22"/>
      <c r="I83" s="25"/>
      <c r="J83" s="22"/>
    </row>
    <row r="84" ht="15.75" customHeight="1">
      <c r="A84" s="25"/>
      <c r="B84" s="22"/>
      <c r="C84" s="25"/>
      <c r="D84" s="22"/>
      <c r="E84" s="25"/>
      <c r="F84" s="22"/>
      <c r="G84" s="25"/>
      <c r="H84" s="22"/>
      <c r="I84" s="25"/>
      <c r="J84" s="22"/>
    </row>
    <row r="85" ht="15.75" customHeight="1">
      <c r="A85" s="25"/>
      <c r="B85" s="22"/>
      <c r="C85" s="25"/>
      <c r="D85" s="22"/>
      <c r="E85" s="25"/>
      <c r="F85" s="22"/>
      <c r="G85" s="25"/>
      <c r="H85" s="22"/>
      <c r="I85" s="25"/>
      <c r="J85" s="22"/>
    </row>
    <row r="86" ht="15.75" customHeight="1">
      <c r="A86" s="25"/>
      <c r="B86" s="22"/>
      <c r="C86" s="25"/>
      <c r="D86" s="22"/>
      <c r="E86" s="25"/>
      <c r="F86" s="22"/>
      <c r="G86" s="25"/>
      <c r="H86" s="22"/>
      <c r="I86" s="25"/>
      <c r="J86" s="22"/>
    </row>
    <row r="87" ht="15.75" customHeight="1">
      <c r="A87" s="25"/>
      <c r="B87" s="22"/>
      <c r="C87" s="25"/>
      <c r="D87" s="22"/>
      <c r="E87" s="25"/>
      <c r="F87" s="22"/>
      <c r="G87" s="25"/>
      <c r="H87" s="22"/>
      <c r="I87" s="25"/>
      <c r="J87" s="22"/>
    </row>
    <row r="88" ht="15.75" customHeight="1">
      <c r="A88" s="25"/>
      <c r="B88" s="22"/>
      <c r="C88" s="25"/>
      <c r="D88" s="22"/>
      <c r="E88" s="25"/>
      <c r="F88" s="22"/>
      <c r="G88" s="25"/>
      <c r="H88" s="22"/>
      <c r="I88" s="25"/>
      <c r="J88" s="22"/>
    </row>
    <row r="89" ht="15.75" customHeight="1">
      <c r="A89" s="25"/>
      <c r="B89" s="22"/>
      <c r="C89" s="25"/>
      <c r="D89" s="22"/>
      <c r="E89" s="25"/>
      <c r="F89" s="22"/>
      <c r="G89" s="25"/>
      <c r="H89" s="22"/>
      <c r="I89" s="25"/>
      <c r="J89" s="22"/>
    </row>
    <row r="90" ht="15.75" customHeight="1">
      <c r="A90" s="25"/>
      <c r="B90" s="22"/>
      <c r="C90" s="25"/>
      <c r="D90" s="22"/>
      <c r="E90" s="25"/>
      <c r="F90" s="22"/>
      <c r="G90" s="25"/>
      <c r="H90" s="22"/>
      <c r="I90" s="25"/>
      <c r="J90" s="22"/>
    </row>
    <row r="91" ht="15.75" customHeight="1">
      <c r="A91" s="25"/>
      <c r="B91" s="22"/>
      <c r="C91" s="25"/>
      <c r="D91" s="22"/>
      <c r="E91" s="25"/>
      <c r="F91" s="22"/>
      <c r="G91" s="25"/>
      <c r="H91" s="22"/>
      <c r="I91" s="25"/>
      <c r="J91" s="22"/>
    </row>
    <row r="92" ht="15.75" customHeight="1">
      <c r="A92" s="25"/>
      <c r="B92" s="22"/>
      <c r="C92" s="25"/>
      <c r="D92" s="22"/>
      <c r="E92" s="25"/>
      <c r="F92" s="22"/>
      <c r="G92" s="25"/>
      <c r="H92" s="22"/>
      <c r="I92" s="25"/>
      <c r="J92" s="22"/>
    </row>
    <row r="93" ht="15.75" customHeight="1">
      <c r="A93" s="25"/>
      <c r="B93" s="22"/>
      <c r="C93" s="25"/>
      <c r="D93" s="22"/>
      <c r="E93" s="25"/>
      <c r="F93" s="22"/>
      <c r="G93" s="25"/>
      <c r="H93" s="22"/>
      <c r="I93" s="25"/>
      <c r="J93" s="22"/>
    </row>
    <row r="94" ht="15.75" customHeight="1">
      <c r="A94" s="25"/>
      <c r="B94" s="22"/>
      <c r="C94" s="25"/>
      <c r="D94" s="22"/>
      <c r="E94" s="25"/>
      <c r="F94" s="22"/>
      <c r="G94" s="25"/>
      <c r="H94" s="22"/>
      <c r="I94" s="25"/>
      <c r="J94" s="22"/>
    </row>
    <row r="95" ht="15.75" customHeight="1">
      <c r="A95" s="25"/>
      <c r="B95" s="22"/>
      <c r="C95" s="25"/>
      <c r="D95" s="22"/>
      <c r="E95" s="25"/>
      <c r="F95" s="22"/>
      <c r="G95" s="25"/>
      <c r="H95" s="22"/>
      <c r="I95" s="25"/>
      <c r="J95" s="22"/>
    </row>
    <row r="96" ht="15.75" customHeight="1">
      <c r="A96" s="25"/>
      <c r="B96" s="22"/>
      <c r="C96" s="25"/>
      <c r="D96" s="22"/>
      <c r="E96" s="25"/>
      <c r="F96" s="22"/>
      <c r="G96" s="25"/>
      <c r="H96" s="22"/>
      <c r="I96" s="25"/>
      <c r="J96" s="22"/>
    </row>
    <row r="97" ht="15.75" customHeight="1">
      <c r="A97" s="25"/>
      <c r="B97" s="22"/>
      <c r="C97" s="25"/>
      <c r="D97" s="22"/>
      <c r="E97" s="25"/>
      <c r="F97" s="22"/>
      <c r="G97" s="25"/>
      <c r="H97" s="22"/>
      <c r="I97" s="25"/>
      <c r="J97" s="22"/>
    </row>
    <row r="98" ht="15.75" customHeight="1">
      <c r="A98" s="25"/>
      <c r="B98" s="22"/>
      <c r="C98" s="25"/>
      <c r="D98" s="22"/>
      <c r="E98" s="25"/>
      <c r="F98" s="22"/>
      <c r="G98" s="25"/>
      <c r="H98" s="22"/>
      <c r="I98" s="25"/>
      <c r="J98" s="22"/>
    </row>
    <row r="99" ht="15.75" customHeight="1">
      <c r="A99" s="25"/>
      <c r="B99" s="22"/>
      <c r="C99" s="25"/>
      <c r="D99" s="22"/>
      <c r="E99" s="25"/>
      <c r="F99" s="22"/>
      <c r="G99" s="25"/>
      <c r="H99" s="22"/>
      <c r="I99" s="25"/>
      <c r="J99" s="22"/>
    </row>
    <row r="100" ht="15.75" customHeight="1">
      <c r="A100" s="25"/>
      <c r="B100" s="22"/>
      <c r="C100" s="25"/>
      <c r="D100" s="22"/>
      <c r="E100" s="25"/>
      <c r="F100" s="22"/>
      <c r="G100" s="25"/>
      <c r="H100" s="22"/>
      <c r="I100" s="25"/>
      <c r="J100" s="22"/>
    </row>
    <row r="101" ht="15.75" customHeight="1">
      <c r="A101" s="25"/>
      <c r="B101" s="22"/>
      <c r="C101" s="25"/>
      <c r="D101" s="22"/>
      <c r="E101" s="25"/>
      <c r="F101" s="22"/>
      <c r="G101" s="25"/>
      <c r="H101" s="22"/>
      <c r="I101" s="25"/>
      <c r="J101" s="22"/>
    </row>
    <row r="102" ht="15.75" customHeight="1">
      <c r="A102" s="25"/>
      <c r="B102" s="22"/>
      <c r="C102" s="25"/>
      <c r="D102" s="22"/>
      <c r="E102" s="25"/>
      <c r="F102" s="22"/>
      <c r="G102" s="25"/>
      <c r="H102" s="22"/>
      <c r="I102" s="25"/>
      <c r="J102" s="22"/>
    </row>
    <row r="103" ht="15.75" customHeight="1">
      <c r="A103" s="25"/>
      <c r="B103" s="22"/>
      <c r="C103" s="25"/>
      <c r="D103" s="22"/>
      <c r="E103" s="25"/>
      <c r="F103" s="22"/>
      <c r="G103" s="25"/>
      <c r="H103" s="22"/>
      <c r="I103" s="25"/>
      <c r="J103" s="22"/>
    </row>
    <row r="104" ht="15.75" customHeight="1">
      <c r="A104" s="25"/>
      <c r="B104" s="22"/>
      <c r="C104" s="25"/>
      <c r="D104" s="22"/>
      <c r="E104" s="25"/>
      <c r="F104" s="22"/>
      <c r="G104" s="25"/>
      <c r="H104" s="22"/>
      <c r="I104" s="25"/>
      <c r="J104" s="22"/>
    </row>
    <row r="105" ht="15.75" customHeight="1">
      <c r="A105" s="25"/>
      <c r="B105" s="22"/>
      <c r="C105" s="25"/>
      <c r="D105" s="22"/>
      <c r="E105" s="25"/>
      <c r="F105" s="22"/>
      <c r="G105" s="25"/>
      <c r="H105" s="22"/>
      <c r="I105" s="25"/>
      <c r="J105" s="22"/>
    </row>
    <row r="106" ht="15.75" customHeight="1">
      <c r="A106" s="25"/>
      <c r="B106" s="22"/>
      <c r="C106" s="25"/>
      <c r="D106" s="22"/>
      <c r="E106" s="25"/>
      <c r="F106" s="22"/>
      <c r="G106" s="25"/>
      <c r="H106" s="22"/>
      <c r="I106" s="25"/>
      <c r="J106" s="22"/>
    </row>
    <row r="107" ht="15.75" customHeight="1">
      <c r="A107" s="25"/>
      <c r="B107" s="22"/>
      <c r="C107" s="25"/>
      <c r="D107" s="22"/>
      <c r="E107" s="25"/>
      <c r="F107" s="22"/>
      <c r="G107" s="25"/>
      <c r="H107" s="22"/>
      <c r="I107" s="25"/>
      <c r="J107" s="22"/>
    </row>
    <row r="108" ht="15.75" customHeight="1">
      <c r="A108" s="25"/>
      <c r="B108" s="22"/>
      <c r="C108" s="25"/>
      <c r="D108" s="22"/>
      <c r="E108" s="25"/>
      <c r="F108" s="22"/>
      <c r="G108" s="25"/>
      <c r="H108" s="22"/>
      <c r="I108" s="25"/>
      <c r="J108" s="22"/>
    </row>
    <row r="109" ht="15.75" customHeight="1">
      <c r="A109" s="25"/>
      <c r="B109" s="22"/>
      <c r="C109" s="25"/>
      <c r="D109" s="22"/>
      <c r="E109" s="25"/>
      <c r="F109" s="22"/>
      <c r="G109" s="25"/>
      <c r="H109" s="22"/>
      <c r="I109" s="25"/>
      <c r="J109" s="22"/>
    </row>
    <row r="110" ht="15.75" customHeight="1">
      <c r="A110" s="25"/>
      <c r="B110" s="22"/>
      <c r="C110" s="25"/>
      <c r="D110" s="22"/>
      <c r="E110" s="25"/>
      <c r="F110" s="22"/>
      <c r="G110" s="25"/>
      <c r="H110" s="22"/>
      <c r="I110" s="25"/>
      <c r="J110" s="22"/>
    </row>
    <row r="111" ht="15.75" customHeight="1">
      <c r="A111" s="25"/>
      <c r="B111" s="22"/>
      <c r="C111" s="25"/>
      <c r="D111" s="22"/>
      <c r="E111" s="25"/>
      <c r="F111" s="22"/>
      <c r="G111" s="25"/>
      <c r="H111" s="22"/>
      <c r="I111" s="25"/>
      <c r="J111" s="22"/>
    </row>
    <row r="112" ht="15.75" customHeight="1">
      <c r="A112" s="25"/>
      <c r="B112" s="22"/>
      <c r="C112" s="25"/>
      <c r="D112" s="22"/>
      <c r="E112" s="25"/>
      <c r="F112" s="22"/>
      <c r="G112" s="25"/>
      <c r="H112" s="22"/>
      <c r="I112" s="25"/>
      <c r="J112" s="22"/>
    </row>
    <row r="113" ht="15.75" customHeight="1">
      <c r="A113" s="25"/>
      <c r="B113" s="22"/>
      <c r="C113" s="25"/>
      <c r="D113" s="22"/>
      <c r="E113" s="25"/>
      <c r="F113" s="22"/>
      <c r="G113" s="25"/>
      <c r="H113" s="22"/>
      <c r="I113" s="25"/>
      <c r="J113" s="22"/>
    </row>
    <row r="114" ht="15.75" customHeight="1">
      <c r="A114" s="25"/>
      <c r="B114" s="22"/>
      <c r="C114" s="25"/>
      <c r="D114" s="22"/>
      <c r="E114" s="25"/>
      <c r="F114" s="22"/>
      <c r="G114" s="25"/>
      <c r="H114" s="22"/>
      <c r="I114" s="25"/>
      <c r="J114" s="22"/>
    </row>
    <row r="115" ht="15.75" customHeight="1">
      <c r="A115" s="25"/>
      <c r="B115" s="22"/>
      <c r="C115" s="25"/>
      <c r="D115" s="22"/>
      <c r="E115" s="25"/>
      <c r="F115" s="22"/>
      <c r="G115" s="25"/>
      <c r="H115" s="22"/>
      <c r="I115" s="25"/>
      <c r="J115" s="22"/>
    </row>
    <row r="116" ht="15.75" customHeight="1">
      <c r="A116" s="25"/>
      <c r="B116" s="22"/>
      <c r="C116" s="25"/>
      <c r="D116" s="22"/>
      <c r="E116" s="25"/>
      <c r="F116" s="22"/>
      <c r="G116" s="25"/>
      <c r="H116" s="22"/>
      <c r="I116" s="25"/>
      <c r="J116" s="22"/>
    </row>
    <row r="117" ht="15.75" customHeight="1">
      <c r="A117" s="25"/>
      <c r="B117" s="22"/>
      <c r="C117" s="25"/>
      <c r="D117" s="22"/>
      <c r="E117" s="25"/>
      <c r="F117" s="22"/>
      <c r="G117" s="25"/>
      <c r="H117" s="22"/>
      <c r="I117" s="25"/>
      <c r="J117" s="22"/>
    </row>
    <row r="118" ht="15.75" customHeight="1">
      <c r="A118" s="25"/>
      <c r="B118" s="22"/>
      <c r="C118" s="25"/>
      <c r="D118" s="22"/>
      <c r="E118" s="25"/>
      <c r="F118" s="22"/>
      <c r="G118" s="25"/>
      <c r="H118" s="22"/>
      <c r="I118" s="25"/>
      <c r="J118" s="22"/>
    </row>
    <row r="119" ht="15.75" customHeight="1">
      <c r="A119" s="25"/>
      <c r="B119" s="22"/>
      <c r="C119" s="25"/>
      <c r="D119" s="22"/>
      <c r="E119" s="25"/>
      <c r="F119" s="22"/>
      <c r="G119" s="25"/>
      <c r="H119" s="22"/>
      <c r="I119" s="25"/>
      <c r="J119" s="22"/>
    </row>
    <row r="120" ht="15.75" customHeight="1">
      <c r="A120" s="25"/>
      <c r="B120" s="22"/>
      <c r="C120" s="25"/>
      <c r="D120" s="22"/>
      <c r="E120" s="25"/>
      <c r="F120" s="22"/>
      <c r="G120" s="25"/>
      <c r="H120" s="22"/>
      <c r="I120" s="25"/>
      <c r="J120" s="22"/>
    </row>
    <row r="121" ht="15.75" customHeight="1">
      <c r="A121" s="25"/>
      <c r="B121" s="22"/>
      <c r="C121" s="25"/>
      <c r="D121" s="22"/>
      <c r="E121" s="25"/>
      <c r="F121" s="22"/>
      <c r="G121" s="25"/>
      <c r="H121" s="22"/>
      <c r="I121" s="25"/>
      <c r="J121" s="22"/>
    </row>
    <row r="122" ht="15.75" customHeight="1">
      <c r="A122" s="25"/>
      <c r="B122" s="22"/>
      <c r="C122" s="25"/>
      <c r="D122" s="22"/>
      <c r="E122" s="25"/>
      <c r="F122" s="22"/>
      <c r="G122" s="25"/>
      <c r="H122" s="22"/>
      <c r="I122" s="25"/>
      <c r="J122" s="22"/>
    </row>
    <row r="123" ht="15.75" customHeight="1">
      <c r="A123" s="25"/>
      <c r="B123" s="22"/>
      <c r="C123" s="25"/>
      <c r="D123" s="22"/>
      <c r="E123" s="25"/>
      <c r="F123" s="22"/>
      <c r="G123" s="25"/>
      <c r="H123" s="22"/>
      <c r="I123" s="25"/>
      <c r="J123" s="22"/>
    </row>
    <row r="124" ht="15.75" customHeight="1">
      <c r="A124" s="25"/>
      <c r="B124" s="22"/>
      <c r="C124" s="25"/>
      <c r="D124" s="22"/>
      <c r="E124" s="25"/>
      <c r="F124" s="22"/>
      <c r="G124" s="25"/>
      <c r="H124" s="22"/>
      <c r="I124" s="25"/>
      <c r="J124" s="22"/>
    </row>
    <row r="125" ht="15.75" customHeight="1">
      <c r="A125" s="25"/>
      <c r="B125" s="22"/>
      <c r="C125" s="25"/>
      <c r="D125" s="22"/>
      <c r="E125" s="25"/>
      <c r="F125" s="22"/>
      <c r="G125" s="25"/>
      <c r="H125" s="22"/>
      <c r="I125" s="25"/>
      <c r="J125" s="22"/>
    </row>
    <row r="126" ht="15.75" customHeight="1">
      <c r="A126" s="25"/>
      <c r="B126" s="22"/>
      <c r="C126" s="25"/>
      <c r="D126" s="22"/>
      <c r="E126" s="25"/>
      <c r="F126" s="22"/>
      <c r="G126" s="25"/>
      <c r="H126" s="22"/>
      <c r="I126" s="25"/>
      <c r="J126" s="22"/>
    </row>
    <row r="127" ht="15.75" customHeight="1">
      <c r="A127" s="25"/>
      <c r="B127" s="22"/>
      <c r="C127" s="25"/>
      <c r="D127" s="22"/>
      <c r="E127" s="25"/>
      <c r="F127" s="22"/>
      <c r="G127" s="25"/>
      <c r="H127" s="22"/>
      <c r="I127" s="25"/>
      <c r="J127" s="22"/>
    </row>
    <row r="128" ht="15.75" customHeight="1">
      <c r="A128" s="25"/>
      <c r="B128" s="22"/>
      <c r="C128" s="25"/>
      <c r="D128" s="22"/>
      <c r="E128" s="25"/>
      <c r="F128" s="22"/>
      <c r="G128" s="25"/>
      <c r="H128" s="22"/>
      <c r="I128" s="25"/>
      <c r="J128" s="22"/>
    </row>
    <row r="129" ht="15.75" customHeight="1">
      <c r="A129" s="25"/>
      <c r="B129" s="22"/>
      <c r="C129" s="25"/>
      <c r="D129" s="22"/>
      <c r="E129" s="25"/>
      <c r="F129" s="22"/>
      <c r="G129" s="25"/>
      <c r="H129" s="22"/>
      <c r="I129" s="25"/>
      <c r="J129" s="22"/>
    </row>
    <row r="130" ht="15.75" customHeight="1">
      <c r="A130" s="25"/>
      <c r="B130" s="22"/>
      <c r="C130" s="25"/>
      <c r="D130" s="22"/>
      <c r="E130" s="25"/>
      <c r="F130" s="22"/>
      <c r="G130" s="25"/>
      <c r="H130" s="22"/>
      <c r="I130" s="25"/>
      <c r="J130" s="22"/>
    </row>
    <row r="131" ht="15.75" customHeight="1">
      <c r="A131" s="25"/>
      <c r="B131" s="22"/>
      <c r="C131" s="25"/>
      <c r="D131" s="22"/>
      <c r="E131" s="25"/>
      <c r="F131" s="22"/>
      <c r="G131" s="25"/>
      <c r="H131" s="22"/>
      <c r="I131" s="25"/>
      <c r="J131" s="22"/>
    </row>
    <row r="132" ht="15.75" customHeight="1">
      <c r="A132" s="25"/>
      <c r="B132" s="22"/>
      <c r="C132" s="25"/>
      <c r="D132" s="22"/>
      <c r="E132" s="25"/>
      <c r="F132" s="22"/>
      <c r="G132" s="25"/>
      <c r="H132" s="22"/>
      <c r="I132" s="25"/>
      <c r="J132" s="22"/>
    </row>
    <row r="133" ht="15.75" customHeight="1">
      <c r="A133" s="25"/>
      <c r="B133" s="22"/>
      <c r="C133" s="25"/>
      <c r="D133" s="22"/>
      <c r="E133" s="25"/>
      <c r="F133" s="22"/>
      <c r="G133" s="25"/>
      <c r="H133" s="22"/>
      <c r="I133" s="25"/>
      <c r="J133" s="22"/>
    </row>
    <row r="134" ht="15.75" customHeight="1">
      <c r="A134" s="25"/>
      <c r="B134" s="22"/>
      <c r="C134" s="25"/>
      <c r="D134" s="22"/>
      <c r="E134" s="25"/>
      <c r="F134" s="22"/>
      <c r="G134" s="25"/>
      <c r="H134" s="22"/>
      <c r="I134" s="25"/>
      <c r="J134" s="22"/>
    </row>
    <row r="135" ht="15.75" customHeight="1">
      <c r="A135" s="25"/>
      <c r="B135" s="22"/>
      <c r="C135" s="25"/>
      <c r="D135" s="22"/>
      <c r="E135" s="25"/>
      <c r="F135" s="22"/>
      <c r="G135" s="25"/>
      <c r="H135" s="22"/>
      <c r="I135" s="25"/>
      <c r="J135" s="22"/>
    </row>
    <row r="136" ht="15.75" customHeight="1">
      <c r="A136" s="25"/>
      <c r="B136" s="22"/>
      <c r="C136" s="25"/>
      <c r="D136" s="22"/>
      <c r="E136" s="25"/>
      <c r="F136" s="22"/>
      <c r="G136" s="25"/>
      <c r="H136" s="22"/>
      <c r="I136" s="25"/>
      <c r="J136" s="22"/>
    </row>
    <row r="137" ht="15.75" customHeight="1">
      <c r="A137" s="25"/>
      <c r="B137" s="22"/>
      <c r="C137" s="25"/>
      <c r="D137" s="22"/>
      <c r="E137" s="25"/>
      <c r="F137" s="22"/>
      <c r="G137" s="25"/>
      <c r="H137" s="22"/>
      <c r="I137" s="25"/>
      <c r="J137" s="22"/>
    </row>
    <row r="138" ht="15.75" customHeight="1">
      <c r="A138" s="25"/>
      <c r="B138" s="22"/>
      <c r="C138" s="25"/>
      <c r="D138" s="22"/>
      <c r="E138" s="25"/>
      <c r="F138" s="22"/>
      <c r="G138" s="25"/>
      <c r="H138" s="22"/>
      <c r="I138" s="25"/>
      <c r="J138" s="22"/>
    </row>
    <row r="139" ht="15.75" customHeight="1">
      <c r="A139" s="25"/>
      <c r="B139" s="22"/>
      <c r="C139" s="25"/>
      <c r="D139" s="22"/>
      <c r="E139" s="25"/>
      <c r="F139" s="22"/>
      <c r="G139" s="25"/>
      <c r="H139" s="22"/>
      <c r="I139" s="25"/>
      <c r="J139" s="22"/>
    </row>
    <row r="140" ht="15.75" customHeight="1">
      <c r="A140" s="25"/>
      <c r="B140" s="22"/>
      <c r="C140" s="25"/>
      <c r="D140" s="22"/>
      <c r="E140" s="25"/>
      <c r="F140" s="22"/>
      <c r="G140" s="25"/>
      <c r="H140" s="22"/>
      <c r="I140" s="25"/>
      <c r="J140" s="22"/>
    </row>
    <row r="141" ht="15.75" customHeight="1">
      <c r="A141" s="25"/>
      <c r="B141" s="22"/>
      <c r="C141" s="25"/>
      <c r="D141" s="22"/>
      <c r="E141" s="25"/>
      <c r="F141" s="22"/>
      <c r="G141" s="25"/>
      <c r="H141" s="22"/>
      <c r="I141" s="25"/>
      <c r="J141" s="22"/>
    </row>
    <row r="142" ht="15.75" customHeight="1">
      <c r="A142" s="25"/>
      <c r="B142" s="22"/>
      <c r="C142" s="25"/>
      <c r="D142" s="22"/>
      <c r="E142" s="25"/>
      <c r="F142" s="22"/>
      <c r="G142" s="25"/>
      <c r="H142" s="22"/>
      <c r="I142" s="25"/>
      <c r="J142" s="22"/>
    </row>
    <row r="143" ht="15.75" customHeight="1">
      <c r="A143" s="25"/>
      <c r="B143" s="22"/>
      <c r="C143" s="25"/>
      <c r="D143" s="22"/>
      <c r="E143" s="25"/>
      <c r="F143" s="22"/>
      <c r="G143" s="25"/>
      <c r="H143" s="22"/>
      <c r="I143" s="25"/>
      <c r="J143" s="22"/>
    </row>
    <row r="144" ht="15.75" customHeight="1">
      <c r="A144" s="25"/>
      <c r="B144" s="22"/>
      <c r="C144" s="25"/>
      <c r="D144" s="22"/>
      <c r="E144" s="25"/>
      <c r="F144" s="22"/>
      <c r="G144" s="25"/>
      <c r="H144" s="22"/>
      <c r="I144" s="25"/>
      <c r="J144" s="22"/>
    </row>
    <row r="145" ht="15.75" customHeight="1">
      <c r="A145" s="25"/>
      <c r="B145" s="22"/>
      <c r="C145" s="25"/>
      <c r="D145" s="22"/>
      <c r="E145" s="25"/>
      <c r="F145" s="22"/>
      <c r="G145" s="25"/>
      <c r="H145" s="22"/>
      <c r="I145" s="25"/>
      <c r="J145" s="22"/>
    </row>
    <row r="146" ht="15.75" customHeight="1">
      <c r="A146" s="25"/>
      <c r="B146" s="22"/>
      <c r="C146" s="25"/>
      <c r="D146" s="22"/>
      <c r="E146" s="25"/>
      <c r="F146" s="22"/>
      <c r="G146" s="25"/>
      <c r="H146" s="22"/>
      <c r="I146" s="25"/>
      <c r="J146" s="22"/>
    </row>
    <row r="147" ht="15.75" customHeight="1">
      <c r="A147" s="25"/>
      <c r="B147" s="22"/>
      <c r="C147" s="25"/>
      <c r="D147" s="22"/>
      <c r="E147" s="25"/>
      <c r="F147" s="22"/>
      <c r="G147" s="25"/>
      <c r="H147" s="22"/>
      <c r="I147" s="25"/>
      <c r="J147" s="22"/>
    </row>
    <row r="148" ht="15.75" customHeight="1">
      <c r="A148" s="25"/>
      <c r="B148" s="22"/>
      <c r="C148" s="25"/>
      <c r="D148" s="22"/>
      <c r="E148" s="25"/>
      <c r="F148" s="22"/>
      <c r="G148" s="25"/>
      <c r="H148" s="22"/>
      <c r="I148" s="25"/>
      <c r="J148" s="22"/>
    </row>
    <row r="149" ht="15.75" customHeight="1">
      <c r="A149" s="25"/>
      <c r="B149" s="22"/>
      <c r="C149" s="25"/>
      <c r="D149" s="22"/>
      <c r="E149" s="25"/>
      <c r="F149" s="22"/>
      <c r="G149" s="25"/>
      <c r="H149" s="22"/>
      <c r="I149" s="25"/>
      <c r="J149" s="22"/>
    </row>
    <row r="150" ht="15.75" customHeight="1">
      <c r="A150" s="25"/>
      <c r="B150" s="22"/>
      <c r="C150" s="25"/>
      <c r="D150" s="22"/>
      <c r="E150" s="25"/>
      <c r="F150" s="22"/>
      <c r="G150" s="25"/>
      <c r="H150" s="22"/>
      <c r="I150" s="25"/>
      <c r="J150" s="22"/>
    </row>
    <row r="151" ht="15.75" customHeight="1">
      <c r="A151" s="25"/>
      <c r="B151" s="22"/>
      <c r="C151" s="25"/>
      <c r="D151" s="22"/>
      <c r="E151" s="25"/>
      <c r="F151" s="22"/>
      <c r="G151" s="25"/>
      <c r="H151" s="22"/>
      <c r="I151" s="25"/>
      <c r="J151" s="22"/>
    </row>
    <row r="152" ht="15.75" customHeight="1">
      <c r="A152" s="25"/>
      <c r="B152" s="22"/>
      <c r="C152" s="25"/>
      <c r="D152" s="22"/>
      <c r="E152" s="25"/>
      <c r="F152" s="22"/>
      <c r="G152" s="25"/>
      <c r="H152" s="22"/>
      <c r="I152" s="25"/>
      <c r="J152" s="22"/>
    </row>
    <row r="153" ht="15.75" customHeight="1">
      <c r="A153" s="25"/>
      <c r="B153" s="22"/>
      <c r="C153" s="25"/>
      <c r="D153" s="22"/>
      <c r="E153" s="25"/>
      <c r="F153" s="22"/>
      <c r="G153" s="25"/>
      <c r="H153" s="22"/>
      <c r="I153" s="25"/>
      <c r="J153" s="22"/>
    </row>
    <row r="154" ht="15.75" customHeight="1">
      <c r="A154" s="25"/>
      <c r="B154" s="22"/>
      <c r="C154" s="25"/>
      <c r="D154" s="22"/>
      <c r="E154" s="25"/>
      <c r="F154" s="22"/>
      <c r="G154" s="25"/>
      <c r="H154" s="22"/>
      <c r="I154" s="25"/>
      <c r="J154" s="22"/>
    </row>
    <row r="155" ht="15.75" customHeight="1">
      <c r="A155" s="25"/>
      <c r="B155" s="22"/>
      <c r="C155" s="25"/>
      <c r="D155" s="22"/>
      <c r="E155" s="25"/>
      <c r="F155" s="22"/>
      <c r="G155" s="25"/>
      <c r="H155" s="22"/>
      <c r="I155" s="25"/>
      <c r="J155" s="22"/>
    </row>
    <row r="156" ht="15.75" customHeight="1">
      <c r="A156" s="25"/>
      <c r="B156" s="22"/>
      <c r="C156" s="25"/>
      <c r="D156" s="22"/>
      <c r="E156" s="25"/>
      <c r="F156" s="22"/>
      <c r="G156" s="25"/>
      <c r="H156" s="22"/>
      <c r="I156" s="25"/>
      <c r="J156" s="22"/>
    </row>
    <row r="157" ht="15.75" customHeight="1">
      <c r="A157" s="25"/>
      <c r="B157" s="22"/>
      <c r="C157" s="25"/>
      <c r="D157" s="22"/>
      <c r="E157" s="25"/>
      <c r="F157" s="22"/>
      <c r="G157" s="25"/>
      <c r="H157" s="22"/>
      <c r="I157" s="25"/>
      <c r="J157" s="22"/>
    </row>
    <row r="158" ht="15.75" customHeight="1">
      <c r="A158" s="25"/>
      <c r="B158" s="22"/>
      <c r="C158" s="25"/>
      <c r="D158" s="22"/>
      <c r="E158" s="25"/>
      <c r="F158" s="22"/>
      <c r="G158" s="25"/>
      <c r="H158" s="22"/>
      <c r="I158" s="25"/>
      <c r="J158" s="22"/>
    </row>
    <row r="159" ht="15.75" customHeight="1">
      <c r="A159" s="25"/>
      <c r="B159" s="22"/>
      <c r="C159" s="25"/>
      <c r="D159" s="22"/>
      <c r="E159" s="25"/>
      <c r="F159" s="22"/>
      <c r="G159" s="25"/>
      <c r="H159" s="22"/>
      <c r="I159" s="25"/>
      <c r="J159" s="22"/>
    </row>
    <row r="160" ht="15.75" customHeight="1">
      <c r="A160" s="25"/>
      <c r="B160" s="22"/>
      <c r="C160" s="25"/>
      <c r="D160" s="22"/>
      <c r="E160" s="25"/>
      <c r="F160" s="22"/>
      <c r="G160" s="25"/>
      <c r="H160" s="22"/>
      <c r="I160" s="25"/>
      <c r="J160" s="22"/>
    </row>
    <row r="161" ht="15.75" customHeight="1">
      <c r="A161" s="25"/>
      <c r="B161" s="22"/>
      <c r="C161" s="25"/>
      <c r="D161" s="22"/>
      <c r="E161" s="25"/>
      <c r="F161" s="22"/>
      <c r="G161" s="25"/>
      <c r="H161" s="22"/>
      <c r="I161" s="25"/>
      <c r="J161" s="22"/>
    </row>
    <row r="162" ht="15.75" customHeight="1">
      <c r="A162" s="25"/>
      <c r="B162" s="22"/>
      <c r="C162" s="25"/>
      <c r="D162" s="22"/>
      <c r="E162" s="25"/>
      <c r="F162" s="22"/>
      <c r="G162" s="25"/>
      <c r="H162" s="22"/>
      <c r="I162" s="25"/>
      <c r="J162" s="22"/>
    </row>
    <row r="163" ht="15.75" customHeight="1">
      <c r="A163" s="25"/>
      <c r="B163" s="22"/>
      <c r="C163" s="25"/>
      <c r="D163" s="22"/>
      <c r="E163" s="25"/>
      <c r="F163" s="22"/>
      <c r="G163" s="25"/>
      <c r="H163" s="22"/>
      <c r="I163" s="25"/>
      <c r="J163" s="22"/>
    </row>
    <row r="164" ht="15.75" customHeight="1">
      <c r="A164" s="25"/>
      <c r="B164" s="22"/>
      <c r="C164" s="25"/>
      <c r="D164" s="22"/>
      <c r="E164" s="25"/>
      <c r="F164" s="22"/>
      <c r="G164" s="25"/>
      <c r="H164" s="22"/>
      <c r="I164" s="25"/>
      <c r="J164" s="22"/>
    </row>
    <row r="165" ht="15.75" customHeight="1">
      <c r="A165" s="25"/>
      <c r="B165" s="22"/>
      <c r="C165" s="25"/>
      <c r="D165" s="22"/>
      <c r="E165" s="25"/>
      <c r="F165" s="22"/>
      <c r="G165" s="25"/>
      <c r="H165" s="22"/>
      <c r="I165" s="25"/>
      <c r="J165" s="22"/>
    </row>
    <row r="166" ht="15.75" customHeight="1">
      <c r="A166" s="25"/>
      <c r="B166" s="22"/>
      <c r="C166" s="25"/>
      <c r="D166" s="22"/>
      <c r="E166" s="25"/>
      <c r="F166" s="22"/>
      <c r="G166" s="25"/>
      <c r="H166" s="22"/>
      <c r="I166" s="25"/>
      <c r="J166" s="22"/>
    </row>
    <row r="167" ht="15.75" customHeight="1">
      <c r="A167" s="25"/>
      <c r="B167" s="22"/>
      <c r="C167" s="25"/>
      <c r="D167" s="22"/>
      <c r="E167" s="25"/>
      <c r="F167" s="22"/>
      <c r="G167" s="25"/>
      <c r="H167" s="22"/>
      <c r="I167" s="25"/>
      <c r="J167" s="22"/>
    </row>
    <row r="168" ht="15.75" customHeight="1">
      <c r="A168" s="25"/>
      <c r="B168" s="22"/>
      <c r="C168" s="25"/>
      <c r="D168" s="22"/>
      <c r="E168" s="25"/>
      <c r="F168" s="22"/>
      <c r="G168" s="25"/>
      <c r="H168" s="22"/>
      <c r="I168" s="25"/>
      <c r="J168" s="22"/>
    </row>
    <row r="169" ht="15.75" customHeight="1">
      <c r="A169" s="25"/>
      <c r="B169" s="22"/>
      <c r="C169" s="25"/>
      <c r="D169" s="22"/>
      <c r="E169" s="25"/>
      <c r="F169" s="22"/>
      <c r="G169" s="25"/>
      <c r="H169" s="22"/>
      <c r="I169" s="25"/>
      <c r="J169" s="22"/>
    </row>
    <row r="170" ht="15.75" customHeight="1">
      <c r="A170" s="25"/>
      <c r="B170" s="22"/>
      <c r="C170" s="25"/>
      <c r="D170" s="22"/>
      <c r="E170" s="25"/>
      <c r="F170" s="22"/>
      <c r="G170" s="25"/>
      <c r="H170" s="22"/>
      <c r="I170" s="25"/>
      <c r="J170" s="22"/>
    </row>
    <row r="171" ht="15.75" customHeight="1">
      <c r="A171" s="25"/>
      <c r="B171" s="22"/>
      <c r="C171" s="25"/>
      <c r="D171" s="22"/>
      <c r="E171" s="25"/>
      <c r="F171" s="22"/>
      <c r="G171" s="25"/>
      <c r="H171" s="22"/>
      <c r="I171" s="25"/>
      <c r="J171" s="22"/>
    </row>
    <row r="172" ht="15.75" customHeight="1">
      <c r="A172" s="25"/>
      <c r="B172" s="22"/>
      <c r="C172" s="25"/>
      <c r="D172" s="22"/>
      <c r="E172" s="25"/>
      <c r="F172" s="22"/>
      <c r="G172" s="25"/>
      <c r="H172" s="22"/>
      <c r="I172" s="25"/>
      <c r="J172" s="22"/>
    </row>
    <row r="173" ht="15.75" customHeight="1">
      <c r="A173" s="25"/>
      <c r="B173" s="22"/>
      <c r="C173" s="25"/>
      <c r="D173" s="22"/>
      <c r="E173" s="25"/>
      <c r="F173" s="22"/>
      <c r="G173" s="25"/>
      <c r="H173" s="22"/>
      <c r="I173" s="25"/>
      <c r="J173" s="22"/>
    </row>
    <row r="174" ht="15.75" customHeight="1">
      <c r="A174" s="25"/>
      <c r="B174" s="22"/>
      <c r="C174" s="25"/>
      <c r="D174" s="22"/>
      <c r="E174" s="25"/>
      <c r="F174" s="22"/>
      <c r="G174" s="25"/>
      <c r="H174" s="22"/>
      <c r="I174" s="25"/>
      <c r="J174" s="22"/>
    </row>
    <row r="175" ht="15.75" customHeight="1">
      <c r="A175" s="25"/>
      <c r="B175" s="22"/>
      <c r="C175" s="25"/>
      <c r="D175" s="22"/>
      <c r="E175" s="25"/>
      <c r="F175" s="22"/>
      <c r="G175" s="25"/>
      <c r="H175" s="22"/>
      <c r="I175" s="25"/>
      <c r="J175" s="22"/>
    </row>
    <row r="176" ht="15.75" customHeight="1">
      <c r="A176" s="25"/>
      <c r="B176" s="22"/>
      <c r="C176" s="25"/>
      <c r="D176" s="22"/>
      <c r="E176" s="25"/>
      <c r="F176" s="22"/>
      <c r="G176" s="25"/>
      <c r="H176" s="22"/>
      <c r="I176" s="25"/>
      <c r="J176" s="22"/>
    </row>
    <row r="177" ht="15.75" customHeight="1">
      <c r="A177" s="25"/>
      <c r="B177" s="22"/>
      <c r="C177" s="25"/>
      <c r="D177" s="22"/>
      <c r="E177" s="25"/>
      <c r="F177" s="22"/>
      <c r="G177" s="25"/>
      <c r="H177" s="22"/>
      <c r="I177" s="25"/>
      <c r="J177" s="22"/>
    </row>
    <row r="178" ht="15.75" customHeight="1">
      <c r="A178" s="25"/>
      <c r="B178" s="22"/>
      <c r="C178" s="25"/>
      <c r="D178" s="22"/>
      <c r="E178" s="25"/>
      <c r="F178" s="22"/>
      <c r="G178" s="25"/>
      <c r="H178" s="22"/>
      <c r="I178" s="25"/>
      <c r="J178" s="22"/>
    </row>
    <row r="179" ht="15.75" customHeight="1">
      <c r="A179" s="25"/>
      <c r="B179" s="22"/>
      <c r="C179" s="25"/>
      <c r="D179" s="22"/>
      <c r="E179" s="25"/>
      <c r="F179" s="22"/>
      <c r="G179" s="25"/>
      <c r="H179" s="22"/>
      <c r="I179" s="25"/>
      <c r="J179" s="22"/>
    </row>
    <row r="180" ht="15.75" customHeight="1">
      <c r="A180" s="25"/>
      <c r="B180" s="22"/>
      <c r="C180" s="25"/>
      <c r="D180" s="22"/>
      <c r="E180" s="25"/>
      <c r="F180" s="22"/>
      <c r="G180" s="25"/>
      <c r="H180" s="22"/>
      <c r="I180" s="25"/>
      <c r="J180" s="22"/>
    </row>
    <row r="181" ht="15.75" customHeight="1">
      <c r="A181" s="25"/>
      <c r="B181" s="22"/>
      <c r="C181" s="25"/>
      <c r="D181" s="22"/>
      <c r="E181" s="25"/>
      <c r="F181" s="22"/>
      <c r="G181" s="25"/>
      <c r="H181" s="22"/>
      <c r="I181" s="25"/>
      <c r="J181" s="22"/>
    </row>
    <row r="182" ht="15.75" customHeight="1">
      <c r="A182" s="25"/>
      <c r="B182" s="22"/>
      <c r="C182" s="25"/>
      <c r="D182" s="22"/>
      <c r="E182" s="25"/>
      <c r="F182" s="22"/>
      <c r="G182" s="25"/>
      <c r="H182" s="22"/>
      <c r="I182" s="25"/>
      <c r="J182" s="22"/>
    </row>
    <row r="183" ht="15.75" customHeight="1">
      <c r="A183" s="25"/>
      <c r="B183" s="22"/>
      <c r="C183" s="25"/>
      <c r="D183" s="22"/>
      <c r="E183" s="25"/>
      <c r="F183" s="22"/>
      <c r="G183" s="25"/>
      <c r="H183" s="22"/>
      <c r="I183" s="25"/>
      <c r="J183" s="22"/>
    </row>
    <row r="184" ht="15.75" customHeight="1">
      <c r="A184" s="25"/>
      <c r="B184" s="22"/>
      <c r="C184" s="25"/>
      <c r="D184" s="22"/>
      <c r="E184" s="25"/>
      <c r="F184" s="22"/>
      <c r="G184" s="25"/>
      <c r="H184" s="22"/>
      <c r="I184" s="25"/>
      <c r="J184" s="22"/>
    </row>
    <row r="185" ht="15.75" customHeight="1">
      <c r="A185" s="25"/>
      <c r="B185" s="22"/>
      <c r="C185" s="25"/>
      <c r="D185" s="22"/>
      <c r="E185" s="25"/>
      <c r="F185" s="22"/>
      <c r="G185" s="25"/>
      <c r="H185" s="22"/>
      <c r="I185" s="25"/>
      <c r="J185" s="22"/>
    </row>
    <row r="186" ht="15.75" customHeight="1">
      <c r="A186" s="25"/>
      <c r="B186" s="22"/>
      <c r="C186" s="25"/>
      <c r="D186" s="22"/>
      <c r="E186" s="25"/>
      <c r="F186" s="22"/>
      <c r="G186" s="25"/>
      <c r="H186" s="22"/>
      <c r="I186" s="25"/>
      <c r="J186" s="22"/>
    </row>
    <row r="187" ht="15.75" customHeight="1">
      <c r="A187" s="25"/>
      <c r="B187" s="22"/>
      <c r="C187" s="25"/>
      <c r="D187" s="22"/>
      <c r="E187" s="25"/>
      <c r="F187" s="22"/>
      <c r="G187" s="25"/>
      <c r="H187" s="22"/>
      <c r="I187" s="25"/>
      <c r="J187" s="22"/>
    </row>
    <row r="188" ht="15.75" customHeight="1">
      <c r="A188" s="25"/>
      <c r="B188" s="22"/>
      <c r="C188" s="25"/>
      <c r="D188" s="22"/>
      <c r="E188" s="25"/>
      <c r="F188" s="22"/>
      <c r="G188" s="25"/>
      <c r="H188" s="22"/>
      <c r="I188" s="25"/>
      <c r="J188" s="22"/>
    </row>
    <row r="189" ht="15.75" customHeight="1">
      <c r="A189" s="25"/>
      <c r="B189" s="22"/>
      <c r="C189" s="25"/>
      <c r="D189" s="22"/>
      <c r="E189" s="25"/>
      <c r="F189" s="22"/>
      <c r="G189" s="25"/>
      <c r="H189" s="22"/>
      <c r="I189" s="25"/>
      <c r="J189" s="22"/>
    </row>
    <row r="190" ht="15.75" customHeight="1">
      <c r="A190" s="25"/>
      <c r="B190" s="22"/>
      <c r="C190" s="25"/>
      <c r="D190" s="22"/>
      <c r="E190" s="25"/>
      <c r="F190" s="22"/>
      <c r="G190" s="25"/>
      <c r="H190" s="22"/>
      <c r="I190" s="25"/>
      <c r="J190" s="22"/>
    </row>
    <row r="191" ht="15.75" customHeight="1">
      <c r="A191" s="25"/>
      <c r="B191" s="22"/>
      <c r="C191" s="25"/>
      <c r="D191" s="22"/>
      <c r="E191" s="25"/>
      <c r="F191" s="22"/>
      <c r="G191" s="25"/>
      <c r="H191" s="22"/>
      <c r="I191" s="25"/>
      <c r="J191" s="22"/>
    </row>
    <row r="192" ht="15.75" customHeight="1">
      <c r="A192" s="25"/>
      <c r="B192" s="22"/>
      <c r="C192" s="25"/>
      <c r="D192" s="22"/>
      <c r="E192" s="25"/>
      <c r="F192" s="22"/>
      <c r="G192" s="25"/>
      <c r="H192" s="22"/>
      <c r="I192" s="25"/>
      <c r="J192" s="22"/>
    </row>
    <row r="193" ht="15.75" customHeight="1">
      <c r="A193" s="25"/>
      <c r="B193" s="22"/>
      <c r="C193" s="25"/>
      <c r="D193" s="22"/>
      <c r="E193" s="25"/>
      <c r="F193" s="22"/>
      <c r="G193" s="25"/>
      <c r="H193" s="22"/>
      <c r="I193" s="25"/>
      <c r="J193" s="22"/>
    </row>
    <row r="194" ht="15.75" customHeight="1">
      <c r="A194" s="25"/>
      <c r="B194" s="22"/>
      <c r="C194" s="25"/>
      <c r="D194" s="22"/>
      <c r="E194" s="25"/>
      <c r="F194" s="22"/>
      <c r="G194" s="25"/>
      <c r="H194" s="22"/>
      <c r="I194" s="25"/>
      <c r="J194" s="22"/>
    </row>
    <row r="195" ht="15.75" customHeight="1">
      <c r="A195" s="25"/>
      <c r="B195" s="22"/>
      <c r="C195" s="25"/>
      <c r="D195" s="22"/>
      <c r="E195" s="25"/>
      <c r="F195" s="22"/>
      <c r="G195" s="25"/>
      <c r="H195" s="22"/>
      <c r="I195" s="25"/>
      <c r="J195" s="22"/>
    </row>
    <row r="196" ht="15.75" customHeight="1">
      <c r="A196" s="25"/>
      <c r="B196" s="22"/>
      <c r="C196" s="25"/>
      <c r="D196" s="22"/>
      <c r="E196" s="25"/>
      <c r="F196" s="22"/>
      <c r="G196" s="25"/>
      <c r="H196" s="22"/>
      <c r="I196" s="25"/>
      <c r="J196" s="22"/>
    </row>
    <row r="197" ht="15.75" customHeight="1">
      <c r="A197" s="25"/>
      <c r="B197" s="22"/>
      <c r="C197" s="25"/>
      <c r="D197" s="22"/>
      <c r="E197" s="25"/>
      <c r="F197" s="22"/>
      <c r="G197" s="25"/>
      <c r="H197" s="22"/>
      <c r="I197" s="25"/>
      <c r="J197" s="22"/>
    </row>
    <row r="198" ht="15.75" customHeight="1">
      <c r="A198" s="25"/>
      <c r="B198" s="22"/>
      <c r="C198" s="25"/>
      <c r="D198" s="22"/>
      <c r="E198" s="25"/>
      <c r="F198" s="22"/>
      <c r="G198" s="25"/>
      <c r="H198" s="22"/>
      <c r="I198" s="25"/>
      <c r="J198" s="22"/>
    </row>
    <row r="199" ht="15.75" customHeight="1">
      <c r="A199" s="25"/>
      <c r="B199" s="22"/>
      <c r="C199" s="25"/>
      <c r="D199" s="22"/>
      <c r="E199" s="25"/>
      <c r="F199" s="22"/>
      <c r="G199" s="25"/>
      <c r="H199" s="22"/>
      <c r="I199" s="25"/>
      <c r="J199" s="22"/>
    </row>
    <row r="200" ht="15.75" customHeight="1">
      <c r="A200" s="25"/>
      <c r="B200" s="22"/>
      <c r="C200" s="25"/>
      <c r="D200" s="22"/>
      <c r="E200" s="25"/>
      <c r="F200" s="22"/>
      <c r="G200" s="25"/>
      <c r="H200" s="22"/>
      <c r="I200" s="25"/>
      <c r="J200" s="22"/>
    </row>
    <row r="201" ht="15.75" customHeight="1">
      <c r="A201" s="25"/>
      <c r="B201" s="22"/>
      <c r="C201" s="25"/>
      <c r="D201" s="22"/>
      <c r="E201" s="25"/>
      <c r="F201" s="22"/>
      <c r="G201" s="25"/>
      <c r="H201" s="22"/>
      <c r="I201" s="25"/>
      <c r="J201" s="22"/>
    </row>
    <row r="202" ht="15.75" customHeight="1">
      <c r="A202" s="25"/>
      <c r="B202" s="22"/>
      <c r="C202" s="25"/>
      <c r="D202" s="22"/>
      <c r="E202" s="25"/>
      <c r="F202" s="22"/>
      <c r="G202" s="25"/>
      <c r="H202" s="22"/>
      <c r="I202" s="25"/>
      <c r="J202" s="22"/>
    </row>
    <row r="203" ht="15.75" customHeight="1">
      <c r="A203" s="25"/>
      <c r="B203" s="22"/>
      <c r="C203" s="25"/>
      <c r="D203" s="22"/>
      <c r="E203" s="25"/>
      <c r="F203" s="22"/>
      <c r="G203" s="25"/>
      <c r="H203" s="22"/>
      <c r="I203" s="25"/>
      <c r="J203" s="22"/>
    </row>
    <row r="204" ht="15.75" customHeight="1">
      <c r="A204" s="25"/>
      <c r="B204" s="22"/>
      <c r="C204" s="25"/>
      <c r="D204" s="22"/>
      <c r="E204" s="25"/>
      <c r="F204" s="22"/>
      <c r="G204" s="25"/>
      <c r="H204" s="22"/>
      <c r="I204" s="25"/>
      <c r="J204" s="22"/>
    </row>
    <row r="205" ht="15.75" customHeight="1">
      <c r="A205" s="25"/>
      <c r="B205" s="22"/>
      <c r="C205" s="25"/>
      <c r="D205" s="22"/>
      <c r="E205" s="25"/>
      <c r="F205" s="22"/>
      <c r="G205" s="25"/>
      <c r="H205" s="22"/>
      <c r="I205" s="25"/>
      <c r="J205" s="22"/>
    </row>
    <row r="206" ht="15.75" customHeight="1">
      <c r="A206" s="25"/>
      <c r="B206" s="22"/>
      <c r="C206" s="25"/>
      <c r="D206" s="22"/>
      <c r="E206" s="25"/>
      <c r="F206" s="22"/>
      <c r="G206" s="25"/>
      <c r="H206" s="22"/>
      <c r="I206" s="25"/>
      <c r="J206" s="22"/>
    </row>
    <row r="207" ht="15.75" customHeight="1">
      <c r="A207" s="25"/>
      <c r="B207" s="22"/>
      <c r="C207" s="25"/>
      <c r="D207" s="22"/>
      <c r="E207" s="25"/>
      <c r="F207" s="22"/>
      <c r="G207" s="25"/>
      <c r="H207" s="22"/>
      <c r="I207" s="25"/>
      <c r="J207" s="22"/>
    </row>
    <row r="208" ht="15.75" customHeight="1">
      <c r="A208" s="25"/>
      <c r="B208" s="22"/>
      <c r="C208" s="25"/>
      <c r="D208" s="22"/>
      <c r="E208" s="25"/>
      <c r="F208" s="22"/>
      <c r="G208" s="25"/>
      <c r="H208" s="22"/>
      <c r="I208" s="25"/>
      <c r="J208" s="22"/>
    </row>
    <row r="209" ht="15.75" customHeight="1">
      <c r="A209" s="25"/>
      <c r="B209" s="22"/>
      <c r="C209" s="25"/>
      <c r="D209" s="22"/>
      <c r="E209" s="25"/>
      <c r="F209" s="22"/>
      <c r="G209" s="25"/>
      <c r="H209" s="22"/>
      <c r="I209" s="25"/>
      <c r="J209" s="22"/>
    </row>
    <row r="210" ht="15.75" customHeight="1">
      <c r="A210" s="25"/>
      <c r="B210" s="22"/>
      <c r="C210" s="25"/>
      <c r="D210" s="22"/>
      <c r="E210" s="25"/>
      <c r="F210" s="22"/>
      <c r="G210" s="25"/>
      <c r="H210" s="22"/>
      <c r="I210" s="25"/>
      <c r="J210" s="22"/>
    </row>
    <row r="211" ht="15.75" customHeight="1">
      <c r="A211" s="25"/>
      <c r="B211" s="22"/>
      <c r="C211" s="25"/>
      <c r="D211" s="22"/>
      <c r="E211" s="25"/>
      <c r="F211" s="22"/>
      <c r="G211" s="25"/>
      <c r="H211" s="22"/>
      <c r="I211" s="25"/>
      <c r="J211" s="22"/>
    </row>
    <row r="212" ht="15.75" customHeight="1">
      <c r="A212" s="25"/>
      <c r="B212" s="22"/>
      <c r="C212" s="25"/>
      <c r="D212" s="22"/>
      <c r="E212" s="25"/>
      <c r="F212" s="22"/>
      <c r="G212" s="25"/>
      <c r="H212" s="22"/>
      <c r="I212" s="25"/>
      <c r="J212" s="22"/>
    </row>
    <row r="213" ht="15.75" customHeight="1">
      <c r="A213" s="25"/>
      <c r="B213" s="22"/>
      <c r="C213" s="25"/>
      <c r="D213" s="22"/>
      <c r="E213" s="25"/>
      <c r="F213" s="22"/>
      <c r="G213" s="25"/>
      <c r="H213" s="22"/>
      <c r="I213" s="25"/>
      <c r="J213" s="22"/>
    </row>
    <row r="214" ht="15.75" customHeight="1">
      <c r="A214" s="25"/>
      <c r="B214" s="22"/>
      <c r="C214" s="25"/>
      <c r="D214" s="22"/>
      <c r="E214" s="25"/>
      <c r="F214" s="22"/>
      <c r="G214" s="25"/>
      <c r="H214" s="22"/>
      <c r="I214" s="25"/>
      <c r="J214" s="22"/>
    </row>
    <row r="215" ht="15.75" customHeight="1">
      <c r="A215" s="25"/>
      <c r="B215" s="22"/>
      <c r="C215" s="25"/>
      <c r="D215" s="22"/>
      <c r="E215" s="25"/>
      <c r="F215" s="22"/>
      <c r="G215" s="25"/>
      <c r="H215" s="22"/>
      <c r="I215" s="25"/>
      <c r="J215" s="22"/>
    </row>
    <row r="216" ht="15.75" customHeight="1">
      <c r="A216" s="25"/>
      <c r="B216" s="22"/>
      <c r="C216" s="25"/>
      <c r="D216" s="22"/>
      <c r="E216" s="25"/>
      <c r="F216" s="22"/>
      <c r="G216" s="25"/>
      <c r="H216" s="22"/>
      <c r="I216" s="25"/>
      <c r="J216" s="22"/>
    </row>
    <row r="217" ht="15.75" customHeight="1">
      <c r="A217" s="25"/>
      <c r="B217" s="22"/>
      <c r="C217" s="25"/>
      <c r="D217" s="22"/>
      <c r="E217" s="25"/>
      <c r="F217" s="22"/>
      <c r="G217" s="25"/>
      <c r="H217" s="22"/>
      <c r="I217" s="25"/>
      <c r="J217" s="22"/>
    </row>
    <row r="218" ht="15.75" customHeight="1">
      <c r="A218" s="25"/>
      <c r="B218" s="22"/>
      <c r="C218" s="25"/>
      <c r="D218" s="22"/>
      <c r="E218" s="25"/>
      <c r="F218" s="22"/>
      <c r="G218" s="25"/>
      <c r="H218" s="22"/>
      <c r="I218" s="25"/>
      <c r="J218" s="22"/>
    </row>
    <row r="219" ht="15.75" customHeight="1">
      <c r="A219" s="25"/>
      <c r="B219" s="22"/>
      <c r="C219" s="25"/>
      <c r="D219" s="22"/>
      <c r="E219" s="25"/>
      <c r="F219" s="22"/>
      <c r="G219" s="25"/>
      <c r="H219" s="22"/>
      <c r="I219" s="25"/>
      <c r="J219" s="22"/>
    </row>
    <row r="220" ht="15.75" customHeight="1">
      <c r="A220" s="25"/>
      <c r="B220" s="22"/>
      <c r="C220" s="25"/>
      <c r="D220" s="22"/>
      <c r="E220" s="25"/>
      <c r="F220" s="22"/>
      <c r="G220" s="25"/>
      <c r="H220" s="22"/>
      <c r="I220" s="25"/>
      <c r="J220" s="22"/>
    </row>
    <row r="221" ht="15.75" customHeight="1">
      <c r="A221" s="25"/>
      <c r="B221" s="22"/>
      <c r="C221" s="25"/>
      <c r="D221" s="22"/>
      <c r="E221" s="25"/>
      <c r="F221" s="22"/>
      <c r="G221" s="25"/>
      <c r="H221" s="22"/>
      <c r="I221" s="25"/>
      <c r="J221" s="22"/>
    </row>
    <row r="222" ht="15.75" customHeight="1">
      <c r="A222" s="25"/>
      <c r="B222" s="22"/>
      <c r="C222" s="25"/>
      <c r="D222" s="22"/>
      <c r="E222" s="25"/>
      <c r="F222" s="22"/>
      <c r="G222" s="25"/>
      <c r="H222" s="22"/>
      <c r="I222" s="25"/>
      <c r="J222" s="22"/>
    </row>
    <row r="223" ht="15.75" customHeight="1">
      <c r="A223" s="25"/>
      <c r="B223" s="22"/>
      <c r="C223" s="25"/>
      <c r="D223" s="22"/>
      <c r="E223" s="25"/>
      <c r="F223" s="22"/>
      <c r="G223" s="25"/>
      <c r="H223" s="22"/>
      <c r="I223" s="25"/>
      <c r="J223" s="22"/>
    </row>
    <row r="224" ht="15.75" customHeight="1">
      <c r="A224" s="25"/>
      <c r="B224" s="22"/>
      <c r="C224" s="25"/>
      <c r="D224" s="22"/>
      <c r="E224" s="25"/>
      <c r="F224" s="22"/>
      <c r="G224" s="25"/>
      <c r="H224" s="22"/>
      <c r="I224" s="25"/>
      <c r="J224" s="22"/>
    </row>
    <row r="225" ht="15.75" customHeight="1">
      <c r="A225" s="25"/>
      <c r="B225" s="22"/>
      <c r="C225" s="25"/>
      <c r="D225" s="22"/>
      <c r="E225" s="25"/>
      <c r="F225" s="22"/>
      <c r="G225" s="25"/>
      <c r="H225" s="22"/>
      <c r="I225" s="25"/>
      <c r="J225" s="22"/>
    </row>
    <row r="226" ht="15.75" customHeight="1">
      <c r="A226" s="25"/>
      <c r="B226" s="22"/>
      <c r="C226" s="25"/>
      <c r="D226" s="22"/>
      <c r="E226" s="25"/>
      <c r="F226" s="22"/>
      <c r="G226" s="25"/>
      <c r="H226" s="22"/>
      <c r="I226" s="25"/>
      <c r="J226" s="22"/>
    </row>
    <row r="227" ht="15.75" customHeight="1">
      <c r="A227" s="25"/>
      <c r="B227" s="22"/>
      <c r="C227" s="25"/>
      <c r="D227" s="22"/>
      <c r="E227" s="25"/>
      <c r="F227" s="22"/>
      <c r="G227" s="25"/>
      <c r="H227" s="22"/>
      <c r="I227" s="25"/>
      <c r="J227" s="22"/>
    </row>
    <row r="228" ht="15.75" customHeight="1">
      <c r="A228" s="25"/>
      <c r="B228" s="22"/>
      <c r="C228" s="25"/>
      <c r="D228" s="22"/>
      <c r="E228" s="25"/>
      <c r="F228" s="22"/>
      <c r="G228" s="25"/>
      <c r="H228" s="22"/>
      <c r="I228" s="25"/>
      <c r="J228" s="22"/>
    </row>
    <row r="229" ht="15.75" customHeight="1">
      <c r="A229" s="25"/>
      <c r="B229" s="22"/>
      <c r="C229" s="25"/>
      <c r="D229" s="22"/>
      <c r="E229" s="25"/>
      <c r="F229" s="22"/>
      <c r="G229" s="25"/>
      <c r="H229" s="22"/>
      <c r="I229" s="25"/>
      <c r="J229" s="22"/>
    </row>
    <row r="230" ht="15.75" customHeight="1">
      <c r="A230" s="25"/>
      <c r="B230" s="22"/>
      <c r="C230" s="25"/>
      <c r="D230" s="22"/>
      <c r="E230" s="25"/>
      <c r="F230" s="22"/>
      <c r="G230" s="25"/>
      <c r="H230" s="22"/>
      <c r="I230" s="25"/>
      <c r="J230" s="22"/>
    </row>
    <row r="231" ht="15.75" customHeight="1">
      <c r="A231" s="25"/>
      <c r="B231" s="22"/>
      <c r="C231" s="25"/>
      <c r="D231" s="22"/>
      <c r="E231" s="25"/>
      <c r="F231" s="22"/>
      <c r="G231" s="25"/>
      <c r="H231" s="22"/>
      <c r="I231" s="25"/>
      <c r="J231" s="22"/>
    </row>
    <row r="232" ht="15.75" customHeight="1">
      <c r="A232" s="25"/>
      <c r="B232" s="22"/>
      <c r="C232" s="25"/>
      <c r="D232" s="22"/>
      <c r="E232" s="25"/>
      <c r="F232" s="22"/>
      <c r="G232" s="25"/>
      <c r="H232" s="22"/>
      <c r="I232" s="25"/>
      <c r="J232" s="22"/>
    </row>
    <row r="233" ht="15.75" customHeight="1">
      <c r="A233" s="25"/>
      <c r="B233" s="22"/>
      <c r="C233" s="25"/>
      <c r="D233" s="22"/>
      <c r="E233" s="25"/>
      <c r="F233" s="22"/>
      <c r="G233" s="25"/>
      <c r="H233" s="22"/>
      <c r="I233" s="25"/>
      <c r="J233" s="22"/>
    </row>
    <row r="234" ht="15.75" customHeight="1">
      <c r="A234" s="25"/>
      <c r="B234" s="22"/>
      <c r="C234" s="25"/>
      <c r="D234" s="22"/>
      <c r="E234" s="25"/>
      <c r="F234" s="22"/>
      <c r="G234" s="25"/>
      <c r="H234" s="22"/>
      <c r="I234" s="25"/>
      <c r="J234" s="22"/>
    </row>
    <row r="235" ht="15.75" customHeight="1">
      <c r="A235" s="25"/>
      <c r="B235" s="22"/>
      <c r="C235" s="25"/>
      <c r="D235" s="22"/>
      <c r="E235" s="25"/>
      <c r="F235" s="22"/>
      <c r="G235" s="25"/>
      <c r="H235" s="22"/>
      <c r="I235" s="25"/>
      <c r="J235" s="22"/>
    </row>
    <row r="236" ht="15.75" customHeight="1">
      <c r="A236" s="25"/>
      <c r="B236" s="22"/>
      <c r="C236" s="25"/>
      <c r="D236" s="22"/>
      <c r="E236" s="25"/>
      <c r="F236" s="22"/>
      <c r="G236" s="25"/>
      <c r="H236" s="22"/>
      <c r="I236" s="25"/>
      <c r="J236" s="22"/>
    </row>
    <row r="237" ht="15.75" customHeight="1">
      <c r="A237" s="25"/>
      <c r="B237" s="22"/>
      <c r="C237" s="25"/>
      <c r="D237" s="22"/>
      <c r="E237" s="25"/>
      <c r="F237" s="22"/>
      <c r="G237" s="25"/>
      <c r="H237" s="22"/>
      <c r="I237" s="25"/>
      <c r="J237" s="22"/>
    </row>
    <row r="238" ht="15.75" customHeight="1">
      <c r="A238" s="25"/>
      <c r="B238" s="22"/>
      <c r="C238" s="25"/>
      <c r="D238" s="22"/>
      <c r="E238" s="25"/>
      <c r="F238" s="22"/>
      <c r="G238" s="25"/>
      <c r="H238" s="22"/>
      <c r="I238" s="25"/>
      <c r="J238" s="22"/>
    </row>
    <row r="239" ht="15.75" customHeight="1">
      <c r="A239" s="25"/>
      <c r="B239" s="22"/>
      <c r="C239" s="25"/>
      <c r="D239" s="22"/>
      <c r="E239" s="25"/>
      <c r="F239" s="22"/>
      <c r="G239" s="25"/>
      <c r="H239" s="22"/>
      <c r="I239" s="25"/>
      <c r="J239" s="22"/>
    </row>
    <row r="240" ht="15.75" customHeight="1">
      <c r="A240" s="25"/>
      <c r="B240" s="22"/>
      <c r="C240" s="25"/>
      <c r="D240" s="22"/>
      <c r="E240" s="25"/>
      <c r="F240" s="22"/>
      <c r="G240" s="25"/>
      <c r="H240" s="22"/>
      <c r="I240" s="25"/>
      <c r="J240" s="22"/>
    </row>
    <row r="241" ht="15.75" customHeight="1">
      <c r="A241" s="25"/>
      <c r="B241" s="22"/>
      <c r="C241" s="25"/>
      <c r="D241" s="22"/>
      <c r="E241" s="25"/>
      <c r="F241" s="22"/>
      <c r="G241" s="25"/>
      <c r="H241" s="22"/>
      <c r="I241" s="25"/>
      <c r="J241" s="22"/>
    </row>
    <row r="242" ht="15.75" customHeight="1">
      <c r="A242" s="25"/>
      <c r="B242" s="22"/>
      <c r="C242" s="25"/>
      <c r="D242" s="22"/>
      <c r="E242" s="25"/>
      <c r="F242" s="22"/>
      <c r="G242" s="25"/>
      <c r="H242" s="22"/>
      <c r="I242" s="25"/>
      <c r="J242" s="22"/>
    </row>
    <row r="243" ht="15.75" customHeight="1">
      <c r="A243" s="25"/>
      <c r="B243" s="22"/>
      <c r="C243" s="25"/>
      <c r="D243" s="22"/>
      <c r="E243" s="25"/>
      <c r="F243" s="22"/>
      <c r="G243" s="25"/>
      <c r="H243" s="22"/>
      <c r="I243" s="25"/>
      <c r="J243" s="22"/>
    </row>
    <row r="244" ht="15.75" customHeight="1">
      <c r="A244" s="25"/>
      <c r="B244" s="22"/>
      <c r="C244" s="25"/>
      <c r="D244" s="22"/>
      <c r="E244" s="25"/>
      <c r="F244" s="22"/>
      <c r="G244" s="25"/>
      <c r="H244" s="22"/>
      <c r="I244" s="25"/>
      <c r="J244" s="22"/>
    </row>
    <row r="245" ht="15.75" customHeight="1">
      <c r="A245" s="25"/>
      <c r="B245" s="22"/>
      <c r="C245" s="25"/>
      <c r="D245" s="22"/>
      <c r="E245" s="25"/>
      <c r="F245" s="22"/>
      <c r="G245" s="25"/>
      <c r="H245" s="22"/>
      <c r="I245" s="25"/>
      <c r="J245" s="22"/>
    </row>
    <row r="246" ht="15.75" customHeight="1">
      <c r="A246" s="25"/>
      <c r="B246" s="22"/>
      <c r="C246" s="25"/>
      <c r="D246" s="22"/>
      <c r="E246" s="25"/>
      <c r="F246" s="22"/>
      <c r="G246" s="25"/>
      <c r="H246" s="22"/>
      <c r="I246" s="25"/>
      <c r="J246" s="22"/>
    </row>
    <row r="247" ht="15.75" customHeight="1">
      <c r="A247" s="25"/>
      <c r="B247" s="22"/>
      <c r="C247" s="25"/>
      <c r="D247" s="22"/>
      <c r="E247" s="25"/>
      <c r="F247" s="22"/>
      <c r="G247" s="25"/>
      <c r="H247" s="22"/>
      <c r="I247" s="25"/>
      <c r="J247" s="22"/>
    </row>
    <row r="248" ht="15.75" customHeight="1">
      <c r="A248" s="25"/>
      <c r="B248" s="22"/>
      <c r="C248" s="25"/>
      <c r="D248" s="22"/>
      <c r="E248" s="25"/>
      <c r="F248" s="22"/>
      <c r="G248" s="25"/>
      <c r="H248" s="22"/>
      <c r="I248" s="25"/>
      <c r="J248" s="22"/>
    </row>
    <row r="249" ht="15.75" customHeight="1">
      <c r="A249" s="25"/>
      <c r="B249" s="22"/>
      <c r="C249" s="25"/>
      <c r="D249" s="22"/>
      <c r="E249" s="25"/>
      <c r="F249" s="22"/>
      <c r="G249" s="25"/>
      <c r="H249" s="22"/>
      <c r="I249" s="25"/>
      <c r="J249" s="22"/>
    </row>
    <row r="250" ht="15.75" customHeight="1">
      <c r="A250" s="25"/>
      <c r="B250" s="22"/>
      <c r="C250" s="25"/>
      <c r="D250" s="22"/>
      <c r="E250" s="25"/>
      <c r="F250" s="22"/>
      <c r="G250" s="25"/>
      <c r="H250" s="22"/>
      <c r="I250" s="25"/>
      <c r="J250" s="22"/>
    </row>
    <row r="251" ht="15.75" customHeight="1">
      <c r="A251" s="25"/>
      <c r="B251" s="22"/>
      <c r="C251" s="25"/>
      <c r="D251" s="22"/>
      <c r="E251" s="25"/>
      <c r="F251" s="22"/>
      <c r="G251" s="25"/>
      <c r="H251" s="22"/>
      <c r="I251" s="25"/>
      <c r="J251" s="22"/>
    </row>
    <row r="252" ht="15.75" customHeight="1">
      <c r="A252" s="25"/>
      <c r="B252" s="22"/>
      <c r="C252" s="25"/>
      <c r="D252" s="22"/>
      <c r="E252" s="25"/>
      <c r="F252" s="22"/>
      <c r="G252" s="25"/>
      <c r="H252" s="22"/>
      <c r="I252" s="25"/>
      <c r="J252" s="22"/>
    </row>
    <row r="253" ht="15.75" customHeight="1">
      <c r="A253" s="25"/>
      <c r="B253" s="22"/>
      <c r="C253" s="25"/>
      <c r="D253" s="22"/>
      <c r="E253" s="25"/>
      <c r="F253" s="22"/>
      <c r="G253" s="25"/>
      <c r="H253" s="22"/>
      <c r="I253" s="25"/>
      <c r="J253" s="22"/>
    </row>
    <row r="254" ht="15.75" customHeight="1">
      <c r="A254" s="25"/>
      <c r="B254" s="22"/>
      <c r="C254" s="25"/>
      <c r="D254" s="22"/>
      <c r="E254" s="25"/>
      <c r="F254" s="22"/>
      <c r="G254" s="25"/>
      <c r="H254" s="22"/>
      <c r="I254" s="25"/>
      <c r="J254" s="22"/>
    </row>
    <row r="255" ht="15.75" customHeight="1">
      <c r="A255" s="25"/>
      <c r="B255" s="22"/>
      <c r="C255" s="25"/>
      <c r="D255" s="22"/>
      <c r="E255" s="25"/>
      <c r="F255" s="22"/>
      <c r="G255" s="25"/>
      <c r="H255" s="22"/>
      <c r="I255" s="25"/>
      <c r="J255" s="22"/>
    </row>
    <row r="256" ht="15.75" customHeight="1">
      <c r="A256" s="25"/>
      <c r="B256" s="22"/>
      <c r="C256" s="25"/>
      <c r="D256" s="22"/>
      <c r="E256" s="25"/>
      <c r="F256" s="22"/>
      <c r="G256" s="25"/>
      <c r="H256" s="22"/>
      <c r="I256" s="25"/>
      <c r="J256" s="22"/>
    </row>
    <row r="257" ht="15.75" customHeight="1">
      <c r="A257" s="25"/>
      <c r="B257" s="22"/>
      <c r="C257" s="25"/>
      <c r="D257" s="22"/>
      <c r="E257" s="25"/>
      <c r="F257" s="22"/>
      <c r="G257" s="25"/>
      <c r="H257" s="22"/>
      <c r="I257" s="25"/>
      <c r="J257" s="22"/>
    </row>
    <row r="258" ht="15.75" customHeight="1">
      <c r="A258" s="25"/>
      <c r="B258" s="22"/>
      <c r="C258" s="25"/>
      <c r="D258" s="22"/>
      <c r="E258" s="25"/>
      <c r="F258" s="22"/>
      <c r="G258" s="25"/>
      <c r="H258" s="22"/>
      <c r="I258" s="25"/>
      <c r="J258" s="22"/>
    </row>
    <row r="259" ht="15.75" customHeight="1">
      <c r="A259" s="25"/>
      <c r="B259" s="22"/>
      <c r="C259" s="25"/>
      <c r="D259" s="22"/>
      <c r="E259" s="25"/>
      <c r="F259" s="22"/>
      <c r="G259" s="25"/>
      <c r="H259" s="22"/>
      <c r="I259" s="25"/>
      <c r="J259" s="22"/>
    </row>
    <row r="260" ht="15.75" customHeight="1">
      <c r="A260" s="25"/>
      <c r="B260" s="22"/>
      <c r="C260" s="25"/>
      <c r="D260" s="22"/>
      <c r="E260" s="25"/>
      <c r="F260" s="22"/>
      <c r="G260" s="25"/>
      <c r="H260" s="22"/>
      <c r="I260" s="25"/>
      <c r="J260" s="22"/>
    </row>
    <row r="261" ht="15.75" customHeight="1">
      <c r="A261" s="25"/>
      <c r="B261" s="22"/>
      <c r="C261" s="25"/>
      <c r="D261" s="22"/>
      <c r="E261" s="25"/>
      <c r="F261" s="22"/>
      <c r="G261" s="25"/>
      <c r="H261" s="22"/>
      <c r="I261" s="25"/>
      <c r="J261" s="22"/>
    </row>
    <row r="262" ht="15.75" customHeight="1">
      <c r="A262" s="25"/>
      <c r="B262" s="22"/>
      <c r="C262" s="25"/>
      <c r="D262" s="22"/>
      <c r="E262" s="25"/>
      <c r="F262" s="22"/>
      <c r="G262" s="25"/>
      <c r="H262" s="22"/>
      <c r="I262" s="25"/>
      <c r="J262" s="22"/>
    </row>
    <row r="263" ht="15.75" customHeight="1">
      <c r="A263" s="25"/>
      <c r="B263" s="22"/>
      <c r="C263" s="25"/>
      <c r="D263" s="22"/>
      <c r="E263" s="25"/>
      <c r="F263" s="22"/>
      <c r="G263" s="25"/>
      <c r="H263" s="22"/>
      <c r="I263" s="25"/>
      <c r="J263" s="22"/>
    </row>
    <row r="264" ht="15.75" customHeight="1">
      <c r="A264" s="25"/>
      <c r="B264" s="22"/>
      <c r="C264" s="25"/>
      <c r="D264" s="22"/>
      <c r="E264" s="25"/>
      <c r="F264" s="22"/>
      <c r="G264" s="25"/>
      <c r="H264" s="22"/>
      <c r="I264" s="25"/>
      <c r="J264" s="22"/>
    </row>
    <row r="265" ht="15.75" customHeight="1">
      <c r="A265" s="25"/>
      <c r="B265" s="22"/>
      <c r="C265" s="25"/>
      <c r="D265" s="22"/>
      <c r="E265" s="25"/>
      <c r="F265" s="22"/>
      <c r="G265" s="25"/>
      <c r="H265" s="22"/>
      <c r="I265" s="25"/>
      <c r="J265" s="22"/>
    </row>
    <row r="266" ht="15.75" customHeight="1">
      <c r="A266" s="25"/>
      <c r="B266" s="22"/>
      <c r="C266" s="25"/>
      <c r="D266" s="22"/>
      <c r="E266" s="25"/>
      <c r="F266" s="22"/>
      <c r="G266" s="25"/>
      <c r="H266" s="22"/>
      <c r="I266" s="25"/>
      <c r="J266" s="22"/>
    </row>
    <row r="267" ht="15.75" customHeight="1">
      <c r="A267" s="25"/>
      <c r="B267" s="22"/>
      <c r="C267" s="25"/>
      <c r="D267" s="22"/>
      <c r="E267" s="25"/>
      <c r="F267" s="22"/>
      <c r="G267" s="25"/>
      <c r="H267" s="22"/>
      <c r="I267" s="25"/>
      <c r="J267" s="22"/>
    </row>
    <row r="268" ht="15.75" customHeight="1">
      <c r="A268" s="25"/>
      <c r="B268" s="22"/>
      <c r="C268" s="25"/>
      <c r="D268" s="22"/>
      <c r="E268" s="25"/>
      <c r="F268" s="22"/>
      <c r="G268" s="25"/>
      <c r="H268" s="22"/>
      <c r="I268" s="25"/>
      <c r="J268" s="22"/>
    </row>
    <row r="269" ht="15.75" customHeight="1">
      <c r="A269" s="25"/>
      <c r="B269" s="22"/>
      <c r="C269" s="25"/>
      <c r="D269" s="22"/>
      <c r="E269" s="25"/>
      <c r="F269" s="22"/>
      <c r="G269" s="25"/>
      <c r="H269" s="22"/>
      <c r="I269" s="25"/>
      <c r="J269" s="22"/>
    </row>
    <row r="270" ht="15.75" customHeight="1">
      <c r="A270" s="25"/>
      <c r="B270" s="22"/>
      <c r="C270" s="25"/>
      <c r="D270" s="22"/>
      <c r="E270" s="25"/>
      <c r="F270" s="22"/>
      <c r="G270" s="25"/>
      <c r="H270" s="22"/>
      <c r="I270" s="25"/>
      <c r="J270" s="22"/>
    </row>
    <row r="271" ht="15.75" customHeight="1">
      <c r="A271" s="25"/>
      <c r="B271" s="22"/>
      <c r="C271" s="25"/>
      <c r="D271" s="22"/>
      <c r="E271" s="25"/>
      <c r="F271" s="22"/>
      <c r="G271" s="25"/>
      <c r="H271" s="22"/>
      <c r="I271" s="25"/>
      <c r="J271" s="22"/>
    </row>
    <row r="272" ht="15.75" customHeight="1">
      <c r="A272" s="25"/>
      <c r="B272" s="22"/>
      <c r="C272" s="25"/>
      <c r="D272" s="22"/>
      <c r="E272" s="25"/>
      <c r="F272" s="22"/>
      <c r="G272" s="25"/>
      <c r="H272" s="22"/>
      <c r="I272" s="25"/>
      <c r="J272" s="22"/>
    </row>
    <row r="273" ht="15.75" customHeight="1">
      <c r="A273" s="25"/>
      <c r="B273" s="22"/>
      <c r="C273" s="25"/>
      <c r="D273" s="22"/>
      <c r="E273" s="25"/>
      <c r="F273" s="22"/>
      <c r="G273" s="25"/>
      <c r="H273" s="22"/>
      <c r="I273" s="25"/>
      <c r="J273" s="22"/>
    </row>
    <row r="274" ht="15.75" customHeight="1">
      <c r="A274" s="25"/>
      <c r="B274" s="22"/>
      <c r="C274" s="25"/>
      <c r="D274" s="22"/>
      <c r="E274" s="25"/>
      <c r="F274" s="22"/>
      <c r="G274" s="25"/>
      <c r="H274" s="22"/>
      <c r="I274" s="25"/>
      <c r="J274" s="22"/>
    </row>
    <row r="275" ht="15.75" customHeight="1">
      <c r="A275" s="25"/>
      <c r="B275" s="22"/>
      <c r="C275" s="25"/>
      <c r="D275" s="22"/>
      <c r="E275" s="25"/>
      <c r="F275" s="22"/>
      <c r="G275" s="25"/>
      <c r="H275" s="22"/>
      <c r="I275" s="25"/>
      <c r="J275" s="22"/>
    </row>
    <row r="276" ht="15.75" customHeight="1">
      <c r="A276" s="25"/>
      <c r="B276" s="22"/>
      <c r="C276" s="25"/>
      <c r="D276" s="22"/>
      <c r="E276" s="25"/>
      <c r="F276" s="22"/>
      <c r="G276" s="25"/>
      <c r="H276" s="22"/>
      <c r="I276" s="25"/>
      <c r="J276" s="22"/>
    </row>
    <row r="277" ht="15.75" customHeight="1">
      <c r="A277" s="25"/>
      <c r="B277" s="22"/>
      <c r="C277" s="25"/>
      <c r="D277" s="22"/>
      <c r="E277" s="25"/>
      <c r="F277" s="22"/>
      <c r="G277" s="25"/>
      <c r="H277" s="22"/>
      <c r="I277" s="25"/>
      <c r="J277" s="22"/>
    </row>
    <row r="278" ht="15.75" customHeight="1">
      <c r="A278" s="25"/>
      <c r="B278" s="22"/>
      <c r="C278" s="25"/>
      <c r="D278" s="22"/>
      <c r="E278" s="25"/>
      <c r="F278" s="22"/>
      <c r="G278" s="25"/>
      <c r="H278" s="22"/>
      <c r="I278" s="25"/>
      <c r="J278" s="22"/>
    </row>
    <row r="279" ht="15.75" customHeight="1">
      <c r="A279" s="25"/>
      <c r="B279" s="22"/>
      <c r="C279" s="25"/>
      <c r="D279" s="22"/>
      <c r="E279" s="25"/>
      <c r="F279" s="22"/>
      <c r="G279" s="25"/>
      <c r="H279" s="22"/>
      <c r="I279" s="25"/>
      <c r="J279" s="22"/>
    </row>
    <row r="280" ht="15.75" customHeight="1">
      <c r="A280" s="25"/>
      <c r="B280" s="22"/>
      <c r="C280" s="25"/>
      <c r="D280" s="22"/>
      <c r="E280" s="25"/>
      <c r="F280" s="22"/>
      <c r="G280" s="25"/>
      <c r="H280" s="22"/>
      <c r="I280" s="25"/>
      <c r="J280" s="22"/>
    </row>
    <row r="281" ht="15.75" customHeight="1">
      <c r="A281" s="25"/>
      <c r="B281" s="22"/>
      <c r="C281" s="25"/>
      <c r="D281" s="22"/>
      <c r="E281" s="25"/>
      <c r="F281" s="22"/>
      <c r="G281" s="25"/>
      <c r="H281" s="22"/>
      <c r="I281" s="25"/>
      <c r="J281" s="22"/>
    </row>
    <row r="282" ht="15.75" customHeight="1">
      <c r="A282" s="25"/>
      <c r="B282" s="22"/>
      <c r="C282" s="25"/>
      <c r="D282" s="22"/>
      <c r="E282" s="25"/>
      <c r="F282" s="22"/>
      <c r="G282" s="25"/>
      <c r="H282" s="22"/>
      <c r="I282" s="25"/>
      <c r="J282" s="22"/>
    </row>
    <row r="283" ht="15.75" customHeight="1">
      <c r="A283" s="25"/>
      <c r="B283" s="22"/>
      <c r="C283" s="25"/>
      <c r="D283" s="22"/>
      <c r="E283" s="25"/>
      <c r="F283" s="22"/>
      <c r="G283" s="25"/>
      <c r="H283" s="22"/>
      <c r="I283" s="25"/>
      <c r="J283" s="22"/>
    </row>
    <row r="284" ht="15.75" customHeight="1">
      <c r="A284" s="25"/>
      <c r="B284" s="22"/>
      <c r="C284" s="25"/>
      <c r="D284" s="22"/>
      <c r="E284" s="25"/>
      <c r="F284" s="22"/>
      <c r="G284" s="25"/>
      <c r="H284" s="22"/>
      <c r="I284" s="25"/>
      <c r="J284" s="22"/>
    </row>
    <row r="285" ht="15.75" customHeight="1">
      <c r="A285" s="25"/>
      <c r="B285" s="22"/>
      <c r="C285" s="25"/>
      <c r="D285" s="22"/>
      <c r="E285" s="25"/>
      <c r="F285" s="22"/>
      <c r="G285" s="25"/>
      <c r="H285" s="22"/>
      <c r="I285" s="25"/>
      <c r="J285" s="22"/>
    </row>
    <row r="286" ht="15.75" customHeight="1">
      <c r="A286" s="25"/>
      <c r="B286" s="22"/>
      <c r="C286" s="25"/>
      <c r="D286" s="22"/>
      <c r="E286" s="25"/>
      <c r="F286" s="22"/>
      <c r="G286" s="25"/>
      <c r="H286" s="22"/>
      <c r="I286" s="25"/>
      <c r="J286" s="22"/>
    </row>
    <row r="287" ht="15.75" customHeight="1">
      <c r="A287" s="25"/>
      <c r="B287" s="22"/>
      <c r="C287" s="25"/>
      <c r="D287" s="22"/>
      <c r="E287" s="25"/>
      <c r="F287" s="22"/>
      <c r="G287" s="25"/>
      <c r="H287" s="22"/>
      <c r="I287" s="25"/>
      <c r="J287" s="22"/>
    </row>
    <row r="288" ht="15.75" customHeight="1">
      <c r="A288" s="25"/>
      <c r="B288" s="22"/>
      <c r="C288" s="25"/>
      <c r="D288" s="22"/>
      <c r="E288" s="25"/>
      <c r="F288" s="22"/>
      <c r="G288" s="25"/>
      <c r="H288" s="22"/>
      <c r="I288" s="25"/>
      <c r="J288" s="22"/>
    </row>
    <row r="289" ht="15.75" customHeight="1">
      <c r="A289" s="25"/>
      <c r="B289" s="22"/>
      <c r="C289" s="25"/>
      <c r="D289" s="22"/>
      <c r="E289" s="25"/>
      <c r="F289" s="22"/>
      <c r="G289" s="25"/>
      <c r="H289" s="22"/>
      <c r="I289" s="25"/>
      <c r="J289" s="22"/>
    </row>
    <row r="290" ht="15.75" customHeight="1">
      <c r="A290" s="25"/>
      <c r="B290" s="22"/>
      <c r="C290" s="25"/>
      <c r="D290" s="22"/>
      <c r="E290" s="25"/>
      <c r="F290" s="22"/>
      <c r="G290" s="25"/>
      <c r="H290" s="22"/>
      <c r="I290" s="25"/>
      <c r="J290" s="22"/>
    </row>
    <row r="291" ht="15.75" customHeight="1">
      <c r="A291" s="25"/>
      <c r="B291" s="22"/>
      <c r="C291" s="25"/>
      <c r="D291" s="22"/>
      <c r="E291" s="25"/>
      <c r="F291" s="22"/>
      <c r="G291" s="25"/>
      <c r="H291" s="22"/>
      <c r="I291" s="25"/>
      <c r="J291" s="22"/>
    </row>
    <row r="292" ht="15.75" customHeight="1">
      <c r="A292" s="25"/>
      <c r="B292" s="22"/>
      <c r="C292" s="25"/>
      <c r="D292" s="22"/>
      <c r="E292" s="25"/>
      <c r="F292" s="22"/>
      <c r="G292" s="25"/>
      <c r="H292" s="22"/>
      <c r="I292" s="25"/>
      <c r="J292" s="22"/>
    </row>
    <row r="293" ht="15.75" customHeight="1">
      <c r="A293" s="25"/>
      <c r="B293" s="22"/>
      <c r="C293" s="25"/>
      <c r="D293" s="22"/>
      <c r="E293" s="25"/>
      <c r="F293" s="22"/>
      <c r="G293" s="25"/>
      <c r="H293" s="22"/>
      <c r="I293" s="25"/>
      <c r="J293" s="22"/>
    </row>
    <row r="294" ht="15.75" customHeight="1">
      <c r="A294" s="25"/>
      <c r="B294" s="22"/>
      <c r="C294" s="25"/>
      <c r="D294" s="22"/>
      <c r="E294" s="25"/>
      <c r="F294" s="22"/>
      <c r="G294" s="25"/>
      <c r="H294" s="22"/>
      <c r="I294" s="25"/>
      <c r="J294" s="22"/>
    </row>
    <row r="295" ht="15.75" customHeight="1">
      <c r="A295" s="25"/>
      <c r="B295" s="22"/>
      <c r="C295" s="25"/>
      <c r="D295" s="22"/>
      <c r="E295" s="25"/>
      <c r="F295" s="22"/>
      <c r="G295" s="25"/>
      <c r="H295" s="22"/>
      <c r="I295" s="25"/>
      <c r="J295" s="22"/>
    </row>
    <row r="296" ht="15.75" customHeight="1">
      <c r="A296" s="25"/>
      <c r="B296" s="22"/>
      <c r="C296" s="25"/>
      <c r="D296" s="22"/>
      <c r="E296" s="25"/>
      <c r="F296" s="22"/>
      <c r="G296" s="25"/>
      <c r="H296" s="22"/>
      <c r="I296" s="25"/>
      <c r="J296" s="22"/>
    </row>
    <row r="297" ht="15.75" customHeight="1">
      <c r="A297" s="25"/>
      <c r="B297" s="22"/>
      <c r="C297" s="25"/>
      <c r="D297" s="22"/>
      <c r="E297" s="25"/>
      <c r="F297" s="22"/>
      <c r="G297" s="25"/>
      <c r="H297" s="22"/>
      <c r="I297" s="25"/>
      <c r="J297" s="22"/>
    </row>
    <row r="298" ht="15.75" customHeight="1">
      <c r="A298" s="25"/>
      <c r="B298" s="22"/>
      <c r="C298" s="25"/>
      <c r="D298" s="22"/>
      <c r="E298" s="25"/>
      <c r="F298" s="22"/>
      <c r="G298" s="25"/>
      <c r="H298" s="22"/>
      <c r="I298" s="25"/>
      <c r="J298" s="22"/>
    </row>
    <row r="299" ht="15.75" customHeight="1">
      <c r="A299" s="25"/>
      <c r="B299" s="22"/>
      <c r="C299" s="25"/>
      <c r="D299" s="22"/>
      <c r="E299" s="25"/>
      <c r="F299" s="22"/>
      <c r="G299" s="25"/>
      <c r="H299" s="22"/>
      <c r="I299" s="25"/>
      <c r="J299" s="22"/>
    </row>
    <row r="300" ht="15.75" customHeight="1">
      <c r="A300" s="25"/>
      <c r="B300" s="22"/>
      <c r="C300" s="25"/>
      <c r="D300" s="22"/>
      <c r="E300" s="25"/>
      <c r="F300" s="22"/>
      <c r="G300" s="25"/>
      <c r="H300" s="22"/>
      <c r="I300" s="25"/>
      <c r="J300" s="22"/>
    </row>
    <row r="301" ht="15.75" customHeight="1">
      <c r="A301" s="25"/>
      <c r="B301" s="22"/>
      <c r="C301" s="25"/>
      <c r="D301" s="22"/>
      <c r="E301" s="25"/>
      <c r="F301" s="22"/>
      <c r="G301" s="25"/>
      <c r="H301" s="22"/>
      <c r="I301" s="25"/>
      <c r="J301" s="22"/>
    </row>
    <row r="302" ht="15.75" customHeight="1">
      <c r="A302" s="25"/>
      <c r="B302" s="22"/>
      <c r="C302" s="25"/>
      <c r="D302" s="22"/>
      <c r="E302" s="25"/>
      <c r="F302" s="22"/>
      <c r="G302" s="25"/>
      <c r="H302" s="22"/>
      <c r="I302" s="25"/>
      <c r="J302" s="22"/>
    </row>
    <row r="303" ht="15.75" customHeight="1">
      <c r="A303" s="25"/>
      <c r="B303" s="22"/>
      <c r="C303" s="25"/>
      <c r="D303" s="22"/>
      <c r="E303" s="25"/>
      <c r="F303" s="22"/>
      <c r="G303" s="25"/>
      <c r="H303" s="22"/>
      <c r="I303" s="25"/>
      <c r="J303" s="22"/>
    </row>
    <row r="304" ht="15.75" customHeight="1">
      <c r="A304" s="25"/>
      <c r="B304" s="22"/>
      <c r="C304" s="25"/>
      <c r="D304" s="22"/>
      <c r="E304" s="25"/>
      <c r="F304" s="22"/>
      <c r="G304" s="25"/>
      <c r="H304" s="22"/>
      <c r="I304" s="25"/>
      <c r="J304" s="22"/>
    </row>
    <row r="305" ht="15.75" customHeight="1">
      <c r="A305" s="25"/>
      <c r="B305" s="22"/>
      <c r="C305" s="25"/>
      <c r="D305" s="22"/>
      <c r="E305" s="25"/>
      <c r="F305" s="22"/>
      <c r="G305" s="25"/>
      <c r="H305" s="22"/>
      <c r="I305" s="25"/>
      <c r="J305" s="22"/>
    </row>
    <row r="306" ht="15.75" customHeight="1">
      <c r="A306" s="25"/>
      <c r="B306" s="22"/>
      <c r="C306" s="25"/>
      <c r="D306" s="22"/>
      <c r="E306" s="25"/>
      <c r="F306" s="22"/>
      <c r="G306" s="25"/>
      <c r="H306" s="22"/>
      <c r="I306" s="25"/>
      <c r="J306" s="22"/>
    </row>
    <row r="307" ht="15.75" customHeight="1">
      <c r="A307" s="25"/>
      <c r="B307" s="22"/>
      <c r="C307" s="25"/>
      <c r="D307" s="22"/>
      <c r="E307" s="25"/>
      <c r="F307" s="22"/>
      <c r="G307" s="25"/>
      <c r="H307" s="22"/>
      <c r="I307" s="25"/>
      <c r="J307" s="22"/>
    </row>
    <row r="308" ht="15.75" customHeight="1">
      <c r="A308" s="25"/>
      <c r="B308" s="22"/>
      <c r="C308" s="25"/>
      <c r="D308" s="22"/>
      <c r="E308" s="25"/>
      <c r="F308" s="22"/>
      <c r="G308" s="25"/>
      <c r="H308" s="22"/>
      <c r="I308" s="25"/>
      <c r="J308" s="22"/>
    </row>
    <row r="309" ht="15.75" customHeight="1">
      <c r="A309" s="25"/>
      <c r="B309" s="22"/>
      <c r="C309" s="25"/>
      <c r="D309" s="22"/>
      <c r="E309" s="25"/>
      <c r="F309" s="22"/>
      <c r="G309" s="25"/>
      <c r="H309" s="22"/>
      <c r="I309" s="25"/>
      <c r="J309" s="22"/>
    </row>
    <row r="310" ht="15.75" customHeight="1">
      <c r="A310" s="25"/>
      <c r="B310" s="22"/>
      <c r="C310" s="25"/>
      <c r="D310" s="22"/>
      <c r="E310" s="25"/>
      <c r="F310" s="22"/>
      <c r="G310" s="25"/>
      <c r="H310" s="22"/>
      <c r="I310" s="25"/>
      <c r="J310" s="22"/>
    </row>
    <row r="311" ht="15.75" customHeight="1">
      <c r="A311" s="25"/>
      <c r="B311" s="22"/>
      <c r="C311" s="25"/>
      <c r="D311" s="22"/>
      <c r="E311" s="25"/>
      <c r="F311" s="22"/>
      <c r="G311" s="25"/>
      <c r="H311" s="22"/>
      <c r="I311" s="25"/>
      <c r="J311" s="22"/>
    </row>
    <row r="312" ht="15.75" customHeight="1">
      <c r="A312" s="25"/>
      <c r="B312" s="22"/>
      <c r="C312" s="25"/>
      <c r="D312" s="22"/>
      <c r="E312" s="25"/>
      <c r="F312" s="22"/>
      <c r="G312" s="25"/>
      <c r="H312" s="22"/>
      <c r="I312" s="25"/>
      <c r="J312" s="22"/>
    </row>
    <row r="313" ht="15.75" customHeight="1">
      <c r="A313" s="25"/>
      <c r="B313" s="22"/>
      <c r="C313" s="25"/>
      <c r="D313" s="22"/>
      <c r="E313" s="25"/>
      <c r="F313" s="22"/>
      <c r="G313" s="25"/>
      <c r="H313" s="22"/>
      <c r="I313" s="25"/>
      <c r="J313" s="22"/>
    </row>
    <row r="314" ht="15.75" customHeight="1">
      <c r="A314" s="25"/>
      <c r="B314" s="22"/>
      <c r="C314" s="25"/>
      <c r="D314" s="22"/>
      <c r="E314" s="25"/>
      <c r="F314" s="22"/>
      <c r="G314" s="25"/>
      <c r="H314" s="22"/>
      <c r="I314" s="25"/>
      <c r="J314" s="22"/>
    </row>
    <row r="315" ht="15.75" customHeight="1">
      <c r="A315" s="25"/>
      <c r="B315" s="22"/>
      <c r="C315" s="25"/>
      <c r="D315" s="22"/>
      <c r="E315" s="25"/>
      <c r="F315" s="22"/>
      <c r="G315" s="25"/>
      <c r="H315" s="22"/>
      <c r="I315" s="25"/>
      <c r="J315" s="22"/>
    </row>
    <row r="316" ht="15.75" customHeight="1">
      <c r="A316" s="25"/>
      <c r="B316" s="22"/>
      <c r="C316" s="25"/>
      <c r="D316" s="22"/>
      <c r="E316" s="25"/>
      <c r="F316" s="22"/>
      <c r="G316" s="25"/>
      <c r="H316" s="22"/>
      <c r="I316" s="25"/>
      <c r="J316" s="22"/>
    </row>
    <row r="317" ht="15.75" customHeight="1">
      <c r="A317" s="25"/>
      <c r="B317" s="22"/>
      <c r="C317" s="25"/>
      <c r="D317" s="22"/>
      <c r="E317" s="25"/>
      <c r="F317" s="22"/>
      <c r="G317" s="25"/>
      <c r="H317" s="22"/>
      <c r="I317" s="25"/>
      <c r="J317" s="22"/>
    </row>
    <row r="318" ht="15.75" customHeight="1">
      <c r="A318" s="25"/>
      <c r="B318" s="22"/>
      <c r="C318" s="25"/>
      <c r="D318" s="22"/>
      <c r="E318" s="25"/>
      <c r="F318" s="22"/>
      <c r="G318" s="25"/>
      <c r="H318" s="22"/>
      <c r="I318" s="25"/>
      <c r="J318" s="22"/>
    </row>
    <row r="319" ht="15.75" customHeight="1">
      <c r="A319" s="25"/>
      <c r="B319" s="22"/>
      <c r="C319" s="25"/>
      <c r="D319" s="22"/>
      <c r="E319" s="25"/>
      <c r="F319" s="22"/>
      <c r="G319" s="25"/>
      <c r="H319" s="22"/>
      <c r="I319" s="25"/>
      <c r="J319" s="22"/>
    </row>
    <row r="320" ht="15.75" customHeight="1">
      <c r="A320" s="25"/>
      <c r="B320" s="22"/>
      <c r="C320" s="25"/>
      <c r="D320" s="22"/>
      <c r="E320" s="25"/>
      <c r="F320" s="22"/>
      <c r="G320" s="25"/>
      <c r="H320" s="22"/>
      <c r="I320" s="25"/>
      <c r="J320" s="22"/>
    </row>
    <row r="321" ht="15.75" customHeight="1">
      <c r="A321" s="25"/>
      <c r="B321" s="22"/>
      <c r="C321" s="25"/>
      <c r="D321" s="22"/>
      <c r="E321" s="25"/>
      <c r="F321" s="22"/>
      <c r="G321" s="25"/>
      <c r="H321" s="22"/>
      <c r="I321" s="25"/>
      <c r="J321" s="22"/>
    </row>
    <row r="322" ht="15.75" customHeight="1">
      <c r="A322" s="25"/>
      <c r="B322" s="22"/>
      <c r="C322" s="25"/>
      <c r="D322" s="22"/>
      <c r="E322" s="25"/>
      <c r="F322" s="22"/>
      <c r="G322" s="25"/>
      <c r="H322" s="22"/>
      <c r="I322" s="25"/>
      <c r="J322" s="22"/>
    </row>
    <row r="323" ht="15.75" customHeight="1">
      <c r="A323" s="25"/>
      <c r="B323" s="22"/>
      <c r="C323" s="25"/>
      <c r="D323" s="22"/>
      <c r="E323" s="25"/>
      <c r="F323" s="22"/>
      <c r="G323" s="25"/>
      <c r="H323" s="22"/>
      <c r="I323" s="25"/>
      <c r="J323" s="22"/>
    </row>
    <row r="324" ht="15.75" customHeight="1">
      <c r="A324" s="25"/>
      <c r="B324" s="22"/>
      <c r="C324" s="25"/>
      <c r="D324" s="22"/>
      <c r="E324" s="25"/>
      <c r="F324" s="22"/>
      <c r="G324" s="25"/>
      <c r="H324" s="22"/>
      <c r="I324" s="25"/>
      <c r="J324" s="22"/>
    </row>
    <row r="325" ht="15.75" customHeight="1">
      <c r="A325" s="25"/>
      <c r="B325" s="22"/>
      <c r="C325" s="25"/>
      <c r="D325" s="22"/>
      <c r="E325" s="25"/>
      <c r="F325" s="22"/>
      <c r="G325" s="25"/>
      <c r="H325" s="22"/>
      <c r="I325" s="25"/>
      <c r="J325" s="22"/>
    </row>
    <row r="326" ht="15.75" customHeight="1">
      <c r="A326" s="25"/>
      <c r="B326" s="22"/>
      <c r="C326" s="25"/>
      <c r="D326" s="22"/>
      <c r="E326" s="25"/>
      <c r="F326" s="22"/>
      <c r="G326" s="25"/>
      <c r="H326" s="22"/>
      <c r="I326" s="25"/>
      <c r="J326" s="22"/>
    </row>
    <row r="327" ht="15.75" customHeight="1">
      <c r="A327" s="25"/>
      <c r="B327" s="22"/>
      <c r="C327" s="25"/>
      <c r="D327" s="22"/>
      <c r="E327" s="25"/>
      <c r="F327" s="22"/>
      <c r="G327" s="25"/>
      <c r="H327" s="22"/>
      <c r="I327" s="25"/>
      <c r="J327" s="22"/>
    </row>
    <row r="328" ht="15.75" customHeight="1">
      <c r="A328" s="25"/>
      <c r="B328" s="22"/>
      <c r="C328" s="25"/>
      <c r="D328" s="22"/>
      <c r="E328" s="25"/>
      <c r="F328" s="22"/>
      <c r="G328" s="25"/>
      <c r="H328" s="22"/>
      <c r="I328" s="25"/>
      <c r="J328" s="22"/>
    </row>
    <row r="329" ht="15.75" customHeight="1">
      <c r="A329" s="25"/>
      <c r="B329" s="22"/>
      <c r="C329" s="25"/>
      <c r="D329" s="22"/>
      <c r="E329" s="25"/>
      <c r="F329" s="22"/>
      <c r="G329" s="25"/>
      <c r="H329" s="22"/>
      <c r="I329" s="25"/>
      <c r="J329" s="22"/>
    </row>
    <row r="330" ht="15.75" customHeight="1">
      <c r="A330" s="25"/>
      <c r="B330" s="22"/>
      <c r="C330" s="25"/>
      <c r="D330" s="22"/>
      <c r="E330" s="25"/>
      <c r="F330" s="22"/>
      <c r="G330" s="25"/>
      <c r="H330" s="22"/>
      <c r="I330" s="25"/>
      <c r="J330" s="22"/>
    </row>
    <row r="331" ht="15.75" customHeight="1">
      <c r="A331" s="25"/>
      <c r="B331" s="22"/>
      <c r="C331" s="25"/>
      <c r="D331" s="22"/>
      <c r="E331" s="25"/>
      <c r="F331" s="22"/>
      <c r="G331" s="25"/>
      <c r="H331" s="22"/>
      <c r="I331" s="25"/>
      <c r="J331" s="22"/>
    </row>
    <row r="332" ht="15.75" customHeight="1">
      <c r="A332" s="25"/>
      <c r="B332" s="22"/>
      <c r="C332" s="25"/>
      <c r="D332" s="22"/>
      <c r="E332" s="25"/>
      <c r="F332" s="22"/>
      <c r="G332" s="25"/>
      <c r="H332" s="22"/>
      <c r="I332" s="25"/>
      <c r="J332" s="22"/>
    </row>
    <row r="333" ht="15.75" customHeight="1">
      <c r="A333" s="25"/>
      <c r="B333" s="22"/>
      <c r="C333" s="25"/>
      <c r="D333" s="22"/>
      <c r="E333" s="25"/>
      <c r="F333" s="22"/>
      <c r="G333" s="25"/>
      <c r="H333" s="22"/>
      <c r="I333" s="25"/>
      <c r="J333" s="22"/>
    </row>
    <row r="334" ht="15.75" customHeight="1">
      <c r="A334" s="25"/>
      <c r="B334" s="22"/>
      <c r="C334" s="25"/>
      <c r="D334" s="22"/>
      <c r="E334" s="25"/>
      <c r="F334" s="22"/>
      <c r="G334" s="25"/>
      <c r="H334" s="22"/>
      <c r="I334" s="25"/>
      <c r="J334" s="22"/>
    </row>
    <row r="335" ht="15.75" customHeight="1">
      <c r="A335" s="25"/>
      <c r="B335" s="22"/>
      <c r="C335" s="25"/>
      <c r="D335" s="22"/>
      <c r="E335" s="25"/>
      <c r="F335" s="22"/>
      <c r="G335" s="25"/>
      <c r="H335" s="22"/>
      <c r="I335" s="25"/>
      <c r="J335" s="22"/>
    </row>
    <row r="336" ht="15.75" customHeight="1">
      <c r="A336" s="25"/>
      <c r="B336" s="22"/>
      <c r="C336" s="25"/>
      <c r="D336" s="22"/>
      <c r="E336" s="25"/>
      <c r="F336" s="22"/>
      <c r="G336" s="25"/>
      <c r="H336" s="22"/>
      <c r="I336" s="25"/>
      <c r="J336" s="22"/>
    </row>
    <row r="337" ht="15.75" customHeight="1">
      <c r="A337" s="25"/>
      <c r="B337" s="22"/>
      <c r="C337" s="25"/>
      <c r="D337" s="22"/>
      <c r="E337" s="25"/>
      <c r="F337" s="22"/>
      <c r="G337" s="25"/>
      <c r="H337" s="22"/>
      <c r="I337" s="25"/>
      <c r="J337" s="22"/>
    </row>
    <row r="338" ht="15.75" customHeight="1">
      <c r="A338" s="25"/>
      <c r="B338" s="22"/>
      <c r="C338" s="25"/>
      <c r="D338" s="22"/>
      <c r="E338" s="25"/>
      <c r="F338" s="22"/>
      <c r="G338" s="25"/>
      <c r="H338" s="22"/>
      <c r="I338" s="25"/>
      <c r="J338" s="22"/>
    </row>
    <row r="339" ht="15.75" customHeight="1">
      <c r="A339" s="25"/>
      <c r="B339" s="22"/>
      <c r="C339" s="25"/>
      <c r="D339" s="22"/>
      <c r="E339" s="25"/>
      <c r="F339" s="22"/>
      <c r="G339" s="25"/>
      <c r="H339" s="22"/>
      <c r="I339" s="25"/>
      <c r="J339" s="22"/>
    </row>
    <row r="340" ht="15.75" customHeight="1">
      <c r="A340" s="25"/>
      <c r="B340" s="22"/>
      <c r="C340" s="25"/>
      <c r="D340" s="22"/>
      <c r="E340" s="25"/>
      <c r="F340" s="22"/>
      <c r="G340" s="25"/>
      <c r="H340" s="22"/>
      <c r="I340" s="25"/>
      <c r="J340" s="22"/>
    </row>
    <row r="341" ht="15.75" customHeight="1">
      <c r="A341" s="25"/>
      <c r="B341" s="22"/>
      <c r="C341" s="25"/>
      <c r="D341" s="22"/>
      <c r="E341" s="25"/>
      <c r="F341" s="22"/>
      <c r="G341" s="25"/>
      <c r="H341" s="22"/>
      <c r="I341" s="25"/>
      <c r="J341" s="22"/>
    </row>
    <row r="342" ht="15.75" customHeight="1">
      <c r="A342" s="25"/>
      <c r="B342" s="22"/>
      <c r="C342" s="25"/>
      <c r="D342" s="22"/>
      <c r="E342" s="25"/>
      <c r="F342" s="22"/>
      <c r="G342" s="25"/>
      <c r="H342" s="22"/>
      <c r="I342" s="25"/>
      <c r="J342" s="22"/>
    </row>
    <row r="343" ht="15.75" customHeight="1">
      <c r="A343" s="25"/>
      <c r="B343" s="22"/>
      <c r="C343" s="25"/>
      <c r="D343" s="22"/>
      <c r="E343" s="25"/>
      <c r="F343" s="22"/>
      <c r="G343" s="25"/>
      <c r="H343" s="22"/>
      <c r="I343" s="25"/>
      <c r="J343" s="22"/>
    </row>
    <row r="344" ht="15.75" customHeight="1">
      <c r="A344" s="25"/>
      <c r="B344" s="22"/>
      <c r="C344" s="25"/>
      <c r="D344" s="22"/>
      <c r="E344" s="25"/>
      <c r="F344" s="22"/>
      <c r="G344" s="25"/>
      <c r="H344" s="22"/>
      <c r="I344" s="25"/>
      <c r="J344" s="22"/>
    </row>
    <row r="345" ht="15.75" customHeight="1">
      <c r="A345" s="25"/>
      <c r="B345" s="22"/>
      <c r="C345" s="25"/>
      <c r="D345" s="22"/>
      <c r="E345" s="25"/>
      <c r="F345" s="22"/>
      <c r="G345" s="25"/>
      <c r="H345" s="22"/>
      <c r="I345" s="25"/>
      <c r="J345" s="22"/>
    </row>
    <row r="346" ht="15.75" customHeight="1">
      <c r="A346" s="25"/>
      <c r="B346" s="22"/>
      <c r="C346" s="25"/>
      <c r="D346" s="22"/>
      <c r="E346" s="25"/>
      <c r="F346" s="22"/>
      <c r="G346" s="25"/>
      <c r="H346" s="22"/>
      <c r="I346" s="25"/>
      <c r="J346" s="22"/>
    </row>
    <row r="347" ht="15.75" customHeight="1">
      <c r="A347" s="25"/>
      <c r="B347" s="22"/>
      <c r="C347" s="25"/>
      <c r="D347" s="22"/>
      <c r="E347" s="25"/>
      <c r="F347" s="22"/>
      <c r="G347" s="25"/>
      <c r="H347" s="22"/>
      <c r="I347" s="25"/>
      <c r="J347" s="22"/>
    </row>
    <row r="348" ht="15.75" customHeight="1">
      <c r="A348" s="25"/>
      <c r="B348" s="22"/>
      <c r="C348" s="25"/>
      <c r="D348" s="22"/>
      <c r="E348" s="25"/>
      <c r="F348" s="22"/>
      <c r="G348" s="25"/>
      <c r="H348" s="22"/>
      <c r="I348" s="25"/>
      <c r="J348" s="22"/>
    </row>
    <row r="349" ht="15.75" customHeight="1">
      <c r="A349" s="25"/>
      <c r="B349" s="22"/>
      <c r="C349" s="25"/>
      <c r="D349" s="22"/>
      <c r="E349" s="25"/>
      <c r="F349" s="22"/>
      <c r="G349" s="25"/>
      <c r="H349" s="22"/>
      <c r="I349" s="25"/>
      <c r="J349" s="22"/>
    </row>
    <row r="350" ht="15.75" customHeight="1">
      <c r="A350" s="25"/>
      <c r="B350" s="22"/>
      <c r="C350" s="25"/>
      <c r="D350" s="22"/>
      <c r="E350" s="25"/>
      <c r="F350" s="22"/>
      <c r="G350" s="25"/>
      <c r="H350" s="22"/>
      <c r="I350" s="25"/>
      <c r="J350" s="22"/>
    </row>
    <row r="351" ht="15.75" customHeight="1">
      <c r="A351" s="25"/>
      <c r="B351" s="22"/>
      <c r="C351" s="25"/>
      <c r="D351" s="22"/>
      <c r="E351" s="25"/>
      <c r="F351" s="22"/>
      <c r="G351" s="25"/>
      <c r="H351" s="22"/>
      <c r="I351" s="25"/>
      <c r="J351" s="22"/>
    </row>
    <row r="352" ht="15.75" customHeight="1">
      <c r="A352" s="25"/>
      <c r="B352" s="22"/>
      <c r="C352" s="25"/>
      <c r="D352" s="22"/>
      <c r="E352" s="25"/>
      <c r="F352" s="22"/>
      <c r="G352" s="25"/>
      <c r="H352" s="22"/>
      <c r="I352" s="25"/>
      <c r="J352" s="22"/>
    </row>
    <row r="353" ht="15.75" customHeight="1">
      <c r="A353" s="25"/>
      <c r="B353" s="22"/>
      <c r="C353" s="25"/>
      <c r="D353" s="22"/>
      <c r="E353" s="25"/>
      <c r="F353" s="22"/>
      <c r="G353" s="25"/>
      <c r="H353" s="22"/>
      <c r="I353" s="25"/>
      <c r="J353" s="22"/>
    </row>
    <row r="354" ht="15.75" customHeight="1">
      <c r="A354" s="25"/>
      <c r="B354" s="22"/>
      <c r="C354" s="25"/>
      <c r="D354" s="22"/>
      <c r="E354" s="25"/>
      <c r="F354" s="22"/>
      <c r="G354" s="25"/>
      <c r="H354" s="22"/>
      <c r="I354" s="25"/>
      <c r="J354" s="22"/>
    </row>
    <row r="355" ht="15.75" customHeight="1">
      <c r="A355" s="25"/>
      <c r="B355" s="22"/>
      <c r="C355" s="25"/>
      <c r="D355" s="22"/>
      <c r="E355" s="25"/>
      <c r="F355" s="22"/>
      <c r="G355" s="25"/>
      <c r="H355" s="22"/>
      <c r="I355" s="25"/>
      <c r="J355" s="22"/>
    </row>
    <row r="356" ht="15.75" customHeight="1">
      <c r="A356" s="25"/>
      <c r="B356" s="22"/>
      <c r="C356" s="25"/>
      <c r="D356" s="22"/>
      <c r="E356" s="25"/>
      <c r="F356" s="22"/>
      <c r="G356" s="25"/>
      <c r="H356" s="22"/>
      <c r="I356" s="25"/>
      <c r="J356" s="22"/>
    </row>
    <row r="357" ht="15.75" customHeight="1">
      <c r="A357" s="25"/>
      <c r="B357" s="22"/>
      <c r="C357" s="25"/>
      <c r="D357" s="22"/>
      <c r="E357" s="25"/>
      <c r="F357" s="22"/>
      <c r="G357" s="25"/>
      <c r="H357" s="22"/>
      <c r="I357" s="25"/>
      <c r="J357" s="22"/>
    </row>
    <row r="358" ht="15.75" customHeight="1">
      <c r="A358" s="25"/>
      <c r="B358" s="22"/>
      <c r="C358" s="25"/>
      <c r="D358" s="22"/>
      <c r="E358" s="25"/>
      <c r="F358" s="22"/>
      <c r="G358" s="25"/>
      <c r="H358" s="22"/>
      <c r="I358" s="25"/>
      <c r="J358" s="22"/>
    </row>
    <row r="359" ht="15.75" customHeight="1">
      <c r="A359" s="25"/>
      <c r="B359" s="22"/>
      <c r="C359" s="25"/>
      <c r="D359" s="22"/>
      <c r="E359" s="25"/>
      <c r="F359" s="22"/>
      <c r="G359" s="25"/>
      <c r="H359" s="22"/>
      <c r="I359" s="25"/>
      <c r="J359" s="22"/>
    </row>
    <row r="360" ht="15.75" customHeight="1">
      <c r="A360" s="25"/>
      <c r="B360" s="22"/>
      <c r="C360" s="25"/>
      <c r="D360" s="22"/>
      <c r="E360" s="25"/>
      <c r="F360" s="22"/>
      <c r="G360" s="25"/>
      <c r="H360" s="22"/>
      <c r="I360" s="25"/>
      <c r="J360" s="22"/>
    </row>
    <row r="361" ht="15.75" customHeight="1">
      <c r="A361" s="25"/>
      <c r="B361" s="22"/>
      <c r="C361" s="25"/>
      <c r="D361" s="22"/>
      <c r="E361" s="25"/>
      <c r="F361" s="22"/>
      <c r="G361" s="25"/>
      <c r="H361" s="22"/>
      <c r="I361" s="25"/>
      <c r="J361" s="22"/>
    </row>
    <row r="362" ht="15.75" customHeight="1">
      <c r="A362" s="25"/>
      <c r="B362" s="22"/>
      <c r="C362" s="25"/>
      <c r="D362" s="22"/>
      <c r="E362" s="25"/>
      <c r="F362" s="22"/>
      <c r="G362" s="25"/>
      <c r="H362" s="22"/>
      <c r="I362" s="25"/>
      <c r="J362" s="22"/>
    </row>
    <row r="363" ht="15.75" customHeight="1">
      <c r="A363" s="25"/>
      <c r="B363" s="22"/>
      <c r="C363" s="25"/>
      <c r="D363" s="22"/>
      <c r="E363" s="25"/>
      <c r="F363" s="22"/>
      <c r="G363" s="25"/>
      <c r="H363" s="22"/>
      <c r="I363" s="25"/>
      <c r="J363" s="22"/>
    </row>
    <row r="364" ht="15.75" customHeight="1">
      <c r="A364" s="25"/>
      <c r="B364" s="22"/>
      <c r="C364" s="25"/>
      <c r="D364" s="22"/>
      <c r="E364" s="25"/>
      <c r="F364" s="22"/>
      <c r="G364" s="25"/>
      <c r="H364" s="22"/>
      <c r="I364" s="25"/>
      <c r="J364" s="22"/>
    </row>
    <row r="365" ht="15.75" customHeight="1">
      <c r="A365" s="25"/>
      <c r="B365" s="22"/>
      <c r="C365" s="25"/>
      <c r="D365" s="22"/>
      <c r="E365" s="25"/>
      <c r="F365" s="22"/>
      <c r="G365" s="25"/>
      <c r="H365" s="22"/>
      <c r="I365" s="25"/>
      <c r="J365" s="22"/>
    </row>
    <row r="366" ht="15.75" customHeight="1">
      <c r="A366" s="25"/>
      <c r="B366" s="22"/>
      <c r="C366" s="25"/>
      <c r="D366" s="22"/>
      <c r="E366" s="25"/>
      <c r="F366" s="22"/>
      <c r="G366" s="25"/>
      <c r="H366" s="22"/>
      <c r="I366" s="25"/>
      <c r="J366" s="22"/>
    </row>
    <row r="367" ht="15.75" customHeight="1">
      <c r="A367" s="25"/>
      <c r="B367" s="22"/>
      <c r="C367" s="25"/>
      <c r="D367" s="22"/>
      <c r="E367" s="25"/>
      <c r="F367" s="22"/>
      <c r="G367" s="25"/>
      <c r="H367" s="22"/>
      <c r="I367" s="25"/>
      <c r="J367" s="22"/>
    </row>
    <row r="368" ht="15.75" customHeight="1">
      <c r="A368" s="25"/>
      <c r="B368" s="22"/>
      <c r="C368" s="25"/>
      <c r="D368" s="22"/>
      <c r="E368" s="25"/>
      <c r="F368" s="22"/>
      <c r="G368" s="25"/>
      <c r="H368" s="22"/>
      <c r="I368" s="25"/>
      <c r="J368" s="22"/>
    </row>
    <row r="369" ht="15.75" customHeight="1">
      <c r="A369" s="25"/>
      <c r="B369" s="22"/>
      <c r="C369" s="25"/>
      <c r="D369" s="22"/>
      <c r="E369" s="25"/>
      <c r="F369" s="22"/>
      <c r="G369" s="25"/>
      <c r="H369" s="22"/>
      <c r="I369" s="25"/>
      <c r="J369" s="22"/>
    </row>
    <row r="370" ht="15.75" customHeight="1">
      <c r="A370" s="25"/>
      <c r="B370" s="22"/>
      <c r="C370" s="25"/>
      <c r="D370" s="22"/>
      <c r="E370" s="25"/>
      <c r="F370" s="22"/>
      <c r="G370" s="25"/>
      <c r="H370" s="22"/>
      <c r="I370" s="25"/>
      <c r="J370" s="22"/>
    </row>
    <row r="371" ht="15.75" customHeight="1">
      <c r="A371" s="25"/>
      <c r="B371" s="22"/>
      <c r="C371" s="25"/>
      <c r="D371" s="22"/>
      <c r="E371" s="25"/>
      <c r="F371" s="22"/>
      <c r="G371" s="25"/>
      <c r="H371" s="22"/>
      <c r="I371" s="25"/>
      <c r="J371" s="22"/>
    </row>
    <row r="372" ht="15.75" customHeight="1">
      <c r="A372" s="25"/>
      <c r="B372" s="22"/>
      <c r="C372" s="25"/>
      <c r="D372" s="22"/>
      <c r="E372" s="25"/>
      <c r="F372" s="22"/>
      <c r="G372" s="25"/>
      <c r="H372" s="22"/>
      <c r="I372" s="25"/>
      <c r="J372" s="22"/>
    </row>
    <row r="373" ht="15.75" customHeight="1">
      <c r="A373" s="25"/>
      <c r="B373" s="22"/>
      <c r="C373" s="25"/>
      <c r="D373" s="22"/>
      <c r="E373" s="25"/>
      <c r="F373" s="22"/>
      <c r="G373" s="25"/>
      <c r="H373" s="22"/>
      <c r="I373" s="25"/>
      <c r="J373" s="22"/>
    </row>
    <row r="374" ht="15.75" customHeight="1">
      <c r="A374" s="25"/>
      <c r="B374" s="22"/>
      <c r="C374" s="25"/>
      <c r="D374" s="22"/>
      <c r="E374" s="25"/>
      <c r="F374" s="22"/>
      <c r="G374" s="25"/>
      <c r="H374" s="22"/>
      <c r="I374" s="25"/>
      <c r="J374" s="22"/>
    </row>
    <row r="375" ht="15.75" customHeight="1">
      <c r="A375" s="25"/>
      <c r="B375" s="22"/>
      <c r="C375" s="25"/>
      <c r="D375" s="22"/>
      <c r="E375" s="25"/>
      <c r="F375" s="22"/>
      <c r="G375" s="25"/>
      <c r="H375" s="22"/>
      <c r="I375" s="25"/>
      <c r="J375" s="22"/>
    </row>
    <row r="376" ht="15.75" customHeight="1">
      <c r="A376" s="25"/>
      <c r="B376" s="22"/>
      <c r="C376" s="25"/>
      <c r="D376" s="22"/>
      <c r="E376" s="25"/>
      <c r="F376" s="22"/>
      <c r="G376" s="25"/>
      <c r="H376" s="22"/>
      <c r="I376" s="25"/>
      <c r="J376" s="22"/>
    </row>
    <row r="377" ht="15.75" customHeight="1">
      <c r="A377" s="25"/>
      <c r="B377" s="22"/>
      <c r="C377" s="25"/>
      <c r="D377" s="22"/>
      <c r="E377" s="25"/>
      <c r="F377" s="22"/>
      <c r="G377" s="25"/>
      <c r="H377" s="22"/>
      <c r="I377" s="25"/>
      <c r="J377" s="22"/>
    </row>
    <row r="378" ht="15.75" customHeight="1">
      <c r="A378" s="25"/>
      <c r="B378" s="22"/>
      <c r="C378" s="25"/>
      <c r="D378" s="22"/>
      <c r="E378" s="25"/>
      <c r="F378" s="22"/>
      <c r="G378" s="25"/>
      <c r="H378" s="22"/>
      <c r="I378" s="25"/>
      <c r="J378" s="22"/>
    </row>
    <row r="379" ht="15.75" customHeight="1">
      <c r="A379" s="25"/>
      <c r="B379" s="22"/>
      <c r="C379" s="25"/>
      <c r="D379" s="22"/>
      <c r="E379" s="25"/>
      <c r="F379" s="22"/>
      <c r="G379" s="25"/>
      <c r="H379" s="22"/>
      <c r="I379" s="25"/>
      <c r="J379" s="22"/>
    </row>
    <row r="380" ht="15.75" customHeight="1">
      <c r="A380" s="25"/>
      <c r="B380" s="22"/>
      <c r="C380" s="25"/>
      <c r="D380" s="22"/>
      <c r="E380" s="25"/>
      <c r="F380" s="22"/>
      <c r="G380" s="25"/>
      <c r="H380" s="22"/>
      <c r="I380" s="25"/>
      <c r="J380" s="22"/>
    </row>
    <row r="381" ht="15.75" customHeight="1">
      <c r="A381" s="25"/>
      <c r="B381" s="22"/>
      <c r="C381" s="25"/>
      <c r="D381" s="22"/>
      <c r="E381" s="25"/>
      <c r="F381" s="22"/>
      <c r="G381" s="25"/>
      <c r="H381" s="22"/>
      <c r="I381" s="25"/>
      <c r="J381" s="22"/>
    </row>
    <row r="382" ht="15.75" customHeight="1">
      <c r="A382" s="25"/>
      <c r="B382" s="22"/>
      <c r="C382" s="25"/>
      <c r="D382" s="22"/>
      <c r="E382" s="25"/>
      <c r="F382" s="22"/>
      <c r="G382" s="25"/>
      <c r="H382" s="22"/>
      <c r="I382" s="25"/>
      <c r="J382" s="22"/>
    </row>
    <row r="383" ht="15.75" customHeight="1">
      <c r="A383" s="25"/>
      <c r="B383" s="22"/>
      <c r="C383" s="25"/>
      <c r="D383" s="22"/>
      <c r="E383" s="25"/>
      <c r="F383" s="22"/>
      <c r="G383" s="25"/>
      <c r="H383" s="22"/>
      <c r="I383" s="25"/>
      <c r="J383" s="22"/>
    </row>
    <row r="384" ht="15.75" customHeight="1">
      <c r="A384" s="25"/>
      <c r="B384" s="22"/>
      <c r="C384" s="25"/>
      <c r="D384" s="22"/>
      <c r="E384" s="25"/>
      <c r="F384" s="22"/>
      <c r="G384" s="25"/>
      <c r="H384" s="22"/>
      <c r="I384" s="25"/>
      <c r="J384" s="22"/>
    </row>
    <row r="385" ht="15.75" customHeight="1">
      <c r="A385" s="25"/>
      <c r="B385" s="22"/>
      <c r="C385" s="25"/>
      <c r="D385" s="22"/>
      <c r="E385" s="25"/>
      <c r="F385" s="22"/>
      <c r="G385" s="25"/>
      <c r="H385" s="22"/>
      <c r="I385" s="25"/>
      <c r="J385" s="22"/>
    </row>
    <row r="386" ht="15.75" customHeight="1">
      <c r="A386" s="25"/>
      <c r="B386" s="22"/>
      <c r="C386" s="25"/>
      <c r="D386" s="22"/>
      <c r="E386" s="25"/>
      <c r="F386" s="22"/>
      <c r="G386" s="25"/>
      <c r="H386" s="22"/>
      <c r="I386" s="25"/>
      <c r="J386" s="22"/>
    </row>
    <row r="387" ht="15.75" customHeight="1">
      <c r="A387" s="25"/>
      <c r="B387" s="22"/>
      <c r="C387" s="25"/>
      <c r="D387" s="22"/>
      <c r="E387" s="25"/>
      <c r="F387" s="22"/>
      <c r="G387" s="25"/>
      <c r="H387" s="22"/>
      <c r="I387" s="25"/>
      <c r="J387" s="22"/>
    </row>
    <row r="388" ht="15.75" customHeight="1">
      <c r="A388" s="25"/>
      <c r="B388" s="22"/>
      <c r="C388" s="25"/>
      <c r="D388" s="22"/>
      <c r="E388" s="25"/>
      <c r="F388" s="22"/>
      <c r="G388" s="25"/>
      <c r="H388" s="22"/>
      <c r="I388" s="25"/>
      <c r="J388" s="22"/>
    </row>
    <row r="389" ht="15.75" customHeight="1">
      <c r="A389" s="25"/>
      <c r="B389" s="22"/>
      <c r="C389" s="25"/>
      <c r="D389" s="22"/>
      <c r="E389" s="25"/>
      <c r="F389" s="22"/>
      <c r="G389" s="25"/>
      <c r="H389" s="22"/>
      <c r="I389" s="25"/>
      <c r="J389" s="22"/>
    </row>
    <row r="390" ht="15.75" customHeight="1">
      <c r="A390" s="25"/>
      <c r="B390" s="22"/>
      <c r="C390" s="25"/>
      <c r="D390" s="22"/>
      <c r="E390" s="25"/>
      <c r="F390" s="22"/>
      <c r="G390" s="25"/>
      <c r="H390" s="22"/>
      <c r="I390" s="25"/>
      <c r="J390" s="22"/>
    </row>
    <row r="391" ht="15.75" customHeight="1">
      <c r="A391" s="25"/>
      <c r="B391" s="22"/>
      <c r="C391" s="25"/>
      <c r="D391" s="22"/>
      <c r="E391" s="25"/>
      <c r="F391" s="22"/>
      <c r="G391" s="25"/>
      <c r="H391" s="22"/>
      <c r="I391" s="25"/>
      <c r="J391" s="22"/>
    </row>
    <row r="392" ht="15.75" customHeight="1">
      <c r="A392" s="25"/>
      <c r="B392" s="22"/>
      <c r="C392" s="25"/>
      <c r="D392" s="22"/>
      <c r="E392" s="25"/>
      <c r="F392" s="22"/>
      <c r="G392" s="25"/>
      <c r="H392" s="22"/>
      <c r="I392" s="25"/>
      <c r="J392" s="22"/>
    </row>
    <row r="393" ht="15.75" customHeight="1">
      <c r="A393" s="25"/>
      <c r="B393" s="22"/>
      <c r="C393" s="25"/>
      <c r="D393" s="22"/>
      <c r="E393" s="25"/>
      <c r="F393" s="22"/>
      <c r="G393" s="25"/>
      <c r="H393" s="22"/>
      <c r="I393" s="25"/>
      <c r="J393" s="22"/>
    </row>
    <row r="394" ht="15.75" customHeight="1">
      <c r="A394" s="25"/>
      <c r="B394" s="22"/>
      <c r="C394" s="25"/>
      <c r="D394" s="22"/>
      <c r="E394" s="25"/>
      <c r="F394" s="22"/>
      <c r="G394" s="25"/>
      <c r="H394" s="22"/>
      <c r="I394" s="25"/>
      <c r="J394" s="22"/>
    </row>
    <row r="395" ht="15.75" customHeight="1">
      <c r="A395" s="25"/>
      <c r="B395" s="22"/>
      <c r="C395" s="25"/>
      <c r="D395" s="22"/>
      <c r="E395" s="25"/>
      <c r="F395" s="22"/>
      <c r="G395" s="25"/>
      <c r="H395" s="22"/>
      <c r="I395" s="25"/>
      <c r="J395" s="22"/>
    </row>
    <row r="396" ht="15.75" customHeight="1">
      <c r="A396" s="25"/>
      <c r="B396" s="22"/>
      <c r="C396" s="25"/>
      <c r="D396" s="22"/>
      <c r="E396" s="25"/>
      <c r="F396" s="22"/>
      <c r="G396" s="25"/>
      <c r="H396" s="22"/>
      <c r="I396" s="25"/>
      <c r="J396" s="22"/>
    </row>
    <row r="397" ht="15.75" customHeight="1">
      <c r="A397" s="25"/>
      <c r="B397" s="22"/>
      <c r="C397" s="25"/>
      <c r="D397" s="22"/>
      <c r="E397" s="25"/>
      <c r="F397" s="22"/>
      <c r="G397" s="25"/>
      <c r="H397" s="22"/>
      <c r="I397" s="25"/>
      <c r="J397" s="22"/>
    </row>
    <row r="398" ht="15.75" customHeight="1">
      <c r="A398" s="25"/>
      <c r="B398" s="22"/>
      <c r="C398" s="25"/>
      <c r="D398" s="22"/>
      <c r="E398" s="25"/>
      <c r="F398" s="22"/>
      <c r="G398" s="25"/>
      <c r="H398" s="22"/>
      <c r="I398" s="25"/>
      <c r="J398" s="22"/>
    </row>
    <row r="399" ht="15.75" customHeight="1">
      <c r="A399" s="25"/>
      <c r="B399" s="22"/>
      <c r="C399" s="25"/>
      <c r="D399" s="22"/>
      <c r="E399" s="25"/>
      <c r="F399" s="22"/>
      <c r="G399" s="25"/>
      <c r="H399" s="22"/>
      <c r="I399" s="25"/>
      <c r="J399" s="22"/>
    </row>
    <row r="400" ht="15.75" customHeight="1">
      <c r="A400" s="25"/>
      <c r="B400" s="22"/>
      <c r="C400" s="25"/>
      <c r="D400" s="22"/>
      <c r="E400" s="25"/>
      <c r="F400" s="22"/>
      <c r="G400" s="25"/>
      <c r="H400" s="22"/>
      <c r="I400" s="25"/>
      <c r="J400" s="22"/>
    </row>
    <row r="401" ht="15.75" customHeight="1">
      <c r="A401" s="25"/>
      <c r="B401" s="22"/>
      <c r="C401" s="25"/>
      <c r="D401" s="22"/>
      <c r="E401" s="25"/>
      <c r="F401" s="22"/>
      <c r="G401" s="25"/>
      <c r="H401" s="22"/>
      <c r="I401" s="25"/>
      <c r="J401" s="22"/>
    </row>
    <row r="402" ht="15.75" customHeight="1">
      <c r="A402" s="25"/>
      <c r="B402" s="22"/>
      <c r="C402" s="25"/>
      <c r="D402" s="22"/>
      <c r="E402" s="25"/>
      <c r="F402" s="22"/>
      <c r="G402" s="25"/>
      <c r="H402" s="22"/>
      <c r="I402" s="25"/>
      <c r="J402" s="22"/>
    </row>
    <row r="403" ht="15.75" customHeight="1">
      <c r="A403" s="25"/>
      <c r="B403" s="22"/>
      <c r="C403" s="25"/>
      <c r="D403" s="22"/>
      <c r="E403" s="25"/>
      <c r="F403" s="22"/>
      <c r="G403" s="25"/>
      <c r="H403" s="22"/>
      <c r="I403" s="25"/>
      <c r="J403" s="22"/>
    </row>
    <row r="404" ht="15.75" customHeight="1">
      <c r="A404" s="25"/>
      <c r="B404" s="22"/>
      <c r="C404" s="25"/>
      <c r="D404" s="22"/>
      <c r="E404" s="25"/>
      <c r="F404" s="22"/>
      <c r="G404" s="25"/>
      <c r="H404" s="22"/>
      <c r="I404" s="25"/>
      <c r="J404" s="22"/>
    </row>
    <row r="405" ht="15.75" customHeight="1">
      <c r="A405" s="25"/>
      <c r="B405" s="22"/>
      <c r="C405" s="25"/>
      <c r="D405" s="22"/>
      <c r="E405" s="25"/>
      <c r="F405" s="22"/>
      <c r="G405" s="25"/>
      <c r="H405" s="22"/>
      <c r="I405" s="25"/>
      <c r="J405" s="22"/>
    </row>
    <row r="406" ht="15.75" customHeight="1">
      <c r="A406" s="25"/>
      <c r="B406" s="22"/>
      <c r="C406" s="25"/>
      <c r="D406" s="22"/>
      <c r="E406" s="25"/>
      <c r="F406" s="22"/>
      <c r="G406" s="25"/>
      <c r="H406" s="22"/>
      <c r="I406" s="25"/>
      <c r="J406" s="22"/>
    </row>
    <row r="407" ht="15.75" customHeight="1">
      <c r="A407" s="25"/>
      <c r="B407" s="22"/>
      <c r="C407" s="25"/>
      <c r="D407" s="22"/>
      <c r="E407" s="25"/>
      <c r="F407" s="22"/>
      <c r="G407" s="25"/>
      <c r="H407" s="22"/>
      <c r="I407" s="25"/>
      <c r="J407" s="22"/>
    </row>
    <row r="408" ht="15.75" customHeight="1">
      <c r="A408" s="25"/>
      <c r="B408" s="22"/>
      <c r="C408" s="25"/>
      <c r="D408" s="22"/>
      <c r="E408" s="25"/>
      <c r="F408" s="22"/>
      <c r="G408" s="25"/>
      <c r="H408" s="22"/>
      <c r="I408" s="25"/>
      <c r="J408" s="22"/>
    </row>
    <row r="409" ht="15.75" customHeight="1">
      <c r="A409" s="25"/>
      <c r="B409" s="22"/>
      <c r="C409" s="25"/>
      <c r="D409" s="22"/>
      <c r="E409" s="25"/>
      <c r="F409" s="22"/>
      <c r="G409" s="25"/>
      <c r="H409" s="22"/>
      <c r="I409" s="25"/>
      <c r="J409" s="22"/>
    </row>
    <row r="410" ht="15.75" customHeight="1">
      <c r="A410" s="25"/>
      <c r="B410" s="22"/>
      <c r="C410" s="25"/>
      <c r="D410" s="22"/>
      <c r="E410" s="25"/>
      <c r="F410" s="22"/>
      <c r="G410" s="25"/>
      <c r="H410" s="22"/>
      <c r="I410" s="25"/>
      <c r="J410" s="22"/>
    </row>
    <row r="411" ht="15.75" customHeight="1">
      <c r="A411" s="25"/>
      <c r="B411" s="22"/>
      <c r="C411" s="25"/>
      <c r="D411" s="22"/>
      <c r="E411" s="25"/>
      <c r="F411" s="22"/>
      <c r="G411" s="25"/>
      <c r="H411" s="22"/>
      <c r="I411" s="25"/>
      <c r="J411" s="22"/>
    </row>
    <row r="412" ht="15.75" customHeight="1">
      <c r="A412" s="25"/>
      <c r="B412" s="22"/>
      <c r="C412" s="25"/>
      <c r="D412" s="22"/>
      <c r="E412" s="25"/>
      <c r="F412" s="22"/>
      <c r="G412" s="25"/>
      <c r="H412" s="22"/>
      <c r="I412" s="25"/>
      <c r="J412" s="22"/>
    </row>
    <row r="413" ht="15.75" customHeight="1">
      <c r="A413" s="25"/>
      <c r="B413" s="22"/>
      <c r="C413" s="25"/>
      <c r="D413" s="22"/>
      <c r="E413" s="25"/>
      <c r="F413" s="22"/>
      <c r="G413" s="25"/>
      <c r="H413" s="22"/>
      <c r="I413" s="25"/>
      <c r="J413" s="22"/>
    </row>
    <row r="414" ht="15.75" customHeight="1">
      <c r="A414" s="25"/>
      <c r="B414" s="22"/>
      <c r="C414" s="25"/>
      <c r="D414" s="22"/>
      <c r="E414" s="25"/>
      <c r="F414" s="22"/>
      <c r="G414" s="25"/>
      <c r="H414" s="22"/>
      <c r="I414" s="25"/>
      <c r="J414" s="22"/>
    </row>
    <row r="415" ht="15.75" customHeight="1">
      <c r="A415" s="25"/>
      <c r="B415" s="22"/>
      <c r="C415" s="25"/>
      <c r="D415" s="22"/>
      <c r="E415" s="25"/>
      <c r="F415" s="22"/>
      <c r="G415" s="25"/>
      <c r="H415" s="22"/>
      <c r="I415" s="25"/>
      <c r="J415" s="22"/>
    </row>
    <row r="416" ht="15.75" customHeight="1">
      <c r="A416" s="25"/>
      <c r="B416" s="22"/>
      <c r="C416" s="25"/>
      <c r="D416" s="22"/>
      <c r="E416" s="25"/>
      <c r="F416" s="22"/>
      <c r="G416" s="25"/>
      <c r="H416" s="22"/>
      <c r="I416" s="25"/>
      <c r="J416" s="22"/>
    </row>
    <row r="417" ht="15.75" customHeight="1">
      <c r="A417" s="25"/>
      <c r="B417" s="22"/>
      <c r="C417" s="25"/>
      <c r="D417" s="22"/>
      <c r="E417" s="25"/>
      <c r="F417" s="22"/>
      <c r="G417" s="25"/>
      <c r="H417" s="22"/>
      <c r="I417" s="25"/>
      <c r="J417" s="22"/>
    </row>
    <row r="418" ht="15.75" customHeight="1">
      <c r="A418" s="25"/>
      <c r="B418" s="22"/>
      <c r="C418" s="25"/>
      <c r="D418" s="22"/>
      <c r="E418" s="25"/>
      <c r="F418" s="22"/>
      <c r="G418" s="25"/>
      <c r="H418" s="22"/>
      <c r="I418" s="25"/>
      <c r="J418" s="22"/>
    </row>
    <row r="419" ht="15.75" customHeight="1">
      <c r="A419" s="25"/>
      <c r="B419" s="22"/>
      <c r="C419" s="25"/>
      <c r="D419" s="22"/>
      <c r="E419" s="25"/>
      <c r="F419" s="22"/>
      <c r="G419" s="25"/>
      <c r="H419" s="22"/>
      <c r="I419" s="25"/>
      <c r="J419" s="22"/>
    </row>
    <row r="420" ht="15.75" customHeight="1">
      <c r="A420" s="25"/>
      <c r="B420" s="22"/>
      <c r="C420" s="25"/>
      <c r="D420" s="22"/>
      <c r="E420" s="25"/>
      <c r="F420" s="22"/>
      <c r="G420" s="25"/>
      <c r="H420" s="22"/>
      <c r="I420" s="25"/>
      <c r="J420" s="22"/>
    </row>
    <row r="421" ht="15.75" customHeight="1">
      <c r="A421" s="25"/>
      <c r="B421" s="22"/>
      <c r="C421" s="25"/>
      <c r="D421" s="22"/>
      <c r="E421" s="25"/>
      <c r="F421" s="22"/>
      <c r="G421" s="25"/>
      <c r="H421" s="22"/>
      <c r="I421" s="25"/>
      <c r="J421" s="22"/>
    </row>
    <row r="422" ht="15.75" customHeight="1">
      <c r="A422" s="25"/>
      <c r="B422" s="22"/>
      <c r="C422" s="25"/>
      <c r="D422" s="22"/>
      <c r="E422" s="25"/>
      <c r="F422" s="22"/>
      <c r="G422" s="25"/>
      <c r="H422" s="22"/>
      <c r="I422" s="25"/>
      <c r="J422" s="22"/>
    </row>
    <row r="423" ht="15.75" customHeight="1">
      <c r="A423" s="25"/>
      <c r="B423" s="22"/>
      <c r="C423" s="25"/>
      <c r="D423" s="22"/>
      <c r="E423" s="25"/>
      <c r="F423" s="22"/>
      <c r="G423" s="25"/>
      <c r="H423" s="22"/>
      <c r="I423" s="25"/>
      <c r="J423" s="22"/>
    </row>
    <row r="424" ht="15.75" customHeight="1">
      <c r="A424" s="25"/>
      <c r="B424" s="22"/>
      <c r="C424" s="25"/>
      <c r="D424" s="22"/>
      <c r="E424" s="25"/>
      <c r="F424" s="22"/>
      <c r="G424" s="25"/>
      <c r="H424" s="22"/>
      <c r="I424" s="25"/>
      <c r="J424" s="22"/>
    </row>
    <row r="425" ht="15.75" customHeight="1">
      <c r="A425" s="25"/>
      <c r="B425" s="22"/>
      <c r="C425" s="25"/>
      <c r="D425" s="22"/>
      <c r="E425" s="25"/>
      <c r="F425" s="22"/>
      <c r="G425" s="25"/>
      <c r="H425" s="22"/>
      <c r="I425" s="25"/>
      <c r="J425" s="22"/>
    </row>
    <row r="426" ht="15.75" customHeight="1">
      <c r="A426" s="25"/>
      <c r="B426" s="22"/>
      <c r="C426" s="25"/>
      <c r="D426" s="22"/>
      <c r="E426" s="25"/>
      <c r="F426" s="22"/>
      <c r="G426" s="25"/>
      <c r="H426" s="22"/>
      <c r="I426" s="25"/>
      <c r="J426" s="22"/>
    </row>
    <row r="427" ht="15.75" customHeight="1">
      <c r="A427" s="25"/>
      <c r="B427" s="22"/>
      <c r="C427" s="25"/>
      <c r="D427" s="22"/>
      <c r="E427" s="25"/>
      <c r="F427" s="22"/>
      <c r="G427" s="25"/>
      <c r="H427" s="22"/>
      <c r="I427" s="25"/>
      <c r="J427" s="22"/>
    </row>
    <row r="428" ht="15.75" customHeight="1">
      <c r="A428" s="25"/>
      <c r="B428" s="22"/>
      <c r="C428" s="25"/>
      <c r="D428" s="22"/>
      <c r="E428" s="25"/>
      <c r="F428" s="22"/>
      <c r="G428" s="25"/>
      <c r="H428" s="22"/>
      <c r="I428" s="25"/>
      <c r="J428" s="22"/>
    </row>
    <row r="429" ht="15.75" customHeight="1">
      <c r="A429" s="25"/>
      <c r="B429" s="22"/>
      <c r="C429" s="25"/>
      <c r="D429" s="22"/>
      <c r="E429" s="25"/>
      <c r="F429" s="22"/>
      <c r="G429" s="25"/>
      <c r="H429" s="22"/>
      <c r="I429" s="25"/>
      <c r="J429" s="22"/>
    </row>
    <row r="430" ht="15.75" customHeight="1">
      <c r="A430" s="25"/>
      <c r="B430" s="22"/>
      <c r="C430" s="25"/>
      <c r="D430" s="22"/>
      <c r="E430" s="25"/>
      <c r="F430" s="22"/>
      <c r="G430" s="25"/>
      <c r="H430" s="22"/>
      <c r="I430" s="25"/>
      <c r="J430" s="22"/>
    </row>
    <row r="431" ht="15.75" customHeight="1">
      <c r="A431" s="25"/>
      <c r="B431" s="22"/>
      <c r="C431" s="25"/>
      <c r="D431" s="22"/>
      <c r="E431" s="25"/>
      <c r="F431" s="22"/>
      <c r="G431" s="25"/>
      <c r="H431" s="22"/>
      <c r="I431" s="25"/>
      <c r="J431" s="22"/>
    </row>
    <row r="432" ht="15.75" customHeight="1">
      <c r="A432" s="25"/>
      <c r="B432" s="22"/>
      <c r="C432" s="25"/>
      <c r="D432" s="22"/>
      <c r="E432" s="25"/>
      <c r="F432" s="22"/>
      <c r="G432" s="25"/>
      <c r="H432" s="22"/>
      <c r="I432" s="25"/>
      <c r="J432" s="22"/>
    </row>
    <row r="433" ht="15.75" customHeight="1">
      <c r="A433" s="25"/>
      <c r="B433" s="22"/>
      <c r="C433" s="25"/>
      <c r="D433" s="22"/>
      <c r="E433" s="25"/>
      <c r="F433" s="22"/>
      <c r="G433" s="25"/>
      <c r="H433" s="22"/>
      <c r="I433" s="25"/>
      <c r="J433" s="22"/>
    </row>
    <row r="434" ht="15.75" customHeight="1">
      <c r="A434" s="25"/>
      <c r="B434" s="22"/>
      <c r="C434" s="25"/>
      <c r="D434" s="22"/>
      <c r="E434" s="25"/>
      <c r="F434" s="22"/>
      <c r="G434" s="25"/>
      <c r="H434" s="22"/>
      <c r="I434" s="25"/>
      <c r="J434" s="22"/>
    </row>
    <row r="435" ht="15.75" customHeight="1">
      <c r="A435" s="25"/>
      <c r="B435" s="22"/>
      <c r="C435" s="25"/>
      <c r="D435" s="22"/>
      <c r="E435" s="25"/>
      <c r="F435" s="22"/>
      <c r="G435" s="25"/>
      <c r="H435" s="22"/>
      <c r="I435" s="25"/>
      <c r="J435" s="22"/>
    </row>
    <row r="436" ht="15.75" customHeight="1">
      <c r="A436" s="25"/>
      <c r="B436" s="22"/>
      <c r="C436" s="25"/>
      <c r="D436" s="22"/>
      <c r="E436" s="25"/>
      <c r="F436" s="22"/>
      <c r="G436" s="25"/>
      <c r="H436" s="22"/>
      <c r="I436" s="25"/>
      <c r="J436" s="22"/>
    </row>
    <row r="437" ht="15.75" customHeight="1">
      <c r="A437" s="25"/>
      <c r="B437" s="22"/>
      <c r="C437" s="25"/>
      <c r="D437" s="22"/>
      <c r="E437" s="25"/>
      <c r="F437" s="22"/>
      <c r="G437" s="25"/>
      <c r="H437" s="22"/>
      <c r="I437" s="25"/>
      <c r="J437" s="22"/>
    </row>
    <row r="438" ht="15.75" customHeight="1">
      <c r="A438" s="25"/>
      <c r="B438" s="22"/>
      <c r="C438" s="25"/>
      <c r="D438" s="22"/>
      <c r="E438" s="25"/>
      <c r="F438" s="22"/>
      <c r="G438" s="25"/>
      <c r="H438" s="22"/>
      <c r="I438" s="25"/>
      <c r="J438" s="22"/>
    </row>
    <row r="439" ht="15.75" customHeight="1">
      <c r="A439" s="25"/>
      <c r="B439" s="22"/>
      <c r="C439" s="25"/>
      <c r="D439" s="22"/>
      <c r="E439" s="25"/>
      <c r="F439" s="22"/>
      <c r="G439" s="25"/>
      <c r="H439" s="22"/>
      <c r="I439" s="25"/>
      <c r="J439" s="22"/>
    </row>
    <row r="440" ht="15.75" customHeight="1">
      <c r="A440" s="25"/>
      <c r="B440" s="22"/>
      <c r="C440" s="25"/>
      <c r="D440" s="22"/>
      <c r="E440" s="25"/>
      <c r="F440" s="22"/>
      <c r="G440" s="25"/>
      <c r="H440" s="22"/>
      <c r="I440" s="25"/>
      <c r="J440" s="22"/>
    </row>
    <row r="441" ht="15.75" customHeight="1">
      <c r="A441" s="25"/>
      <c r="B441" s="22"/>
      <c r="C441" s="25"/>
      <c r="D441" s="22"/>
      <c r="E441" s="25"/>
      <c r="F441" s="22"/>
      <c r="G441" s="25"/>
      <c r="H441" s="22"/>
      <c r="I441" s="25"/>
      <c r="J441" s="22"/>
    </row>
    <row r="442" ht="15.75" customHeight="1">
      <c r="A442" s="25"/>
      <c r="B442" s="22"/>
      <c r="C442" s="25"/>
      <c r="D442" s="22"/>
      <c r="E442" s="25"/>
      <c r="F442" s="22"/>
      <c r="G442" s="25"/>
      <c r="H442" s="22"/>
      <c r="I442" s="25"/>
      <c r="J442" s="22"/>
    </row>
    <row r="443" ht="15.75" customHeight="1">
      <c r="A443" s="25"/>
      <c r="B443" s="22"/>
      <c r="C443" s="25"/>
      <c r="D443" s="22"/>
      <c r="E443" s="25"/>
      <c r="F443" s="22"/>
      <c r="G443" s="25"/>
      <c r="H443" s="22"/>
      <c r="I443" s="25"/>
      <c r="J443" s="22"/>
    </row>
    <row r="444" ht="15.75" customHeight="1">
      <c r="A444" s="25"/>
      <c r="B444" s="22"/>
      <c r="C444" s="25"/>
      <c r="D444" s="22"/>
      <c r="E444" s="25"/>
      <c r="F444" s="22"/>
      <c r="G444" s="25"/>
      <c r="H444" s="22"/>
      <c r="I444" s="25"/>
      <c r="J444" s="22"/>
    </row>
    <row r="445" ht="15.75" customHeight="1">
      <c r="A445" s="25"/>
      <c r="B445" s="22"/>
      <c r="C445" s="25"/>
      <c r="D445" s="22"/>
      <c r="E445" s="25"/>
      <c r="F445" s="22"/>
      <c r="G445" s="25"/>
      <c r="H445" s="22"/>
      <c r="I445" s="25"/>
      <c r="J445" s="22"/>
    </row>
    <row r="446" ht="15.75" customHeight="1">
      <c r="A446" s="25"/>
      <c r="B446" s="22"/>
      <c r="C446" s="25"/>
      <c r="D446" s="22"/>
      <c r="E446" s="25"/>
      <c r="F446" s="22"/>
      <c r="G446" s="25"/>
      <c r="H446" s="22"/>
      <c r="I446" s="25"/>
      <c r="J446" s="22"/>
    </row>
    <row r="447" ht="15.75" customHeight="1">
      <c r="A447" s="25"/>
      <c r="B447" s="22"/>
      <c r="C447" s="25"/>
      <c r="D447" s="22"/>
      <c r="E447" s="25"/>
      <c r="F447" s="22"/>
      <c r="G447" s="25"/>
      <c r="H447" s="22"/>
      <c r="I447" s="25"/>
      <c r="J447" s="22"/>
    </row>
    <row r="448" ht="15.75" customHeight="1">
      <c r="A448" s="25"/>
      <c r="B448" s="22"/>
      <c r="C448" s="25"/>
      <c r="D448" s="22"/>
      <c r="E448" s="25"/>
      <c r="F448" s="22"/>
      <c r="G448" s="25"/>
      <c r="H448" s="22"/>
      <c r="I448" s="25"/>
      <c r="J448" s="22"/>
    </row>
    <row r="449" ht="15.75" customHeight="1">
      <c r="A449" s="25"/>
      <c r="B449" s="22"/>
      <c r="C449" s="25"/>
      <c r="D449" s="22"/>
      <c r="E449" s="25"/>
      <c r="F449" s="22"/>
      <c r="G449" s="25"/>
      <c r="H449" s="22"/>
      <c r="I449" s="25"/>
      <c r="J449" s="22"/>
    </row>
    <row r="450" ht="15.75" customHeight="1">
      <c r="A450" s="25"/>
      <c r="B450" s="22"/>
      <c r="C450" s="25"/>
      <c r="D450" s="22"/>
      <c r="E450" s="25"/>
      <c r="F450" s="22"/>
      <c r="G450" s="25"/>
      <c r="H450" s="22"/>
      <c r="I450" s="25"/>
      <c r="J450" s="22"/>
    </row>
    <row r="451" ht="15.75" customHeight="1">
      <c r="A451" s="25"/>
      <c r="B451" s="22"/>
      <c r="C451" s="25"/>
      <c r="D451" s="22"/>
      <c r="E451" s="25"/>
      <c r="F451" s="22"/>
      <c r="G451" s="25"/>
      <c r="H451" s="22"/>
      <c r="I451" s="25"/>
      <c r="J451" s="22"/>
    </row>
    <row r="452" ht="15.75" customHeight="1">
      <c r="A452" s="25"/>
      <c r="B452" s="22"/>
      <c r="C452" s="25"/>
      <c r="D452" s="22"/>
      <c r="E452" s="25"/>
      <c r="F452" s="22"/>
      <c r="G452" s="25"/>
      <c r="H452" s="22"/>
      <c r="I452" s="25"/>
      <c r="J452" s="22"/>
    </row>
    <row r="453" ht="15.75" customHeight="1">
      <c r="A453" s="25"/>
      <c r="B453" s="22"/>
      <c r="C453" s="25"/>
      <c r="D453" s="22"/>
      <c r="E453" s="25"/>
      <c r="F453" s="22"/>
      <c r="G453" s="25"/>
      <c r="H453" s="22"/>
      <c r="I453" s="25"/>
      <c r="J453" s="22"/>
    </row>
    <row r="454" ht="15.75" customHeight="1">
      <c r="A454" s="25"/>
      <c r="B454" s="22"/>
      <c r="C454" s="25"/>
      <c r="D454" s="22"/>
      <c r="E454" s="25"/>
      <c r="F454" s="22"/>
      <c r="G454" s="25"/>
      <c r="H454" s="22"/>
      <c r="I454" s="25"/>
      <c r="J454" s="22"/>
    </row>
    <row r="455" ht="15.75" customHeight="1">
      <c r="A455" s="25"/>
      <c r="B455" s="22"/>
      <c r="C455" s="25"/>
      <c r="D455" s="22"/>
      <c r="E455" s="25"/>
      <c r="F455" s="22"/>
      <c r="G455" s="25"/>
      <c r="H455" s="22"/>
      <c r="I455" s="25"/>
      <c r="J455" s="22"/>
    </row>
    <row r="456" ht="15.75" customHeight="1">
      <c r="A456" s="25"/>
      <c r="B456" s="22"/>
      <c r="C456" s="25"/>
      <c r="D456" s="22"/>
      <c r="E456" s="25"/>
      <c r="F456" s="22"/>
      <c r="G456" s="25"/>
      <c r="H456" s="22"/>
      <c r="I456" s="25"/>
      <c r="J456" s="22"/>
    </row>
    <row r="457" ht="15.75" customHeight="1">
      <c r="A457" s="25"/>
      <c r="B457" s="22"/>
      <c r="C457" s="25"/>
      <c r="D457" s="22"/>
      <c r="E457" s="25"/>
      <c r="F457" s="22"/>
      <c r="G457" s="25"/>
      <c r="H457" s="22"/>
      <c r="I457" s="25"/>
      <c r="J457" s="22"/>
    </row>
    <row r="458" ht="15.75" customHeight="1">
      <c r="A458" s="25"/>
      <c r="B458" s="22"/>
      <c r="C458" s="25"/>
      <c r="D458" s="22"/>
      <c r="E458" s="25"/>
      <c r="F458" s="22"/>
      <c r="G458" s="25"/>
      <c r="H458" s="22"/>
      <c r="I458" s="25"/>
      <c r="J458" s="22"/>
    </row>
    <row r="459" ht="15.75" customHeight="1">
      <c r="A459" s="25"/>
      <c r="B459" s="22"/>
      <c r="C459" s="25"/>
      <c r="D459" s="22"/>
      <c r="E459" s="25"/>
      <c r="F459" s="22"/>
      <c r="G459" s="25"/>
      <c r="H459" s="22"/>
      <c r="I459" s="25"/>
      <c r="J459" s="22"/>
    </row>
    <row r="460" ht="15.75" customHeight="1">
      <c r="A460" s="25"/>
      <c r="B460" s="22"/>
      <c r="C460" s="25"/>
      <c r="D460" s="22"/>
      <c r="E460" s="25"/>
      <c r="F460" s="22"/>
      <c r="G460" s="25"/>
      <c r="H460" s="22"/>
      <c r="I460" s="25"/>
      <c r="J460" s="22"/>
    </row>
    <row r="461" ht="15.75" customHeight="1">
      <c r="A461" s="25"/>
      <c r="B461" s="22"/>
      <c r="C461" s="25"/>
      <c r="D461" s="22"/>
      <c r="E461" s="25"/>
      <c r="F461" s="22"/>
      <c r="G461" s="25"/>
      <c r="H461" s="22"/>
      <c r="I461" s="25"/>
      <c r="J461" s="22"/>
    </row>
    <row r="462" ht="15.75" customHeight="1">
      <c r="A462" s="25"/>
      <c r="B462" s="22"/>
      <c r="C462" s="25"/>
      <c r="D462" s="22"/>
      <c r="E462" s="25"/>
      <c r="F462" s="22"/>
      <c r="G462" s="25"/>
      <c r="H462" s="22"/>
      <c r="I462" s="25"/>
      <c r="J462" s="22"/>
    </row>
    <row r="463" ht="15.75" customHeight="1">
      <c r="A463" s="25"/>
      <c r="B463" s="22"/>
      <c r="C463" s="25"/>
      <c r="D463" s="22"/>
      <c r="E463" s="25"/>
      <c r="F463" s="22"/>
      <c r="G463" s="25"/>
      <c r="H463" s="22"/>
      <c r="I463" s="25"/>
      <c r="J463" s="22"/>
    </row>
    <row r="464" ht="15.75" customHeight="1">
      <c r="A464" s="25"/>
      <c r="B464" s="22"/>
      <c r="C464" s="25"/>
      <c r="D464" s="22"/>
      <c r="E464" s="25"/>
      <c r="F464" s="22"/>
      <c r="G464" s="25"/>
      <c r="H464" s="22"/>
      <c r="I464" s="25"/>
      <c r="J464" s="22"/>
    </row>
    <row r="465" ht="15.75" customHeight="1">
      <c r="A465" s="25"/>
      <c r="B465" s="22"/>
      <c r="C465" s="25"/>
      <c r="D465" s="22"/>
      <c r="E465" s="25"/>
      <c r="F465" s="22"/>
      <c r="G465" s="25"/>
      <c r="H465" s="22"/>
      <c r="I465" s="25"/>
      <c r="J465" s="22"/>
    </row>
    <row r="466" ht="15.75" customHeight="1">
      <c r="A466" s="25"/>
      <c r="B466" s="22"/>
      <c r="C466" s="25"/>
      <c r="D466" s="22"/>
      <c r="E466" s="25"/>
      <c r="F466" s="22"/>
      <c r="G466" s="25"/>
      <c r="H466" s="22"/>
      <c r="I466" s="25"/>
      <c r="J466" s="22"/>
    </row>
    <row r="467" ht="15.75" customHeight="1">
      <c r="A467" s="25"/>
      <c r="B467" s="22"/>
      <c r="C467" s="25"/>
      <c r="D467" s="22"/>
      <c r="E467" s="25"/>
      <c r="F467" s="22"/>
      <c r="G467" s="25"/>
      <c r="H467" s="22"/>
      <c r="I467" s="25"/>
      <c r="J467" s="22"/>
    </row>
    <row r="468" ht="15.75" customHeight="1">
      <c r="A468" s="25"/>
      <c r="B468" s="22"/>
      <c r="C468" s="25"/>
      <c r="D468" s="22"/>
      <c r="E468" s="25"/>
      <c r="F468" s="22"/>
      <c r="G468" s="25"/>
      <c r="H468" s="22"/>
      <c r="I468" s="25"/>
      <c r="J468" s="22"/>
    </row>
    <row r="469" ht="15.75" customHeight="1">
      <c r="A469" s="25"/>
      <c r="B469" s="22"/>
      <c r="C469" s="25"/>
      <c r="D469" s="22"/>
      <c r="E469" s="25"/>
      <c r="F469" s="22"/>
      <c r="G469" s="25"/>
      <c r="H469" s="22"/>
      <c r="I469" s="25"/>
      <c r="J469" s="22"/>
    </row>
    <row r="470" ht="15.75" customHeight="1">
      <c r="A470" s="25"/>
      <c r="B470" s="22"/>
      <c r="C470" s="25"/>
      <c r="D470" s="22"/>
      <c r="E470" s="25"/>
      <c r="F470" s="22"/>
      <c r="G470" s="25"/>
      <c r="H470" s="22"/>
      <c r="I470" s="25"/>
      <c r="J470" s="22"/>
    </row>
    <row r="471" ht="15.75" customHeight="1">
      <c r="A471" s="25"/>
      <c r="B471" s="22"/>
      <c r="C471" s="25"/>
      <c r="D471" s="22"/>
      <c r="E471" s="25"/>
      <c r="F471" s="22"/>
      <c r="G471" s="25"/>
      <c r="H471" s="22"/>
      <c r="I471" s="25"/>
      <c r="J471" s="22"/>
    </row>
    <row r="472" ht="15.75" customHeight="1">
      <c r="A472" s="25"/>
      <c r="B472" s="22"/>
      <c r="C472" s="25"/>
      <c r="D472" s="22"/>
      <c r="E472" s="25"/>
      <c r="F472" s="22"/>
      <c r="G472" s="25"/>
      <c r="H472" s="22"/>
      <c r="I472" s="25"/>
      <c r="J472" s="22"/>
    </row>
    <row r="473" ht="15.75" customHeight="1">
      <c r="A473" s="25"/>
      <c r="B473" s="22"/>
      <c r="C473" s="25"/>
      <c r="D473" s="22"/>
      <c r="E473" s="25"/>
      <c r="F473" s="22"/>
      <c r="G473" s="25"/>
      <c r="H473" s="22"/>
      <c r="I473" s="25"/>
      <c r="J473" s="22"/>
    </row>
    <row r="474" ht="15.75" customHeight="1">
      <c r="A474" s="25"/>
      <c r="B474" s="22"/>
      <c r="C474" s="25"/>
      <c r="D474" s="22"/>
      <c r="E474" s="25"/>
      <c r="F474" s="22"/>
      <c r="G474" s="25"/>
      <c r="H474" s="22"/>
      <c r="I474" s="25"/>
      <c r="J474" s="22"/>
    </row>
    <row r="475" ht="15.75" customHeight="1">
      <c r="A475" s="25"/>
      <c r="B475" s="22"/>
      <c r="C475" s="25"/>
      <c r="D475" s="22"/>
      <c r="E475" s="25"/>
      <c r="F475" s="22"/>
      <c r="G475" s="25"/>
      <c r="H475" s="22"/>
      <c r="I475" s="25"/>
      <c r="J475" s="22"/>
    </row>
    <row r="476" ht="15.75" customHeight="1">
      <c r="A476" s="25"/>
      <c r="B476" s="22"/>
      <c r="C476" s="25"/>
      <c r="D476" s="22"/>
      <c r="E476" s="25"/>
      <c r="F476" s="22"/>
      <c r="G476" s="25"/>
      <c r="H476" s="22"/>
      <c r="I476" s="25"/>
      <c r="J476" s="22"/>
    </row>
    <row r="477" ht="15.75" customHeight="1">
      <c r="A477" s="25"/>
      <c r="B477" s="22"/>
      <c r="C477" s="25"/>
      <c r="D477" s="22"/>
      <c r="E477" s="25"/>
      <c r="F477" s="22"/>
      <c r="G477" s="25"/>
      <c r="H477" s="22"/>
      <c r="I477" s="25"/>
      <c r="J477" s="22"/>
    </row>
    <row r="478" ht="15.75" customHeight="1">
      <c r="A478" s="25"/>
      <c r="B478" s="22"/>
      <c r="C478" s="25"/>
      <c r="D478" s="22"/>
      <c r="E478" s="25"/>
      <c r="F478" s="22"/>
      <c r="G478" s="25"/>
      <c r="H478" s="22"/>
      <c r="I478" s="25"/>
      <c r="J478" s="22"/>
    </row>
    <row r="479" ht="15.75" customHeight="1">
      <c r="A479" s="25"/>
      <c r="B479" s="22"/>
      <c r="C479" s="25"/>
      <c r="D479" s="22"/>
      <c r="E479" s="25"/>
      <c r="F479" s="22"/>
      <c r="G479" s="25"/>
      <c r="H479" s="22"/>
      <c r="I479" s="25"/>
      <c r="J479" s="22"/>
    </row>
    <row r="480" ht="15.75" customHeight="1">
      <c r="A480" s="25"/>
      <c r="B480" s="22"/>
      <c r="C480" s="25"/>
      <c r="D480" s="22"/>
      <c r="E480" s="25"/>
      <c r="F480" s="22"/>
      <c r="G480" s="25"/>
      <c r="H480" s="22"/>
      <c r="I480" s="25"/>
      <c r="J480" s="22"/>
    </row>
    <row r="481" ht="15.75" customHeight="1">
      <c r="A481" s="25"/>
      <c r="B481" s="22"/>
      <c r="C481" s="25"/>
      <c r="D481" s="22"/>
      <c r="E481" s="25"/>
      <c r="F481" s="22"/>
      <c r="G481" s="25"/>
      <c r="H481" s="22"/>
      <c r="I481" s="25"/>
      <c r="J481" s="22"/>
    </row>
    <row r="482" ht="15.75" customHeight="1">
      <c r="A482" s="25"/>
      <c r="B482" s="22"/>
      <c r="C482" s="25"/>
      <c r="D482" s="22"/>
      <c r="E482" s="25"/>
      <c r="F482" s="22"/>
      <c r="G482" s="25"/>
      <c r="H482" s="22"/>
      <c r="I482" s="25"/>
      <c r="J482" s="22"/>
    </row>
    <row r="483" ht="15.75" customHeight="1">
      <c r="A483" s="25"/>
      <c r="B483" s="22"/>
      <c r="C483" s="25"/>
      <c r="D483" s="22"/>
      <c r="E483" s="25"/>
      <c r="F483" s="22"/>
      <c r="G483" s="25"/>
      <c r="H483" s="22"/>
      <c r="I483" s="25"/>
      <c r="J483" s="22"/>
    </row>
    <row r="484" ht="15.75" customHeight="1">
      <c r="A484" s="25"/>
      <c r="B484" s="22"/>
      <c r="C484" s="25"/>
      <c r="D484" s="22"/>
      <c r="E484" s="25"/>
      <c r="F484" s="22"/>
      <c r="G484" s="25"/>
      <c r="H484" s="22"/>
      <c r="I484" s="25"/>
      <c r="J484" s="22"/>
    </row>
    <row r="485" ht="15.75" customHeight="1">
      <c r="A485" s="25"/>
      <c r="B485" s="22"/>
      <c r="C485" s="25"/>
      <c r="D485" s="22"/>
      <c r="E485" s="25"/>
      <c r="F485" s="22"/>
      <c r="G485" s="25"/>
      <c r="H485" s="22"/>
      <c r="I485" s="25"/>
      <c r="J485" s="22"/>
    </row>
    <row r="486" ht="15.75" customHeight="1">
      <c r="A486" s="25"/>
      <c r="B486" s="22"/>
      <c r="C486" s="25"/>
      <c r="D486" s="22"/>
      <c r="E486" s="25"/>
      <c r="F486" s="22"/>
      <c r="G486" s="25"/>
      <c r="H486" s="22"/>
      <c r="I486" s="25"/>
      <c r="J486" s="22"/>
    </row>
    <row r="487" ht="15.75" customHeight="1">
      <c r="A487" s="25"/>
      <c r="B487" s="22"/>
      <c r="C487" s="25"/>
      <c r="D487" s="22"/>
      <c r="E487" s="25"/>
      <c r="F487" s="22"/>
      <c r="G487" s="25"/>
      <c r="H487" s="22"/>
      <c r="I487" s="25"/>
      <c r="J487" s="22"/>
    </row>
    <row r="488" ht="15.75" customHeight="1">
      <c r="A488" s="25"/>
      <c r="B488" s="22"/>
      <c r="C488" s="25"/>
      <c r="D488" s="22"/>
      <c r="E488" s="25"/>
      <c r="F488" s="22"/>
      <c r="G488" s="25"/>
      <c r="H488" s="22"/>
      <c r="I488" s="25"/>
      <c r="J488" s="22"/>
    </row>
    <row r="489" ht="15.75" customHeight="1">
      <c r="A489" s="25"/>
      <c r="B489" s="22"/>
      <c r="C489" s="25"/>
      <c r="D489" s="22"/>
      <c r="E489" s="25"/>
      <c r="F489" s="22"/>
      <c r="G489" s="25"/>
      <c r="H489" s="22"/>
      <c r="I489" s="25"/>
      <c r="J489" s="22"/>
    </row>
    <row r="490" ht="15.75" customHeight="1">
      <c r="A490" s="25"/>
      <c r="B490" s="22"/>
      <c r="C490" s="25"/>
      <c r="D490" s="22"/>
      <c r="E490" s="25"/>
      <c r="F490" s="22"/>
      <c r="G490" s="25"/>
      <c r="H490" s="22"/>
      <c r="I490" s="25"/>
      <c r="J490" s="22"/>
    </row>
    <row r="491" ht="15.75" customHeight="1">
      <c r="A491" s="25"/>
      <c r="B491" s="22"/>
      <c r="C491" s="25"/>
      <c r="D491" s="22"/>
      <c r="E491" s="25"/>
      <c r="F491" s="22"/>
      <c r="G491" s="25"/>
      <c r="H491" s="22"/>
      <c r="I491" s="25"/>
      <c r="J491" s="22"/>
    </row>
    <row r="492" ht="15.75" customHeight="1">
      <c r="A492" s="25"/>
      <c r="B492" s="22"/>
      <c r="C492" s="25"/>
      <c r="D492" s="22"/>
      <c r="E492" s="25"/>
      <c r="F492" s="22"/>
      <c r="G492" s="25"/>
      <c r="H492" s="22"/>
      <c r="I492" s="25"/>
      <c r="J492" s="22"/>
    </row>
    <row r="493" ht="15.75" customHeight="1">
      <c r="A493" s="25"/>
      <c r="B493" s="22"/>
      <c r="C493" s="25"/>
      <c r="D493" s="22"/>
      <c r="E493" s="25"/>
      <c r="F493" s="22"/>
      <c r="G493" s="25"/>
      <c r="H493" s="22"/>
      <c r="I493" s="25"/>
      <c r="J493" s="22"/>
    </row>
    <row r="494" ht="15.75" customHeight="1">
      <c r="A494" s="25"/>
      <c r="B494" s="22"/>
      <c r="C494" s="25"/>
      <c r="D494" s="22"/>
      <c r="E494" s="25"/>
      <c r="F494" s="22"/>
      <c r="G494" s="25"/>
      <c r="H494" s="22"/>
      <c r="I494" s="25"/>
      <c r="J494" s="22"/>
    </row>
    <row r="495" ht="15.75" customHeight="1">
      <c r="A495" s="25"/>
      <c r="B495" s="22"/>
      <c r="C495" s="25"/>
      <c r="D495" s="22"/>
      <c r="E495" s="25"/>
      <c r="F495" s="22"/>
      <c r="G495" s="25"/>
      <c r="H495" s="22"/>
      <c r="I495" s="25"/>
      <c r="J495" s="22"/>
    </row>
    <row r="496" ht="15.75" customHeight="1">
      <c r="A496" s="25"/>
      <c r="B496" s="22"/>
      <c r="C496" s="25"/>
      <c r="D496" s="22"/>
      <c r="E496" s="25"/>
      <c r="F496" s="22"/>
      <c r="G496" s="25"/>
      <c r="H496" s="22"/>
      <c r="I496" s="25"/>
      <c r="J496" s="22"/>
    </row>
    <row r="497" ht="15.75" customHeight="1">
      <c r="A497" s="25"/>
      <c r="B497" s="22"/>
      <c r="C497" s="25"/>
      <c r="D497" s="22"/>
      <c r="E497" s="25"/>
      <c r="F497" s="22"/>
      <c r="G497" s="25"/>
      <c r="H497" s="22"/>
      <c r="I497" s="25"/>
      <c r="J497" s="22"/>
    </row>
    <row r="498" ht="15.75" customHeight="1">
      <c r="A498" s="25"/>
      <c r="B498" s="22"/>
      <c r="C498" s="25"/>
      <c r="D498" s="22"/>
      <c r="E498" s="25"/>
      <c r="F498" s="22"/>
      <c r="G498" s="25"/>
      <c r="H498" s="22"/>
      <c r="I498" s="25"/>
      <c r="J498" s="22"/>
    </row>
    <row r="499" ht="15.75" customHeight="1">
      <c r="A499" s="25"/>
      <c r="B499" s="22"/>
      <c r="C499" s="25"/>
      <c r="D499" s="22"/>
      <c r="E499" s="25"/>
      <c r="F499" s="22"/>
      <c r="G499" s="25"/>
      <c r="H499" s="22"/>
      <c r="I499" s="25"/>
      <c r="J499" s="22"/>
    </row>
    <row r="500" ht="15.75" customHeight="1">
      <c r="A500" s="25"/>
      <c r="B500" s="22"/>
      <c r="C500" s="25"/>
      <c r="D500" s="22"/>
      <c r="E500" s="25"/>
      <c r="F500" s="22"/>
      <c r="G500" s="25"/>
      <c r="H500" s="22"/>
      <c r="I500" s="25"/>
      <c r="J500" s="22"/>
    </row>
    <row r="501" ht="15.75" customHeight="1">
      <c r="A501" s="25"/>
      <c r="B501" s="22"/>
      <c r="C501" s="25"/>
      <c r="D501" s="22"/>
      <c r="E501" s="25"/>
      <c r="F501" s="22"/>
      <c r="G501" s="25"/>
      <c r="H501" s="22"/>
      <c r="I501" s="25"/>
      <c r="J501" s="22"/>
    </row>
    <row r="502" ht="15.75" customHeight="1">
      <c r="A502" s="25"/>
      <c r="B502" s="22"/>
      <c r="C502" s="25"/>
      <c r="D502" s="22"/>
      <c r="E502" s="25"/>
      <c r="F502" s="22"/>
      <c r="G502" s="25"/>
      <c r="H502" s="22"/>
      <c r="I502" s="25"/>
      <c r="J502" s="22"/>
    </row>
    <row r="503" ht="15.75" customHeight="1">
      <c r="A503" s="25"/>
      <c r="B503" s="22"/>
      <c r="C503" s="25"/>
      <c r="D503" s="22"/>
      <c r="E503" s="25"/>
      <c r="F503" s="22"/>
      <c r="G503" s="25"/>
      <c r="H503" s="22"/>
      <c r="I503" s="25"/>
      <c r="J503" s="22"/>
    </row>
    <row r="504" ht="15.75" customHeight="1">
      <c r="A504" s="25"/>
      <c r="B504" s="22"/>
      <c r="C504" s="25"/>
      <c r="D504" s="22"/>
      <c r="E504" s="25"/>
      <c r="F504" s="22"/>
      <c r="G504" s="25"/>
      <c r="H504" s="22"/>
      <c r="I504" s="25"/>
      <c r="J504" s="22"/>
    </row>
    <row r="505" ht="15.75" customHeight="1">
      <c r="A505" s="25"/>
      <c r="B505" s="22"/>
      <c r="C505" s="25"/>
      <c r="D505" s="22"/>
      <c r="E505" s="25"/>
      <c r="F505" s="22"/>
      <c r="G505" s="25"/>
      <c r="H505" s="22"/>
      <c r="I505" s="25"/>
      <c r="J505" s="22"/>
    </row>
    <row r="506" ht="15.75" customHeight="1">
      <c r="A506" s="25"/>
      <c r="B506" s="22"/>
      <c r="C506" s="25"/>
      <c r="D506" s="22"/>
      <c r="E506" s="25"/>
      <c r="F506" s="22"/>
      <c r="G506" s="25"/>
      <c r="H506" s="22"/>
      <c r="I506" s="25"/>
      <c r="J506" s="22"/>
    </row>
    <row r="507" ht="15.75" customHeight="1">
      <c r="A507" s="25"/>
      <c r="B507" s="22"/>
      <c r="C507" s="25"/>
      <c r="D507" s="22"/>
      <c r="E507" s="25"/>
      <c r="F507" s="22"/>
      <c r="G507" s="25"/>
      <c r="H507" s="22"/>
      <c r="I507" s="25"/>
      <c r="J507" s="22"/>
    </row>
    <row r="508" ht="15.75" customHeight="1">
      <c r="A508" s="25"/>
      <c r="B508" s="22"/>
      <c r="C508" s="25"/>
      <c r="D508" s="22"/>
      <c r="E508" s="25"/>
      <c r="F508" s="22"/>
      <c r="G508" s="25"/>
      <c r="H508" s="22"/>
      <c r="I508" s="25"/>
      <c r="J508" s="22"/>
    </row>
    <row r="509" ht="15.75" customHeight="1">
      <c r="A509" s="25"/>
      <c r="B509" s="22"/>
      <c r="C509" s="25"/>
      <c r="D509" s="22"/>
      <c r="E509" s="25"/>
      <c r="F509" s="22"/>
      <c r="G509" s="25"/>
      <c r="H509" s="22"/>
      <c r="I509" s="25"/>
      <c r="J509" s="22"/>
    </row>
    <row r="510" ht="15.75" customHeight="1">
      <c r="A510" s="25"/>
      <c r="B510" s="22"/>
      <c r="C510" s="25"/>
      <c r="D510" s="22"/>
      <c r="E510" s="25"/>
      <c r="F510" s="22"/>
      <c r="G510" s="25"/>
      <c r="H510" s="22"/>
      <c r="I510" s="25"/>
      <c r="J510" s="22"/>
    </row>
    <row r="511" ht="15.75" customHeight="1">
      <c r="A511" s="25"/>
      <c r="B511" s="22"/>
      <c r="C511" s="25"/>
      <c r="D511" s="22"/>
      <c r="E511" s="25"/>
      <c r="F511" s="22"/>
      <c r="G511" s="25"/>
      <c r="H511" s="22"/>
      <c r="I511" s="25"/>
      <c r="J511" s="22"/>
    </row>
    <row r="512" ht="15.75" customHeight="1">
      <c r="A512" s="25"/>
      <c r="B512" s="22"/>
      <c r="C512" s="25"/>
      <c r="D512" s="22"/>
      <c r="E512" s="25"/>
      <c r="F512" s="22"/>
      <c r="G512" s="25"/>
      <c r="H512" s="22"/>
      <c r="I512" s="25"/>
      <c r="J512" s="22"/>
    </row>
    <row r="513" ht="15.75" customHeight="1">
      <c r="A513" s="25"/>
      <c r="B513" s="22"/>
      <c r="C513" s="25"/>
      <c r="D513" s="22"/>
      <c r="E513" s="25"/>
      <c r="F513" s="22"/>
      <c r="G513" s="25"/>
      <c r="H513" s="22"/>
      <c r="I513" s="25"/>
      <c r="J513" s="22"/>
    </row>
    <row r="514" ht="15.75" customHeight="1">
      <c r="A514" s="25"/>
      <c r="B514" s="22"/>
      <c r="C514" s="25"/>
      <c r="D514" s="22"/>
      <c r="E514" s="25"/>
      <c r="F514" s="22"/>
      <c r="G514" s="25"/>
      <c r="H514" s="22"/>
      <c r="I514" s="25"/>
      <c r="J514" s="22"/>
    </row>
    <row r="515" ht="15.75" customHeight="1">
      <c r="A515" s="25"/>
      <c r="B515" s="22"/>
      <c r="C515" s="25"/>
      <c r="D515" s="22"/>
      <c r="E515" s="25"/>
      <c r="F515" s="22"/>
      <c r="G515" s="25"/>
      <c r="H515" s="22"/>
      <c r="I515" s="25"/>
      <c r="J515" s="22"/>
    </row>
    <row r="516" ht="15.75" customHeight="1">
      <c r="A516" s="25"/>
      <c r="B516" s="22"/>
      <c r="C516" s="25"/>
      <c r="D516" s="22"/>
      <c r="E516" s="25"/>
      <c r="F516" s="22"/>
      <c r="G516" s="25"/>
      <c r="H516" s="22"/>
      <c r="I516" s="25"/>
      <c r="J516" s="22"/>
    </row>
    <row r="517" ht="15.75" customHeight="1">
      <c r="A517" s="25"/>
      <c r="B517" s="22"/>
      <c r="C517" s="25"/>
      <c r="D517" s="22"/>
      <c r="E517" s="25"/>
      <c r="F517" s="22"/>
      <c r="G517" s="25"/>
      <c r="H517" s="22"/>
      <c r="I517" s="25"/>
      <c r="J517" s="22"/>
    </row>
    <row r="518" ht="15.75" customHeight="1">
      <c r="A518" s="25"/>
      <c r="B518" s="22"/>
      <c r="C518" s="25"/>
      <c r="D518" s="22"/>
      <c r="E518" s="25"/>
      <c r="F518" s="22"/>
      <c r="G518" s="25"/>
      <c r="H518" s="22"/>
      <c r="I518" s="25"/>
      <c r="J518" s="22"/>
    </row>
    <row r="519" ht="15.75" customHeight="1">
      <c r="A519" s="25"/>
      <c r="B519" s="22"/>
      <c r="C519" s="25"/>
      <c r="D519" s="22"/>
      <c r="E519" s="25"/>
      <c r="F519" s="22"/>
      <c r="G519" s="25"/>
      <c r="H519" s="22"/>
      <c r="I519" s="25"/>
      <c r="J519" s="22"/>
    </row>
    <row r="520" ht="15.75" customHeight="1">
      <c r="A520" s="25"/>
      <c r="B520" s="22"/>
      <c r="C520" s="25"/>
      <c r="D520" s="22"/>
      <c r="E520" s="25"/>
      <c r="F520" s="22"/>
      <c r="G520" s="25"/>
      <c r="H520" s="22"/>
      <c r="I520" s="25"/>
      <c r="J520" s="22"/>
    </row>
    <row r="521" ht="15.75" customHeight="1">
      <c r="A521" s="25"/>
      <c r="B521" s="22"/>
      <c r="C521" s="25"/>
      <c r="D521" s="22"/>
      <c r="E521" s="25"/>
      <c r="F521" s="22"/>
      <c r="G521" s="25"/>
      <c r="H521" s="22"/>
      <c r="I521" s="25"/>
      <c r="J521" s="22"/>
    </row>
    <row r="522" ht="15.75" customHeight="1">
      <c r="A522" s="25"/>
      <c r="B522" s="22"/>
      <c r="C522" s="25"/>
      <c r="D522" s="22"/>
      <c r="E522" s="25"/>
      <c r="F522" s="22"/>
      <c r="G522" s="25"/>
      <c r="H522" s="22"/>
      <c r="I522" s="25"/>
      <c r="J522" s="22"/>
    </row>
    <row r="523" ht="15.75" customHeight="1">
      <c r="A523" s="25"/>
      <c r="B523" s="22"/>
      <c r="C523" s="25"/>
      <c r="D523" s="22"/>
      <c r="E523" s="25"/>
      <c r="F523" s="22"/>
      <c r="G523" s="25"/>
      <c r="H523" s="22"/>
      <c r="I523" s="25"/>
      <c r="J523" s="22"/>
    </row>
    <row r="524" ht="15.75" customHeight="1">
      <c r="A524" s="25"/>
      <c r="B524" s="22"/>
      <c r="C524" s="25"/>
      <c r="D524" s="22"/>
      <c r="E524" s="25"/>
      <c r="F524" s="22"/>
      <c r="G524" s="25"/>
      <c r="H524" s="22"/>
      <c r="I524" s="25"/>
      <c r="J524" s="22"/>
    </row>
    <row r="525" ht="15.75" customHeight="1">
      <c r="A525" s="25"/>
      <c r="B525" s="22"/>
      <c r="C525" s="25"/>
      <c r="D525" s="22"/>
      <c r="E525" s="25"/>
      <c r="F525" s="22"/>
      <c r="G525" s="25"/>
      <c r="H525" s="22"/>
      <c r="I525" s="25"/>
      <c r="J525" s="22"/>
    </row>
    <row r="526" ht="15.75" customHeight="1">
      <c r="A526" s="25"/>
      <c r="B526" s="22"/>
      <c r="C526" s="25"/>
      <c r="D526" s="22"/>
      <c r="E526" s="25"/>
      <c r="F526" s="22"/>
      <c r="G526" s="25"/>
      <c r="H526" s="22"/>
      <c r="I526" s="25"/>
      <c r="J526" s="22"/>
    </row>
    <row r="527" ht="15.75" customHeight="1">
      <c r="A527" s="25"/>
      <c r="B527" s="22"/>
      <c r="C527" s="25"/>
      <c r="D527" s="22"/>
      <c r="E527" s="25"/>
      <c r="F527" s="22"/>
      <c r="G527" s="25"/>
      <c r="H527" s="22"/>
      <c r="I527" s="25"/>
      <c r="J527" s="22"/>
    </row>
    <row r="528" ht="15.75" customHeight="1">
      <c r="A528" s="25"/>
      <c r="B528" s="22"/>
      <c r="C528" s="25"/>
      <c r="D528" s="22"/>
      <c r="E528" s="25"/>
      <c r="F528" s="22"/>
      <c r="G528" s="25"/>
      <c r="H528" s="22"/>
      <c r="I528" s="25"/>
      <c r="J528" s="22"/>
    </row>
    <row r="529" ht="15.75" customHeight="1">
      <c r="A529" s="25"/>
      <c r="B529" s="22"/>
      <c r="C529" s="25"/>
      <c r="D529" s="22"/>
      <c r="E529" s="25"/>
      <c r="F529" s="22"/>
      <c r="G529" s="25"/>
      <c r="H529" s="22"/>
      <c r="I529" s="25"/>
      <c r="J529" s="22"/>
    </row>
    <row r="530" ht="15.75" customHeight="1">
      <c r="A530" s="25"/>
      <c r="B530" s="22"/>
      <c r="C530" s="25"/>
      <c r="D530" s="22"/>
      <c r="E530" s="25"/>
      <c r="F530" s="22"/>
      <c r="G530" s="25"/>
      <c r="H530" s="22"/>
      <c r="I530" s="25"/>
      <c r="J530" s="22"/>
    </row>
    <row r="531" ht="15.75" customHeight="1">
      <c r="A531" s="25"/>
      <c r="B531" s="22"/>
      <c r="C531" s="25"/>
      <c r="D531" s="22"/>
      <c r="E531" s="25"/>
      <c r="F531" s="22"/>
      <c r="G531" s="25"/>
      <c r="H531" s="22"/>
      <c r="I531" s="25"/>
      <c r="J531" s="22"/>
    </row>
    <row r="532" ht="15.75" customHeight="1">
      <c r="A532" s="25"/>
      <c r="B532" s="22"/>
      <c r="C532" s="25"/>
      <c r="D532" s="22"/>
      <c r="E532" s="25"/>
      <c r="F532" s="22"/>
      <c r="G532" s="25"/>
      <c r="H532" s="22"/>
      <c r="I532" s="25"/>
      <c r="J532" s="22"/>
    </row>
    <row r="533" ht="15.75" customHeight="1">
      <c r="A533" s="25"/>
      <c r="B533" s="22"/>
      <c r="C533" s="25"/>
      <c r="D533" s="22"/>
      <c r="E533" s="25"/>
      <c r="F533" s="22"/>
      <c r="G533" s="25"/>
      <c r="H533" s="22"/>
      <c r="I533" s="25"/>
      <c r="J533" s="22"/>
    </row>
    <row r="534" ht="15.75" customHeight="1">
      <c r="A534" s="25"/>
      <c r="B534" s="22"/>
      <c r="C534" s="25"/>
      <c r="D534" s="22"/>
      <c r="E534" s="25"/>
      <c r="F534" s="22"/>
      <c r="G534" s="25"/>
      <c r="H534" s="22"/>
      <c r="I534" s="25"/>
      <c r="J534" s="22"/>
    </row>
    <row r="535" ht="15.75" customHeight="1">
      <c r="A535" s="25"/>
      <c r="B535" s="22"/>
      <c r="C535" s="25"/>
      <c r="D535" s="22"/>
      <c r="E535" s="25"/>
      <c r="F535" s="22"/>
      <c r="G535" s="25"/>
      <c r="H535" s="22"/>
      <c r="I535" s="25"/>
      <c r="J535" s="22"/>
    </row>
    <row r="536" ht="15.75" customHeight="1">
      <c r="A536" s="25"/>
      <c r="B536" s="22"/>
      <c r="C536" s="25"/>
      <c r="D536" s="22"/>
      <c r="E536" s="25"/>
      <c r="F536" s="22"/>
      <c r="G536" s="25"/>
      <c r="H536" s="22"/>
      <c r="I536" s="25"/>
      <c r="J536" s="22"/>
    </row>
    <row r="537" ht="15.75" customHeight="1">
      <c r="A537" s="25"/>
      <c r="B537" s="22"/>
      <c r="C537" s="25"/>
      <c r="D537" s="22"/>
      <c r="E537" s="25"/>
      <c r="F537" s="22"/>
      <c r="G537" s="25"/>
      <c r="H537" s="22"/>
      <c r="I537" s="25"/>
      <c r="J537" s="22"/>
    </row>
    <row r="538" ht="15.75" customHeight="1">
      <c r="A538" s="25"/>
      <c r="B538" s="22"/>
      <c r="C538" s="25"/>
      <c r="D538" s="22"/>
      <c r="E538" s="25"/>
      <c r="F538" s="22"/>
      <c r="G538" s="25"/>
      <c r="H538" s="22"/>
      <c r="I538" s="25"/>
      <c r="J538" s="22"/>
    </row>
    <row r="539" ht="15.75" customHeight="1">
      <c r="A539" s="25"/>
      <c r="B539" s="22"/>
      <c r="C539" s="25"/>
      <c r="D539" s="22"/>
      <c r="E539" s="25"/>
      <c r="F539" s="22"/>
      <c r="G539" s="25"/>
      <c r="H539" s="22"/>
      <c r="I539" s="25"/>
      <c r="J539" s="22"/>
    </row>
    <row r="540" ht="15.75" customHeight="1">
      <c r="A540" s="25"/>
      <c r="B540" s="22"/>
      <c r="C540" s="25"/>
      <c r="D540" s="22"/>
      <c r="E540" s="25"/>
      <c r="F540" s="22"/>
      <c r="G540" s="25"/>
      <c r="H540" s="22"/>
      <c r="I540" s="25"/>
      <c r="J540" s="22"/>
    </row>
    <row r="541" ht="15.75" customHeight="1">
      <c r="A541" s="25"/>
      <c r="B541" s="22"/>
      <c r="C541" s="25"/>
      <c r="D541" s="22"/>
      <c r="E541" s="25"/>
      <c r="F541" s="22"/>
      <c r="G541" s="25"/>
      <c r="H541" s="22"/>
      <c r="I541" s="25"/>
      <c r="J541" s="22"/>
    </row>
    <row r="542" ht="15.75" customHeight="1">
      <c r="A542" s="25"/>
      <c r="B542" s="22"/>
      <c r="C542" s="25"/>
      <c r="D542" s="22"/>
      <c r="E542" s="25"/>
      <c r="F542" s="22"/>
      <c r="G542" s="25"/>
      <c r="H542" s="22"/>
      <c r="I542" s="25"/>
      <c r="J542" s="22"/>
    </row>
    <row r="543" ht="15.75" customHeight="1">
      <c r="A543" s="25"/>
      <c r="B543" s="22"/>
      <c r="C543" s="25"/>
      <c r="D543" s="22"/>
      <c r="E543" s="25"/>
      <c r="F543" s="22"/>
      <c r="G543" s="25"/>
      <c r="H543" s="22"/>
      <c r="I543" s="25"/>
      <c r="J543" s="22"/>
    </row>
    <row r="544" ht="15.75" customHeight="1">
      <c r="A544" s="25"/>
      <c r="B544" s="22"/>
      <c r="C544" s="25"/>
      <c r="D544" s="22"/>
      <c r="E544" s="25"/>
      <c r="F544" s="22"/>
      <c r="G544" s="25"/>
      <c r="H544" s="22"/>
      <c r="I544" s="25"/>
      <c r="J544" s="22"/>
    </row>
    <row r="545" ht="15.75" customHeight="1">
      <c r="A545" s="25"/>
      <c r="B545" s="22"/>
      <c r="C545" s="25"/>
      <c r="D545" s="22"/>
      <c r="E545" s="25"/>
      <c r="F545" s="22"/>
      <c r="G545" s="25"/>
      <c r="H545" s="22"/>
      <c r="I545" s="25"/>
      <c r="J545" s="22"/>
    </row>
    <row r="546" ht="15.75" customHeight="1">
      <c r="A546" s="25"/>
      <c r="B546" s="22"/>
      <c r="C546" s="25"/>
      <c r="D546" s="22"/>
      <c r="E546" s="25"/>
      <c r="F546" s="22"/>
      <c r="G546" s="25"/>
      <c r="H546" s="22"/>
      <c r="I546" s="25"/>
      <c r="J546" s="22"/>
    </row>
    <row r="547" ht="15.75" customHeight="1">
      <c r="A547" s="25"/>
      <c r="B547" s="22"/>
      <c r="C547" s="25"/>
      <c r="D547" s="22"/>
      <c r="E547" s="25"/>
      <c r="F547" s="22"/>
      <c r="G547" s="25"/>
      <c r="H547" s="22"/>
      <c r="I547" s="25"/>
      <c r="J547" s="22"/>
    </row>
    <row r="548" ht="15.75" customHeight="1">
      <c r="A548" s="25"/>
      <c r="B548" s="22"/>
      <c r="C548" s="25"/>
      <c r="D548" s="22"/>
      <c r="E548" s="25"/>
      <c r="F548" s="22"/>
      <c r="G548" s="25"/>
      <c r="H548" s="22"/>
      <c r="I548" s="25"/>
      <c r="J548" s="22"/>
    </row>
    <row r="549" ht="15.75" customHeight="1">
      <c r="A549" s="25"/>
      <c r="B549" s="22"/>
      <c r="C549" s="25"/>
      <c r="D549" s="22"/>
      <c r="E549" s="25"/>
      <c r="F549" s="22"/>
      <c r="G549" s="25"/>
      <c r="H549" s="22"/>
      <c r="I549" s="25"/>
      <c r="J549" s="22"/>
    </row>
    <row r="550" ht="15.75" customHeight="1">
      <c r="A550" s="25"/>
      <c r="B550" s="22"/>
      <c r="C550" s="25"/>
      <c r="D550" s="22"/>
      <c r="E550" s="25"/>
      <c r="F550" s="22"/>
      <c r="G550" s="25"/>
      <c r="H550" s="22"/>
      <c r="I550" s="25"/>
      <c r="J550" s="22"/>
    </row>
    <row r="551" ht="15.75" customHeight="1">
      <c r="A551" s="25"/>
      <c r="B551" s="22"/>
      <c r="C551" s="25"/>
      <c r="D551" s="22"/>
      <c r="E551" s="25"/>
      <c r="F551" s="22"/>
      <c r="G551" s="25"/>
      <c r="H551" s="22"/>
      <c r="I551" s="25"/>
      <c r="J551" s="22"/>
    </row>
    <row r="552" ht="15.75" customHeight="1">
      <c r="A552" s="25"/>
      <c r="B552" s="22"/>
      <c r="C552" s="25"/>
      <c r="D552" s="22"/>
      <c r="E552" s="25"/>
      <c r="F552" s="22"/>
      <c r="G552" s="25"/>
      <c r="H552" s="22"/>
      <c r="I552" s="25"/>
      <c r="J552" s="22"/>
    </row>
    <row r="553" ht="15.75" customHeight="1">
      <c r="A553" s="25"/>
      <c r="B553" s="22"/>
      <c r="C553" s="25"/>
      <c r="D553" s="22"/>
      <c r="E553" s="25"/>
      <c r="F553" s="22"/>
      <c r="G553" s="25"/>
      <c r="H553" s="22"/>
      <c r="I553" s="25"/>
      <c r="J553" s="22"/>
    </row>
    <row r="554" ht="15.75" customHeight="1">
      <c r="A554" s="25"/>
      <c r="B554" s="22"/>
      <c r="C554" s="25"/>
      <c r="D554" s="22"/>
      <c r="E554" s="25"/>
      <c r="F554" s="22"/>
      <c r="G554" s="25"/>
      <c r="H554" s="22"/>
      <c r="I554" s="25"/>
      <c r="J554" s="22"/>
    </row>
    <row r="555" ht="15.75" customHeight="1">
      <c r="A555" s="25"/>
      <c r="B555" s="22"/>
      <c r="C555" s="25"/>
      <c r="D555" s="22"/>
      <c r="E555" s="25"/>
      <c r="F555" s="22"/>
      <c r="G555" s="25"/>
      <c r="H555" s="22"/>
      <c r="I555" s="25"/>
      <c r="J555" s="22"/>
    </row>
    <row r="556" ht="15.75" customHeight="1">
      <c r="A556" s="25"/>
      <c r="B556" s="22"/>
      <c r="C556" s="25"/>
      <c r="D556" s="22"/>
      <c r="E556" s="25"/>
      <c r="F556" s="22"/>
      <c r="G556" s="25"/>
      <c r="H556" s="22"/>
      <c r="I556" s="25"/>
      <c r="J556" s="22"/>
    </row>
    <row r="557" ht="15.75" customHeight="1">
      <c r="A557" s="25"/>
      <c r="B557" s="22"/>
      <c r="C557" s="25"/>
      <c r="D557" s="22"/>
      <c r="E557" s="25"/>
      <c r="F557" s="22"/>
      <c r="G557" s="25"/>
      <c r="H557" s="22"/>
      <c r="I557" s="25"/>
      <c r="J557" s="22"/>
    </row>
    <row r="558" ht="15.75" customHeight="1">
      <c r="A558" s="25"/>
      <c r="B558" s="22"/>
      <c r="C558" s="25"/>
      <c r="D558" s="22"/>
      <c r="E558" s="25"/>
      <c r="F558" s="22"/>
      <c r="G558" s="25"/>
      <c r="H558" s="22"/>
      <c r="I558" s="25"/>
      <c r="J558" s="22"/>
    </row>
    <row r="559" ht="15.75" customHeight="1">
      <c r="A559" s="25"/>
      <c r="B559" s="22"/>
      <c r="C559" s="25"/>
      <c r="D559" s="22"/>
      <c r="E559" s="25"/>
      <c r="F559" s="22"/>
      <c r="G559" s="25"/>
      <c r="H559" s="22"/>
      <c r="I559" s="25"/>
      <c r="J559" s="22"/>
    </row>
    <row r="560" ht="15.75" customHeight="1">
      <c r="A560" s="25"/>
      <c r="B560" s="22"/>
      <c r="C560" s="25"/>
      <c r="D560" s="22"/>
      <c r="E560" s="25"/>
      <c r="F560" s="22"/>
      <c r="G560" s="25"/>
      <c r="H560" s="22"/>
      <c r="I560" s="25"/>
      <c r="J560" s="22"/>
    </row>
    <row r="561" ht="15.75" customHeight="1">
      <c r="A561" s="25"/>
      <c r="B561" s="22"/>
      <c r="C561" s="25"/>
      <c r="D561" s="22"/>
      <c r="E561" s="25"/>
      <c r="F561" s="22"/>
      <c r="G561" s="25"/>
      <c r="H561" s="22"/>
      <c r="I561" s="25"/>
      <c r="J561" s="22"/>
    </row>
    <row r="562" ht="15.75" customHeight="1">
      <c r="A562" s="25"/>
      <c r="B562" s="22"/>
      <c r="C562" s="25"/>
      <c r="D562" s="22"/>
      <c r="E562" s="25"/>
      <c r="F562" s="22"/>
      <c r="G562" s="25"/>
      <c r="H562" s="22"/>
      <c r="I562" s="25"/>
      <c r="J562" s="22"/>
    </row>
    <row r="563" ht="15.75" customHeight="1">
      <c r="A563" s="25"/>
      <c r="B563" s="22"/>
      <c r="C563" s="25"/>
      <c r="D563" s="22"/>
      <c r="E563" s="25"/>
      <c r="F563" s="22"/>
      <c r="G563" s="25"/>
      <c r="H563" s="22"/>
      <c r="I563" s="25"/>
      <c r="J563" s="22"/>
    </row>
    <row r="564" ht="15.75" customHeight="1">
      <c r="A564" s="25"/>
      <c r="B564" s="22"/>
      <c r="C564" s="25"/>
      <c r="D564" s="22"/>
      <c r="E564" s="25"/>
      <c r="F564" s="22"/>
      <c r="G564" s="25"/>
      <c r="H564" s="22"/>
      <c r="I564" s="25"/>
      <c r="J564" s="22"/>
    </row>
    <row r="565" ht="15.75" customHeight="1">
      <c r="A565" s="25"/>
      <c r="B565" s="22"/>
      <c r="C565" s="25"/>
      <c r="D565" s="22"/>
      <c r="E565" s="25"/>
      <c r="F565" s="22"/>
      <c r="G565" s="25"/>
      <c r="H565" s="22"/>
      <c r="I565" s="25"/>
      <c r="J565" s="22"/>
    </row>
    <row r="566" ht="15.75" customHeight="1">
      <c r="A566" s="25"/>
      <c r="B566" s="22"/>
      <c r="C566" s="25"/>
      <c r="D566" s="22"/>
      <c r="E566" s="25"/>
      <c r="F566" s="22"/>
      <c r="G566" s="25"/>
      <c r="H566" s="22"/>
      <c r="I566" s="25"/>
      <c r="J566" s="22"/>
    </row>
    <row r="567" ht="15.75" customHeight="1">
      <c r="A567" s="25"/>
      <c r="B567" s="22"/>
      <c r="C567" s="25"/>
      <c r="D567" s="22"/>
      <c r="E567" s="25"/>
      <c r="F567" s="22"/>
      <c r="G567" s="25"/>
      <c r="H567" s="22"/>
      <c r="I567" s="25"/>
      <c r="J567" s="22"/>
    </row>
    <row r="568" ht="15.75" customHeight="1">
      <c r="A568" s="25"/>
      <c r="B568" s="22"/>
      <c r="C568" s="25"/>
      <c r="D568" s="22"/>
      <c r="E568" s="25"/>
      <c r="F568" s="22"/>
      <c r="G568" s="25"/>
      <c r="H568" s="22"/>
      <c r="I568" s="25"/>
      <c r="J568" s="22"/>
    </row>
    <row r="569" ht="15.75" customHeight="1">
      <c r="A569" s="25"/>
      <c r="B569" s="22"/>
      <c r="C569" s="25"/>
      <c r="D569" s="22"/>
      <c r="E569" s="25"/>
      <c r="F569" s="22"/>
      <c r="G569" s="25"/>
      <c r="H569" s="22"/>
      <c r="I569" s="25"/>
      <c r="J569" s="22"/>
    </row>
    <row r="570" ht="15.75" customHeight="1">
      <c r="A570" s="25"/>
      <c r="B570" s="22"/>
      <c r="C570" s="25"/>
      <c r="D570" s="22"/>
      <c r="E570" s="25"/>
      <c r="F570" s="22"/>
      <c r="G570" s="25"/>
      <c r="H570" s="22"/>
      <c r="I570" s="25"/>
      <c r="J570" s="22"/>
    </row>
    <row r="571" ht="15.75" customHeight="1">
      <c r="A571" s="25"/>
      <c r="B571" s="22"/>
      <c r="C571" s="25"/>
      <c r="D571" s="22"/>
      <c r="E571" s="25"/>
      <c r="F571" s="22"/>
      <c r="G571" s="25"/>
      <c r="H571" s="22"/>
      <c r="I571" s="25"/>
      <c r="J571" s="22"/>
    </row>
    <row r="572" ht="15.75" customHeight="1">
      <c r="A572" s="25"/>
      <c r="B572" s="22"/>
      <c r="C572" s="25"/>
      <c r="D572" s="22"/>
      <c r="E572" s="25"/>
      <c r="F572" s="22"/>
      <c r="G572" s="25"/>
      <c r="H572" s="22"/>
      <c r="I572" s="25"/>
      <c r="J572" s="22"/>
    </row>
    <row r="573" ht="15.75" customHeight="1">
      <c r="A573" s="25"/>
      <c r="B573" s="22"/>
      <c r="C573" s="25"/>
      <c r="D573" s="22"/>
      <c r="E573" s="25"/>
      <c r="F573" s="22"/>
      <c r="G573" s="25"/>
      <c r="H573" s="22"/>
      <c r="I573" s="25"/>
      <c r="J573" s="22"/>
    </row>
    <row r="574" ht="15.75" customHeight="1">
      <c r="A574" s="25"/>
      <c r="B574" s="22"/>
      <c r="C574" s="25"/>
      <c r="D574" s="22"/>
      <c r="E574" s="25"/>
      <c r="F574" s="22"/>
      <c r="G574" s="25"/>
      <c r="H574" s="22"/>
      <c r="I574" s="25"/>
      <c r="J574" s="22"/>
    </row>
    <row r="575" ht="15.75" customHeight="1">
      <c r="A575" s="25"/>
      <c r="B575" s="22"/>
      <c r="C575" s="25"/>
      <c r="D575" s="22"/>
      <c r="E575" s="25"/>
      <c r="F575" s="22"/>
      <c r="G575" s="25"/>
      <c r="H575" s="22"/>
      <c r="I575" s="25"/>
      <c r="J575" s="22"/>
    </row>
    <row r="576" ht="15.75" customHeight="1">
      <c r="A576" s="25"/>
      <c r="B576" s="22"/>
      <c r="C576" s="25"/>
      <c r="D576" s="22"/>
      <c r="E576" s="25"/>
      <c r="F576" s="22"/>
      <c r="G576" s="25"/>
      <c r="H576" s="22"/>
      <c r="I576" s="25"/>
      <c r="J576" s="22"/>
    </row>
    <row r="577" ht="15.75" customHeight="1">
      <c r="A577" s="25"/>
      <c r="B577" s="22"/>
      <c r="C577" s="25"/>
      <c r="D577" s="22"/>
      <c r="E577" s="25"/>
      <c r="F577" s="22"/>
      <c r="G577" s="25"/>
      <c r="H577" s="22"/>
      <c r="I577" s="25"/>
      <c r="J577" s="22"/>
    </row>
    <row r="578" ht="15.75" customHeight="1">
      <c r="A578" s="25"/>
      <c r="B578" s="22"/>
      <c r="C578" s="25"/>
      <c r="D578" s="22"/>
      <c r="E578" s="25"/>
      <c r="F578" s="22"/>
      <c r="G578" s="25"/>
      <c r="H578" s="22"/>
      <c r="I578" s="25"/>
      <c r="J578" s="22"/>
    </row>
    <row r="579" ht="15.75" customHeight="1">
      <c r="A579" s="25"/>
      <c r="B579" s="22"/>
      <c r="C579" s="25"/>
      <c r="D579" s="22"/>
      <c r="E579" s="25"/>
      <c r="F579" s="22"/>
      <c r="G579" s="25"/>
      <c r="H579" s="22"/>
      <c r="I579" s="25"/>
      <c r="J579" s="22"/>
    </row>
    <row r="580" ht="15.75" customHeight="1">
      <c r="A580" s="25"/>
      <c r="B580" s="22"/>
      <c r="C580" s="25"/>
      <c r="D580" s="22"/>
      <c r="E580" s="25"/>
      <c r="F580" s="22"/>
      <c r="G580" s="25"/>
      <c r="H580" s="22"/>
      <c r="I580" s="25"/>
      <c r="J580" s="22"/>
    </row>
    <row r="581" ht="15.75" customHeight="1">
      <c r="A581" s="25"/>
      <c r="B581" s="22"/>
      <c r="C581" s="25"/>
      <c r="D581" s="22"/>
      <c r="E581" s="25"/>
      <c r="F581" s="22"/>
      <c r="G581" s="25"/>
      <c r="H581" s="22"/>
      <c r="I581" s="25"/>
      <c r="J581" s="22"/>
    </row>
    <row r="582" ht="15.75" customHeight="1">
      <c r="A582" s="25"/>
      <c r="B582" s="22"/>
      <c r="C582" s="25"/>
      <c r="D582" s="22"/>
      <c r="E582" s="25"/>
      <c r="F582" s="22"/>
      <c r="G582" s="25"/>
      <c r="H582" s="22"/>
      <c r="I582" s="25"/>
      <c r="J582" s="22"/>
    </row>
    <row r="583" ht="15.75" customHeight="1">
      <c r="A583" s="25"/>
      <c r="B583" s="22"/>
      <c r="C583" s="25"/>
      <c r="D583" s="22"/>
      <c r="E583" s="25"/>
      <c r="F583" s="22"/>
      <c r="G583" s="25"/>
      <c r="H583" s="22"/>
      <c r="I583" s="25"/>
      <c r="J583" s="22"/>
    </row>
    <row r="584" ht="15.75" customHeight="1">
      <c r="A584" s="25"/>
      <c r="B584" s="22"/>
      <c r="C584" s="25"/>
      <c r="D584" s="22"/>
      <c r="E584" s="25"/>
      <c r="F584" s="22"/>
      <c r="G584" s="25"/>
      <c r="H584" s="22"/>
      <c r="I584" s="25"/>
      <c r="J584" s="22"/>
    </row>
    <row r="585" ht="15.75" customHeight="1">
      <c r="A585" s="25"/>
      <c r="B585" s="22"/>
      <c r="C585" s="25"/>
      <c r="D585" s="22"/>
      <c r="E585" s="25"/>
      <c r="F585" s="22"/>
      <c r="G585" s="25"/>
      <c r="H585" s="22"/>
      <c r="I585" s="25"/>
      <c r="J585" s="22"/>
    </row>
    <row r="586" ht="15.75" customHeight="1">
      <c r="A586" s="25"/>
      <c r="B586" s="22"/>
      <c r="C586" s="25"/>
      <c r="D586" s="22"/>
      <c r="E586" s="25"/>
      <c r="F586" s="22"/>
      <c r="G586" s="25"/>
      <c r="H586" s="22"/>
      <c r="I586" s="25"/>
      <c r="J586" s="22"/>
    </row>
    <row r="587" ht="15.75" customHeight="1">
      <c r="A587" s="25"/>
      <c r="B587" s="22"/>
      <c r="C587" s="25"/>
      <c r="D587" s="22"/>
      <c r="E587" s="25"/>
      <c r="F587" s="22"/>
      <c r="G587" s="25"/>
      <c r="H587" s="22"/>
      <c r="I587" s="25"/>
      <c r="J587" s="22"/>
    </row>
    <row r="588" ht="15.75" customHeight="1">
      <c r="A588" s="25"/>
      <c r="B588" s="22"/>
      <c r="C588" s="25"/>
      <c r="D588" s="22"/>
      <c r="E588" s="25"/>
      <c r="F588" s="22"/>
      <c r="G588" s="25"/>
      <c r="H588" s="22"/>
      <c r="I588" s="25"/>
      <c r="J588" s="22"/>
    </row>
    <row r="589" ht="15.75" customHeight="1">
      <c r="A589" s="25"/>
      <c r="B589" s="22"/>
      <c r="C589" s="25"/>
      <c r="D589" s="22"/>
      <c r="E589" s="25"/>
      <c r="F589" s="22"/>
      <c r="G589" s="25"/>
      <c r="H589" s="22"/>
      <c r="I589" s="25"/>
      <c r="J589" s="22"/>
    </row>
    <row r="590" ht="15.75" customHeight="1">
      <c r="A590" s="25"/>
      <c r="B590" s="22"/>
      <c r="C590" s="25"/>
      <c r="D590" s="22"/>
      <c r="E590" s="25"/>
      <c r="F590" s="22"/>
      <c r="G590" s="25"/>
      <c r="H590" s="22"/>
      <c r="I590" s="25"/>
      <c r="J590" s="22"/>
    </row>
    <row r="591" ht="15.75" customHeight="1">
      <c r="A591" s="25"/>
      <c r="B591" s="22"/>
      <c r="C591" s="25"/>
      <c r="D591" s="22"/>
      <c r="E591" s="25"/>
      <c r="F591" s="22"/>
      <c r="G591" s="25"/>
      <c r="H591" s="22"/>
      <c r="I591" s="25"/>
      <c r="J591" s="22"/>
    </row>
    <row r="592" ht="15.75" customHeight="1">
      <c r="A592" s="25"/>
      <c r="B592" s="22"/>
      <c r="C592" s="25"/>
      <c r="D592" s="22"/>
      <c r="E592" s="25"/>
      <c r="F592" s="22"/>
      <c r="G592" s="25"/>
      <c r="H592" s="22"/>
      <c r="I592" s="25"/>
      <c r="J592" s="22"/>
    </row>
    <row r="593" ht="15.75" customHeight="1">
      <c r="A593" s="25"/>
      <c r="B593" s="22"/>
      <c r="C593" s="25"/>
      <c r="D593" s="22"/>
      <c r="E593" s="25"/>
      <c r="F593" s="22"/>
      <c r="G593" s="25"/>
      <c r="H593" s="22"/>
      <c r="I593" s="25"/>
      <c r="J593" s="22"/>
    </row>
    <row r="594" ht="15.75" customHeight="1">
      <c r="A594" s="25"/>
      <c r="B594" s="22"/>
      <c r="C594" s="25"/>
      <c r="D594" s="22"/>
      <c r="E594" s="25"/>
      <c r="F594" s="22"/>
      <c r="G594" s="25"/>
      <c r="H594" s="22"/>
      <c r="I594" s="25"/>
      <c r="J594" s="22"/>
    </row>
    <row r="595" ht="15.75" customHeight="1">
      <c r="A595" s="25"/>
      <c r="B595" s="22"/>
      <c r="C595" s="25"/>
      <c r="D595" s="22"/>
      <c r="E595" s="25"/>
      <c r="F595" s="22"/>
      <c r="G595" s="25"/>
      <c r="H595" s="22"/>
      <c r="I595" s="25"/>
      <c r="J595" s="22"/>
    </row>
    <row r="596" ht="15.75" customHeight="1">
      <c r="A596" s="25"/>
      <c r="B596" s="22"/>
      <c r="C596" s="25"/>
      <c r="D596" s="22"/>
      <c r="E596" s="25"/>
      <c r="F596" s="22"/>
      <c r="G596" s="25"/>
      <c r="H596" s="22"/>
      <c r="I596" s="25"/>
      <c r="J596" s="22"/>
    </row>
    <row r="597" ht="15.75" customHeight="1">
      <c r="A597" s="25"/>
      <c r="B597" s="22"/>
      <c r="C597" s="25"/>
      <c r="D597" s="22"/>
      <c r="E597" s="25"/>
      <c r="F597" s="22"/>
      <c r="G597" s="25"/>
      <c r="H597" s="22"/>
      <c r="I597" s="25"/>
      <c r="J597" s="22"/>
    </row>
    <row r="598" ht="15.75" customHeight="1">
      <c r="A598" s="25"/>
      <c r="B598" s="22"/>
      <c r="C598" s="25"/>
      <c r="D598" s="22"/>
      <c r="E598" s="25"/>
      <c r="F598" s="22"/>
      <c r="G598" s="25"/>
      <c r="H598" s="22"/>
      <c r="I598" s="25"/>
      <c r="J598" s="22"/>
    </row>
    <row r="599" ht="15.75" customHeight="1">
      <c r="A599" s="25"/>
      <c r="B599" s="22"/>
      <c r="C599" s="25"/>
      <c r="D599" s="22"/>
      <c r="E599" s="25"/>
      <c r="F599" s="22"/>
      <c r="G599" s="25"/>
      <c r="H599" s="22"/>
      <c r="I599" s="25"/>
      <c r="J599" s="22"/>
    </row>
    <row r="600" ht="15.75" customHeight="1">
      <c r="A600" s="25"/>
      <c r="B600" s="22"/>
      <c r="C600" s="25"/>
      <c r="D600" s="22"/>
      <c r="E600" s="25"/>
      <c r="F600" s="22"/>
      <c r="G600" s="25"/>
      <c r="H600" s="22"/>
      <c r="I600" s="25"/>
      <c r="J600" s="22"/>
    </row>
    <row r="601" ht="15.75" customHeight="1">
      <c r="A601" s="25"/>
      <c r="B601" s="22"/>
      <c r="C601" s="25"/>
      <c r="D601" s="22"/>
      <c r="E601" s="25"/>
      <c r="F601" s="22"/>
      <c r="G601" s="25"/>
      <c r="H601" s="22"/>
      <c r="I601" s="25"/>
      <c r="J601" s="22"/>
    </row>
    <row r="602" ht="15.75" customHeight="1">
      <c r="A602" s="25"/>
      <c r="B602" s="22"/>
      <c r="C602" s="25"/>
      <c r="D602" s="22"/>
      <c r="E602" s="25"/>
      <c r="F602" s="22"/>
      <c r="G602" s="25"/>
      <c r="H602" s="22"/>
      <c r="I602" s="25"/>
      <c r="J602" s="22"/>
    </row>
    <row r="603" ht="15.75" customHeight="1">
      <c r="A603" s="25"/>
      <c r="B603" s="22"/>
      <c r="C603" s="25"/>
      <c r="D603" s="22"/>
      <c r="E603" s="25"/>
      <c r="F603" s="22"/>
      <c r="G603" s="25"/>
      <c r="H603" s="22"/>
      <c r="I603" s="25"/>
      <c r="J603" s="22"/>
    </row>
    <row r="604" ht="15.75" customHeight="1">
      <c r="A604" s="25"/>
      <c r="B604" s="22"/>
      <c r="C604" s="25"/>
      <c r="D604" s="22"/>
      <c r="E604" s="25"/>
      <c r="F604" s="22"/>
      <c r="G604" s="25"/>
      <c r="H604" s="22"/>
      <c r="I604" s="25"/>
      <c r="J604" s="22"/>
    </row>
    <row r="605" ht="15.75" customHeight="1">
      <c r="A605" s="25"/>
      <c r="B605" s="22"/>
      <c r="C605" s="25"/>
      <c r="D605" s="22"/>
      <c r="E605" s="25"/>
      <c r="F605" s="22"/>
      <c r="G605" s="25"/>
      <c r="H605" s="22"/>
      <c r="I605" s="25"/>
      <c r="J605" s="22"/>
    </row>
    <row r="606" ht="15.75" customHeight="1">
      <c r="A606" s="25"/>
      <c r="B606" s="22"/>
      <c r="C606" s="25"/>
      <c r="D606" s="22"/>
      <c r="E606" s="25"/>
      <c r="F606" s="22"/>
      <c r="G606" s="25"/>
      <c r="H606" s="22"/>
      <c r="I606" s="25"/>
      <c r="J606" s="22"/>
    </row>
    <row r="607" ht="15.75" customHeight="1">
      <c r="A607" s="25"/>
      <c r="B607" s="22"/>
      <c r="C607" s="25"/>
      <c r="D607" s="22"/>
      <c r="E607" s="25"/>
      <c r="F607" s="22"/>
      <c r="G607" s="25"/>
      <c r="H607" s="22"/>
      <c r="I607" s="25"/>
      <c r="J607" s="22"/>
    </row>
    <row r="608" ht="15.75" customHeight="1">
      <c r="A608" s="25"/>
      <c r="B608" s="22"/>
      <c r="C608" s="25"/>
      <c r="D608" s="22"/>
      <c r="E608" s="25"/>
      <c r="F608" s="22"/>
      <c r="G608" s="25"/>
      <c r="H608" s="22"/>
      <c r="I608" s="25"/>
      <c r="J608" s="22"/>
    </row>
    <row r="609" ht="15.75" customHeight="1">
      <c r="A609" s="25"/>
      <c r="B609" s="22"/>
      <c r="C609" s="25"/>
      <c r="D609" s="22"/>
      <c r="E609" s="25"/>
      <c r="F609" s="22"/>
      <c r="G609" s="25"/>
      <c r="H609" s="22"/>
      <c r="I609" s="25"/>
      <c r="J609" s="22"/>
    </row>
    <row r="610" ht="15.75" customHeight="1">
      <c r="A610" s="25"/>
      <c r="B610" s="22"/>
      <c r="C610" s="25"/>
      <c r="D610" s="22"/>
      <c r="E610" s="25"/>
      <c r="F610" s="22"/>
      <c r="G610" s="25"/>
      <c r="H610" s="22"/>
      <c r="I610" s="25"/>
      <c r="J610" s="22"/>
    </row>
    <row r="611" ht="15.75" customHeight="1">
      <c r="A611" s="25"/>
      <c r="B611" s="22"/>
      <c r="C611" s="25"/>
      <c r="D611" s="22"/>
      <c r="E611" s="25"/>
      <c r="F611" s="22"/>
      <c r="G611" s="25"/>
      <c r="H611" s="22"/>
      <c r="I611" s="25"/>
      <c r="J611" s="22"/>
    </row>
    <row r="612" ht="15.75" customHeight="1">
      <c r="A612" s="25"/>
      <c r="B612" s="22"/>
      <c r="C612" s="25"/>
      <c r="D612" s="22"/>
      <c r="E612" s="25"/>
      <c r="F612" s="22"/>
      <c r="G612" s="25"/>
      <c r="H612" s="22"/>
      <c r="I612" s="25"/>
      <c r="J612" s="22"/>
    </row>
    <row r="613" ht="15.75" customHeight="1">
      <c r="A613" s="25"/>
      <c r="B613" s="22"/>
      <c r="C613" s="25"/>
      <c r="D613" s="22"/>
      <c r="E613" s="25"/>
      <c r="F613" s="22"/>
      <c r="G613" s="25"/>
      <c r="H613" s="22"/>
      <c r="I613" s="25"/>
      <c r="J613" s="22"/>
    </row>
    <row r="614" ht="15.75" customHeight="1">
      <c r="A614" s="25"/>
      <c r="B614" s="22"/>
      <c r="C614" s="25"/>
      <c r="D614" s="22"/>
      <c r="E614" s="25"/>
      <c r="F614" s="22"/>
      <c r="G614" s="25"/>
      <c r="H614" s="22"/>
      <c r="I614" s="25"/>
      <c r="J614" s="22"/>
    </row>
    <row r="615" ht="15.75" customHeight="1">
      <c r="A615" s="25"/>
      <c r="B615" s="22"/>
      <c r="C615" s="25"/>
      <c r="D615" s="22"/>
      <c r="E615" s="25"/>
      <c r="F615" s="22"/>
      <c r="G615" s="25"/>
      <c r="H615" s="22"/>
      <c r="I615" s="25"/>
      <c r="J615" s="22"/>
    </row>
    <row r="616" ht="15.75" customHeight="1">
      <c r="A616" s="25"/>
      <c r="B616" s="22"/>
      <c r="C616" s="25"/>
      <c r="D616" s="22"/>
      <c r="E616" s="25"/>
      <c r="F616" s="22"/>
      <c r="G616" s="25"/>
      <c r="H616" s="22"/>
      <c r="I616" s="25"/>
      <c r="J616" s="22"/>
    </row>
    <row r="617" ht="15.75" customHeight="1">
      <c r="A617" s="25"/>
      <c r="B617" s="22"/>
      <c r="C617" s="25"/>
      <c r="D617" s="22"/>
      <c r="E617" s="25"/>
      <c r="F617" s="22"/>
      <c r="G617" s="25"/>
      <c r="H617" s="22"/>
      <c r="I617" s="25"/>
      <c r="J617" s="22"/>
    </row>
    <row r="618" ht="15.75" customHeight="1">
      <c r="A618" s="25"/>
      <c r="B618" s="22"/>
      <c r="C618" s="25"/>
      <c r="D618" s="22"/>
      <c r="E618" s="25"/>
      <c r="F618" s="22"/>
      <c r="G618" s="25"/>
      <c r="H618" s="22"/>
      <c r="I618" s="25"/>
      <c r="J618" s="22"/>
    </row>
    <row r="619" ht="15.75" customHeight="1">
      <c r="A619" s="25"/>
      <c r="B619" s="22"/>
      <c r="C619" s="25"/>
      <c r="D619" s="22"/>
      <c r="E619" s="25"/>
      <c r="F619" s="22"/>
      <c r="G619" s="25"/>
      <c r="H619" s="22"/>
      <c r="I619" s="25"/>
      <c r="J619" s="22"/>
    </row>
    <row r="620" ht="15.75" customHeight="1">
      <c r="A620" s="25"/>
      <c r="B620" s="22"/>
      <c r="C620" s="25"/>
      <c r="D620" s="22"/>
      <c r="E620" s="25"/>
      <c r="F620" s="22"/>
      <c r="G620" s="25"/>
      <c r="H620" s="22"/>
      <c r="I620" s="25"/>
      <c r="J620" s="22"/>
    </row>
    <row r="621" ht="15.75" customHeight="1">
      <c r="A621" s="25"/>
      <c r="B621" s="22"/>
      <c r="C621" s="25"/>
      <c r="D621" s="22"/>
      <c r="E621" s="25"/>
      <c r="F621" s="22"/>
      <c r="G621" s="25"/>
      <c r="H621" s="22"/>
      <c r="I621" s="25"/>
      <c r="J621" s="22"/>
    </row>
    <row r="622" ht="15.75" customHeight="1">
      <c r="A622" s="25"/>
      <c r="B622" s="22"/>
      <c r="C622" s="25"/>
      <c r="D622" s="22"/>
      <c r="E622" s="25"/>
      <c r="F622" s="22"/>
      <c r="G622" s="25"/>
      <c r="H622" s="22"/>
      <c r="I622" s="25"/>
      <c r="J622" s="22"/>
    </row>
    <row r="623" ht="15.75" customHeight="1">
      <c r="A623" s="25"/>
      <c r="B623" s="22"/>
      <c r="C623" s="25"/>
      <c r="D623" s="22"/>
      <c r="E623" s="25"/>
      <c r="F623" s="22"/>
      <c r="G623" s="25"/>
      <c r="H623" s="22"/>
      <c r="I623" s="25"/>
      <c r="J623" s="22"/>
    </row>
    <row r="624" ht="15.75" customHeight="1">
      <c r="A624" s="25"/>
      <c r="B624" s="22"/>
      <c r="C624" s="25"/>
      <c r="D624" s="22"/>
      <c r="E624" s="25"/>
      <c r="F624" s="22"/>
      <c r="G624" s="25"/>
      <c r="H624" s="22"/>
      <c r="I624" s="25"/>
      <c r="J624" s="22"/>
    </row>
    <row r="625" ht="15.75" customHeight="1">
      <c r="A625" s="25"/>
      <c r="B625" s="22"/>
      <c r="C625" s="25"/>
      <c r="D625" s="22"/>
      <c r="E625" s="25"/>
      <c r="F625" s="22"/>
      <c r="G625" s="25"/>
      <c r="H625" s="22"/>
      <c r="I625" s="25"/>
      <c r="J625" s="22"/>
    </row>
    <row r="626" ht="15.75" customHeight="1">
      <c r="A626" s="25"/>
      <c r="B626" s="22"/>
      <c r="C626" s="25"/>
      <c r="D626" s="22"/>
      <c r="E626" s="25"/>
      <c r="F626" s="22"/>
      <c r="G626" s="25"/>
      <c r="H626" s="22"/>
      <c r="I626" s="25"/>
      <c r="J626" s="22"/>
    </row>
    <row r="627" ht="15.75" customHeight="1">
      <c r="A627" s="25"/>
      <c r="B627" s="22"/>
      <c r="C627" s="25"/>
      <c r="D627" s="22"/>
      <c r="E627" s="25"/>
      <c r="F627" s="22"/>
      <c r="G627" s="25"/>
      <c r="H627" s="22"/>
      <c r="I627" s="25"/>
      <c r="J627" s="22"/>
    </row>
    <row r="628" ht="15.75" customHeight="1">
      <c r="A628" s="25"/>
      <c r="B628" s="22"/>
      <c r="C628" s="25"/>
      <c r="D628" s="22"/>
      <c r="E628" s="25"/>
      <c r="F628" s="22"/>
      <c r="G628" s="25"/>
      <c r="H628" s="22"/>
      <c r="I628" s="25"/>
      <c r="J628" s="22"/>
    </row>
    <row r="629" ht="15.75" customHeight="1">
      <c r="A629" s="25"/>
      <c r="B629" s="22"/>
      <c r="C629" s="25"/>
      <c r="D629" s="22"/>
      <c r="E629" s="25"/>
      <c r="F629" s="22"/>
      <c r="G629" s="25"/>
      <c r="H629" s="22"/>
      <c r="I629" s="25"/>
      <c r="J629" s="22"/>
    </row>
    <row r="630" ht="15.75" customHeight="1">
      <c r="A630" s="25"/>
      <c r="B630" s="22"/>
      <c r="C630" s="25"/>
      <c r="D630" s="22"/>
      <c r="E630" s="25"/>
      <c r="F630" s="22"/>
      <c r="G630" s="25"/>
      <c r="H630" s="22"/>
      <c r="I630" s="25"/>
      <c r="J630" s="22"/>
    </row>
    <row r="631" ht="15.75" customHeight="1">
      <c r="A631" s="25"/>
      <c r="B631" s="22"/>
      <c r="C631" s="25"/>
      <c r="D631" s="22"/>
      <c r="E631" s="25"/>
      <c r="F631" s="22"/>
      <c r="G631" s="25"/>
      <c r="H631" s="22"/>
      <c r="I631" s="25"/>
      <c r="J631" s="22"/>
    </row>
    <row r="632" ht="15.75" customHeight="1">
      <c r="A632" s="25"/>
      <c r="B632" s="22"/>
      <c r="C632" s="25"/>
      <c r="D632" s="22"/>
      <c r="E632" s="25"/>
      <c r="F632" s="22"/>
      <c r="G632" s="25"/>
      <c r="H632" s="22"/>
      <c r="I632" s="25"/>
      <c r="J632" s="22"/>
    </row>
    <row r="633" ht="15.75" customHeight="1">
      <c r="A633" s="25"/>
      <c r="B633" s="22"/>
      <c r="C633" s="25"/>
      <c r="D633" s="22"/>
      <c r="E633" s="25"/>
      <c r="F633" s="22"/>
      <c r="G633" s="25"/>
      <c r="H633" s="22"/>
      <c r="I633" s="25"/>
      <c r="J633" s="22"/>
    </row>
    <row r="634" ht="15.75" customHeight="1">
      <c r="A634" s="25"/>
      <c r="B634" s="22"/>
      <c r="C634" s="25"/>
      <c r="D634" s="22"/>
      <c r="E634" s="25"/>
      <c r="F634" s="22"/>
      <c r="G634" s="25"/>
      <c r="H634" s="22"/>
      <c r="I634" s="25"/>
      <c r="J634" s="22"/>
    </row>
    <row r="635" ht="15.75" customHeight="1">
      <c r="A635" s="25"/>
      <c r="B635" s="22"/>
      <c r="C635" s="25"/>
      <c r="D635" s="22"/>
      <c r="E635" s="25"/>
      <c r="F635" s="22"/>
      <c r="G635" s="25"/>
      <c r="H635" s="22"/>
      <c r="I635" s="25"/>
      <c r="J635" s="22"/>
    </row>
    <row r="636" ht="15.75" customHeight="1">
      <c r="A636" s="25"/>
      <c r="B636" s="22"/>
      <c r="C636" s="25"/>
      <c r="D636" s="22"/>
      <c r="E636" s="25"/>
      <c r="F636" s="22"/>
      <c r="G636" s="25"/>
      <c r="H636" s="22"/>
      <c r="I636" s="25"/>
      <c r="J636" s="22"/>
    </row>
    <row r="637" ht="15.75" customHeight="1">
      <c r="A637" s="25"/>
      <c r="B637" s="22"/>
      <c r="C637" s="25"/>
      <c r="D637" s="22"/>
      <c r="E637" s="25"/>
      <c r="F637" s="22"/>
      <c r="G637" s="25"/>
      <c r="H637" s="22"/>
      <c r="I637" s="25"/>
      <c r="J637" s="22"/>
    </row>
    <row r="638" ht="15.75" customHeight="1">
      <c r="A638" s="25"/>
      <c r="B638" s="22"/>
      <c r="C638" s="25"/>
      <c r="D638" s="22"/>
      <c r="E638" s="25"/>
      <c r="F638" s="22"/>
      <c r="G638" s="25"/>
      <c r="H638" s="22"/>
      <c r="I638" s="25"/>
      <c r="J638" s="22"/>
    </row>
    <row r="639" ht="15.75" customHeight="1">
      <c r="A639" s="25"/>
      <c r="B639" s="22"/>
      <c r="C639" s="25"/>
      <c r="D639" s="22"/>
      <c r="E639" s="25"/>
      <c r="F639" s="22"/>
      <c r="G639" s="25"/>
      <c r="H639" s="22"/>
      <c r="I639" s="25"/>
      <c r="J639" s="22"/>
    </row>
    <row r="640" ht="15.75" customHeight="1">
      <c r="A640" s="25"/>
      <c r="B640" s="22"/>
      <c r="C640" s="25"/>
      <c r="D640" s="22"/>
      <c r="E640" s="25"/>
      <c r="F640" s="22"/>
      <c r="G640" s="25"/>
      <c r="H640" s="22"/>
      <c r="I640" s="25"/>
      <c r="J640" s="22"/>
    </row>
    <row r="641" ht="15.75" customHeight="1">
      <c r="A641" s="25"/>
      <c r="B641" s="22"/>
      <c r="C641" s="25"/>
      <c r="D641" s="22"/>
      <c r="E641" s="25"/>
      <c r="F641" s="22"/>
      <c r="G641" s="25"/>
      <c r="H641" s="22"/>
      <c r="I641" s="25"/>
      <c r="J641" s="22"/>
    </row>
    <row r="642" ht="15.75" customHeight="1">
      <c r="A642" s="25"/>
      <c r="B642" s="22"/>
      <c r="C642" s="25"/>
      <c r="D642" s="22"/>
      <c r="E642" s="25"/>
      <c r="F642" s="22"/>
      <c r="G642" s="25"/>
      <c r="H642" s="22"/>
      <c r="I642" s="25"/>
      <c r="J642" s="22"/>
    </row>
    <row r="643" ht="15.75" customHeight="1">
      <c r="A643" s="25"/>
      <c r="B643" s="22"/>
      <c r="C643" s="25"/>
      <c r="D643" s="22"/>
      <c r="E643" s="25"/>
      <c r="F643" s="22"/>
      <c r="G643" s="25"/>
      <c r="H643" s="22"/>
      <c r="I643" s="25"/>
      <c r="J643" s="22"/>
    </row>
    <row r="644" ht="15.75" customHeight="1">
      <c r="A644" s="25"/>
      <c r="B644" s="22"/>
      <c r="C644" s="25"/>
      <c r="D644" s="22"/>
      <c r="E644" s="25"/>
      <c r="F644" s="22"/>
      <c r="G644" s="25"/>
      <c r="H644" s="22"/>
      <c r="I644" s="25"/>
      <c r="J644" s="22"/>
    </row>
    <row r="645" ht="15.75" customHeight="1">
      <c r="A645" s="25"/>
      <c r="B645" s="22"/>
      <c r="C645" s="25"/>
      <c r="D645" s="22"/>
      <c r="E645" s="25"/>
      <c r="F645" s="22"/>
      <c r="G645" s="25"/>
      <c r="H645" s="22"/>
      <c r="I645" s="25"/>
      <c r="J645" s="22"/>
    </row>
    <row r="646" ht="15.75" customHeight="1">
      <c r="A646" s="25"/>
      <c r="B646" s="22"/>
      <c r="C646" s="25"/>
      <c r="D646" s="22"/>
      <c r="E646" s="25"/>
      <c r="F646" s="22"/>
      <c r="G646" s="25"/>
      <c r="H646" s="22"/>
      <c r="I646" s="25"/>
      <c r="J646" s="22"/>
    </row>
    <row r="647" ht="15.75" customHeight="1">
      <c r="A647" s="25"/>
      <c r="B647" s="22"/>
      <c r="C647" s="25"/>
      <c r="D647" s="22"/>
      <c r="E647" s="25"/>
      <c r="F647" s="22"/>
      <c r="G647" s="25"/>
      <c r="H647" s="22"/>
      <c r="I647" s="25"/>
      <c r="J647" s="22"/>
    </row>
    <row r="648" ht="15.75" customHeight="1">
      <c r="A648" s="25"/>
      <c r="B648" s="22"/>
      <c r="C648" s="25"/>
      <c r="D648" s="22"/>
      <c r="E648" s="25"/>
      <c r="F648" s="22"/>
      <c r="G648" s="25"/>
      <c r="H648" s="22"/>
      <c r="I648" s="25"/>
      <c r="J648" s="22"/>
    </row>
    <row r="649" ht="15.75" customHeight="1">
      <c r="A649" s="25"/>
      <c r="B649" s="22"/>
      <c r="C649" s="25"/>
      <c r="D649" s="22"/>
      <c r="E649" s="25"/>
      <c r="F649" s="22"/>
      <c r="G649" s="25"/>
      <c r="H649" s="22"/>
      <c r="I649" s="25"/>
      <c r="J649" s="22"/>
    </row>
    <row r="650" ht="15.75" customHeight="1">
      <c r="A650" s="25"/>
      <c r="B650" s="22"/>
      <c r="C650" s="25"/>
      <c r="D650" s="22"/>
      <c r="E650" s="25"/>
      <c r="F650" s="22"/>
      <c r="G650" s="25"/>
      <c r="H650" s="22"/>
      <c r="I650" s="25"/>
      <c r="J650" s="22"/>
    </row>
    <row r="651" ht="15.75" customHeight="1">
      <c r="A651" s="25"/>
      <c r="B651" s="22"/>
      <c r="C651" s="25"/>
      <c r="D651" s="22"/>
      <c r="E651" s="25"/>
      <c r="F651" s="22"/>
      <c r="G651" s="25"/>
      <c r="H651" s="22"/>
      <c r="I651" s="25"/>
      <c r="J651" s="22"/>
    </row>
    <row r="652" ht="15.75" customHeight="1">
      <c r="A652" s="25"/>
      <c r="B652" s="22"/>
      <c r="C652" s="25"/>
      <c r="D652" s="22"/>
      <c r="E652" s="25"/>
      <c r="F652" s="22"/>
      <c r="G652" s="25"/>
      <c r="H652" s="22"/>
      <c r="I652" s="25"/>
      <c r="J652" s="22"/>
    </row>
    <row r="653" ht="15.75" customHeight="1">
      <c r="A653" s="25"/>
      <c r="B653" s="22"/>
      <c r="C653" s="25"/>
      <c r="D653" s="22"/>
      <c r="E653" s="25"/>
      <c r="F653" s="22"/>
      <c r="G653" s="25"/>
      <c r="H653" s="22"/>
      <c r="I653" s="25"/>
      <c r="J653" s="22"/>
    </row>
    <row r="654" ht="15.75" customHeight="1">
      <c r="A654" s="25"/>
      <c r="B654" s="22"/>
      <c r="C654" s="25"/>
      <c r="D654" s="22"/>
      <c r="E654" s="25"/>
      <c r="F654" s="22"/>
      <c r="G654" s="25"/>
      <c r="H654" s="22"/>
      <c r="I654" s="25"/>
      <c r="J654" s="22"/>
    </row>
    <row r="655" ht="15.75" customHeight="1">
      <c r="A655" s="25"/>
      <c r="B655" s="22"/>
      <c r="C655" s="25"/>
      <c r="D655" s="22"/>
      <c r="E655" s="25"/>
      <c r="F655" s="22"/>
      <c r="G655" s="25"/>
      <c r="H655" s="22"/>
      <c r="I655" s="25"/>
      <c r="J655" s="22"/>
    </row>
    <row r="656" ht="15.75" customHeight="1">
      <c r="A656" s="25"/>
      <c r="B656" s="22"/>
      <c r="C656" s="25"/>
      <c r="D656" s="22"/>
      <c r="E656" s="25"/>
      <c r="F656" s="22"/>
      <c r="G656" s="25"/>
      <c r="H656" s="22"/>
      <c r="I656" s="25"/>
      <c r="J656" s="22"/>
    </row>
    <row r="657" ht="15.75" customHeight="1">
      <c r="A657" s="25"/>
      <c r="B657" s="22"/>
      <c r="C657" s="25"/>
      <c r="D657" s="22"/>
      <c r="E657" s="25"/>
      <c r="F657" s="22"/>
      <c r="G657" s="25"/>
      <c r="H657" s="22"/>
      <c r="I657" s="25"/>
      <c r="J657" s="22"/>
    </row>
    <row r="658" ht="15.75" customHeight="1">
      <c r="A658" s="25"/>
      <c r="B658" s="22"/>
      <c r="C658" s="25"/>
      <c r="D658" s="22"/>
      <c r="E658" s="25"/>
      <c r="F658" s="22"/>
      <c r="G658" s="25"/>
      <c r="H658" s="22"/>
      <c r="I658" s="25"/>
      <c r="J658" s="22"/>
    </row>
    <row r="659" ht="15.75" customHeight="1">
      <c r="A659" s="25"/>
      <c r="B659" s="22"/>
      <c r="C659" s="25"/>
      <c r="D659" s="22"/>
      <c r="E659" s="25"/>
      <c r="F659" s="22"/>
      <c r="G659" s="25"/>
      <c r="H659" s="22"/>
      <c r="I659" s="25"/>
      <c r="J659" s="22"/>
    </row>
    <row r="660" ht="15.75" customHeight="1">
      <c r="A660" s="25"/>
      <c r="B660" s="22"/>
      <c r="C660" s="25"/>
      <c r="D660" s="22"/>
      <c r="E660" s="25"/>
      <c r="F660" s="22"/>
      <c r="G660" s="25"/>
      <c r="H660" s="22"/>
      <c r="I660" s="25"/>
      <c r="J660" s="22"/>
    </row>
    <row r="661" ht="15.75" customHeight="1">
      <c r="A661" s="25"/>
      <c r="B661" s="22"/>
      <c r="C661" s="25"/>
      <c r="D661" s="22"/>
      <c r="E661" s="25"/>
      <c r="F661" s="22"/>
      <c r="G661" s="25"/>
      <c r="H661" s="22"/>
      <c r="I661" s="25"/>
      <c r="J661" s="22"/>
    </row>
    <row r="662" ht="15.75" customHeight="1">
      <c r="A662" s="25"/>
      <c r="B662" s="22"/>
      <c r="C662" s="25"/>
      <c r="D662" s="22"/>
      <c r="E662" s="25"/>
      <c r="F662" s="22"/>
      <c r="G662" s="25"/>
      <c r="H662" s="22"/>
      <c r="I662" s="25"/>
      <c r="J662" s="22"/>
    </row>
    <row r="663" ht="15.75" customHeight="1">
      <c r="A663" s="25"/>
      <c r="B663" s="22"/>
      <c r="C663" s="25"/>
      <c r="D663" s="22"/>
      <c r="E663" s="25"/>
      <c r="F663" s="22"/>
      <c r="G663" s="25"/>
      <c r="H663" s="22"/>
      <c r="I663" s="25"/>
      <c r="J663" s="22"/>
    </row>
    <row r="664" ht="15.75" customHeight="1">
      <c r="A664" s="25"/>
      <c r="B664" s="22"/>
      <c r="C664" s="25"/>
      <c r="D664" s="22"/>
      <c r="E664" s="25"/>
      <c r="F664" s="22"/>
      <c r="G664" s="25"/>
      <c r="H664" s="22"/>
      <c r="I664" s="25"/>
      <c r="J664" s="22"/>
    </row>
    <row r="665" ht="15.75" customHeight="1">
      <c r="A665" s="25"/>
      <c r="B665" s="22"/>
      <c r="C665" s="25"/>
      <c r="D665" s="22"/>
      <c r="E665" s="25"/>
      <c r="F665" s="22"/>
      <c r="G665" s="25"/>
      <c r="H665" s="22"/>
      <c r="I665" s="25"/>
      <c r="J665" s="22"/>
    </row>
    <row r="666" ht="15.75" customHeight="1">
      <c r="A666" s="25"/>
      <c r="B666" s="22"/>
      <c r="C666" s="25"/>
      <c r="D666" s="22"/>
      <c r="E666" s="25"/>
      <c r="F666" s="22"/>
      <c r="G666" s="25"/>
      <c r="H666" s="22"/>
      <c r="I666" s="25"/>
      <c r="J666" s="22"/>
    </row>
    <row r="667" ht="15.75" customHeight="1">
      <c r="A667" s="25"/>
      <c r="B667" s="22"/>
      <c r="C667" s="25"/>
      <c r="D667" s="22"/>
      <c r="E667" s="25"/>
      <c r="F667" s="22"/>
      <c r="G667" s="25"/>
      <c r="H667" s="22"/>
      <c r="I667" s="25"/>
      <c r="J667" s="22"/>
    </row>
    <row r="668" ht="15.75" customHeight="1">
      <c r="A668" s="25"/>
      <c r="B668" s="22"/>
      <c r="C668" s="25"/>
      <c r="D668" s="22"/>
      <c r="E668" s="25"/>
      <c r="F668" s="22"/>
      <c r="G668" s="25"/>
      <c r="H668" s="22"/>
      <c r="I668" s="25"/>
      <c r="J668" s="22"/>
    </row>
    <row r="669" ht="15.75" customHeight="1">
      <c r="A669" s="25"/>
      <c r="B669" s="22"/>
      <c r="C669" s="25"/>
      <c r="D669" s="22"/>
      <c r="E669" s="25"/>
      <c r="F669" s="22"/>
      <c r="G669" s="25"/>
      <c r="H669" s="22"/>
      <c r="I669" s="25"/>
      <c r="J669" s="22"/>
    </row>
    <row r="670" ht="15.75" customHeight="1">
      <c r="A670" s="25"/>
      <c r="B670" s="22"/>
      <c r="C670" s="25"/>
      <c r="D670" s="22"/>
      <c r="E670" s="25"/>
      <c r="F670" s="22"/>
      <c r="G670" s="25"/>
      <c r="H670" s="22"/>
      <c r="I670" s="25"/>
      <c r="J670" s="22"/>
    </row>
    <row r="671" ht="15.75" customHeight="1">
      <c r="A671" s="25"/>
      <c r="B671" s="22"/>
      <c r="C671" s="25"/>
      <c r="D671" s="22"/>
      <c r="E671" s="25"/>
      <c r="F671" s="22"/>
      <c r="G671" s="25"/>
      <c r="H671" s="22"/>
      <c r="I671" s="25"/>
      <c r="J671" s="22"/>
    </row>
    <row r="672" ht="15.75" customHeight="1">
      <c r="A672" s="25"/>
      <c r="B672" s="22"/>
      <c r="C672" s="25"/>
      <c r="D672" s="22"/>
      <c r="E672" s="25"/>
      <c r="F672" s="22"/>
      <c r="G672" s="25"/>
      <c r="H672" s="22"/>
      <c r="I672" s="25"/>
      <c r="J672" s="22"/>
    </row>
    <row r="673" ht="15.75" customHeight="1">
      <c r="A673" s="25"/>
      <c r="B673" s="22"/>
      <c r="C673" s="25"/>
      <c r="D673" s="22"/>
      <c r="E673" s="25"/>
      <c r="F673" s="22"/>
      <c r="G673" s="25"/>
      <c r="H673" s="22"/>
      <c r="I673" s="25"/>
      <c r="J673" s="22"/>
    </row>
    <row r="674" ht="15.75" customHeight="1">
      <c r="A674" s="25"/>
      <c r="B674" s="22"/>
      <c r="C674" s="25"/>
      <c r="D674" s="22"/>
      <c r="E674" s="25"/>
      <c r="F674" s="22"/>
      <c r="G674" s="25"/>
      <c r="H674" s="22"/>
      <c r="I674" s="25"/>
      <c r="J674" s="22"/>
    </row>
    <row r="675" ht="15.75" customHeight="1">
      <c r="A675" s="25"/>
      <c r="B675" s="22"/>
      <c r="C675" s="25"/>
      <c r="D675" s="22"/>
      <c r="E675" s="25"/>
      <c r="F675" s="22"/>
      <c r="G675" s="25"/>
      <c r="H675" s="22"/>
      <c r="I675" s="25"/>
      <c r="J675" s="22"/>
    </row>
    <row r="676" ht="15.75" customHeight="1">
      <c r="A676" s="25"/>
      <c r="B676" s="22"/>
      <c r="C676" s="25"/>
      <c r="D676" s="22"/>
      <c r="E676" s="25"/>
      <c r="F676" s="22"/>
      <c r="G676" s="25"/>
      <c r="H676" s="22"/>
      <c r="I676" s="25"/>
      <c r="J676" s="22"/>
    </row>
    <row r="677" ht="15.75" customHeight="1">
      <c r="A677" s="25"/>
      <c r="B677" s="22"/>
      <c r="C677" s="25"/>
      <c r="D677" s="22"/>
      <c r="E677" s="25"/>
      <c r="F677" s="22"/>
      <c r="G677" s="25"/>
      <c r="H677" s="22"/>
      <c r="I677" s="25"/>
      <c r="J677" s="22"/>
    </row>
    <row r="678" ht="15.75" customHeight="1">
      <c r="A678" s="25"/>
      <c r="B678" s="22"/>
      <c r="C678" s="25"/>
      <c r="D678" s="22"/>
      <c r="E678" s="25"/>
      <c r="F678" s="22"/>
      <c r="G678" s="25"/>
      <c r="H678" s="22"/>
      <c r="I678" s="25"/>
      <c r="J678" s="22"/>
    </row>
    <row r="679" ht="15.75" customHeight="1">
      <c r="A679" s="25"/>
      <c r="B679" s="22"/>
      <c r="C679" s="25"/>
      <c r="D679" s="22"/>
      <c r="E679" s="25"/>
      <c r="F679" s="22"/>
      <c r="G679" s="25"/>
      <c r="H679" s="22"/>
      <c r="I679" s="25"/>
      <c r="J679" s="22"/>
    </row>
    <row r="680" ht="15.75" customHeight="1">
      <c r="A680" s="25"/>
      <c r="B680" s="22"/>
      <c r="C680" s="25"/>
      <c r="D680" s="22"/>
      <c r="E680" s="25"/>
      <c r="F680" s="22"/>
      <c r="G680" s="25"/>
      <c r="H680" s="22"/>
      <c r="I680" s="25"/>
      <c r="J680" s="22"/>
    </row>
    <row r="681" ht="15.75" customHeight="1">
      <c r="A681" s="25"/>
      <c r="B681" s="22"/>
      <c r="C681" s="25"/>
      <c r="D681" s="22"/>
      <c r="E681" s="25"/>
      <c r="F681" s="22"/>
      <c r="G681" s="25"/>
      <c r="H681" s="22"/>
      <c r="I681" s="25"/>
      <c r="J681" s="22"/>
    </row>
    <row r="682" ht="15.75" customHeight="1">
      <c r="A682" s="25"/>
      <c r="B682" s="22"/>
      <c r="C682" s="25"/>
      <c r="D682" s="22"/>
      <c r="E682" s="25"/>
      <c r="F682" s="22"/>
      <c r="G682" s="25"/>
      <c r="H682" s="22"/>
      <c r="I682" s="25"/>
      <c r="J682" s="22"/>
    </row>
    <row r="683" ht="15.75" customHeight="1">
      <c r="A683" s="25"/>
      <c r="B683" s="22"/>
      <c r="C683" s="25"/>
      <c r="D683" s="22"/>
      <c r="E683" s="25"/>
      <c r="F683" s="22"/>
      <c r="G683" s="25"/>
      <c r="H683" s="22"/>
      <c r="I683" s="25"/>
      <c r="J683" s="22"/>
    </row>
    <row r="684" ht="15.75" customHeight="1">
      <c r="A684" s="25"/>
      <c r="B684" s="22"/>
      <c r="C684" s="25"/>
      <c r="D684" s="22"/>
      <c r="E684" s="25"/>
      <c r="F684" s="22"/>
      <c r="G684" s="25"/>
      <c r="H684" s="22"/>
      <c r="I684" s="25"/>
      <c r="J684" s="22"/>
    </row>
    <row r="685" ht="15.75" customHeight="1">
      <c r="A685" s="25"/>
      <c r="B685" s="22"/>
      <c r="C685" s="25"/>
      <c r="D685" s="22"/>
      <c r="E685" s="25"/>
      <c r="F685" s="22"/>
      <c r="G685" s="25"/>
      <c r="H685" s="22"/>
      <c r="I685" s="25"/>
      <c r="J685" s="22"/>
    </row>
    <row r="686" ht="15.75" customHeight="1">
      <c r="A686" s="25"/>
      <c r="B686" s="22"/>
      <c r="C686" s="25"/>
      <c r="D686" s="22"/>
      <c r="E686" s="25"/>
      <c r="F686" s="22"/>
      <c r="G686" s="25"/>
      <c r="H686" s="22"/>
      <c r="I686" s="25"/>
      <c r="J686" s="22"/>
    </row>
    <row r="687" ht="15.75" customHeight="1">
      <c r="A687" s="25"/>
      <c r="B687" s="22"/>
      <c r="C687" s="25"/>
      <c r="D687" s="22"/>
      <c r="E687" s="25"/>
      <c r="F687" s="22"/>
      <c r="G687" s="25"/>
      <c r="H687" s="22"/>
      <c r="I687" s="25"/>
      <c r="J687" s="22"/>
    </row>
    <row r="688" ht="15.75" customHeight="1">
      <c r="A688" s="25"/>
      <c r="B688" s="22"/>
      <c r="C688" s="25"/>
      <c r="D688" s="22"/>
      <c r="E688" s="25"/>
      <c r="F688" s="22"/>
      <c r="G688" s="25"/>
      <c r="H688" s="22"/>
      <c r="I688" s="25"/>
      <c r="J688" s="22"/>
    </row>
    <row r="689" ht="15.75" customHeight="1">
      <c r="A689" s="25"/>
      <c r="B689" s="22"/>
      <c r="C689" s="25"/>
      <c r="D689" s="22"/>
      <c r="E689" s="25"/>
      <c r="F689" s="22"/>
      <c r="G689" s="25"/>
      <c r="H689" s="22"/>
      <c r="I689" s="25"/>
      <c r="J689" s="22"/>
    </row>
    <row r="690" ht="15.75" customHeight="1">
      <c r="A690" s="25"/>
      <c r="B690" s="22"/>
      <c r="C690" s="25"/>
      <c r="D690" s="22"/>
      <c r="E690" s="25"/>
      <c r="F690" s="22"/>
      <c r="G690" s="25"/>
      <c r="H690" s="22"/>
      <c r="I690" s="25"/>
      <c r="J690" s="22"/>
    </row>
    <row r="691" ht="15.75" customHeight="1">
      <c r="A691" s="25"/>
      <c r="B691" s="22"/>
      <c r="C691" s="25"/>
      <c r="D691" s="22"/>
      <c r="E691" s="25"/>
      <c r="F691" s="22"/>
      <c r="G691" s="25"/>
      <c r="H691" s="22"/>
      <c r="I691" s="25"/>
      <c r="J691" s="22"/>
    </row>
    <row r="692" ht="15.75" customHeight="1">
      <c r="A692" s="25"/>
      <c r="B692" s="22"/>
      <c r="C692" s="25"/>
      <c r="D692" s="22"/>
      <c r="E692" s="25"/>
      <c r="F692" s="22"/>
      <c r="G692" s="25"/>
      <c r="H692" s="22"/>
      <c r="I692" s="25"/>
      <c r="J692" s="22"/>
    </row>
    <row r="693" ht="15.75" customHeight="1">
      <c r="A693" s="25"/>
      <c r="B693" s="22"/>
      <c r="C693" s="25"/>
      <c r="D693" s="22"/>
      <c r="E693" s="25"/>
      <c r="F693" s="22"/>
      <c r="G693" s="25"/>
      <c r="H693" s="22"/>
      <c r="I693" s="25"/>
      <c r="J693" s="22"/>
    </row>
    <row r="694" ht="15.75" customHeight="1">
      <c r="A694" s="25"/>
      <c r="B694" s="22"/>
      <c r="C694" s="25"/>
      <c r="D694" s="22"/>
      <c r="E694" s="25"/>
      <c r="F694" s="22"/>
      <c r="G694" s="25"/>
      <c r="H694" s="22"/>
      <c r="I694" s="25"/>
      <c r="J694" s="22"/>
    </row>
    <row r="695" ht="15.75" customHeight="1">
      <c r="A695" s="25"/>
      <c r="B695" s="22"/>
      <c r="C695" s="25"/>
      <c r="D695" s="22"/>
      <c r="E695" s="25"/>
      <c r="F695" s="22"/>
      <c r="G695" s="25"/>
      <c r="H695" s="22"/>
      <c r="I695" s="25"/>
      <c r="J695" s="22"/>
    </row>
    <row r="696" ht="15.75" customHeight="1">
      <c r="A696" s="25"/>
      <c r="B696" s="22"/>
      <c r="C696" s="25"/>
      <c r="D696" s="22"/>
      <c r="E696" s="25"/>
      <c r="F696" s="22"/>
      <c r="G696" s="25"/>
      <c r="H696" s="22"/>
      <c r="I696" s="25"/>
      <c r="J696" s="22"/>
    </row>
    <row r="697" ht="15.75" customHeight="1">
      <c r="A697" s="25"/>
      <c r="B697" s="22"/>
      <c r="C697" s="25"/>
      <c r="D697" s="22"/>
      <c r="E697" s="25"/>
      <c r="F697" s="22"/>
      <c r="G697" s="25"/>
      <c r="H697" s="22"/>
      <c r="I697" s="25"/>
      <c r="J697" s="22"/>
    </row>
    <row r="698" ht="15.75" customHeight="1">
      <c r="A698" s="25"/>
      <c r="B698" s="22"/>
      <c r="C698" s="25"/>
      <c r="D698" s="22"/>
      <c r="E698" s="25"/>
      <c r="F698" s="22"/>
      <c r="G698" s="25"/>
      <c r="H698" s="22"/>
      <c r="I698" s="25"/>
      <c r="J698" s="22"/>
    </row>
    <row r="699" ht="15.75" customHeight="1">
      <c r="A699" s="25"/>
      <c r="B699" s="22"/>
      <c r="C699" s="25"/>
      <c r="D699" s="22"/>
      <c r="E699" s="25"/>
      <c r="F699" s="22"/>
      <c r="G699" s="25"/>
      <c r="H699" s="22"/>
      <c r="I699" s="25"/>
      <c r="J699" s="22"/>
    </row>
    <row r="700" ht="15.75" customHeight="1">
      <c r="A700" s="25"/>
      <c r="B700" s="22"/>
      <c r="C700" s="25"/>
      <c r="D700" s="22"/>
      <c r="E700" s="25"/>
      <c r="F700" s="22"/>
      <c r="G700" s="25"/>
      <c r="H700" s="22"/>
      <c r="I700" s="25"/>
      <c r="J700" s="22"/>
    </row>
    <row r="701" ht="15.75" customHeight="1">
      <c r="A701" s="25"/>
      <c r="B701" s="22"/>
      <c r="C701" s="25"/>
      <c r="D701" s="22"/>
      <c r="E701" s="25"/>
      <c r="F701" s="22"/>
      <c r="G701" s="25"/>
      <c r="H701" s="22"/>
      <c r="I701" s="25"/>
      <c r="J701" s="22"/>
    </row>
    <row r="702" ht="15.75" customHeight="1">
      <c r="A702" s="25"/>
      <c r="B702" s="22"/>
      <c r="C702" s="25"/>
      <c r="D702" s="22"/>
      <c r="E702" s="25"/>
      <c r="F702" s="22"/>
      <c r="G702" s="25"/>
      <c r="H702" s="22"/>
      <c r="I702" s="25"/>
      <c r="J702" s="22"/>
    </row>
    <row r="703" ht="15.75" customHeight="1">
      <c r="A703" s="25"/>
      <c r="B703" s="22"/>
      <c r="C703" s="25"/>
      <c r="D703" s="22"/>
      <c r="E703" s="25"/>
      <c r="F703" s="22"/>
      <c r="G703" s="25"/>
      <c r="H703" s="22"/>
      <c r="I703" s="25"/>
      <c r="J703" s="22"/>
    </row>
    <row r="704" ht="15.75" customHeight="1">
      <c r="A704" s="25"/>
      <c r="B704" s="22"/>
      <c r="C704" s="25"/>
      <c r="D704" s="22"/>
      <c r="E704" s="25"/>
      <c r="F704" s="22"/>
      <c r="G704" s="25"/>
      <c r="H704" s="22"/>
      <c r="I704" s="25"/>
      <c r="J704" s="22"/>
    </row>
    <row r="705" ht="15.75" customHeight="1">
      <c r="A705" s="25"/>
      <c r="B705" s="22"/>
      <c r="C705" s="25"/>
      <c r="D705" s="22"/>
      <c r="E705" s="25"/>
      <c r="F705" s="22"/>
      <c r="G705" s="25"/>
      <c r="H705" s="22"/>
      <c r="I705" s="25"/>
      <c r="J705" s="22"/>
    </row>
    <row r="706" ht="15.75" customHeight="1">
      <c r="A706" s="25"/>
      <c r="B706" s="22"/>
      <c r="C706" s="25"/>
      <c r="D706" s="22"/>
      <c r="E706" s="25"/>
      <c r="F706" s="22"/>
      <c r="G706" s="25"/>
      <c r="H706" s="22"/>
      <c r="I706" s="25"/>
      <c r="J706" s="22"/>
    </row>
    <row r="707" ht="15.75" customHeight="1">
      <c r="A707" s="25"/>
      <c r="B707" s="22"/>
      <c r="C707" s="25"/>
      <c r="D707" s="22"/>
      <c r="E707" s="25"/>
      <c r="F707" s="22"/>
      <c r="G707" s="25"/>
      <c r="H707" s="22"/>
      <c r="I707" s="25"/>
      <c r="J707" s="22"/>
    </row>
    <row r="708" ht="15.75" customHeight="1">
      <c r="A708" s="25"/>
      <c r="B708" s="22"/>
      <c r="C708" s="25"/>
      <c r="D708" s="22"/>
      <c r="E708" s="25"/>
      <c r="F708" s="22"/>
      <c r="G708" s="25"/>
      <c r="H708" s="22"/>
      <c r="I708" s="25"/>
      <c r="J708" s="22"/>
    </row>
    <row r="709" ht="15.75" customHeight="1">
      <c r="A709" s="25"/>
      <c r="B709" s="22"/>
      <c r="C709" s="25"/>
      <c r="D709" s="22"/>
      <c r="E709" s="25"/>
      <c r="F709" s="22"/>
      <c r="G709" s="25"/>
      <c r="H709" s="22"/>
      <c r="I709" s="25"/>
      <c r="J709" s="22"/>
    </row>
    <row r="710" ht="15.75" customHeight="1">
      <c r="A710" s="25"/>
      <c r="B710" s="22"/>
      <c r="C710" s="25"/>
      <c r="D710" s="22"/>
      <c r="E710" s="25"/>
      <c r="F710" s="22"/>
      <c r="G710" s="25"/>
      <c r="H710" s="22"/>
      <c r="I710" s="25"/>
      <c r="J710" s="22"/>
    </row>
    <row r="711" ht="15.75" customHeight="1">
      <c r="A711" s="25"/>
      <c r="B711" s="22"/>
      <c r="C711" s="25"/>
      <c r="D711" s="22"/>
      <c r="E711" s="25"/>
      <c r="F711" s="22"/>
      <c r="G711" s="25"/>
      <c r="H711" s="22"/>
      <c r="I711" s="25"/>
      <c r="J711" s="22"/>
    </row>
    <row r="712" ht="15.75" customHeight="1">
      <c r="A712" s="25"/>
      <c r="B712" s="22"/>
      <c r="C712" s="25"/>
      <c r="D712" s="22"/>
      <c r="E712" s="25"/>
      <c r="F712" s="22"/>
      <c r="G712" s="25"/>
      <c r="H712" s="22"/>
      <c r="I712" s="25"/>
      <c r="J712" s="22"/>
    </row>
    <row r="713" ht="15.75" customHeight="1">
      <c r="A713" s="25"/>
      <c r="B713" s="22"/>
      <c r="C713" s="25"/>
      <c r="D713" s="22"/>
      <c r="E713" s="25"/>
      <c r="F713" s="22"/>
      <c r="G713" s="25"/>
      <c r="H713" s="22"/>
      <c r="I713" s="25"/>
      <c r="J713" s="22"/>
    </row>
    <row r="714" ht="15.75" customHeight="1">
      <c r="A714" s="25"/>
      <c r="B714" s="22"/>
      <c r="C714" s="25"/>
      <c r="D714" s="22"/>
      <c r="E714" s="25"/>
      <c r="F714" s="22"/>
      <c r="G714" s="25"/>
      <c r="H714" s="22"/>
      <c r="I714" s="25"/>
      <c r="J714" s="22"/>
    </row>
    <row r="715" ht="15.75" customHeight="1">
      <c r="A715" s="25"/>
      <c r="B715" s="22"/>
      <c r="C715" s="25"/>
      <c r="D715" s="22"/>
      <c r="E715" s="25"/>
      <c r="F715" s="22"/>
      <c r="G715" s="25"/>
      <c r="H715" s="22"/>
      <c r="I715" s="25"/>
      <c r="J715" s="22"/>
    </row>
    <row r="716" ht="15.75" customHeight="1">
      <c r="A716" s="25"/>
      <c r="B716" s="22"/>
      <c r="C716" s="25"/>
      <c r="D716" s="22"/>
      <c r="E716" s="25"/>
      <c r="F716" s="22"/>
      <c r="G716" s="25"/>
      <c r="H716" s="22"/>
      <c r="I716" s="25"/>
      <c r="J716" s="22"/>
    </row>
    <row r="717" ht="15.75" customHeight="1">
      <c r="A717" s="25"/>
      <c r="B717" s="22"/>
      <c r="C717" s="25"/>
      <c r="D717" s="22"/>
      <c r="E717" s="25"/>
      <c r="F717" s="22"/>
      <c r="G717" s="25"/>
      <c r="H717" s="22"/>
      <c r="I717" s="25"/>
      <c r="J717" s="22"/>
    </row>
    <row r="718" ht="15.75" customHeight="1">
      <c r="A718" s="25"/>
      <c r="B718" s="22"/>
      <c r="C718" s="25"/>
      <c r="D718" s="22"/>
      <c r="E718" s="25"/>
      <c r="F718" s="22"/>
      <c r="G718" s="25"/>
      <c r="H718" s="22"/>
      <c r="I718" s="25"/>
      <c r="J718" s="22"/>
    </row>
    <row r="719" ht="15.75" customHeight="1">
      <c r="A719" s="25"/>
      <c r="B719" s="22"/>
      <c r="C719" s="25"/>
      <c r="D719" s="22"/>
      <c r="E719" s="25"/>
      <c r="F719" s="22"/>
      <c r="G719" s="25"/>
      <c r="H719" s="22"/>
      <c r="I719" s="25"/>
      <c r="J719" s="22"/>
    </row>
    <row r="720" ht="15.75" customHeight="1">
      <c r="A720" s="25"/>
      <c r="B720" s="22"/>
      <c r="C720" s="25"/>
      <c r="D720" s="22"/>
      <c r="E720" s="25"/>
      <c r="F720" s="22"/>
      <c r="G720" s="25"/>
      <c r="H720" s="22"/>
      <c r="I720" s="25"/>
      <c r="J720" s="22"/>
    </row>
    <row r="721" ht="15.75" customHeight="1">
      <c r="A721" s="25"/>
      <c r="B721" s="22"/>
      <c r="C721" s="25"/>
      <c r="D721" s="22"/>
      <c r="E721" s="25"/>
      <c r="F721" s="22"/>
      <c r="G721" s="25"/>
      <c r="H721" s="22"/>
      <c r="I721" s="25"/>
      <c r="J721" s="22"/>
    </row>
    <row r="722" ht="15.75" customHeight="1">
      <c r="A722" s="25"/>
      <c r="B722" s="22"/>
      <c r="C722" s="25"/>
      <c r="D722" s="22"/>
      <c r="E722" s="25"/>
      <c r="F722" s="22"/>
      <c r="G722" s="25"/>
      <c r="H722" s="22"/>
      <c r="I722" s="25"/>
      <c r="J722" s="22"/>
    </row>
    <row r="723" ht="15.75" customHeight="1">
      <c r="A723" s="25"/>
      <c r="B723" s="22"/>
      <c r="C723" s="25"/>
      <c r="D723" s="22"/>
      <c r="E723" s="25"/>
      <c r="F723" s="22"/>
      <c r="G723" s="25"/>
      <c r="H723" s="22"/>
      <c r="I723" s="25"/>
      <c r="J723" s="22"/>
    </row>
    <row r="724" ht="15.75" customHeight="1">
      <c r="A724" s="25"/>
      <c r="B724" s="22"/>
      <c r="C724" s="25"/>
      <c r="D724" s="22"/>
      <c r="E724" s="25"/>
      <c r="F724" s="22"/>
      <c r="G724" s="25"/>
      <c r="H724" s="22"/>
      <c r="I724" s="25"/>
      <c r="J724" s="22"/>
    </row>
    <row r="725" ht="15.75" customHeight="1">
      <c r="A725" s="25"/>
      <c r="B725" s="22"/>
      <c r="C725" s="25"/>
      <c r="D725" s="22"/>
      <c r="E725" s="25"/>
      <c r="F725" s="22"/>
      <c r="G725" s="25"/>
      <c r="H725" s="22"/>
      <c r="I725" s="25"/>
      <c r="J725" s="22"/>
    </row>
    <row r="726" ht="15.75" customHeight="1">
      <c r="A726" s="25"/>
      <c r="B726" s="22"/>
      <c r="C726" s="25"/>
      <c r="D726" s="22"/>
      <c r="E726" s="25"/>
      <c r="F726" s="22"/>
      <c r="G726" s="25"/>
      <c r="H726" s="22"/>
      <c r="I726" s="25"/>
      <c r="J726" s="22"/>
    </row>
    <row r="727" ht="15.75" customHeight="1">
      <c r="A727" s="25"/>
      <c r="B727" s="22"/>
      <c r="C727" s="25"/>
      <c r="D727" s="22"/>
      <c r="E727" s="25"/>
      <c r="F727" s="22"/>
      <c r="G727" s="25"/>
      <c r="H727" s="22"/>
      <c r="I727" s="25"/>
      <c r="J727" s="22"/>
    </row>
    <row r="728" ht="15.75" customHeight="1">
      <c r="A728" s="25"/>
      <c r="B728" s="22"/>
      <c r="C728" s="25"/>
      <c r="D728" s="22"/>
      <c r="E728" s="25"/>
      <c r="F728" s="22"/>
      <c r="G728" s="25"/>
      <c r="H728" s="22"/>
      <c r="I728" s="25"/>
      <c r="J728" s="22"/>
    </row>
    <row r="729" ht="15.75" customHeight="1">
      <c r="A729" s="25"/>
      <c r="B729" s="22"/>
      <c r="C729" s="25"/>
      <c r="D729" s="22"/>
      <c r="E729" s="25"/>
      <c r="F729" s="22"/>
      <c r="G729" s="25"/>
      <c r="H729" s="22"/>
      <c r="I729" s="25"/>
      <c r="J729" s="22"/>
    </row>
    <row r="730" ht="15.75" customHeight="1">
      <c r="A730" s="25"/>
      <c r="B730" s="22"/>
      <c r="C730" s="25"/>
      <c r="D730" s="22"/>
      <c r="E730" s="25"/>
      <c r="F730" s="22"/>
      <c r="G730" s="25"/>
      <c r="H730" s="22"/>
      <c r="I730" s="25"/>
      <c r="J730" s="22"/>
    </row>
    <row r="731" ht="15.75" customHeight="1">
      <c r="A731" s="25"/>
      <c r="B731" s="22"/>
      <c r="C731" s="25"/>
      <c r="D731" s="22"/>
      <c r="E731" s="25"/>
      <c r="F731" s="22"/>
      <c r="G731" s="25"/>
      <c r="H731" s="22"/>
      <c r="I731" s="25"/>
      <c r="J731" s="22"/>
    </row>
    <row r="732" ht="15.75" customHeight="1">
      <c r="A732" s="25"/>
      <c r="B732" s="22"/>
      <c r="C732" s="25"/>
      <c r="D732" s="22"/>
      <c r="E732" s="25"/>
      <c r="F732" s="22"/>
      <c r="G732" s="25"/>
      <c r="H732" s="22"/>
      <c r="I732" s="25"/>
      <c r="J732" s="22"/>
    </row>
    <row r="733" ht="15.75" customHeight="1">
      <c r="A733" s="25"/>
      <c r="B733" s="22"/>
      <c r="C733" s="25"/>
      <c r="D733" s="22"/>
      <c r="E733" s="25"/>
      <c r="F733" s="22"/>
      <c r="G733" s="25"/>
      <c r="H733" s="22"/>
      <c r="I733" s="25"/>
      <c r="J733" s="22"/>
    </row>
    <row r="734" ht="15.75" customHeight="1">
      <c r="A734" s="25"/>
      <c r="B734" s="22"/>
      <c r="C734" s="25"/>
      <c r="D734" s="22"/>
      <c r="E734" s="25"/>
      <c r="F734" s="22"/>
      <c r="G734" s="25"/>
      <c r="H734" s="22"/>
      <c r="I734" s="25"/>
      <c r="J734" s="22"/>
    </row>
    <row r="735" ht="15.75" customHeight="1">
      <c r="A735" s="25"/>
      <c r="B735" s="22"/>
      <c r="C735" s="25"/>
      <c r="D735" s="22"/>
      <c r="E735" s="25"/>
      <c r="F735" s="22"/>
      <c r="G735" s="25"/>
      <c r="H735" s="22"/>
      <c r="I735" s="25"/>
      <c r="J735" s="22"/>
    </row>
    <row r="736" ht="15.75" customHeight="1">
      <c r="A736" s="25"/>
      <c r="B736" s="22"/>
      <c r="C736" s="25"/>
      <c r="D736" s="22"/>
      <c r="E736" s="25"/>
      <c r="F736" s="22"/>
      <c r="G736" s="25"/>
      <c r="H736" s="22"/>
      <c r="I736" s="25"/>
      <c r="J736" s="22"/>
    </row>
    <row r="737" ht="15.75" customHeight="1">
      <c r="A737" s="25"/>
      <c r="B737" s="22"/>
      <c r="C737" s="25"/>
      <c r="D737" s="22"/>
      <c r="E737" s="25"/>
      <c r="F737" s="22"/>
      <c r="G737" s="25"/>
      <c r="H737" s="22"/>
      <c r="I737" s="25"/>
      <c r="J737" s="22"/>
    </row>
    <row r="738" ht="15.75" customHeight="1">
      <c r="A738" s="25"/>
      <c r="B738" s="22"/>
      <c r="C738" s="25"/>
      <c r="D738" s="22"/>
      <c r="E738" s="25"/>
      <c r="F738" s="22"/>
      <c r="G738" s="25"/>
      <c r="H738" s="22"/>
      <c r="I738" s="25"/>
      <c r="J738" s="22"/>
    </row>
    <row r="739" ht="15.75" customHeight="1">
      <c r="A739" s="25"/>
      <c r="B739" s="22"/>
      <c r="C739" s="25"/>
      <c r="D739" s="22"/>
      <c r="E739" s="25"/>
      <c r="F739" s="22"/>
      <c r="G739" s="25"/>
      <c r="H739" s="22"/>
      <c r="I739" s="25"/>
      <c r="J739" s="22"/>
    </row>
    <row r="740" ht="15.75" customHeight="1">
      <c r="A740" s="25"/>
      <c r="B740" s="22"/>
      <c r="C740" s="25"/>
      <c r="D740" s="22"/>
      <c r="E740" s="25"/>
      <c r="F740" s="22"/>
      <c r="G740" s="25"/>
      <c r="H740" s="22"/>
      <c r="I740" s="25"/>
      <c r="J740" s="22"/>
    </row>
    <row r="741" ht="15.75" customHeight="1">
      <c r="A741" s="25"/>
      <c r="B741" s="22"/>
      <c r="C741" s="25"/>
      <c r="D741" s="22"/>
      <c r="E741" s="25"/>
      <c r="F741" s="22"/>
      <c r="G741" s="25"/>
      <c r="H741" s="22"/>
      <c r="I741" s="25"/>
      <c r="J741" s="22"/>
    </row>
    <row r="742" ht="15.75" customHeight="1">
      <c r="A742" s="25"/>
      <c r="B742" s="22"/>
      <c r="C742" s="25"/>
      <c r="D742" s="22"/>
      <c r="E742" s="25"/>
      <c r="F742" s="22"/>
      <c r="G742" s="25"/>
      <c r="H742" s="22"/>
      <c r="I742" s="25"/>
      <c r="J742" s="22"/>
    </row>
    <row r="743" ht="15.75" customHeight="1">
      <c r="A743" s="25"/>
      <c r="B743" s="22"/>
      <c r="C743" s="25"/>
      <c r="D743" s="22"/>
      <c r="E743" s="25"/>
      <c r="F743" s="22"/>
      <c r="G743" s="25"/>
      <c r="H743" s="22"/>
      <c r="I743" s="25"/>
      <c r="J743" s="22"/>
    </row>
    <row r="744" ht="15.75" customHeight="1">
      <c r="A744" s="25"/>
      <c r="B744" s="22"/>
      <c r="C744" s="25"/>
      <c r="D744" s="22"/>
      <c r="E744" s="25"/>
      <c r="F744" s="22"/>
      <c r="G744" s="25"/>
      <c r="H744" s="22"/>
      <c r="I744" s="25"/>
      <c r="J744" s="22"/>
    </row>
    <row r="745" ht="15.75" customHeight="1">
      <c r="A745" s="25"/>
      <c r="B745" s="22"/>
      <c r="C745" s="25"/>
      <c r="D745" s="22"/>
      <c r="E745" s="25"/>
      <c r="F745" s="22"/>
      <c r="G745" s="25"/>
      <c r="H745" s="22"/>
      <c r="I745" s="25"/>
      <c r="J745" s="22"/>
    </row>
    <row r="746" ht="15.75" customHeight="1">
      <c r="A746" s="25"/>
      <c r="B746" s="22"/>
      <c r="C746" s="25"/>
      <c r="D746" s="22"/>
      <c r="E746" s="25"/>
      <c r="F746" s="22"/>
      <c r="G746" s="25"/>
      <c r="H746" s="22"/>
      <c r="I746" s="25"/>
      <c r="J746" s="22"/>
    </row>
    <row r="747" ht="15.75" customHeight="1">
      <c r="A747" s="25"/>
      <c r="B747" s="22"/>
      <c r="C747" s="25"/>
      <c r="D747" s="22"/>
      <c r="E747" s="25"/>
      <c r="F747" s="22"/>
      <c r="G747" s="25"/>
      <c r="H747" s="22"/>
      <c r="I747" s="25"/>
      <c r="J747" s="22"/>
    </row>
    <row r="748" ht="15.75" customHeight="1">
      <c r="A748" s="25"/>
      <c r="B748" s="22"/>
      <c r="C748" s="25"/>
      <c r="D748" s="22"/>
      <c r="E748" s="25"/>
      <c r="F748" s="22"/>
      <c r="G748" s="25"/>
      <c r="H748" s="22"/>
      <c r="I748" s="25"/>
      <c r="J748" s="22"/>
    </row>
    <row r="749" ht="15.75" customHeight="1">
      <c r="A749" s="25"/>
      <c r="B749" s="22"/>
      <c r="C749" s="25"/>
      <c r="D749" s="22"/>
      <c r="E749" s="25"/>
      <c r="F749" s="22"/>
      <c r="G749" s="25"/>
      <c r="H749" s="22"/>
      <c r="I749" s="25"/>
      <c r="J749" s="22"/>
    </row>
    <row r="750" ht="15.75" customHeight="1">
      <c r="A750" s="25"/>
      <c r="B750" s="22"/>
      <c r="C750" s="25"/>
      <c r="D750" s="22"/>
      <c r="E750" s="25"/>
      <c r="F750" s="22"/>
      <c r="G750" s="25"/>
      <c r="H750" s="22"/>
      <c r="I750" s="25"/>
      <c r="J750" s="22"/>
    </row>
    <row r="751" ht="15.75" customHeight="1">
      <c r="A751" s="25"/>
      <c r="B751" s="22"/>
      <c r="C751" s="25"/>
      <c r="D751" s="22"/>
      <c r="E751" s="25"/>
      <c r="F751" s="22"/>
      <c r="G751" s="25"/>
      <c r="H751" s="22"/>
      <c r="I751" s="25"/>
      <c r="J751" s="22"/>
    </row>
    <row r="752" ht="15.75" customHeight="1">
      <c r="A752" s="25"/>
      <c r="B752" s="22"/>
      <c r="C752" s="25"/>
      <c r="D752" s="22"/>
      <c r="E752" s="25"/>
      <c r="F752" s="22"/>
      <c r="G752" s="25"/>
      <c r="H752" s="22"/>
      <c r="I752" s="25"/>
      <c r="J752" s="22"/>
    </row>
    <row r="753" ht="15.75" customHeight="1">
      <c r="A753" s="25"/>
      <c r="B753" s="22"/>
      <c r="C753" s="25"/>
      <c r="D753" s="22"/>
      <c r="E753" s="25"/>
      <c r="F753" s="22"/>
      <c r="G753" s="25"/>
      <c r="H753" s="22"/>
      <c r="I753" s="25"/>
      <c r="J753" s="22"/>
    </row>
    <row r="754" ht="15.75" customHeight="1">
      <c r="A754" s="25"/>
      <c r="B754" s="22"/>
      <c r="C754" s="25"/>
      <c r="D754" s="22"/>
      <c r="E754" s="25"/>
      <c r="F754" s="22"/>
      <c r="G754" s="25"/>
      <c r="H754" s="22"/>
      <c r="I754" s="25"/>
      <c r="J754" s="22"/>
    </row>
    <row r="755" ht="15.75" customHeight="1">
      <c r="A755" s="25"/>
      <c r="B755" s="22"/>
      <c r="C755" s="25"/>
      <c r="D755" s="22"/>
      <c r="E755" s="25"/>
      <c r="F755" s="22"/>
      <c r="G755" s="25"/>
      <c r="H755" s="22"/>
      <c r="I755" s="25"/>
      <c r="J755" s="22"/>
    </row>
    <row r="756" ht="15.75" customHeight="1">
      <c r="A756" s="25"/>
      <c r="B756" s="22"/>
      <c r="C756" s="25"/>
      <c r="D756" s="22"/>
      <c r="E756" s="25"/>
      <c r="F756" s="22"/>
      <c r="G756" s="25"/>
      <c r="H756" s="22"/>
      <c r="I756" s="25"/>
      <c r="J756" s="22"/>
    </row>
    <row r="757" ht="15.75" customHeight="1">
      <c r="A757" s="25"/>
      <c r="B757" s="22"/>
      <c r="C757" s="25"/>
      <c r="D757" s="22"/>
      <c r="E757" s="25"/>
      <c r="F757" s="22"/>
      <c r="G757" s="25"/>
      <c r="H757" s="22"/>
      <c r="I757" s="25"/>
      <c r="J757" s="22"/>
    </row>
    <row r="758" ht="15.75" customHeight="1">
      <c r="A758" s="25"/>
      <c r="B758" s="22"/>
      <c r="C758" s="25"/>
      <c r="D758" s="22"/>
      <c r="E758" s="25"/>
      <c r="F758" s="22"/>
      <c r="G758" s="25"/>
      <c r="H758" s="22"/>
      <c r="I758" s="25"/>
      <c r="J758" s="22"/>
    </row>
    <row r="759" ht="15.75" customHeight="1">
      <c r="A759" s="25"/>
      <c r="B759" s="22"/>
      <c r="C759" s="25"/>
      <c r="D759" s="22"/>
      <c r="E759" s="25"/>
      <c r="F759" s="22"/>
      <c r="G759" s="25"/>
      <c r="H759" s="22"/>
      <c r="I759" s="25"/>
      <c r="J759" s="22"/>
    </row>
    <row r="760" ht="15.75" customHeight="1">
      <c r="A760" s="25"/>
      <c r="B760" s="22"/>
      <c r="C760" s="25"/>
      <c r="D760" s="22"/>
      <c r="E760" s="25"/>
      <c r="F760" s="22"/>
      <c r="G760" s="25"/>
      <c r="H760" s="22"/>
      <c r="I760" s="25"/>
      <c r="J760" s="22"/>
    </row>
    <row r="761" ht="15.75" customHeight="1">
      <c r="A761" s="25"/>
      <c r="B761" s="22"/>
      <c r="C761" s="25"/>
      <c r="D761" s="22"/>
      <c r="E761" s="25"/>
      <c r="F761" s="22"/>
      <c r="G761" s="25"/>
      <c r="H761" s="22"/>
      <c r="I761" s="25"/>
      <c r="J761" s="22"/>
    </row>
    <row r="762" ht="15.75" customHeight="1">
      <c r="A762" s="25"/>
      <c r="B762" s="22"/>
      <c r="C762" s="25"/>
      <c r="D762" s="22"/>
      <c r="E762" s="25"/>
      <c r="F762" s="22"/>
      <c r="G762" s="25"/>
      <c r="H762" s="22"/>
      <c r="I762" s="25"/>
      <c r="J762" s="22"/>
    </row>
    <row r="763" ht="15.75" customHeight="1">
      <c r="A763" s="25"/>
      <c r="B763" s="22"/>
      <c r="C763" s="25"/>
      <c r="D763" s="22"/>
      <c r="E763" s="25"/>
      <c r="F763" s="22"/>
      <c r="G763" s="25"/>
      <c r="H763" s="22"/>
      <c r="I763" s="25"/>
      <c r="J763" s="22"/>
    </row>
    <row r="764" ht="15.75" customHeight="1">
      <c r="A764" s="25"/>
      <c r="B764" s="22"/>
      <c r="C764" s="25"/>
      <c r="D764" s="22"/>
      <c r="E764" s="25"/>
      <c r="F764" s="22"/>
      <c r="G764" s="25"/>
      <c r="H764" s="22"/>
      <c r="I764" s="25"/>
      <c r="J764" s="22"/>
    </row>
    <row r="765" ht="15.75" customHeight="1">
      <c r="A765" s="25"/>
      <c r="B765" s="22"/>
      <c r="C765" s="25"/>
      <c r="D765" s="22"/>
      <c r="E765" s="25"/>
      <c r="F765" s="22"/>
      <c r="G765" s="25"/>
      <c r="H765" s="22"/>
      <c r="I765" s="25"/>
      <c r="J765" s="22"/>
    </row>
    <row r="766" ht="15.75" customHeight="1">
      <c r="A766" s="25"/>
      <c r="B766" s="22"/>
      <c r="C766" s="25"/>
      <c r="D766" s="22"/>
      <c r="E766" s="25"/>
      <c r="F766" s="22"/>
      <c r="G766" s="25"/>
      <c r="H766" s="22"/>
      <c r="I766" s="25"/>
      <c r="J766" s="22"/>
    </row>
    <row r="767" ht="15.75" customHeight="1">
      <c r="A767" s="25"/>
      <c r="B767" s="22"/>
      <c r="C767" s="25"/>
      <c r="D767" s="22"/>
      <c r="E767" s="25"/>
      <c r="F767" s="22"/>
      <c r="G767" s="25"/>
      <c r="H767" s="22"/>
      <c r="I767" s="25"/>
      <c r="J767" s="22"/>
    </row>
    <row r="768" ht="15.75" customHeight="1">
      <c r="A768" s="25"/>
      <c r="B768" s="22"/>
      <c r="C768" s="25"/>
      <c r="D768" s="22"/>
      <c r="E768" s="25"/>
      <c r="F768" s="22"/>
      <c r="G768" s="25"/>
      <c r="H768" s="22"/>
      <c r="I768" s="25"/>
      <c r="J768" s="22"/>
    </row>
    <row r="769" ht="15.75" customHeight="1">
      <c r="A769" s="25"/>
      <c r="B769" s="22"/>
      <c r="C769" s="25"/>
      <c r="D769" s="22"/>
      <c r="E769" s="25"/>
      <c r="F769" s="22"/>
      <c r="G769" s="25"/>
      <c r="H769" s="22"/>
      <c r="I769" s="25"/>
      <c r="J769" s="22"/>
    </row>
    <row r="770" ht="15.75" customHeight="1">
      <c r="A770" s="25"/>
      <c r="B770" s="22"/>
      <c r="C770" s="25"/>
      <c r="D770" s="22"/>
      <c r="E770" s="25"/>
      <c r="F770" s="22"/>
      <c r="G770" s="25"/>
      <c r="H770" s="22"/>
      <c r="I770" s="25"/>
      <c r="J770" s="22"/>
    </row>
    <row r="771" ht="15.75" customHeight="1">
      <c r="A771" s="25"/>
      <c r="B771" s="22"/>
      <c r="C771" s="25"/>
      <c r="D771" s="22"/>
      <c r="E771" s="25"/>
      <c r="F771" s="22"/>
      <c r="G771" s="25"/>
      <c r="H771" s="22"/>
      <c r="I771" s="25"/>
      <c r="J771" s="22"/>
    </row>
    <row r="772" ht="15.75" customHeight="1">
      <c r="A772" s="25"/>
      <c r="B772" s="22"/>
      <c r="C772" s="25"/>
      <c r="D772" s="22"/>
      <c r="E772" s="25"/>
      <c r="F772" s="22"/>
      <c r="G772" s="25"/>
      <c r="H772" s="22"/>
      <c r="I772" s="25"/>
      <c r="J772" s="22"/>
    </row>
    <row r="773" ht="15.75" customHeight="1">
      <c r="A773" s="25"/>
      <c r="B773" s="22"/>
      <c r="C773" s="25"/>
      <c r="D773" s="22"/>
      <c r="E773" s="25"/>
      <c r="F773" s="22"/>
      <c r="G773" s="25"/>
      <c r="H773" s="22"/>
      <c r="I773" s="25"/>
      <c r="J773" s="22"/>
    </row>
    <row r="774" ht="15.75" customHeight="1">
      <c r="A774" s="25"/>
      <c r="B774" s="22"/>
      <c r="C774" s="25"/>
      <c r="D774" s="22"/>
      <c r="E774" s="25"/>
      <c r="F774" s="22"/>
      <c r="G774" s="25"/>
      <c r="H774" s="22"/>
      <c r="I774" s="25"/>
      <c r="J774" s="22"/>
    </row>
    <row r="775" ht="15.75" customHeight="1">
      <c r="A775" s="25"/>
      <c r="B775" s="22"/>
      <c r="C775" s="25"/>
      <c r="D775" s="22"/>
      <c r="E775" s="25"/>
      <c r="F775" s="22"/>
      <c r="G775" s="25"/>
      <c r="H775" s="22"/>
      <c r="I775" s="25"/>
      <c r="J775" s="22"/>
    </row>
    <row r="776" ht="15.75" customHeight="1">
      <c r="A776" s="25"/>
      <c r="B776" s="22"/>
      <c r="C776" s="25"/>
      <c r="D776" s="22"/>
      <c r="E776" s="25"/>
      <c r="F776" s="22"/>
      <c r="G776" s="25"/>
      <c r="H776" s="22"/>
      <c r="I776" s="25"/>
      <c r="J776" s="22"/>
    </row>
    <row r="777" ht="15.75" customHeight="1">
      <c r="A777" s="25"/>
      <c r="B777" s="22"/>
      <c r="C777" s="25"/>
      <c r="D777" s="22"/>
      <c r="E777" s="25"/>
      <c r="F777" s="22"/>
      <c r="G777" s="25"/>
      <c r="H777" s="22"/>
      <c r="I777" s="25"/>
      <c r="J777" s="22"/>
    </row>
    <row r="778" ht="15.75" customHeight="1">
      <c r="A778" s="25"/>
      <c r="B778" s="22"/>
      <c r="C778" s="25"/>
      <c r="D778" s="22"/>
      <c r="E778" s="25"/>
      <c r="F778" s="22"/>
      <c r="G778" s="25"/>
      <c r="H778" s="22"/>
      <c r="I778" s="25"/>
      <c r="J778" s="22"/>
    </row>
    <row r="779" ht="15.75" customHeight="1">
      <c r="A779" s="25"/>
      <c r="B779" s="22"/>
      <c r="C779" s="25"/>
      <c r="D779" s="22"/>
      <c r="E779" s="25"/>
      <c r="F779" s="22"/>
      <c r="G779" s="25"/>
      <c r="H779" s="22"/>
      <c r="I779" s="25"/>
      <c r="J779" s="22"/>
    </row>
    <row r="780" ht="15.75" customHeight="1">
      <c r="A780" s="25"/>
      <c r="B780" s="22"/>
      <c r="C780" s="25"/>
      <c r="D780" s="22"/>
      <c r="E780" s="25"/>
      <c r="F780" s="22"/>
      <c r="G780" s="25"/>
      <c r="H780" s="22"/>
      <c r="I780" s="25"/>
      <c r="J780" s="22"/>
    </row>
    <row r="781" ht="15.75" customHeight="1">
      <c r="A781" s="25"/>
      <c r="B781" s="22"/>
      <c r="C781" s="25"/>
      <c r="D781" s="22"/>
      <c r="E781" s="25"/>
      <c r="F781" s="22"/>
      <c r="G781" s="25"/>
      <c r="H781" s="22"/>
      <c r="I781" s="25"/>
      <c r="J781" s="22"/>
    </row>
    <row r="782" ht="15.75" customHeight="1">
      <c r="A782" s="25"/>
      <c r="B782" s="22"/>
      <c r="C782" s="25"/>
      <c r="D782" s="22"/>
      <c r="E782" s="25"/>
      <c r="F782" s="22"/>
      <c r="G782" s="25"/>
      <c r="H782" s="22"/>
      <c r="I782" s="25"/>
      <c r="J782" s="22"/>
    </row>
    <row r="783" ht="15.75" customHeight="1">
      <c r="A783" s="25"/>
      <c r="B783" s="22"/>
      <c r="C783" s="25"/>
      <c r="D783" s="22"/>
      <c r="E783" s="25"/>
      <c r="F783" s="22"/>
      <c r="G783" s="25"/>
      <c r="H783" s="22"/>
      <c r="I783" s="25"/>
      <c r="J783" s="22"/>
    </row>
    <row r="784" ht="15.75" customHeight="1">
      <c r="A784" s="25"/>
      <c r="B784" s="22"/>
      <c r="C784" s="25"/>
      <c r="D784" s="22"/>
      <c r="E784" s="25"/>
      <c r="F784" s="22"/>
      <c r="G784" s="25"/>
      <c r="H784" s="22"/>
      <c r="I784" s="25"/>
      <c r="J784" s="22"/>
    </row>
    <row r="785" ht="15.75" customHeight="1">
      <c r="A785" s="25"/>
      <c r="B785" s="22"/>
      <c r="C785" s="25"/>
      <c r="D785" s="22"/>
      <c r="E785" s="25"/>
      <c r="F785" s="22"/>
      <c r="G785" s="25"/>
      <c r="H785" s="22"/>
      <c r="I785" s="25"/>
      <c r="J785" s="22"/>
    </row>
    <row r="786" ht="15.75" customHeight="1">
      <c r="A786" s="25"/>
      <c r="B786" s="22"/>
      <c r="C786" s="25"/>
      <c r="D786" s="22"/>
      <c r="E786" s="25"/>
      <c r="F786" s="22"/>
      <c r="G786" s="25"/>
      <c r="H786" s="22"/>
      <c r="I786" s="25"/>
      <c r="J786" s="22"/>
    </row>
    <row r="787" ht="15.75" customHeight="1">
      <c r="A787" s="25"/>
      <c r="B787" s="22"/>
      <c r="C787" s="25"/>
      <c r="D787" s="22"/>
      <c r="E787" s="25"/>
      <c r="F787" s="22"/>
      <c r="G787" s="25"/>
      <c r="H787" s="22"/>
      <c r="I787" s="25"/>
      <c r="J787" s="22"/>
    </row>
    <row r="788" ht="15.75" customHeight="1">
      <c r="A788" s="25"/>
      <c r="B788" s="22"/>
      <c r="C788" s="25"/>
      <c r="D788" s="22"/>
      <c r="E788" s="25"/>
      <c r="F788" s="22"/>
      <c r="G788" s="25"/>
      <c r="H788" s="22"/>
      <c r="I788" s="25"/>
      <c r="J788" s="22"/>
    </row>
    <row r="789" ht="15.75" customHeight="1">
      <c r="A789" s="25"/>
      <c r="B789" s="22"/>
      <c r="C789" s="25"/>
      <c r="D789" s="22"/>
      <c r="E789" s="25"/>
      <c r="F789" s="22"/>
      <c r="G789" s="25"/>
      <c r="H789" s="22"/>
      <c r="I789" s="25"/>
      <c r="J789" s="22"/>
    </row>
    <row r="790" ht="15.75" customHeight="1">
      <c r="A790" s="25"/>
      <c r="B790" s="22"/>
      <c r="C790" s="25"/>
      <c r="D790" s="22"/>
      <c r="E790" s="25"/>
      <c r="F790" s="22"/>
      <c r="G790" s="25"/>
      <c r="H790" s="22"/>
      <c r="I790" s="25"/>
      <c r="J790" s="22"/>
    </row>
    <row r="791" ht="15.75" customHeight="1">
      <c r="A791" s="25"/>
      <c r="B791" s="22"/>
      <c r="C791" s="25"/>
      <c r="D791" s="22"/>
      <c r="E791" s="25"/>
      <c r="F791" s="22"/>
      <c r="G791" s="25"/>
      <c r="H791" s="22"/>
      <c r="I791" s="25"/>
      <c r="J791" s="22"/>
    </row>
    <row r="792" ht="15.75" customHeight="1">
      <c r="A792" s="25"/>
      <c r="B792" s="22"/>
      <c r="C792" s="25"/>
      <c r="D792" s="22"/>
      <c r="E792" s="25"/>
      <c r="F792" s="22"/>
      <c r="G792" s="25"/>
      <c r="H792" s="22"/>
      <c r="I792" s="25"/>
      <c r="J792" s="22"/>
    </row>
    <row r="793" ht="15.75" customHeight="1">
      <c r="A793" s="25"/>
      <c r="B793" s="22"/>
      <c r="C793" s="25"/>
      <c r="D793" s="22"/>
      <c r="E793" s="25"/>
      <c r="F793" s="22"/>
      <c r="G793" s="25"/>
      <c r="H793" s="22"/>
      <c r="I793" s="25"/>
      <c r="J793" s="22"/>
    </row>
    <row r="794" ht="15.75" customHeight="1">
      <c r="A794" s="25"/>
      <c r="B794" s="22"/>
      <c r="C794" s="25"/>
      <c r="D794" s="22"/>
      <c r="E794" s="25"/>
      <c r="F794" s="22"/>
      <c r="G794" s="25"/>
      <c r="H794" s="22"/>
      <c r="I794" s="25"/>
      <c r="J794" s="22"/>
    </row>
    <row r="795" ht="15.75" customHeight="1">
      <c r="A795" s="25"/>
      <c r="B795" s="22"/>
      <c r="C795" s="25"/>
      <c r="D795" s="22"/>
      <c r="E795" s="25"/>
      <c r="F795" s="22"/>
      <c r="G795" s="25"/>
      <c r="H795" s="22"/>
      <c r="I795" s="25"/>
      <c r="J795" s="22"/>
    </row>
    <row r="796" ht="15.75" customHeight="1">
      <c r="A796" s="25"/>
      <c r="B796" s="22"/>
      <c r="C796" s="25"/>
      <c r="D796" s="22"/>
      <c r="E796" s="25"/>
      <c r="F796" s="22"/>
      <c r="G796" s="25"/>
      <c r="H796" s="22"/>
      <c r="I796" s="25"/>
      <c r="J796" s="22"/>
    </row>
    <row r="797" ht="15.75" customHeight="1">
      <c r="A797" s="25"/>
      <c r="B797" s="22"/>
      <c r="C797" s="25"/>
      <c r="D797" s="22"/>
      <c r="E797" s="25"/>
      <c r="F797" s="22"/>
      <c r="G797" s="25"/>
      <c r="H797" s="22"/>
      <c r="I797" s="25"/>
      <c r="J797" s="22"/>
    </row>
    <row r="798" ht="15.75" customHeight="1">
      <c r="A798" s="25"/>
      <c r="B798" s="22"/>
      <c r="C798" s="25"/>
      <c r="D798" s="22"/>
      <c r="E798" s="25"/>
      <c r="F798" s="22"/>
      <c r="G798" s="25"/>
      <c r="H798" s="22"/>
      <c r="I798" s="25"/>
      <c r="J798" s="22"/>
    </row>
    <row r="799" ht="15.75" customHeight="1">
      <c r="A799" s="25"/>
      <c r="B799" s="22"/>
      <c r="C799" s="25"/>
      <c r="D799" s="22"/>
      <c r="E799" s="25"/>
      <c r="F799" s="22"/>
      <c r="G799" s="25"/>
      <c r="H799" s="22"/>
      <c r="I799" s="25"/>
      <c r="J799" s="22"/>
    </row>
    <row r="800" ht="15.75" customHeight="1">
      <c r="A800" s="25"/>
      <c r="B800" s="22"/>
      <c r="C800" s="25"/>
      <c r="D800" s="22"/>
      <c r="E800" s="25"/>
      <c r="F800" s="22"/>
      <c r="G800" s="25"/>
      <c r="H800" s="22"/>
      <c r="I800" s="25"/>
      <c r="J800" s="22"/>
    </row>
    <row r="801" ht="15.75" customHeight="1">
      <c r="A801" s="25"/>
      <c r="B801" s="22"/>
      <c r="C801" s="25"/>
      <c r="D801" s="22"/>
      <c r="E801" s="25"/>
      <c r="F801" s="22"/>
      <c r="G801" s="25"/>
      <c r="H801" s="22"/>
      <c r="I801" s="25"/>
      <c r="J801" s="22"/>
    </row>
    <row r="802" ht="15.75" customHeight="1">
      <c r="A802" s="25"/>
      <c r="B802" s="22"/>
      <c r="C802" s="25"/>
      <c r="D802" s="22"/>
      <c r="E802" s="25"/>
      <c r="F802" s="22"/>
      <c r="G802" s="25"/>
      <c r="H802" s="22"/>
      <c r="I802" s="25"/>
      <c r="J802" s="22"/>
    </row>
    <row r="803" ht="15.75" customHeight="1">
      <c r="A803" s="25"/>
      <c r="B803" s="22"/>
      <c r="C803" s="25"/>
      <c r="D803" s="22"/>
      <c r="E803" s="25"/>
      <c r="F803" s="22"/>
      <c r="G803" s="25"/>
      <c r="H803" s="22"/>
      <c r="I803" s="25"/>
      <c r="J803" s="22"/>
    </row>
    <row r="804" ht="15.75" customHeight="1">
      <c r="A804" s="25"/>
      <c r="B804" s="22"/>
      <c r="C804" s="25"/>
      <c r="D804" s="22"/>
      <c r="E804" s="25"/>
      <c r="F804" s="22"/>
      <c r="G804" s="25"/>
      <c r="H804" s="22"/>
      <c r="I804" s="25"/>
      <c r="J804" s="22"/>
    </row>
    <row r="805" ht="15.75" customHeight="1">
      <c r="A805" s="25"/>
      <c r="B805" s="22"/>
      <c r="C805" s="25"/>
      <c r="D805" s="22"/>
      <c r="E805" s="25"/>
      <c r="F805" s="22"/>
      <c r="G805" s="25"/>
      <c r="H805" s="22"/>
      <c r="I805" s="25"/>
      <c r="J805" s="22"/>
    </row>
    <row r="806" ht="15.75" customHeight="1">
      <c r="A806" s="25"/>
      <c r="B806" s="22"/>
      <c r="C806" s="25"/>
      <c r="D806" s="22"/>
      <c r="E806" s="25"/>
      <c r="F806" s="22"/>
      <c r="G806" s="25"/>
      <c r="H806" s="22"/>
      <c r="I806" s="25"/>
      <c r="J806" s="22"/>
    </row>
    <row r="807" ht="15.75" customHeight="1">
      <c r="A807" s="25"/>
      <c r="B807" s="22"/>
      <c r="C807" s="25"/>
      <c r="D807" s="22"/>
      <c r="E807" s="25"/>
      <c r="F807" s="22"/>
      <c r="G807" s="25"/>
      <c r="H807" s="22"/>
      <c r="I807" s="25"/>
      <c r="J807" s="22"/>
    </row>
    <row r="808" ht="15.75" customHeight="1">
      <c r="A808" s="25"/>
      <c r="B808" s="22"/>
      <c r="C808" s="25"/>
      <c r="D808" s="22"/>
      <c r="E808" s="25"/>
      <c r="F808" s="22"/>
      <c r="G808" s="25"/>
      <c r="H808" s="22"/>
      <c r="I808" s="25"/>
      <c r="J808" s="22"/>
    </row>
    <row r="809" ht="15.75" customHeight="1">
      <c r="A809" s="25"/>
      <c r="B809" s="22"/>
      <c r="C809" s="25"/>
      <c r="D809" s="22"/>
      <c r="E809" s="25"/>
      <c r="F809" s="22"/>
      <c r="G809" s="25"/>
      <c r="H809" s="22"/>
      <c r="I809" s="25"/>
      <c r="J809" s="22"/>
    </row>
    <row r="810" ht="15.75" customHeight="1">
      <c r="A810" s="25"/>
      <c r="B810" s="22"/>
      <c r="C810" s="25"/>
      <c r="D810" s="22"/>
      <c r="E810" s="25"/>
      <c r="F810" s="22"/>
      <c r="G810" s="25"/>
      <c r="H810" s="22"/>
      <c r="I810" s="25"/>
      <c r="J810" s="22"/>
    </row>
    <row r="811" ht="15.75" customHeight="1">
      <c r="A811" s="25"/>
      <c r="B811" s="22"/>
      <c r="C811" s="25"/>
      <c r="D811" s="22"/>
      <c r="E811" s="25"/>
      <c r="F811" s="22"/>
      <c r="G811" s="25"/>
      <c r="H811" s="22"/>
      <c r="I811" s="25"/>
      <c r="J811" s="22"/>
    </row>
    <row r="812" ht="15.75" customHeight="1">
      <c r="A812" s="25"/>
      <c r="B812" s="22"/>
      <c r="C812" s="25"/>
      <c r="D812" s="22"/>
      <c r="E812" s="25"/>
      <c r="F812" s="22"/>
      <c r="G812" s="25"/>
      <c r="H812" s="22"/>
      <c r="I812" s="25"/>
      <c r="J812" s="22"/>
    </row>
    <row r="813" ht="15.75" customHeight="1">
      <c r="A813" s="25"/>
      <c r="B813" s="22"/>
      <c r="C813" s="25"/>
      <c r="D813" s="22"/>
      <c r="E813" s="25"/>
      <c r="F813" s="22"/>
      <c r="G813" s="25"/>
      <c r="H813" s="22"/>
      <c r="I813" s="25"/>
      <c r="J813" s="22"/>
    </row>
    <row r="814" ht="15.75" customHeight="1">
      <c r="A814" s="25"/>
      <c r="B814" s="22"/>
      <c r="C814" s="25"/>
      <c r="D814" s="22"/>
      <c r="E814" s="25"/>
      <c r="F814" s="22"/>
      <c r="G814" s="25"/>
      <c r="H814" s="22"/>
      <c r="I814" s="25"/>
      <c r="J814" s="22"/>
    </row>
    <row r="815" ht="15.75" customHeight="1">
      <c r="A815" s="25"/>
      <c r="B815" s="22"/>
      <c r="C815" s="25"/>
      <c r="D815" s="22"/>
      <c r="E815" s="25"/>
      <c r="F815" s="22"/>
      <c r="G815" s="25"/>
      <c r="H815" s="22"/>
      <c r="I815" s="25"/>
      <c r="J815" s="22"/>
    </row>
    <row r="816" ht="15.75" customHeight="1">
      <c r="A816" s="25"/>
      <c r="B816" s="22"/>
      <c r="C816" s="25"/>
      <c r="D816" s="22"/>
      <c r="E816" s="25"/>
      <c r="F816" s="22"/>
      <c r="G816" s="25"/>
      <c r="H816" s="22"/>
      <c r="I816" s="25"/>
      <c r="J816" s="22"/>
    </row>
    <row r="817" ht="15.75" customHeight="1">
      <c r="A817" s="25"/>
      <c r="B817" s="22"/>
      <c r="C817" s="25"/>
      <c r="D817" s="22"/>
      <c r="E817" s="25"/>
      <c r="F817" s="22"/>
      <c r="G817" s="25"/>
      <c r="H817" s="22"/>
      <c r="I817" s="25"/>
      <c r="J817" s="22"/>
    </row>
    <row r="818" ht="15.75" customHeight="1">
      <c r="A818" s="25"/>
      <c r="B818" s="22"/>
      <c r="C818" s="25"/>
      <c r="D818" s="22"/>
      <c r="E818" s="25"/>
      <c r="F818" s="22"/>
      <c r="G818" s="25"/>
      <c r="H818" s="22"/>
      <c r="I818" s="25"/>
      <c r="J818" s="22"/>
    </row>
    <row r="819" ht="15.75" customHeight="1">
      <c r="A819" s="25"/>
      <c r="B819" s="22"/>
      <c r="C819" s="25"/>
      <c r="D819" s="22"/>
      <c r="E819" s="25"/>
      <c r="F819" s="22"/>
      <c r="G819" s="25"/>
      <c r="H819" s="22"/>
      <c r="I819" s="25"/>
      <c r="J819" s="22"/>
    </row>
    <row r="820" ht="15.75" customHeight="1">
      <c r="A820" s="25"/>
      <c r="B820" s="22"/>
      <c r="C820" s="25"/>
      <c r="D820" s="22"/>
      <c r="E820" s="25"/>
      <c r="F820" s="22"/>
      <c r="G820" s="25"/>
      <c r="H820" s="22"/>
      <c r="I820" s="25"/>
      <c r="J820" s="22"/>
    </row>
    <row r="821" ht="15.75" customHeight="1">
      <c r="A821" s="25"/>
      <c r="B821" s="22"/>
      <c r="C821" s="25"/>
      <c r="D821" s="22"/>
      <c r="E821" s="25"/>
      <c r="F821" s="22"/>
      <c r="G821" s="25"/>
      <c r="H821" s="22"/>
      <c r="I821" s="25"/>
      <c r="J821" s="22"/>
    </row>
    <row r="822" ht="15.75" customHeight="1">
      <c r="A822" s="25"/>
      <c r="B822" s="22"/>
      <c r="C822" s="25"/>
      <c r="D822" s="22"/>
      <c r="E822" s="25"/>
      <c r="F822" s="22"/>
      <c r="G822" s="25"/>
      <c r="H822" s="22"/>
      <c r="I822" s="25"/>
      <c r="J822" s="22"/>
    </row>
    <row r="823" ht="15.75" customHeight="1">
      <c r="A823" s="25"/>
      <c r="B823" s="22"/>
      <c r="C823" s="25"/>
      <c r="D823" s="22"/>
      <c r="E823" s="25"/>
      <c r="F823" s="22"/>
      <c r="G823" s="25"/>
      <c r="H823" s="22"/>
      <c r="I823" s="25"/>
      <c r="J823" s="22"/>
    </row>
    <row r="824" ht="15.75" customHeight="1">
      <c r="A824" s="25"/>
      <c r="B824" s="22"/>
      <c r="C824" s="25"/>
      <c r="D824" s="22"/>
      <c r="E824" s="25"/>
      <c r="F824" s="22"/>
      <c r="G824" s="25"/>
      <c r="H824" s="22"/>
      <c r="I824" s="25"/>
      <c r="J824" s="22"/>
    </row>
    <row r="825" ht="15.75" customHeight="1">
      <c r="A825" s="25"/>
      <c r="B825" s="22"/>
      <c r="C825" s="25"/>
      <c r="D825" s="22"/>
      <c r="E825" s="25"/>
      <c r="F825" s="22"/>
      <c r="G825" s="25"/>
      <c r="H825" s="22"/>
      <c r="I825" s="25"/>
      <c r="J825" s="22"/>
    </row>
    <row r="826" ht="15.75" customHeight="1">
      <c r="A826" s="25"/>
      <c r="B826" s="22"/>
      <c r="C826" s="25"/>
      <c r="D826" s="22"/>
      <c r="E826" s="25"/>
      <c r="F826" s="22"/>
      <c r="G826" s="25"/>
      <c r="H826" s="22"/>
      <c r="I826" s="25"/>
      <c r="J826" s="22"/>
    </row>
    <row r="827" ht="15.75" customHeight="1">
      <c r="A827" s="25"/>
      <c r="B827" s="22"/>
      <c r="C827" s="25"/>
      <c r="D827" s="22"/>
      <c r="E827" s="25"/>
      <c r="F827" s="22"/>
      <c r="G827" s="25"/>
      <c r="H827" s="22"/>
      <c r="I827" s="25"/>
      <c r="J827" s="22"/>
    </row>
    <row r="828" ht="15.75" customHeight="1">
      <c r="A828" s="25"/>
      <c r="B828" s="22"/>
      <c r="C828" s="25"/>
      <c r="D828" s="22"/>
      <c r="E828" s="25"/>
      <c r="F828" s="22"/>
      <c r="G828" s="25"/>
      <c r="H828" s="22"/>
      <c r="I828" s="25"/>
      <c r="J828" s="22"/>
    </row>
    <row r="829" ht="15.75" customHeight="1">
      <c r="A829" s="25"/>
      <c r="B829" s="22"/>
      <c r="C829" s="25"/>
      <c r="D829" s="22"/>
      <c r="E829" s="25"/>
      <c r="F829" s="22"/>
      <c r="G829" s="25"/>
      <c r="H829" s="22"/>
      <c r="I829" s="25"/>
      <c r="J829" s="22"/>
    </row>
    <row r="830" ht="15.75" customHeight="1">
      <c r="A830" s="25"/>
      <c r="B830" s="22"/>
      <c r="C830" s="25"/>
      <c r="D830" s="22"/>
      <c r="E830" s="25"/>
      <c r="F830" s="22"/>
      <c r="G830" s="25"/>
      <c r="H830" s="22"/>
      <c r="I830" s="25"/>
      <c r="J830" s="22"/>
    </row>
    <row r="831" ht="15.75" customHeight="1">
      <c r="A831" s="25"/>
      <c r="B831" s="22"/>
      <c r="C831" s="25"/>
      <c r="D831" s="22"/>
      <c r="E831" s="25"/>
      <c r="F831" s="22"/>
      <c r="G831" s="25"/>
      <c r="H831" s="22"/>
      <c r="I831" s="25"/>
      <c r="J831" s="22"/>
    </row>
    <row r="832" ht="15.75" customHeight="1">
      <c r="A832" s="25"/>
      <c r="B832" s="22"/>
      <c r="C832" s="25"/>
      <c r="D832" s="22"/>
      <c r="E832" s="25"/>
      <c r="F832" s="22"/>
      <c r="G832" s="25"/>
      <c r="H832" s="22"/>
      <c r="I832" s="25"/>
      <c r="J832" s="22"/>
    </row>
    <row r="833" ht="15.75" customHeight="1">
      <c r="A833" s="25"/>
      <c r="B833" s="22"/>
      <c r="C833" s="25"/>
      <c r="D833" s="22"/>
      <c r="E833" s="25"/>
      <c r="F833" s="22"/>
      <c r="G833" s="25"/>
      <c r="H833" s="22"/>
      <c r="I833" s="25"/>
      <c r="J833" s="22"/>
    </row>
    <row r="834" ht="15.75" customHeight="1">
      <c r="A834" s="25"/>
      <c r="B834" s="22"/>
      <c r="C834" s="25"/>
      <c r="D834" s="22"/>
      <c r="E834" s="25"/>
      <c r="F834" s="22"/>
      <c r="G834" s="25"/>
      <c r="H834" s="22"/>
      <c r="I834" s="25"/>
      <c r="J834" s="22"/>
    </row>
    <row r="835" ht="15.75" customHeight="1">
      <c r="A835" s="25"/>
      <c r="B835" s="22"/>
      <c r="C835" s="25"/>
      <c r="D835" s="22"/>
      <c r="E835" s="25"/>
      <c r="F835" s="22"/>
      <c r="G835" s="25"/>
      <c r="H835" s="22"/>
      <c r="I835" s="25"/>
      <c r="J835" s="22"/>
    </row>
    <row r="836" ht="15.75" customHeight="1">
      <c r="A836" s="25"/>
      <c r="B836" s="22"/>
      <c r="C836" s="25"/>
      <c r="D836" s="22"/>
      <c r="E836" s="25"/>
      <c r="F836" s="22"/>
      <c r="G836" s="25"/>
      <c r="H836" s="22"/>
      <c r="I836" s="25"/>
      <c r="J836" s="22"/>
    </row>
    <row r="837" ht="15.75" customHeight="1">
      <c r="A837" s="25"/>
      <c r="B837" s="22"/>
      <c r="C837" s="25"/>
      <c r="D837" s="22"/>
      <c r="E837" s="25"/>
      <c r="F837" s="22"/>
      <c r="G837" s="25"/>
      <c r="H837" s="22"/>
      <c r="I837" s="25"/>
      <c r="J837" s="22"/>
    </row>
    <row r="838" ht="15.75" customHeight="1">
      <c r="A838" s="25"/>
      <c r="B838" s="22"/>
      <c r="C838" s="25"/>
      <c r="D838" s="22"/>
      <c r="E838" s="25"/>
      <c r="F838" s="22"/>
      <c r="G838" s="25"/>
      <c r="H838" s="22"/>
      <c r="I838" s="25"/>
      <c r="J838" s="22"/>
    </row>
    <row r="839" ht="15.75" customHeight="1">
      <c r="A839" s="25"/>
      <c r="B839" s="22"/>
      <c r="C839" s="25"/>
      <c r="D839" s="22"/>
      <c r="E839" s="25"/>
      <c r="F839" s="22"/>
      <c r="G839" s="25"/>
      <c r="H839" s="22"/>
      <c r="I839" s="25"/>
      <c r="J839" s="22"/>
    </row>
    <row r="840" ht="15.75" customHeight="1">
      <c r="A840" s="25"/>
      <c r="B840" s="22"/>
      <c r="C840" s="25"/>
      <c r="D840" s="22"/>
      <c r="E840" s="25"/>
      <c r="F840" s="22"/>
      <c r="G840" s="25"/>
      <c r="H840" s="22"/>
      <c r="I840" s="25"/>
      <c r="J840" s="22"/>
    </row>
    <row r="841" ht="15.75" customHeight="1">
      <c r="A841" s="25"/>
      <c r="B841" s="22"/>
      <c r="C841" s="25"/>
      <c r="D841" s="22"/>
      <c r="E841" s="25"/>
      <c r="F841" s="22"/>
      <c r="G841" s="25"/>
      <c r="H841" s="22"/>
      <c r="I841" s="25"/>
      <c r="J841" s="22"/>
    </row>
    <row r="842" ht="15.75" customHeight="1">
      <c r="A842" s="25"/>
      <c r="B842" s="22"/>
      <c r="C842" s="25"/>
      <c r="D842" s="22"/>
      <c r="E842" s="25"/>
      <c r="F842" s="22"/>
      <c r="G842" s="25"/>
      <c r="H842" s="22"/>
      <c r="I842" s="25"/>
      <c r="J842" s="22"/>
    </row>
    <row r="843" ht="15.75" customHeight="1">
      <c r="A843" s="25"/>
      <c r="B843" s="22"/>
      <c r="C843" s="25"/>
      <c r="D843" s="22"/>
      <c r="E843" s="25"/>
      <c r="F843" s="22"/>
      <c r="G843" s="25"/>
      <c r="H843" s="22"/>
      <c r="I843" s="25"/>
      <c r="J843" s="22"/>
    </row>
    <row r="844" ht="15.75" customHeight="1">
      <c r="A844" s="25"/>
      <c r="B844" s="22"/>
      <c r="C844" s="25"/>
      <c r="D844" s="22"/>
      <c r="E844" s="25"/>
      <c r="F844" s="22"/>
      <c r="G844" s="25"/>
      <c r="H844" s="22"/>
      <c r="I844" s="25"/>
      <c r="J844" s="22"/>
    </row>
    <row r="845" ht="15.75" customHeight="1">
      <c r="A845" s="25"/>
      <c r="B845" s="22"/>
      <c r="C845" s="25"/>
      <c r="D845" s="22"/>
      <c r="E845" s="25"/>
      <c r="F845" s="22"/>
      <c r="G845" s="25"/>
      <c r="H845" s="22"/>
      <c r="I845" s="25"/>
      <c r="J845" s="22"/>
    </row>
    <row r="846" ht="15.75" customHeight="1">
      <c r="A846" s="25"/>
      <c r="B846" s="22"/>
      <c r="C846" s="25"/>
      <c r="D846" s="22"/>
      <c r="E846" s="25"/>
      <c r="F846" s="22"/>
      <c r="G846" s="25"/>
      <c r="H846" s="22"/>
      <c r="I846" s="25"/>
      <c r="J846" s="22"/>
    </row>
    <row r="847" ht="15.75" customHeight="1">
      <c r="A847" s="25"/>
      <c r="B847" s="22"/>
      <c r="C847" s="25"/>
      <c r="D847" s="22"/>
      <c r="E847" s="25"/>
      <c r="F847" s="22"/>
      <c r="G847" s="25"/>
      <c r="H847" s="22"/>
      <c r="I847" s="25"/>
      <c r="J847" s="22"/>
    </row>
    <row r="848" ht="15.75" customHeight="1">
      <c r="A848" s="25"/>
      <c r="B848" s="22"/>
      <c r="C848" s="25"/>
      <c r="D848" s="22"/>
      <c r="E848" s="25"/>
      <c r="F848" s="22"/>
      <c r="G848" s="25"/>
      <c r="H848" s="22"/>
      <c r="I848" s="25"/>
      <c r="J848" s="22"/>
    </row>
    <row r="849" ht="15.75" customHeight="1">
      <c r="A849" s="25"/>
      <c r="B849" s="22"/>
      <c r="C849" s="25"/>
      <c r="D849" s="22"/>
      <c r="E849" s="25"/>
      <c r="F849" s="22"/>
      <c r="G849" s="25"/>
      <c r="H849" s="22"/>
      <c r="I849" s="25"/>
      <c r="J849" s="22"/>
    </row>
    <row r="850" ht="15.75" customHeight="1">
      <c r="A850" s="25"/>
      <c r="B850" s="22"/>
      <c r="C850" s="25"/>
      <c r="D850" s="22"/>
      <c r="E850" s="25"/>
      <c r="F850" s="22"/>
      <c r="G850" s="25"/>
      <c r="H850" s="22"/>
      <c r="I850" s="25"/>
      <c r="J850" s="22"/>
    </row>
    <row r="851" ht="15.75" customHeight="1">
      <c r="A851" s="25"/>
      <c r="B851" s="22"/>
      <c r="C851" s="25"/>
      <c r="D851" s="22"/>
      <c r="E851" s="25"/>
      <c r="F851" s="22"/>
      <c r="G851" s="25"/>
      <c r="H851" s="22"/>
      <c r="I851" s="25"/>
      <c r="J851" s="22"/>
    </row>
    <row r="852" ht="15.75" customHeight="1">
      <c r="A852" s="25"/>
      <c r="B852" s="22"/>
      <c r="C852" s="25"/>
      <c r="D852" s="22"/>
      <c r="E852" s="25"/>
      <c r="F852" s="22"/>
      <c r="G852" s="25"/>
      <c r="H852" s="22"/>
      <c r="I852" s="25"/>
      <c r="J852" s="22"/>
    </row>
    <row r="853" ht="15.75" customHeight="1">
      <c r="A853" s="25"/>
      <c r="B853" s="22"/>
      <c r="C853" s="25"/>
      <c r="D853" s="22"/>
      <c r="E853" s="25"/>
      <c r="F853" s="22"/>
      <c r="G853" s="25"/>
      <c r="H853" s="22"/>
      <c r="I853" s="25"/>
      <c r="J853" s="22"/>
    </row>
    <row r="854" ht="15.75" customHeight="1">
      <c r="A854" s="25"/>
      <c r="B854" s="22"/>
      <c r="C854" s="25"/>
      <c r="D854" s="22"/>
      <c r="E854" s="25"/>
      <c r="F854" s="22"/>
      <c r="G854" s="25"/>
      <c r="H854" s="22"/>
      <c r="I854" s="25"/>
      <c r="J854" s="22"/>
    </row>
    <row r="855" ht="15.75" customHeight="1">
      <c r="A855" s="25"/>
      <c r="B855" s="22"/>
      <c r="C855" s="25"/>
      <c r="D855" s="22"/>
      <c r="E855" s="25"/>
      <c r="F855" s="22"/>
      <c r="G855" s="25"/>
      <c r="H855" s="22"/>
      <c r="I855" s="25"/>
      <c r="J855" s="22"/>
    </row>
    <row r="856" ht="15.75" customHeight="1">
      <c r="A856" s="25"/>
      <c r="B856" s="22"/>
      <c r="C856" s="25"/>
      <c r="D856" s="22"/>
      <c r="E856" s="25"/>
      <c r="F856" s="22"/>
      <c r="G856" s="25"/>
      <c r="H856" s="22"/>
      <c r="I856" s="25"/>
      <c r="J856" s="22"/>
    </row>
    <row r="857" ht="15.75" customHeight="1">
      <c r="A857" s="25"/>
      <c r="B857" s="22"/>
      <c r="C857" s="25"/>
      <c r="D857" s="22"/>
      <c r="E857" s="25"/>
      <c r="F857" s="22"/>
      <c r="G857" s="25"/>
      <c r="H857" s="22"/>
      <c r="I857" s="25"/>
      <c r="J857" s="22"/>
    </row>
    <row r="858" ht="15.75" customHeight="1">
      <c r="A858" s="25"/>
      <c r="B858" s="22"/>
      <c r="C858" s="25"/>
      <c r="D858" s="22"/>
      <c r="E858" s="25"/>
      <c r="F858" s="22"/>
      <c r="G858" s="25"/>
      <c r="H858" s="22"/>
      <c r="I858" s="25"/>
      <c r="J858" s="22"/>
    </row>
    <row r="859" ht="15.75" customHeight="1">
      <c r="A859" s="25"/>
      <c r="B859" s="22"/>
      <c r="C859" s="25"/>
      <c r="D859" s="22"/>
      <c r="E859" s="25"/>
      <c r="F859" s="22"/>
      <c r="G859" s="25"/>
      <c r="H859" s="22"/>
      <c r="I859" s="25"/>
      <c r="J859" s="22"/>
    </row>
    <row r="860" ht="15.75" customHeight="1">
      <c r="A860" s="25"/>
      <c r="B860" s="22"/>
      <c r="C860" s="25"/>
      <c r="D860" s="22"/>
      <c r="E860" s="25"/>
      <c r="F860" s="22"/>
      <c r="G860" s="25"/>
      <c r="H860" s="22"/>
      <c r="I860" s="25"/>
      <c r="J860" s="22"/>
    </row>
    <row r="861" ht="15.75" customHeight="1">
      <c r="A861" s="25"/>
      <c r="B861" s="22"/>
      <c r="C861" s="25"/>
      <c r="D861" s="22"/>
      <c r="E861" s="25"/>
      <c r="F861" s="22"/>
      <c r="G861" s="25"/>
      <c r="H861" s="22"/>
      <c r="I861" s="25"/>
      <c r="J861" s="22"/>
    </row>
    <row r="862" ht="15.75" customHeight="1">
      <c r="A862" s="25"/>
      <c r="B862" s="22"/>
      <c r="C862" s="25"/>
      <c r="D862" s="22"/>
      <c r="E862" s="25"/>
      <c r="F862" s="22"/>
      <c r="G862" s="25"/>
      <c r="H862" s="22"/>
      <c r="I862" s="25"/>
      <c r="J862" s="22"/>
    </row>
    <row r="863" ht="15.75" customHeight="1">
      <c r="A863" s="25"/>
      <c r="B863" s="22"/>
      <c r="C863" s="25"/>
      <c r="D863" s="22"/>
      <c r="E863" s="25"/>
      <c r="F863" s="22"/>
      <c r="G863" s="25"/>
      <c r="H863" s="22"/>
      <c r="I863" s="25"/>
      <c r="J863" s="22"/>
    </row>
    <row r="864" ht="15.75" customHeight="1">
      <c r="A864" s="25"/>
      <c r="B864" s="22"/>
      <c r="C864" s="25"/>
      <c r="D864" s="22"/>
      <c r="E864" s="25"/>
      <c r="F864" s="22"/>
      <c r="G864" s="25"/>
      <c r="H864" s="22"/>
      <c r="I864" s="25"/>
      <c r="J864" s="22"/>
    </row>
    <row r="865" ht="15.75" customHeight="1">
      <c r="A865" s="25"/>
      <c r="B865" s="22"/>
      <c r="C865" s="25"/>
      <c r="D865" s="22"/>
      <c r="E865" s="25"/>
      <c r="F865" s="22"/>
      <c r="G865" s="25"/>
      <c r="H865" s="22"/>
      <c r="I865" s="25"/>
      <c r="J865" s="22"/>
    </row>
    <row r="866" ht="15.75" customHeight="1">
      <c r="A866" s="25"/>
      <c r="B866" s="22"/>
      <c r="C866" s="25"/>
      <c r="D866" s="22"/>
      <c r="E866" s="25"/>
      <c r="F866" s="22"/>
      <c r="G866" s="25"/>
      <c r="H866" s="22"/>
      <c r="I866" s="25"/>
      <c r="J866" s="22"/>
    </row>
    <row r="867" ht="15.75" customHeight="1">
      <c r="A867" s="25"/>
      <c r="B867" s="22"/>
      <c r="C867" s="25"/>
      <c r="D867" s="22"/>
      <c r="E867" s="25"/>
      <c r="F867" s="22"/>
      <c r="G867" s="25"/>
      <c r="H867" s="22"/>
      <c r="I867" s="25"/>
      <c r="J867" s="22"/>
    </row>
    <row r="868" ht="15.75" customHeight="1">
      <c r="A868" s="25"/>
      <c r="B868" s="22"/>
      <c r="C868" s="25"/>
      <c r="D868" s="22"/>
      <c r="E868" s="25"/>
      <c r="F868" s="22"/>
      <c r="G868" s="25"/>
      <c r="H868" s="22"/>
      <c r="I868" s="25"/>
      <c r="J868" s="22"/>
    </row>
    <row r="869" ht="15.75" customHeight="1">
      <c r="A869" s="25"/>
      <c r="B869" s="22"/>
      <c r="C869" s="25"/>
      <c r="D869" s="22"/>
      <c r="E869" s="25"/>
      <c r="F869" s="22"/>
      <c r="G869" s="25"/>
      <c r="H869" s="22"/>
      <c r="I869" s="25"/>
      <c r="J869" s="22"/>
    </row>
    <row r="870" ht="15.75" customHeight="1">
      <c r="A870" s="25"/>
      <c r="B870" s="22"/>
      <c r="C870" s="25"/>
      <c r="D870" s="22"/>
      <c r="E870" s="25"/>
      <c r="F870" s="22"/>
      <c r="G870" s="25"/>
      <c r="H870" s="22"/>
      <c r="I870" s="25"/>
      <c r="J870" s="22"/>
    </row>
    <row r="871" ht="15.75" customHeight="1">
      <c r="A871" s="25"/>
      <c r="B871" s="22"/>
      <c r="C871" s="25"/>
      <c r="D871" s="22"/>
      <c r="E871" s="25"/>
      <c r="F871" s="22"/>
      <c r="G871" s="25"/>
      <c r="H871" s="22"/>
      <c r="I871" s="25"/>
      <c r="J871" s="22"/>
    </row>
    <row r="872" ht="15.75" customHeight="1">
      <c r="A872" s="25"/>
      <c r="B872" s="22"/>
      <c r="C872" s="25"/>
      <c r="D872" s="22"/>
      <c r="E872" s="25"/>
      <c r="F872" s="22"/>
      <c r="G872" s="25"/>
      <c r="H872" s="22"/>
      <c r="I872" s="25"/>
      <c r="J872" s="22"/>
    </row>
    <row r="873" ht="15.75" customHeight="1">
      <c r="A873" s="25"/>
      <c r="B873" s="22"/>
      <c r="C873" s="25"/>
      <c r="D873" s="22"/>
      <c r="E873" s="25"/>
      <c r="F873" s="22"/>
      <c r="G873" s="25"/>
      <c r="H873" s="22"/>
      <c r="I873" s="25"/>
      <c r="J873" s="22"/>
    </row>
    <row r="874" ht="15.75" customHeight="1">
      <c r="A874" s="25"/>
      <c r="B874" s="22"/>
      <c r="C874" s="25"/>
      <c r="D874" s="22"/>
      <c r="E874" s="25"/>
      <c r="F874" s="22"/>
      <c r="G874" s="25"/>
      <c r="H874" s="22"/>
      <c r="I874" s="25"/>
      <c r="J874" s="22"/>
    </row>
    <row r="875" ht="15.75" customHeight="1">
      <c r="A875" s="25"/>
      <c r="B875" s="22"/>
      <c r="C875" s="25"/>
      <c r="D875" s="22"/>
      <c r="E875" s="25"/>
      <c r="F875" s="22"/>
      <c r="G875" s="25"/>
      <c r="H875" s="22"/>
      <c r="I875" s="25"/>
      <c r="J875" s="22"/>
    </row>
    <row r="876" ht="15.75" customHeight="1">
      <c r="A876" s="25"/>
      <c r="B876" s="22"/>
      <c r="C876" s="25"/>
      <c r="D876" s="22"/>
      <c r="E876" s="25"/>
      <c r="F876" s="22"/>
      <c r="G876" s="25"/>
      <c r="H876" s="22"/>
      <c r="I876" s="25"/>
      <c r="J876" s="22"/>
    </row>
    <row r="877" ht="15.75" customHeight="1">
      <c r="A877" s="25"/>
      <c r="B877" s="22"/>
      <c r="C877" s="25"/>
      <c r="D877" s="22"/>
      <c r="E877" s="25"/>
      <c r="F877" s="22"/>
      <c r="G877" s="25"/>
      <c r="H877" s="22"/>
      <c r="I877" s="25"/>
      <c r="J877" s="22"/>
    </row>
    <row r="878" ht="15.75" customHeight="1">
      <c r="A878" s="25"/>
      <c r="B878" s="22"/>
      <c r="C878" s="25"/>
      <c r="D878" s="22"/>
      <c r="E878" s="25"/>
      <c r="F878" s="22"/>
      <c r="G878" s="25"/>
      <c r="H878" s="22"/>
      <c r="I878" s="25"/>
      <c r="J878" s="22"/>
    </row>
    <row r="879" ht="15.75" customHeight="1">
      <c r="A879" s="25"/>
      <c r="B879" s="22"/>
      <c r="C879" s="25"/>
      <c r="D879" s="22"/>
      <c r="E879" s="25"/>
      <c r="F879" s="22"/>
      <c r="G879" s="25"/>
      <c r="H879" s="22"/>
      <c r="I879" s="25"/>
      <c r="J879" s="22"/>
    </row>
    <row r="880" ht="15.75" customHeight="1">
      <c r="A880" s="25"/>
      <c r="B880" s="22"/>
      <c r="C880" s="25"/>
      <c r="D880" s="22"/>
      <c r="E880" s="25"/>
      <c r="F880" s="22"/>
      <c r="G880" s="25"/>
      <c r="H880" s="22"/>
      <c r="I880" s="25"/>
      <c r="J880" s="22"/>
    </row>
    <row r="881" ht="15.75" customHeight="1">
      <c r="A881" s="25"/>
      <c r="B881" s="22"/>
      <c r="C881" s="25"/>
      <c r="D881" s="22"/>
      <c r="E881" s="25"/>
      <c r="F881" s="22"/>
      <c r="G881" s="25"/>
      <c r="H881" s="22"/>
      <c r="I881" s="25"/>
      <c r="J881" s="22"/>
    </row>
    <row r="882" ht="15.75" customHeight="1">
      <c r="A882" s="25"/>
      <c r="B882" s="22"/>
      <c r="C882" s="25"/>
      <c r="D882" s="22"/>
      <c r="E882" s="25"/>
      <c r="F882" s="22"/>
      <c r="G882" s="25"/>
      <c r="H882" s="22"/>
      <c r="I882" s="25"/>
      <c r="J882" s="22"/>
    </row>
    <row r="883" ht="15.75" customHeight="1">
      <c r="A883" s="25"/>
      <c r="B883" s="22"/>
      <c r="C883" s="25"/>
      <c r="D883" s="22"/>
      <c r="E883" s="25"/>
      <c r="F883" s="22"/>
      <c r="G883" s="25"/>
      <c r="H883" s="22"/>
      <c r="I883" s="25"/>
      <c r="J883" s="22"/>
    </row>
    <row r="884" ht="15.75" customHeight="1">
      <c r="A884" s="25"/>
      <c r="B884" s="22"/>
      <c r="C884" s="25"/>
      <c r="D884" s="22"/>
      <c r="E884" s="25"/>
      <c r="F884" s="22"/>
      <c r="G884" s="25"/>
      <c r="H884" s="22"/>
      <c r="I884" s="25"/>
      <c r="J884" s="22"/>
    </row>
    <row r="885" ht="15.75" customHeight="1">
      <c r="A885" s="25"/>
      <c r="B885" s="22"/>
      <c r="C885" s="25"/>
      <c r="D885" s="22"/>
      <c r="E885" s="25"/>
      <c r="F885" s="22"/>
      <c r="G885" s="25"/>
      <c r="H885" s="22"/>
      <c r="I885" s="25"/>
      <c r="J885" s="22"/>
    </row>
    <row r="886" ht="15.75" customHeight="1">
      <c r="A886" s="25"/>
      <c r="B886" s="22"/>
      <c r="C886" s="25"/>
      <c r="D886" s="22"/>
      <c r="E886" s="25"/>
      <c r="F886" s="22"/>
      <c r="G886" s="25"/>
      <c r="H886" s="22"/>
      <c r="I886" s="25"/>
      <c r="J886" s="22"/>
    </row>
    <row r="887" ht="15.75" customHeight="1">
      <c r="A887" s="25"/>
      <c r="B887" s="22"/>
      <c r="C887" s="25"/>
      <c r="D887" s="22"/>
      <c r="E887" s="25"/>
      <c r="F887" s="22"/>
      <c r="G887" s="25"/>
      <c r="H887" s="22"/>
      <c r="I887" s="25"/>
      <c r="J887" s="22"/>
    </row>
    <row r="888" ht="15.75" customHeight="1">
      <c r="A888" s="25"/>
      <c r="B888" s="22"/>
      <c r="C888" s="25"/>
      <c r="D888" s="22"/>
      <c r="E888" s="25"/>
      <c r="F888" s="22"/>
      <c r="G888" s="25"/>
      <c r="H888" s="22"/>
      <c r="I888" s="25"/>
      <c r="J888" s="22"/>
    </row>
    <row r="889" ht="15.75" customHeight="1">
      <c r="A889" s="25"/>
      <c r="B889" s="22"/>
      <c r="C889" s="25"/>
      <c r="D889" s="22"/>
      <c r="E889" s="25"/>
      <c r="F889" s="22"/>
      <c r="G889" s="25"/>
      <c r="H889" s="22"/>
      <c r="I889" s="25"/>
      <c r="J889" s="22"/>
    </row>
    <row r="890" ht="15.75" customHeight="1">
      <c r="A890" s="25"/>
      <c r="B890" s="22"/>
      <c r="C890" s="25"/>
      <c r="D890" s="22"/>
      <c r="E890" s="25"/>
      <c r="F890" s="22"/>
      <c r="G890" s="25"/>
      <c r="H890" s="22"/>
      <c r="I890" s="25"/>
      <c r="J890" s="22"/>
    </row>
    <row r="891" ht="15.75" customHeight="1">
      <c r="A891" s="25"/>
      <c r="B891" s="22"/>
      <c r="C891" s="25"/>
      <c r="D891" s="22"/>
      <c r="E891" s="25"/>
      <c r="F891" s="22"/>
      <c r="G891" s="25"/>
      <c r="H891" s="22"/>
      <c r="I891" s="25"/>
      <c r="J891" s="22"/>
    </row>
    <row r="892" ht="15.75" customHeight="1">
      <c r="A892" s="25"/>
      <c r="B892" s="22"/>
      <c r="C892" s="25"/>
      <c r="D892" s="22"/>
      <c r="E892" s="25"/>
      <c r="F892" s="22"/>
      <c r="G892" s="25"/>
      <c r="H892" s="22"/>
      <c r="I892" s="25"/>
      <c r="J892" s="22"/>
    </row>
    <row r="893" ht="15.75" customHeight="1">
      <c r="A893" s="25"/>
      <c r="B893" s="22"/>
      <c r="C893" s="25"/>
      <c r="D893" s="22"/>
      <c r="E893" s="25"/>
      <c r="F893" s="22"/>
      <c r="G893" s="25"/>
      <c r="H893" s="22"/>
      <c r="I893" s="25"/>
      <c r="J893" s="22"/>
    </row>
    <row r="894" ht="15.75" customHeight="1">
      <c r="A894" s="25"/>
      <c r="B894" s="22"/>
      <c r="C894" s="25"/>
      <c r="D894" s="22"/>
      <c r="E894" s="25"/>
      <c r="F894" s="22"/>
      <c r="G894" s="25"/>
      <c r="H894" s="22"/>
      <c r="I894" s="25"/>
      <c r="J894" s="22"/>
    </row>
    <row r="895" ht="15.75" customHeight="1">
      <c r="A895" s="25"/>
      <c r="B895" s="22"/>
      <c r="C895" s="25"/>
      <c r="D895" s="22"/>
      <c r="E895" s="25"/>
      <c r="F895" s="22"/>
      <c r="G895" s="25"/>
      <c r="H895" s="22"/>
      <c r="I895" s="25"/>
      <c r="J895" s="22"/>
    </row>
    <row r="896" ht="15.75" customHeight="1">
      <c r="A896" s="25"/>
      <c r="B896" s="22"/>
      <c r="C896" s="25"/>
      <c r="D896" s="22"/>
      <c r="E896" s="25"/>
      <c r="F896" s="22"/>
      <c r="G896" s="25"/>
      <c r="H896" s="22"/>
      <c r="I896" s="25"/>
      <c r="J896" s="22"/>
    </row>
    <row r="897" ht="15.75" customHeight="1">
      <c r="A897" s="25"/>
      <c r="B897" s="22"/>
      <c r="C897" s="25"/>
      <c r="D897" s="22"/>
      <c r="E897" s="25"/>
      <c r="F897" s="22"/>
      <c r="G897" s="25"/>
      <c r="H897" s="22"/>
      <c r="I897" s="25"/>
      <c r="J897" s="22"/>
    </row>
    <row r="898" ht="15.75" customHeight="1">
      <c r="A898" s="25"/>
      <c r="B898" s="22"/>
      <c r="C898" s="25"/>
      <c r="D898" s="22"/>
      <c r="E898" s="25"/>
      <c r="F898" s="22"/>
      <c r="G898" s="25"/>
      <c r="H898" s="22"/>
      <c r="I898" s="25"/>
      <c r="J898" s="22"/>
    </row>
    <row r="899" ht="15.75" customHeight="1">
      <c r="A899" s="25"/>
      <c r="B899" s="22"/>
      <c r="C899" s="25"/>
      <c r="D899" s="22"/>
      <c r="E899" s="25"/>
      <c r="F899" s="22"/>
      <c r="G899" s="25"/>
      <c r="H899" s="22"/>
      <c r="I899" s="25"/>
      <c r="J899" s="22"/>
    </row>
    <row r="900" ht="15.75" customHeight="1">
      <c r="A900" s="25"/>
      <c r="B900" s="22"/>
      <c r="C900" s="25"/>
      <c r="D900" s="22"/>
      <c r="E900" s="25"/>
      <c r="F900" s="22"/>
      <c r="G900" s="25"/>
      <c r="H900" s="22"/>
      <c r="I900" s="25"/>
      <c r="J900" s="22"/>
    </row>
    <row r="901" ht="15.75" customHeight="1">
      <c r="A901" s="25"/>
      <c r="B901" s="22"/>
      <c r="C901" s="25"/>
      <c r="D901" s="22"/>
      <c r="E901" s="25"/>
      <c r="F901" s="22"/>
      <c r="G901" s="25"/>
      <c r="H901" s="22"/>
      <c r="I901" s="25"/>
      <c r="J901" s="22"/>
    </row>
    <row r="902" ht="15.75" customHeight="1">
      <c r="A902" s="25"/>
      <c r="B902" s="22"/>
      <c r="C902" s="25"/>
      <c r="D902" s="22"/>
      <c r="E902" s="25"/>
      <c r="F902" s="22"/>
      <c r="G902" s="25"/>
      <c r="H902" s="22"/>
      <c r="I902" s="25"/>
      <c r="J902" s="22"/>
    </row>
    <row r="903" ht="15.75" customHeight="1">
      <c r="A903" s="25"/>
      <c r="B903" s="22"/>
      <c r="C903" s="25"/>
      <c r="D903" s="22"/>
      <c r="E903" s="25"/>
      <c r="F903" s="22"/>
      <c r="G903" s="25"/>
      <c r="H903" s="22"/>
      <c r="I903" s="25"/>
      <c r="J903" s="22"/>
    </row>
    <row r="904" ht="15.75" customHeight="1">
      <c r="A904" s="25"/>
      <c r="B904" s="22"/>
      <c r="C904" s="25"/>
      <c r="D904" s="22"/>
      <c r="E904" s="25"/>
      <c r="F904" s="22"/>
      <c r="G904" s="25"/>
      <c r="H904" s="22"/>
      <c r="I904" s="25"/>
      <c r="J904" s="22"/>
    </row>
    <row r="905" ht="15.75" customHeight="1">
      <c r="A905" s="25"/>
      <c r="B905" s="22"/>
      <c r="C905" s="25"/>
      <c r="D905" s="22"/>
      <c r="E905" s="25"/>
      <c r="F905" s="22"/>
      <c r="G905" s="25"/>
      <c r="H905" s="22"/>
      <c r="I905" s="25"/>
      <c r="J905" s="22"/>
    </row>
    <row r="906" ht="15.75" customHeight="1">
      <c r="A906" s="25"/>
      <c r="B906" s="22"/>
      <c r="C906" s="25"/>
      <c r="D906" s="22"/>
      <c r="E906" s="25"/>
      <c r="F906" s="22"/>
      <c r="G906" s="25"/>
      <c r="H906" s="22"/>
      <c r="I906" s="25"/>
      <c r="J906" s="22"/>
    </row>
    <row r="907" ht="15.75" customHeight="1">
      <c r="A907" s="25"/>
      <c r="B907" s="22"/>
      <c r="C907" s="25"/>
      <c r="D907" s="22"/>
      <c r="E907" s="25"/>
      <c r="F907" s="22"/>
      <c r="G907" s="25"/>
      <c r="H907" s="22"/>
      <c r="I907" s="25"/>
      <c r="J907" s="22"/>
    </row>
    <row r="908" ht="15.75" customHeight="1">
      <c r="A908" s="25"/>
      <c r="B908" s="22"/>
      <c r="C908" s="25"/>
      <c r="D908" s="22"/>
      <c r="E908" s="25"/>
      <c r="F908" s="22"/>
      <c r="G908" s="25"/>
      <c r="H908" s="22"/>
      <c r="I908" s="25"/>
      <c r="J908" s="22"/>
    </row>
    <row r="909" ht="15.75" customHeight="1">
      <c r="A909" s="25"/>
      <c r="B909" s="22"/>
      <c r="C909" s="25"/>
      <c r="D909" s="22"/>
      <c r="E909" s="25"/>
      <c r="F909" s="22"/>
      <c r="G909" s="25"/>
      <c r="H909" s="22"/>
      <c r="I909" s="25"/>
      <c r="J909" s="22"/>
    </row>
    <row r="910" ht="15.75" customHeight="1">
      <c r="A910" s="25"/>
      <c r="B910" s="22"/>
      <c r="C910" s="25"/>
      <c r="D910" s="22"/>
      <c r="E910" s="25"/>
      <c r="F910" s="22"/>
      <c r="G910" s="25"/>
      <c r="H910" s="22"/>
      <c r="I910" s="25"/>
      <c r="J910" s="22"/>
    </row>
    <row r="911" ht="15.75" customHeight="1">
      <c r="A911" s="25"/>
      <c r="B911" s="22"/>
      <c r="C911" s="25"/>
      <c r="D911" s="22"/>
      <c r="E911" s="25"/>
      <c r="F911" s="22"/>
      <c r="G911" s="25"/>
      <c r="H911" s="22"/>
      <c r="I911" s="25"/>
      <c r="J911" s="22"/>
    </row>
    <row r="912" ht="15.75" customHeight="1">
      <c r="A912" s="25"/>
      <c r="B912" s="22"/>
      <c r="C912" s="25"/>
      <c r="D912" s="22"/>
      <c r="E912" s="25"/>
      <c r="F912" s="22"/>
      <c r="G912" s="25"/>
      <c r="H912" s="22"/>
      <c r="I912" s="25"/>
      <c r="J912" s="22"/>
    </row>
    <row r="913" ht="15.75" customHeight="1">
      <c r="A913" s="25"/>
      <c r="B913" s="22"/>
      <c r="C913" s="25"/>
      <c r="D913" s="22"/>
      <c r="E913" s="25"/>
      <c r="F913" s="22"/>
      <c r="G913" s="25"/>
      <c r="H913" s="22"/>
      <c r="I913" s="25"/>
      <c r="J913" s="22"/>
    </row>
    <row r="914" ht="15.75" customHeight="1">
      <c r="A914" s="25"/>
      <c r="B914" s="22"/>
      <c r="C914" s="25"/>
      <c r="D914" s="22"/>
      <c r="E914" s="25"/>
      <c r="F914" s="22"/>
      <c r="G914" s="25"/>
      <c r="H914" s="22"/>
      <c r="I914" s="25"/>
      <c r="J914" s="22"/>
    </row>
    <row r="915" ht="15.75" customHeight="1">
      <c r="A915" s="25"/>
      <c r="B915" s="22"/>
      <c r="C915" s="25"/>
      <c r="D915" s="22"/>
      <c r="E915" s="25"/>
      <c r="F915" s="22"/>
      <c r="G915" s="25"/>
      <c r="H915" s="22"/>
      <c r="I915" s="25"/>
      <c r="J915" s="22"/>
    </row>
    <row r="916" ht="15.75" customHeight="1">
      <c r="A916" s="25"/>
      <c r="B916" s="22"/>
      <c r="C916" s="25"/>
      <c r="D916" s="22"/>
      <c r="E916" s="25"/>
      <c r="F916" s="22"/>
      <c r="G916" s="25"/>
      <c r="H916" s="22"/>
      <c r="I916" s="25"/>
      <c r="J916" s="22"/>
    </row>
    <row r="917" ht="15.75" customHeight="1">
      <c r="A917" s="25"/>
      <c r="B917" s="22"/>
      <c r="C917" s="25"/>
      <c r="D917" s="22"/>
      <c r="E917" s="25"/>
      <c r="F917" s="22"/>
      <c r="G917" s="25"/>
      <c r="H917" s="22"/>
      <c r="I917" s="25"/>
      <c r="J917" s="22"/>
    </row>
    <row r="918" ht="15.75" customHeight="1">
      <c r="A918" s="25"/>
      <c r="B918" s="22"/>
      <c r="C918" s="25"/>
      <c r="D918" s="22"/>
      <c r="E918" s="25"/>
      <c r="F918" s="22"/>
      <c r="G918" s="25"/>
      <c r="H918" s="22"/>
      <c r="I918" s="25"/>
      <c r="J918" s="22"/>
    </row>
    <row r="919" ht="15.75" customHeight="1">
      <c r="A919" s="25"/>
      <c r="B919" s="22"/>
      <c r="C919" s="25"/>
      <c r="D919" s="22"/>
      <c r="E919" s="25"/>
      <c r="F919" s="22"/>
      <c r="G919" s="25"/>
      <c r="H919" s="22"/>
      <c r="I919" s="25"/>
      <c r="J919" s="22"/>
    </row>
    <row r="920" ht="15.75" customHeight="1">
      <c r="A920" s="25"/>
      <c r="B920" s="22"/>
      <c r="C920" s="25"/>
      <c r="D920" s="22"/>
      <c r="E920" s="25"/>
      <c r="F920" s="22"/>
      <c r="G920" s="25"/>
      <c r="H920" s="22"/>
      <c r="I920" s="25"/>
      <c r="J920" s="22"/>
    </row>
    <row r="921" ht="15.75" customHeight="1">
      <c r="A921" s="25"/>
      <c r="B921" s="22"/>
      <c r="C921" s="25"/>
      <c r="D921" s="22"/>
      <c r="E921" s="25"/>
      <c r="F921" s="22"/>
      <c r="G921" s="25"/>
      <c r="H921" s="22"/>
      <c r="I921" s="25"/>
      <c r="J921" s="22"/>
    </row>
    <row r="922" ht="15.75" customHeight="1">
      <c r="A922" s="25"/>
      <c r="B922" s="22"/>
      <c r="C922" s="25"/>
      <c r="D922" s="22"/>
      <c r="E922" s="25"/>
      <c r="F922" s="22"/>
      <c r="G922" s="25"/>
      <c r="H922" s="22"/>
      <c r="I922" s="25"/>
      <c r="J922" s="22"/>
    </row>
    <row r="923" ht="15.75" customHeight="1">
      <c r="A923" s="25"/>
      <c r="B923" s="22"/>
      <c r="C923" s="25"/>
      <c r="D923" s="22"/>
      <c r="E923" s="25"/>
      <c r="F923" s="22"/>
      <c r="G923" s="25"/>
      <c r="H923" s="22"/>
      <c r="I923" s="25"/>
      <c r="J923" s="22"/>
    </row>
    <row r="924" ht="15.75" customHeight="1">
      <c r="A924" s="25"/>
      <c r="B924" s="22"/>
      <c r="C924" s="25"/>
      <c r="D924" s="22"/>
      <c r="E924" s="25"/>
      <c r="F924" s="22"/>
      <c r="G924" s="25"/>
      <c r="H924" s="22"/>
      <c r="I924" s="25"/>
      <c r="J924" s="22"/>
    </row>
    <row r="925" ht="15.75" customHeight="1">
      <c r="A925" s="25"/>
      <c r="B925" s="22"/>
      <c r="C925" s="25"/>
      <c r="D925" s="22"/>
      <c r="E925" s="25"/>
      <c r="F925" s="22"/>
      <c r="G925" s="25"/>
      <c r="H925" s="22"/>
      <c r="I925" s="25"/>
      <c r="J925" s="22"/>
    </row>
    <row r="926" ht="15.75" customHeight="1">
      <c r="A926" s="25"/>
      <c r="B926" s="22"/>
      <c r="C926" s="25"/>
      <c r="D926" s="22"/>
      <c r="E926" s="25"/>
      <c r="F926" s="22"/>
      <c r="G926" s="25"/>
      <c r="H926" s="22"/>
      <c r="I926" s="25"/>
      <c r="J926" s="22"/>
    </row>
    <row r="927" ht="15.75" customHeight="1">
      <c r="A927" s="25"/>
      <c r="B927" s="22"/>
      <c r="C927" s="25"/>
      <c r="D927" s="22"/>
      <c r="E927" s="25"/>
      <c r="F927" s="22"/>
      <c r="G927" s="25"/>
      <c r="H927" s="22"/>
      <c r="I927" s="25"/>
      <c r="J927" s="22"/>
    </row>
    <row r="928" ht="15.75" customHeight="1">
      <c r="A928" s="25"/>
      <c r="B928" s="22"/>
      <c r="C928" s="25"/>
      <c r="D928" s="22"/>
      <c r="E928" s="25"/>
      <c r="F928" s="22"/>
      <c r="G928" s="25"/>
      <c r="H928" s="22"/>
      <c r="I928" s="25"/>
      <c r="J928" s="22"/>
    </row>
    <row r="929" ht="15.75" customHeight="1">
      <c r="A929" s="25"/>
      <c r="B929" s="22"/>
      <c r="C929" s="25"/>
      <c r="D929" s="22"/>
      <c r="E929" s="25"/>
      <c r="F929" s="22"/>
      <c r="G929" s="25"/>
      <c r="H929" s="22"/>
      <c r="I929" s="25"/>
      <c r="J929" s="22"/>
    </row>
    <row r="930" ht="15.75" customHeight="1">
      <c r="A930" s="25"/>
      <c r="B930" s="22"/>
      <c r="C930" s="25"/>
      <c r="D930" s="22"/>
      <c r="E930" s="25"/>
      <c r="F930" s="22"/>
      <c r="G930" s="25"/>
      <c r="H930" s="22"/>
      <c r="I930" s="25"/>
      <c r="J930" s="22"/>
    </row>
    <row r="931" ht="15.75" customHeight="1">
      <c r="A931" s="25"/>
      <c r="B931" s="22"/>
      <c r="C931" s="25"/>
      <c r="D931" s="22"/>
      <c r="E931" s="25"/>
      <c r="F931" s="22"/>
      <c r="G931" s="25"/>
      <c r="H931" s="22"/>
      <c r="I931" s="25"/>
      <c r="J931" s="22"/>
    </row>
    <row r="932" ht="15.75" customHeight="1">
      <c r="A932" s="25"/>
      <c r="B932" s="22"/>
      <c r="C932" s="25"/>
      <c r="D932" s="22"/>
      <c r="E932" s="25"/>
      <c r="F932" s="22"/>
      <c r="G932" s="25"/>
      <c r="H932" s="22"/>
      <c r="I932" s="25"/>
      <c r="J932" s="22"/>
    </row>
    <row r="933" ht="15.75" customHeight="1">
      <c r="A933" s="25"/>
      <c r="B933" s="22"/>
      <c r="C933" s="25"/>
      <c r="D933" s="22"/>
      <c r="E933" s="25"/>
      <c r="F933" s="22"/>
      <c r="G933" s="25"/>
      <c r="H933" s="22"/>
      <c r="I933" s="25"/>
      <c r="J933" s="22"/>
    </row>
    <row r="934" ht="15.75" customHeight="1">
      <c r="A934" s="25"/>
      <c r="B934" s="22"/>
      <c r="C934" s="25"/>
      <c r="D934" s="22"/>
      <c r="E934" s="25"/>
      <c r="F934" s="22"/>
      <c r="G934" s="25"/>
      <c r="H934" s="22"/>
      <c r="I934" s="25"/>
      <c r="J934" s="22"/>
    </row>
    <row r="935" ht="15.75" customHeight="1">
      <c r="A935" s="25"/>
      <c r="B935" s="22"/>
      <c r="C935" s="25"/>
      <c r="D935" s="22"/>
      <c r="E935" s="25"/>
      <c r="F935" s="22"/>
      <c r="G935" s="25"/>
      <c r="H935" s="22"/>
      <c r="I935" s="25"/>
      <c r="J935" s="22"/>
    </row>
    <row r="936" ht="15.75" customHeight="1">
      <c r="A936" s="25"/>
      <c r="B936" s="22"/>
      <c r="C936" s="25"/>
      <c r="D936" s="22"/>
      <c r="E936" s="25"/>
      <c r="F936" s="22"/>
      <c r="G936" s="25"/>
      <c r="H936" s="22"/>
      <c r="I936" s="25"/>
      <c r="J936" s="22"/>
    </row>
    <row r="937" ht="15.75" customHeight="1">
      <c r="A937" s="25"/>
      <c r="B937" s="22"/>
      <c r="C937" s="25"/>
      <c r="D937" s="22"/>
      <c r="E937" s="25"/>
      <c r="F937" s="22"/>
      <c r="G937" s="25"/>
      <c r="H937" s="22"/>
      <c r="I937" s="25"/>
      <c r="J937" s="22"/>
    </row>
    <row r="938" ht="15.75" customHeight="1">
      <c r="A938" s="25"/>
      <c r="B938" s="22"/>
      <c r="C938" s="25"/>
      <c r="D938" s="22"/>
      <c r="E938" s="25"/>
      <c r="F938" s="22"/>
      <c r="G938" s="25"/>
      <c r="H938" s="22"/>
      <c r="I938" s="25"/>
      <c r="J938" s="22"/>
    </row>
    <row r="939" ht="15.75" customHeight="1">
      <c r="A939" s="25"/>
      <c r="B939" s="22"/>
      <c r="C939" s="25"/>
      <c r="D939" s="22"/>
      <c r="E939" s="25"/>
      <c r="F939" s="22"/>
      <c r="G939" s="25"/>
      <c r="H939" s="22"/>
      <c r="I939" s="25"/>
      <c r="J939" s="22"/>
    </row>
    <row r="940" ht="15.75" customHeight="1">
      <c r="A940" s="25"/>
      <c r="B940" s="22"/>
      <c r="C940" s="25"/>
      <c r="D940" s="22"/>
      <c r="E940" s="25"/>
      <c r="F940" s="22"/>
      <c r="G940" s="25"/>
      <c r="H940" s="22"/>
      <c r="I940" s="25"/>
      <c r="J940" s="22"/>
    </row>
    <row r="941" ht="15.75" customHeight="1">
      <c r="A941" s="25"/>
      <c r="B941" s="22"/>
      <c r="C941" s="25"/>
      <c r="D941" s="22"/>
      <c r="E941" s="25"/>
      <c r="F941" s="22"/>
      <c r="G941" s="25"/>
      <c r="H941" s="22"/>
      <c r="I941" s="25"/>
      <c r="J941" s="22"/>
    </row>
    <row r="942" ht="15.75" customHeight="1">
      <c r="A942" s="25"/>
      <c r="B942" s="22"/>
      <c r="C942" s="25"/>
      <c r="D942" s="22"/>
      <c r="E942" s="25"/>
      <c r="F942" s="22"/>
      <c r="G942" s="25"/>
      <c r="H942" s="22"/>
      <c r="I942" s="25"/>
      <c r="J942" s="22"/>
    </row>
    <row r="943" ht="15.75" customHeight="1">
      <c r="A943" s="25"/>
      <c r="B943" s="22"/>
      <c r="C943" s="25"/>
      <c r="D943" s="22"/>
      <c r="E943" s="25"/>
      <c r="F943" s="22"/>
      <c r="G943" s="25"/>
      <c r="H943" s="22"/>
      <c r="I943" s="25"/>
      <c r="J943" s="22"/>
    </row>
    <row r="944" ht="15.75" customHeight="1">
      <c r="A944" s="25"/>
      <c r="B944" s="22"/>
      <c r="C944" s="25"/>
      <c r="D944" s="22"/>
      <c r="E944" s="25"/>
      <c r="F944" s="22"/>
      <c r="G944" s="25"/>
      <c r="H944" s="22"/>
      <c r="I944" s="25"/>
      <c r="J944" s="22"/>
    </row>
    <row r="945" ht="15.75" customHeight="1">
      <c r="A945" s="25"/>
      <c r="B945" s="22"/>
      <c r="C945" s="25"/>
      <c r="D945" s="22"/>
      <c r="E945" s="25"/>
      <c r="F945" s="22"/>
      <c r="G945" s="25"/>
      <c r="H945" s="22"/>
      <c r="I945" s="25"/>
      <c r="J945" s="22"/>
    </row>
    <row r="946" ht="15.75" customHeight="1">
      <c r="A946" s="25"/>
      <c r="B946" s="22"/>
      <c r="C946" s="25"/>
      <c r="D946" s="22"/>
      <c r="E946" s="25"/>
      <c r="F946" s="22"/>
      <c r="G946" s="25"/>
      <c r="H946" s="22"/>
      <c r="I946" s="25"/>
      <c r="J946" s="22"/>
    </row>
    <row r="947" ht="15.75" customHeight="1">
      <c r="A947" s="25"/>
      <c r="B947" s="22"/>
      <c r="C947" s="25"/>
      <c r="D947" s="22"/>
      <c r="E947" s="25"/>
      <c r="F947" s="22"/>
      <c r="G947" s="25"/>
      <c r="H947" s="22"/>
      <c r="I947" s="25"/>
      <c r="J947" s="22"/>
    </row>
    <row r="948" ht="15.75" customHeight="1">
      <c r="A948" s="25"/>
      <c r="B948" s="22"/>
      <c r="C948" s="25"/>
      <c r="D948" s="22"/>
      <c r="E948" s="25"/>
      <c r="F948" s="22"/>
      <c r="G948" s="25"/>
      <c r="H948" s="22"/>
      <c r="I948" s="25"/>
      <c r="J948" s="22"/>
    </row>
    <row r="949" ht="15.75" customHeight="1">
      <c r="A949" s="25"/>
      <c r="B949" s="22"/>
      <c r="C949" s="25"/>
      <c r="D949" s="22"/>
      <c r="E949" s="25"/>
      <c r="F949" s="22"/>
      <c r="G949" s="25"/>
      <c r="H949" s="22"/>
      <c r="I949" s="25"/>
      <c r="J949" s="22"/>
    </row>
    <row r="950" ht="15.75" customHeight="1">
      <c r="A950" s="25"/>
      <c r="B950" s="22"/>
      <c r="C950" s="25"/>
      <c r="D950" s="22"/>
      <c r="E950" s="25"/>
      <c r="F950" s="22"/>
      <c r="G950" s="25"/>
      <c r="H950" s="22"/>
      <c r="I950" s="25"/>
      <c r="J950" s="22"/>
    </row>
    <row r="951" ht="15.75" customHeight="1">
      <c r="A951" s="25"/>
      <c r="B951" s="22"/>
      <c r="C951" s="25"/>
      <c r="D951" s="22"/>
      <c r="E951" s="25"/>
      <c r="F951" s="22"/>
      <c r="G951" s="25"/>
      <c r="H951" s="22"/>
      <c r="I951" s="25"/>
      <c r="J951" s="22"/>
    </row>
    <row r="952" ht="15.75" customHeight="1">
      <c r="A952" s="25"/>
      <c r="B952" s="22"/>
      <c r="C952" s="25"/>
      <c r="D952" s="22"/>
      <c r="E952" s="25"/>
      <c r="F952" s="22"/>
      <c r="G952" s="25"/>
      <c r="H952" s="22"/>
      <c r="I952" s="25"/>
      <c r="J952" s="22"/>
    </row>
    <row r="953" ht="15.75" customHeight="1">
      <c r="A953" s="25"/>
      <c r="B953" s="22"/>
      <c r="C953" s="25"/>
      <c r="D953" s="22"/>
      <c r="E953" s="25"/>
      <c r="F953" s="22"/>
      <c r="G953" s="25"/>
      <c r="H953" s="22"/>
      <c r="I953" s="25"/>
      <c r="J953" s="22"/>
    </row>
    <row r="954" ht="15.75" customHeight="1">
      <c r="A954" s="25"/>
      <c r="B954" s="22"/>
      <c r="C954" s="25"/>
      <c r="D954" s="22"/>
      <c r="E954" s="25"/>
      <c r="F954" s="22"/>
      <c r="G954" s="25"/>
      <c r="H954" s="22"/>
      <c r="I954" s="25"/>
      <c r="J954" s="22"/>
    </row>
    <row r="955" ht="15.75" customHeight="1">
      <c r="A955" s="25"/>
      <c r="B955" s="22"/>
      <c r="C955" s="25"/>
      <c r="D955" s="22"/>
      <c r="E955" s="25"/>
      <c r="F955" s="22"/>
      <c r="G955" s="25"/>
      <c r="H955" s="22"/>
      <c r="I955" s="25"/>
      <c r="J955" s="22"/>
    </row>
    <row r="956" ht="15.75" customHeight="1">
      <c r="A956" s="25"/>
      <c r="B956" s="22"/>
      <c r="C956" s="25"/>
      <c r="D956" s="22"/>
      <c r="E956" s="25"/>
      <c r="F956" s="22"/>
      <c r="G956" s="25"/>
      <c r="H956" s="22"/>
      <c r="I956" s="25"/>
      <c r="J956" s="22"/>
    </row>
    <row r="957" ht="15.75" customHeight="1">
      <c r="A957" s="25"/>
      <c r="B957" s="22"/>
      <c r="C957" s="25"/>
      <c r="D957" s="22"/>
      <c r="E957" s="25"/>
      <c r="F957" s="22"/>
      <c r="G957" s="25"/>
      <c r="H957" s="22"/>
      <c r="I957" s="25"/>
      <c r="J957" s="22"/>
    </row>
    <row r="958" ht="15.75" customHeight="1">
      <c r="A958" s="25"/>
      <c r="B958" s="22"/>
      <c r="C958" s="25"/>
      <c r="D958" s="22"/>
      <c r="E958" s="25"/>
      <c r="F958" s="22"/>
      <c r="G958" s="25"/>
      <c r="H958" s="22"/>
      <c r="I958" s="25"/>
      <c r="J958" s="22"/>
    </row>
    <row r="959" ht="15.75" customHeight="1">
      <c r="A959" s="25"/>
      <c r="B959" s="22"/>
      <c r="C959" s="25"/>
      <c r="D959" s="22"/>
      <c r="E959" s="25"/>
      <c r="F959" s="22"/>
      <c r="G959" s="25"/>
      <c r="H959" s="22"/>
      <c r="I959" s="25"/>
      <c r="J959" s="22"/>
    </row>
    <row r="960" ht="15.75" customHeight="1">
      <c r="A960" s="25"/>
      <c r="B960" s="22"/>
      <c r="C960" s="25"/>
      <c r="D960" s="22"/>
      <c r="E960" s="25"/>
      <c r="F960" s="22"/>
      <c r="G960" s="25"/>
      <c r="H960" s="22"/>
      <c r="I960" s="25"/>
      <c r="J960" s="22"/>
    </row>
    <row r="961" ht="15.75" customHeight="1">
      <c r="A961" s="25"/>
      <c r="B961" s="22"/>
      <c r="C961" s="25"/>
      <c r="D961" s="22"/>
      <c r="E961" s="25"/>
      <c r="F961" s="22"/>
      <c r="G961" s="25"/>
      <c r="H961" s="22"/>
      <c r="I961" s="25"/>
      <c r="J961" s="22"/>
    </row>
    <row r="962" ht="15.75" customHeight="1">
      <c r="A962" s="25"/>
      <c r="B962" s="22"/>
      <c r="C962" s="25"/>
      <c r="D962" s="22"/>
      <c r="E962" s="25"/>
      <c r="F962" s="22"/>
      <c r="G962" s="25"/>
      <c r="H962" s="22"/>
      <c r="I962" s="25"/>
      <c r="J962" s="22"/>
    </row>
    <row r="963" ht="15.75" customHeight="1">
      <c r="A963" s="25"/>
      <c r="B963" s="22"/>
      <c r="C963" s="25"/>
      <c r="D963" s="22"/>
      <c r="E963" s="25"/>
      <c r="F963" s="22"/>
      <c r="G963" s="25"/>
      <c r="H963" s="22"/>
      <c r="I963" s="25"/>
      <c r="J963" s="22"/>
    </row>
    <row r="964" ht="15.75" customHeight="1">
      <c r="A964" s="25"/>
      <c r="B964" s="22"/>
      <c r="C964" s="25"/>
      <c r="D964" s="22"/>
      <c r="E964" s="25"/>
      <c r="F964" s="22"/>
      <c r="G964" s="25"/>
      <c r="H964" s="22"/>
      <c r="I964" s="25"/>
      <c r="J964" s="22"/>
    </row>
    <row r="965" ht="15.75" customHeight="1">
      <c r="A965" s="25"/>
      <c r="B965" s="22"/>
      <c r="C965" s="25"/>
      <c r="D965" s="22"/>
      <c r="E965" s="25"/>
      <c r="F965" s="22"/>
      <c r="G965" s="25"/>
      <c r="H965" s="22"/>
      <c r="I965" s="25"/>
      <c r="J965" s="22"/>
    </row>
    <row r="966" ht="15.75" customHeight="1">
      <c r="A966" s="25"/>
      <c r="B966" s="22"/>
      <c r="C966" s="25"/>
      <c r="D966" s="22"/>
      <c r="E966" s="25"/>
      <c r="F966" s="22"/>
      <c r="G966" s="25"/>
      <c r="H966" s="22"/>
      <c r="I966" s="25"/>
      <c r="J966" s="22"/>
    </row>
    <row r="967" ht="15.75" customHeight="1">
      <c r="A967" s="25"/>
      <c r="B967" s="22"/>
      <c r="C967" s="25"/>
      <c r="D967" s="22"/>
      <c r="E967" s="25"/>
      <c r="F967" s="22"/>
      <c r="G967" s="25"/>
      <c r="H967" s="22"/>
      <c r="I967" s="25"/>
      <c r="J967" s="22"/>
    </row>
    <row r="968" ht="15.75" customHeight="1">
      <c r="A968" s="25"/>
      <c r="B968" s="22"/>
      <c r="C968" s="25"/>
      <c r="D968" s="22"/>
      <c r="E968" s="25"/>
      <c r="F968" s="22"/>
      <c r="G968" s="25"/>
      <c r="H968" s="22"/>
      <c r="I968" s="25"/>
      <c r="J968" s="22"/>
    </row>
    <row r="969" ht="15.75" customHeight="1">
      <c r="A969" s="25"/>
      <c r="B969" s="22"/>
      <c r="C969" s="25"/>
      <c r="D969" s="22"/>
      <c r="E969" s="25"/>
      <c r="F969" s="22"/>
      <c r="G969" s="25"/>
      <c r="H969" s="22"/>
      <c r="I969" s="25"/>
      <c r="J969" s="22"/>
    </row>
    <row r="970" ht="15.75" customHeight="1">
      <c r="A970" s="25"/>
      <c r="B970" s="22"/>
      <c r="C970" s="25"/>
      <c r="D970" s="22"/>
      <c r="E970" s="25"/>
      <c r="F970" s="22"/>
      <c r="G970" s="25"/>
      <c r="H970" s="22"/>
      <c r="I970" s="25"/>
      <c r="J970" s="22"/>
    </row>
    <row r="971" ht="15.75" customHeight="1">
      <c r="A971" s="25"/>
      <c r="B971" s="22"/>
      <c r="C971" s="25"/>
      <c r="D971" s="22"/>
      <c r="E971" s="25"/>
      <c r="F971" s="22"/>
      <c r="G971" s="25"/>
      <c r="H971" s="22"/>
      <c r="I971" s="25"/>
      <c r="J971" s="22"/>
    </row>
    <row r="972" ht="15.75" customHeight="1">
      <c r="A972" s="25"/>
      <c r="B972" s="22"/>
      <c r="C972" s="25"/>
      <c r="D972" s="22"/>
      <c r="E972" s="25"/>
      <c r="F972" s="22"/>
      <c r="G972" s="25"/>
      <c r="H972" s="22"/>
      <c r="I972" s="25"/>
      <c r="J972" s="22"/>
    </row>
    <row r="973" ht="15.75" customHeight="1">
      <c r="A973" s="25"/>
      <c r="B973" s="22"/>
      <c r="C973" s="25"/>
      <c r="D973" s="22"/>
      <c r="E973" s="25"/>
      <c r="F973" s="22"/>
      <c r="G973" s="25"/>
      <c r="H973" s="22"/>
      <c r="I973" s="25"/>
      <c r="J973" s="22"/>
    </row>
    <row r="974" ht="15.75" customHeight="1">
      <c r="A974" s="25"/>
      <c r="B974" s="22"/>
      <c r="C974" s="25"/>
      <c r="D974" s="22"/>
      <c r="E974" s="25"/>
      <c r="F974" s="22"/>
      <c r="G974" s="25"/>
      <c r="H974" s="22"/>
      <c r="I974" s="25"/>
      <c r="J974" s="22"/>
    </row>
    <row r="975" ht="15.75" customHeight="1">
      <c r="A975" s="25"/>
      <c r="B975" s="22"/>
      <c r="C975" s="25"/>
      <c r="D975" s="22"/>
      <c r="E975" s="25"/>
      <c r="F975" s="22"/>
      <c r="G975" s="25"/>
      <c r="H975" s="22"/>
      <c r="I975" s="25"/>
      <c r="J975" s="22"/>
    </row>
    <row r="976" ht="15.75" customHeight="1">
      <c r="A976" s="25"/>
      <c r="B976" s="22"/>
      <c r="C976" s="25"/>
      <c r="D976" s="22"/>
      <c r="E976" s="25"/>
      <c r="F976" s="22"/>
      <c r="G976" s="25"/>
      <c r="H976" s="22"/>
      <c r="I976" s="25"/>
      <c r="J976" s="22"/>
    </row>
    <row r="977" ht="15.75" customHeight="1">
      <c r="A977" s="25"/>
      <c r="B977" s="22"/>
      <c r="C977" s="25"/>
      <c r="D977" s="22"/>
      <c r="E977" s="25"/>
      <c r="F977" s="22"/>
      <c r="G977" s="25"/>
      <c r="H977" s="22"/>
      <c r="I977" s="25"/>
      <c r="J977" s="22"/>
    </row>
    <row r="978" ht="15.75" customHeight="1">
      <c r="A978" s="25"/>
      <c r="B978" s="22"/>
      <c r="C978" s="25"/>
      <c r="D978" s="22"/>
      <c r="E978" s="25"/>
      <c r="F978" s="22"/>
      <c r="G978" s="25"/>
      <c r="H978" s="22"/>
      <c r="I978" s="25"/>
      <c r="J978" s="22"/>
    </row>
    <row r="979" ht="15.75" customHeight="1">
      <c r="A979" s="25"/>
      <c r="B979" s="22"/>
      <c r="C979" s="25"/>
      <c r="D979" s="22"/>
      <c r="E979" s="25"/>
      <c r="F979" s="22"/>
      <c r="G979" s="25"/>
      <c r="H979" s="22"/>
      <c r="I979" s="25"/>
      <c r="J979" s="22"/>
    </row>
    <row r="980" ht="15.75" customHeight="1">
      <c r="A980" s="25"/>
      <c r="B980" s="22"/>
      <c r="C980" s="25"/>
      <c r="D980" s="22"/>
      <c r="E980" s="25"/>
      <c r="F980" s="22"/>
      <c r="G980" s="25"/>
      <c r="H980" s="22"/>
      <c r="I980" s="25"/>
      <c r="J980" s="22"/>
    </row>
    <row r="981" ht="15.75" customHeight="1">
      <c r="A981" s="25"/>
      <c r="B981" s="22"/>
      <c r="C981" s="25"/>
      <c r="D981" s="22"/>
      <c r="E981" s="25"/>
      <c r="F981" s="22"/>
      <c r="G981" s="25"/>
      <c r="H981" s="22"/>
      <c r="I981" s="25"/>
      <c r="J981" s="22"/>
    </row>
    <row r="982" ht="15.75" customHeight="1">
      <c r="A982" s="25"/>
      <c r="B982" s="22"/>
      <c r="C982" s="25"/>
      <c r="D982" s="22"/>
      <c r="E982" s="25"/>
      <c r="F982" s="22"/>
      <c r="G982" s="25"/>
      <c r="H982" s="22"/>
      <c r="I982" s="25"/>
      <c r="J982" s="22"/>
    </row>
    <row r="983" ht="15.75" customHeight="1">
      <c r="A983" s="25"/>
      <c r="B983" s="22"/>
      <c r="C983" s="25"/>
      <c r="D983" s="22"/>
      <c r="E983" s="25"/>
      <c r="F983" s="22"/>
      <c r="G983" s="25"/>
      <c r="H983" s="22"/>
      <c r="I983" s="25"/>
      <c r="J983" s="22"/>
    </row>
    <row r="984" ht="15.75" customHeight="1">
      <c r="A984" s="25"/>
      <c r="B984" s="22"/>
      <c r="C984" s="25"/>
      <c r="D984" s="22"/>
      <c r="E984" s="25"/>
      <c r="F984" s="22"/>
      <c r="G984" s="25"/>
      <c r="H984" s="22"/>
      <c r="I984" s="25"/>
      <c r="J984" s="22"/>
    </row>
    <row r="985" ht="15.75" customHeight="1">
      <c r="A985" s="25"/>
      <c r="B985" s="22"/>
      <c r="C985" s="25"/>
      <c r="D985" s="22"/>
      <c r="E985" s="25"/>
      <c r="F985" s="22"/>
      <c r="G985" s="25"/>
      <c r="H985" s="22"/>
      <c r="I985" s="25"/>
      <c r="J985" s="22"/>
    </row>
    <row r="986" ht="15.75" customHeight="1">
      <c r="A986" s="25"/>
      <c r="B986" s="22"/>
      <c r="C986" s="25"/>
      <c r="D986" s="22"/>
      <c r="E986" s="25"/>
      <c r="F986" s="22"/>
      <c r="G986" s="25"/>
      <c r="H986" s="22"/>
      <c r="I986" s="25"/>
      <c r="J986" s="22"/>
    </row>
    <row r="987" ht="15.75" customHeight="1">
      <c r="A987" s="25"/>
      <c r="B987" s="22"/>
      <c r="C987" s="25"/>
      <c r="D987" s="22"/>
      <c r="E987" s="25"/>
      <c r="F987" s="22"/>
      <c r="G987" s="25"/>
      <c r="H987" s="22"/>
      <c r="I987" s="25"/>
      <c r="J987" s="22"/>
    </row>
    <row r="988" ht="15.75" customHeight="1">
      <c r="A988" s="25"/>
      <c r="B988" s="22"/>
      <c r="C988" s="25"/>
      <c r="D988" s="22"/>
      <c r="E988" s="25"/>
      <c r="F988" s="22"/>
      <c r="G988" s="25"/>
      <c r="H988" s="22"/>
      <c r="I988" s="25"/>
      <c r="J988" s="22"/>
    </row>
    <row r="989" ht="15.75" customHeight="1">
      <c r="A989" s="25"/>
      <c r="B989" s="22"/>
      <c r="C989" s="25"/>
      <c r="D989" s="22"/>
      <c r="E989" s="25"/>
      <c r="F989" s="22"/>
      <c r="G989" s="25"/>
      <c r="H989" s="22"/>
      <c r="I989" s="25"/>
      <c r="J989" s="22"/>
    </row>
    <row r="990" ht="15.75" customHeight="1">
      <c r="A990" s="25"/>
      <c r="B990" s="22"/>
      <c r="C990" s="25"/>
      <c r="D990" s="22"/>
      <c r="E990" s="25"/>
      <c r="F990" s="22"/>
      <c r="G990" s="25"/>
      <c r="H990" s="22"/>
      <c r="I990" s="25"/>
      <c r="J990" s="22"/>
    </row>
    <row r="991" ht="15.75" customHeight="1">
      <c r="A991" s="25"/>
      <c r="B991" s="22"/>
      <c r="C991" s="25"/>
      <c r="D991" s="22"/>
      <c r="E991" s="25"/>
      <c r="F991" s="22"/>
      <c r="G991" s="25"/>
      <c r="H991" s="22"/>
      <c r="I991" s="25"/>
      <c r="J991" s="22"/>
    </row>
    <row r="992" ht="15.75" customHeight="1">
      <c r="A992" s="25"/>
      <c r="B992" s="22"/>
      <c r="C992" s="25"/>
      <c r="D992" s="22"/>
      <c r="E992" s="25"/>
      <c r="F992" s="22"/>
      <c r="G992" s="25"/>
      <c r="H992" s="22"/>
      <c r="I992" s="25"/>
      <c r="J992" s="22"/>
    </row>
    <row r="993" ht="15.75" customHeight="1">
      <c r="A993" s="25"/>
      <c r="B993" s="22"/>
      <c r="C993" s="25"/>
      <c r="D993" s="22"/>
      <c r="E993" s="25"/>
      <c r="F993" s="22"/>
      <c r="G993" s="25"/>
      <c r="H993" s="22"/>
      <c r="I993" s="25"/>
      <c r="J993" s="22"/>
    </row>
    <row r="994" ht="15.75" customHeight="1">
      <c r="A994" s="25"/>
      <c r="B994" s="22"/>
      <c r="C994" s="25"/>
      <c r="D994" s="22"/>
      <c r="E994" s="25"/>
      <c r="F994" s="22"/>
      <c r="G994" s="25"/>
      <c r="H994" s="22"/>
      <c r="I994" s="25"/>
      <c r="J994" s="22"/>
    </row>
    <row r="995" ht="15.75" customHeight="1">
      <c r="A995" s="25"/>
      <c r="B995" s="22"/>
      <c r="C995" s="25"/>
      <c r="D995" s="22"/>
      <c r="E995" s="25"/>
      <c r="F995" s="22"/>
      <c r="G995" s="25"/>
      <c r="H995" s="22"/>
      <c r="I995" s="25"/>
      <c r="J995" s="22"/>
    </row>
    <row r="996" ht="15.75" customHeight="1">
      <c r="A996" s="25"/>
      <c r="B996" s="22"/>
      <c r="C996" s="25"/>
      <c r="D996" s="22"/>
      <c r="E996" s="25"/>
      <c r="F996" s="22"/>
      <c r="G996" s="25"/>
      <c r="H996" s="22"/>
      <c r="I996" s="25"/>
      <c r="J996" s="22"/>
    </row>
    <row r="997" ht="15.75" customHeight="1">
      <c r="A997" s="25"/>
      <c r="B997" s="22"/>
      <c r="C997" s="25"/>
      <c r="D997" s="22"/>
      <c r="E997" s="25"/>
      <c r="F997" s="22"/>
      <c r="G997" s="25"/>
      <c r="H997" s="22"/>
      <c r="I997" s="25"/>
      <c r="J997" s="22"/>
    </row>
    <row r="998" ht="15.75" customHeight="1">
      <c r="A998" s="25"/>
      <c r="B998" s="22"/>
      <c r="C998" s="25"/>
      <c r="D998" s="22"/>
      <c r="E998" s="25"/>
      <c r="F998" s="22"/>
      <c r="G998" s="25"/>
      <c r="H998" s="22"/>
      <c r="I998" s="25"/>
      <c r="J998" s="22"/>
    </row>
    <row r="999" ht="15.75" customHeight="1">
      <c r="A999" s="25"/>
      <c r="B999" s="22"/>
      <c r="C999" s="25"/>
      <c r="D999" s="22"/>
      <c r="E999" s="25"/>
      <c r="F999" s="22"/>
      <c r="G999" s="25"/>
      <c r="H999" s="22"/>
      <c r="I999" s="25"/>
      <c r="J999" s="22"/>
    </row>
    <row r="1000" ht="15.75" customHeight="1">
      <c r="A1000" s="25"/>
      <c r="B1000" s="22"/>
      <c r="C1000" s="25"/>
      <c r="D1000" s="22"/>
      <c r="E1000" s="25"/>
      <c r="F1000" s="22"/>
      <c r="G1000" s="25"/>
      <c r="H1000" s="22"/>
      <c r="I1000" s="25"/>
      <c r="J1000" s="22"/>
    </row>
    <row r="1001" ht="15.75" customHeight="1">
      <c r="A1001" s="25"/>
      <c r="B1001" s="22"/>
      <c r="C1001" s="25"/>
      <c r="D1001" s="22"/>
      <c r="E1001" s="25"/>
      <c r="F1001" s="22"/>
      <c r="G1001" s="25"/>
      <c r="H1001" s="22"/>
      <c r="I1001" s="25"/>
      <c r="J1001" s="22"/>
    </row>
    <row r="1002" ht="15.75" customHeight="1">
      <c r="A1002" s="25"/>
      <c r="B1002" s="22"/>
      <c r="C1002" s="25"/>
      <c r="D1002" s="22"/>
      <c r="E1002" s="25"/>
      <c r="F1002" s="22"/>
      <c r="G1002" s="25"/>
      <c r="H1002" s="22"/>
      <c r="I1002" s="25"/>
      <c r="J1002" s="22"/>
    </row>
    <row r="1003" ht="15.75" customHeight="1">
      <c r="A1003" s="25"/>
      <c r="B1003" s="22"/>
      <c r="C1003" s="25"/>
      <c r="D1003" s="22"/>
      <c r="E1003" s="25"/>
      <c r="F1003" s="22"/>
      <c r="G1003" s="25"/>
      <c r="H1003" s="22"/>
      <c r="I1003" s="25"/>
      <c r="J1003" s="22"/>
    </row>
    <row r="1004" ht="15.75" customHeight="1">
      <c r="A1004" s="25"/>
      <c r="B1004" s="22"/>
      <c r="C1004" s="25"/>
      <c r="D1004" s="22"/>
      <c r="E1004" s="25"/>
      <c r="F1004" s="22"/>
      <c r="G1004" s="25"/>
      <c r="H1004" s="22"/>
      <c r="I1004" s="25"/>
      <c r="J1004" s="22"/>
    </row>
    <row r="1005" ht="15.75" customHeight="1">
      <c r="A1005" s="25"/>
      <c r="B1005" s="22"/>
      <c r="C1005" s="25"/>
      <c r="D1005" s="22"/>
      <c r="E1005" s="25"/>
      <c r="F1005" s="22"/>
      <c r="G1005" s="25"/>
      <c r="H1005" s="22"/>
      <c r="I1005" s="25"/>
      <c r="J1005" s="22"/>
    </row>
    <row r="1006" ht="15.75" customHeight="1">
      <c r="A1006" s="25"/>
      <c r="B1006" s="22"/>
      <c r="C1006" s="25"/>
      <c r="D1006" s="22"/>
      <c r="E1006" s="25"/>
      <c r="F1006" s="22"/>
      <c r="G1006" s="25"/>
      <c r="H1006" s="22"/>
      <c r="I1006" s="25"/>
      <c r="J1006" s="22"/>
    </row>
    <row r="1007" ht="15.75" customHeight="1">
      <c r="A1007" s="25"/>
      <c r="B1007" s="22"/>
      <c r="C1007" s="25"/>
      <c r="D1007" s="22"/>
      <c r="E1007" s="25"/>
      <c r="F1007" s="22"/>
      <c r="G1007" s="25"/>
      <c r="H1007" s="22"/>
      <c r="I1007" s="25"/>
      <c r="J1007" s="22"/>
    </row>
    <row r="1008" ht="15.75" customHeight="1">
      <c r="A1008" s="25"/>
      <c r="B1008" s="22"/>
      <c r="C1008" s="25"/>
      <c r="D1008" s="22"/>
      <c r="E1008" s="25"/>
      <c r="F1008" s="22"/>
      <c r="G1008" s="25"/>
      <c r="H1008" s="22"/>
      <c r="I1008" s="25"/>
      <c r="J1008" s="22"/>
    </row>
    <row r="1009" ht="15.75" customHeight="1">
      <c r="A1009" s="25"/>
      <c r="B1009" s="22"/>
      <c r="C1009" s="25"/>
      <c r="D1009" s="22"/>
      <c r="E1009" s="25"/>
      <c r="F1009" s="22"/>
      <c r="G1009" s="25"/>
      <c r="H1009" s="22"/>
      <c r="I1009" s="25"/>
      <c r="J1009" s="22"/>
    </row>
    <row r="1010" ht="15.75" customHeight="1">
      <c r="A1010" s="25"/>
      <c r="B1010" s="22"/>
      <c r="C1010" s="25"/>
      <c r="D1010" s="22"/>
      <c r="E1010" s="25"/>
      <c r="F1010" s="22"/>
      <c r="G1010" s="25"/>
      <c r="H1010" s="22"/>
      <c r="I1010" s="25"/>
      <c r="J1010" s="22"/>
    </row>
    <row r="1011" ht="15.75" customHeight="1">
      <c r="A1011" s="25"/>
      <c r="B1011" s="22"/>
      <c r="C1011" s="25"/>
      <c r="D1011" s="22"/>
      <c r="E1011" s="25"/>
      <c r="F1011" s="22"/>
      <c r="G1011" s="25"/>
      <c r="H1011" s="22"/>
      <c r="I1011" s="25"/>
      <c r="J1011" s="22"/>
    </row>
    <row r="1012" ht="15.75" customHeight="1">
      <c r="A1012" s="25"/>
      <c r="B1012" s="22"/>
      <c r="C1012" s="25"/>
      <c r="D1012" s="22"/>
      <c r="E1012" s="25"/>
      <c r="F1012" s="22"/>
      <c r="G1012" s="25"/>
      <c r="H1012" s="22"/>
      <c r="I1012" s="25"/>
      <c r="J1012" s="22"/>
    </row>
    <row r="1013" ht="15.75" customHeight="1">
      <c r="A1013" s="25"/>
      <c r="B1013" s="22"/>
      <c r="C1013" s="25"/>
      <c r="D1013" s="22"/>
      <c r="E1013" s="25"/>
      <c r="F1013" s="22"/>
      <c r="G1013" s="25"/>
      <c r="H1013" s="22"/>
      <c r="I1013" s="25"/>
      <c r="J1013" s="22"/>
    </row>
    <row r="1014" ht="15.75" customHeight="1">
      <c r="A1014" s="25"/>
      <c r="B1014" s="22"/>
      <c r="C1014" s="25"/>
      <c r="D1014" s="22"/>
      <c r="E1014" s="25"/>
      <c r="F1014" s="22"/>
      <c r="G1014" s="25"/>
      <c r="H1014" s="22"/>
      <c r="I1014" s="25"/>
      <c r="J1014" s="22"/>
    </row>
    <row r="1015" ht="15.75" customHeight="1">
      <c r="A1015" s="25"/>
      <c r="B1015" s="22"/>
      <c r="C1015" s="25"/>
      <c r="D1015" s="22"/>
      <c r="E1015" s="25"/>
      <c r="F1015" s="22"/>
      <c r="G1015" s="25"/>
      <c r="H1015" s="22"/>
      <c r="I1015" s="25"/>
      <c r="J1015" s="22"/>
    </row>
    <row r="1016" ht="15.75" customHeight="1">
      <c r="A1016" s="25"/>
      <c r="B1016" s="22"/>
      <c r="C1016" s="25"/>
      <c r="D1016" s="22"/>
      <c r="E1016" s="25"/>
      <c r="F1016" s="22"/>
      <c r="G1016" s="25"/>
      <c r="H1016" s="22"/>
      <c r="I1016" s="25"/>
      <c r="J1016" s="22"/>
    </row>
    <row r="1017" ht="15.75" customHeight="1">
      <c r="A1017" s="25"/>
      <c r="B1017" s="22"/>
      <c r="C1017" s="25"/>
      <c r="D1017" s="22"/>
      <c r="E1017" s="25"/>
      <c r="F1017" s="22"/>
      <c r="G1017" s="25"/>
      <c r="H1017" s="22"/>
      <c r="I1017" s="25"/>
      <c r="J1017" s="22"/>
    </row>
    <row r="1018" ht="15.75" customHeight="1">
      <c r="A1018" s="25"/>
      <c r="B1018" s="22"/>
      <c r="C1018" s="25"/>
      <c r="D1018" s="22"/>
      <c r="E1018" s="25"/>
      <c r="F1018" s="22"/>
      <c r="G1018" s="25"/>
      <c r="H1018" s="22"/>
      <c r="I1018" s="25"/>
      <c r="J1018" s="22"/>
    </row>
    <row r="1019" ht="15.75" customHeight="1">
      <c r="A1019" s="25"/>
      <c r="B1019" s="22"/>
      <c r="C1019" s="25"/>
      <c r="D1019" s="22"/>
      <c r="E1019" s="25"/>
      <c r="F1019" s="22"/>
      <c r="G1019" s="25"/>
      <c r="H1019" s="22"/>
      <c r="I1019" s="25"/>
      <c r="J1019" s="22"/>
    </row>
    <row r="1020" ht="15.75" customHeight="1">
      <c r="A1020" s="25"/>
      <c r="B1020" s="22"/>
      <c r="C1020" s="25"/>
      <c r="D1020" s="22"/>
      <c r="E1020" s="25"/>
      <c r="F1020" s="22"/>
      <c r="G1020" s="25"/>
      <c r="H1020" s="22"/>
      <c r="I1020" s="25"/>
      <c r="J1020" s="22"/>
    </row>
    <row r="1021" ht="15.75" customHeight="1">
      <c r="A1021" s="25"/>
      <c r="B1021" s="22"/>
      <c r="C1021" s="25"/>
      <c r="D1021" s="22"/>
      <c r="E1021" s="25"/>
      <c r="F1021" s="22"/>
      <c r="G1021" s="25"/>
      <c r="H1021" s="22"/>
      <c r="I1021" s="25"/>
      <c r="J1021" s="22"/>
    </row>
    <row r="1022" ht="15.75" customHeight="1">
      <c r="A1022" s="25"/>
      <c r="B1022" s="22"/>
      <c r="C1022" s="25"/>
      <c r="D1022" s="22"/>
      <c r="E1022" s="25"/>
      <c r="F1022" s="22"/>
      <c r="G1022" s="25"/>
      <c r="H1022" s="22"/>
      <c r="I1022" s="25"/>
      <c r="J1022" s="22"/>
    </row>
    <row r="1023" ht="15.75" customHeight="1">
      <c r="A1023" s="25"/>
      <c r="B1023" s="22"/>
      <c r="C1023" s="25"/>
      <c r="D1023" s="22"/>
      <c r="E1023" s="25"/>
      <c r="F1023" s="22"/>
      <c r="G1023" s="25"/>
      <c r="H1023" s="22"/>
      <c r="I1023" s="25"/>
      <c r="J1023" s="22"/>
    </row>
    <row r="1024" ht="15.75" customHeight="1">
      <c r="A1024" s="25"/>
      <c r="B1024" s="22"/>
      <c r="C1024" s="25"/>
      <c r="D1024" s="22"/>
      <c r="E1024" s="25"/>
      <c r="F1024" s="22"/>
      <c r="G1024" s="25"/>
      <c r="H1024" s="22"/>
      <c r="I1024" s="25"/>
      <c r="J1024" s="22"/>
    </row>
    <row r="1025" ht="15.75" customHeight="1">
      <c r="A1025" s="25"/>
      <c r="B1025" s="22"/>
      <c r="C1025" s="25"/>
      <c r="D1025" s="22"/>
      <c r="E1025" s="25"/>
      <c r="F1025" s="22"/>
      <c r="G1025" s="25"/>
      <c r="H1025" s="22"/>
      <c r="I1025" s="25"/>
      <c r="J1025" s="22"/>
    </row>
    <row r="1026" ht="15.75" customHeight="1">
      <c r="A1026" s="25"/>
      <c r="B1026" s="22"/>
      <c r="C1026" s="25"/>
      <c r="D1026" s="22"/>
      <c r="E1026" s="25"/>
      <c r="F1026" s="22"/>
      <c r="G1026" s="25"/>
      <c r="H1026" s="22"/>
      <c r="I1026" s="25"/>
      <c r="J1026" s="22"/>
    </row>
    <row r="1027" ht="15.75" customHeight="1">
      <c r="A1027" s="25"/>
      <c r="B1027" s="22"/>
      <c r="C1027" s="25"/>
      <c r="D1027" s="22"/>
      <c r="E1027" s="25"/>
      <c r="F1027" s="22"/>
      <c r="G1027" s="25"/>
      <c r="H1027" s="22"/>
      <c r="I1027" s="25"/>
      <c r="J1027" s="22"/>
    </row>
    <row r="1028" ht="15.75" customHeight="1">
      <c r="A1028" s="25"/>
      <c r="B1028" s="22"/>
      <c r="C1028" s="25"/>
      <c r="D1028" s="22"/>
      <c r="E1028" s="25"/>
      <c r="F1028" s="22"/>
      <c r="G1028" s="25"/>
      <c r="H1028" s="22"/>
      <c r="I1028" s="25"/>
      <c r="J1028" s="22"/>
    </row>
    <row r="1029" ht="15.75" customHeight="1">
      <c r="A1029" s="25"/>
      <c r="B1029" s="22"/>
      <c r="C1029" s="25"/>
      <c r="D1029" s="22"/>
      <c r="E1029" s="25"/>
      <c r="F1029" s="22"/>
      <c r="G1029" s="25"/>
      <c r="H1029" s="22"/>
      <c r="I1029" s="25"/>
      <c r="J1029" s="22"/>
    </row>
    <row r="1030" ht="15.75" customHeight="1">
      <c r="A1030" s="25"/>
      <c r="B1030" s="22"/>
      <c r="C1030" s="25"/>
      <c r="D1030" s="22"/>
      <c r="E1030" s="25"/>
      <c r="F1030" s="22"/>
      <c r="G1030" s="25"/>
      <c r="H1030" s="22"/>
      <c r="I1030" s="25"/>
      <c r="J1030" s="22"/>
    </row>
    <row r="1031" ht="15.75" customHeight="1">
      <c r="A1031" s="25"/>
      <c r="B1031" s="22"/>
      <c r="C1031" s="25"/>
      <c r="D1031" s="22"/>
      <c r="E1031" s="25"/>
      <c r="F1031" s="22"/>
      <c r="G1031" s="25"/>
      <c r="H1031" s="22"/>
      <c r="I1031" s="25"/>
      <c r="J1031" s="22"/>
    </row>
    <row r="1032" ht="15.75" customHeight="1">
      <c r="A1032" s="25"/>
      <c r="B1032" s="22"/>
      <c r="C1032" s="25"/>
      <c r="D1032" s="22"/>
      <c r="E1032" s="25"/>
      <c r="F1032" s="22"/>
      <c r="G1032" s="25"/>
      <c r="H1032" s="22"/>
      <c r="I1032" s="25"/>
      <c r="J1032" s="22"/>
    </row>
    <row r="1033" ht="15.75" customHeight="1">
      <c r="A1033" s="25"/>
      <c r="B1033" s="22"/>
      <c r="C1033" s="25"/>
      <c r="D1033" s="22"/>
      <c r="E1033" s="25"/>
      <c r="F1033" s="22"/>
      <c r="G1033" s="25"/>
      <c r="H1033" s="22"/>
      <c r="I1033" s="25"/>
      <c r="J1033" s="22"/>
    </row>
    <row r="1034" ht="15.75" customHeight="1">
      <c r="A1034" s="25"/>
      <c r="B1034" s="22"/>
      <c r="C1034" s="25"/>
      <c r="D1034" s="22"/>
      <c r="E1034" s="25"/>
      <c r="F1034" s="22"/>
      <c r="G1034" s="25"/>
      <c r="H1034" s="22"/>
      <c r="I1034" s="25"/>
      <c r="J1034" s="22"/>
    </row>
    <row r="1035" ht="15.75" customHeight="1">
      <c r="A1035" s="25"/>
      <c r="B1035" s="22"/>
      <c r="C1035" s="25"/>
      <c r="D1035" s="22"/>
      <c r="E1035" s="25"/>
      <c r="F1035" s="22"/>
      <c r="G1035" s="25"/>
      <c r="H1035" s="22"/>
      <c r="I1035" s="25"/>
      <c r="J1035" s="22"/>
    </row>
    <row r="1036" ht="15.75" customHeight="1">
      <c r="A1036" s="25"/>
      <c r="B1036" s="22"/>
      <c r="C1036" s="25"/>
      <c r="D1036" s="22"/>
      <c r="E1036" s="25"/>
      <c r="F1036" s="22"/>
      <c r="G1036" s="25"/>
      <c r="H1036" s="22"/>
      <c r="I1036" s="25"/>
      <c r="J1036" s="22"/>
    </row>
    <row r="1037" ht="15.75" customHeight="1">
      <c r="A1037" s="25"/>
      <c r="B1037" s="22"/>
      <c r="C1037" s="25"/>
      <c r="D1037" s="22"/>
      <c r="E1037" s="25"/>
      <c r="F1037" s="22"/>
      <c r="G1037" s="25"/>
      <c r="H1037" s="22"/>
      <c r="I1037" s="25"/>
      <c r="J1037" s="22"/>
    </row>
    <row r="1038" ht="15.75" customHeight="1">
      <c r="A1038" s="25"/>
      <c r="B1038" s="22"/>
      <c r="C1038" s="25"/>
      <c r="D1038" s="22"/>
      <c r="E1038" s="25"/>
      <c r="F1038" s="22"/>
      <c r="G1038" s="25"/>
      <c r="H1038" s="22"/>
      <c r="I1038" s="25"/>
      <c r="J1038" s="22"/>
    </row>
    <row r="1039" ht="15.75" customHeight="1">
      <c r="A1039" s="25"/>
      <c r="B1039" s="22"/>
      <c r="C1039" s="25"/>
      <c r="D1039" s="22"/>
      <c r="E1039" s="25"/>
      <c r="F1039" s="22"/>
      <c r="G1039" s="25"/>
      <c r="H1039" s="22"/>
      <c r="I1039" s="25"/>
      <c r="J1039" s="22"/>
    </row>
    <row r="1040" ht="15.75" customHeight="1">
      <c r="A1040" s="25"/>
      <c r="B1040" s="22"/>
      <c r="C1040" s="25"/>
      <c r="D1040" s="22"/>
      <c r="E1040" s="25"/>
      <c r="F1040" s="22"/>
      <c r="G1040" s="25"/>
      <c r="H1040" s="22"/>
      <c r="I1040" s="25"/>
      <c r="J1040" s="22"/>
    </row>
    <row r="1041" ht="15.75" customHeight="1">
      <c r="A1041" s="25"/>
      <c r="B1041" s="22"/>
      <c r="C1041" s="25"/>
      <c r="D1041" s="22"/>
      <c r="E1041" s="25"/>
      <c r="F1041" s="22"/>
      <c r="G1041" s="25"/>
      <c r="H1041" s="22"/>
      <c r="I1041" s="25"/>
      <c r="J1041" s="22"/>
    </row>
    <row r="1042" ht="15.75" customHeight="1">
      <c r="A1042" s="25"/>
      <c r="B1042" s="22"/>
      <c r="C1042" s="25"/>
      <c r="D1042" s="22"/>
      <c r="E1042" s="25"/>
      <c r="F1042" s="22"/>
      <c r="G1042" s="25"/>
      <c r="H1042" s="22"/>
      <c r="I1042" s="25"/>
      <c r="J1042" s="22"/>
    </row>
    <row r="1043" ht="15.75" customHeight="1">
      <c r="A1043" s="25"/>
      <c r="B1043" s="22"/>
      <c r="C1043" s="25"/>
      <c r="D1043" s="22"/>
      <c r="E1043" s="25"/>
      <c r="F1043" s="22"/>
      <c r="G1043" s="25"/>
      <c r="H1043" s="22"/>
      <c r="I1043" s="25"/>
      <c r="J1043" s="22"/>
    </row>
    <row r="1044" ht="15.75" customHeight="1">
      <c r="A1044" s="25"/>
      <c r="B1044" s="22"/>
      <c r="C1044" s="25"/>
      <c r="D1044" s="22"/>
      <c r="E1044" s="25"/>
      <c r="F1044" s="22"/>
      <c r="G1044" s="25"/>
      <c r="H1044" s="22"/>
      <c r="I1044" s="25"/>
      <c r="J1044" s="22"/>
    </row>
    <row r="1045" ht="15.75" customHeight="1">
      <c r="A1045" s="25"/>
      <c r="B1045" s="22"/>
      <c r="C1045" s="25"/>
      <c r="D1045" s="22"/>
      <c r="E1045" s="25"/>
      <c r="F1045" s="22"/>
      <c r="G1045" s="25"/>
      <c r="H1045" s="22"/>
      <c r="I1045" s="25"/>
      <c r="J1045" s="22"/>
    </row>
    <row r="1046" ht="15.75" customHeight="1">
      <c r="A1046" s="25"/>
      <c r="B1046" s="22"/>
      <c r="C1046" s="25"/>
      <c r="D1046" s="22"/>
      <c r="E1046" s="25"/>
      <c r="F1046" s="22"/>
      <c r="G1046" s="25"/>
      <c r="H1046" s="22"/>
      <c r="I1046" s="25"/>
      <c r="J1046" s="22"/>
    </row>
    <row r="1047" ht="15.75" customHeight="1">
      <c r="A1047" s="25"/>
      <c r="B1047" s="22"/>
      <c r="C1047" s="25"/>
      <c r="D1047" s="22"/>
      <c r="E1047" s="25"/>
      <c r="F1047" s="22"/>
      <c r="G1047" s="25"/>
      <c r="H1047" s="22"/>
      <c r="I1047" s="25"/>
      <c r="J1047" s="22"/>
    </row>
    <row r="1048" ht="15.75" customHeight="1">
      <c r="A1048" s="25"/>
      <c r="B1048" s="22"/>
      <c r="C1048" s="25"/>
      <c r="D1048" s="22"/>
      <c r="E1048" s="25"/>
      <c r="F1048" s="22"/>
      <c r="G1048" s="25"/>
      <c r="H1048" s="22"/>
      <c r="I1048" s="25"/>
      <c r="J1048" s="22"/>
    </row>
    <row r="1049" ht="15.75" customHeight="1">
      <c r="A1049" s="25"/>
      <c r="B1049" s="22"/>
      <c r="C1049" s="25"/>
      <c r="D1049" s="22"/>
      <c r="E1049" s="25"/>
      <c r="F1049" s="22"/>
      <c r="G1049" s="25"/>
      <c r="H1049" s="22"/>
      <c r="I1049" s="25"/>
      <c r="J1049" s="22"/>
    </row>
    <row r="1050" ht="15.75" customHeight="1">
      <c r="A1050" s="25"/>
      <c r="B1050" s="22"/>
      <c r="C1050" s="25"/>
      <c r="D1050" s="22"/>
      <c r="E1050" s="25"/>
      <c r="F1050" s="22"/>
      <c r="G1050" s="25"/>
      <c r="H1050" s="22"/>
      <c r="I1050" s="25"/>
      <c r="J1050" s="22"/>
    </row>
    <row r="1051" ht="15.75" customHeight="1">
      <c r="A1051" s="25"/>
      <c r="B1051" s="22"/>
      <c r="C1051" s="25"/>
      <c r="D1051" s="22"/>
      <c r="E1051" s="25"/>
      <c r="F1051" s="22"/>
      <c r="G1051" s="25"/>
      <c r="H1051" s="22"/>
      <c r="I1051" s="25"/>
      <c r="J1051" s="22"/>
    </row>
    <row r="1052" ht="15.75" customHeight="1">
      <c r="A1052" s="25"/>
      <c r="B1052" s="22"/>
      <c r="C1052" s="25"/>
      <c r="D1052" s="22"/>
      <c r="E1052" s="25"/>
      <c r="F1052" s="22"/>
      <c r="G1052" s="25"/>
      <c r="H1052" s="22"/>
      <c r="I1052" s="25"/>
      <c r="J1052" s="22"/>
    </row>
    <row r="1053" ht="15.75" customHeight="1">
      <c r="A1053" s="25"/>
      <c r="B1053" s="22"/>
      <c r="C1053" s="25"/>
      <c r="D1053" s="22"/>
      <c r="E1053" s="25"/>
      <c r="F1053" s="22"/>
      <c r="G1053" s="25"/>
      <c r="H1053" s="22"/>
      <c r="I1053" s="25"/>
      <c r="J1053" s="22"/>
    </row>
    <row r="1054" ht="15.75" customHeight="1">
      <c r="A1054" s="25"/>
      <c r="B1054" s="22"/>
      <c r="C1054" s="25"/>
      <c r="D1054" s="22"/>
      <c r="E1054" s="25"/>
      <c r="F1054" s="22"/>
      <c r="G1054" s="25"/>
      <c r="H1054" s="22"/>
      <c r="I1054" s="25"/>
      <c r="J1054" s="22"/>
    </row>
    <row r="1055" ht="15.75" customHeight="1">
      <c r="A1055" s="25"/>
      <c r="B1055" s="22"/>
      <c r="C1055" s="25"/>
      <c r="D1055" s="22"/>
      <c r="E1055" s="25"/>
      <c r="F1055" s="22"/>
      <c r="G1055" s="25"/>
      <c r="H1055" s="22"/>
      <c r="I1055" s="25"/>
      <c r="J1055" s="22"/>
    </row>
    <row r="1056" ht="15.75" customHeight="1">
      <c r="A1056" s="25"/>
      <c r="B1056" s="22"/>
      <c r="C1056" s="25"/>
      <c r="D1056" s="22"/>
      <c r="E1056" s="25"/>
      <c r="F1056" s="22"/>
      <c r="G1056" s="25"/>
      <c r="H1056" s="22"/>
      <c r="I1056" s="25"/>
      <c r="J1056" s="22"/>
    </row>
    <row r="1057" ht="15.75" customHeight="1">
      <c r="A1057" s="25"/>
      <c r="B1057" s="22"/>
      <c r="C1057" s="25"/>
      <c r="D1057" s="22"/>
      <c r="E1057" s="25"/>
      <c r="F1057" s="22"/>
      <c r="G1057" s="25"/>
      <c r="H1057" s="22"/>
      <c r="I1057" s="25"/>
      <c r="J1057" s="22"/>
    </row>
    <row r="1058" ht="15.75" customHeight="1">
      <c r="A1058" s="25"/>
      <c r="B1058" s="22"/>
      <c r="C1058" s="25"/>
      <c r="D1058" s="22"/>
      <c r="E1058" s="25"/>
      <c r="F1058" s="22"/>
      <c r="G1058" s="25"/>
      <c r="H1058" s="22"/>
      <c r="I1058" s="25"/>
      <c r="J1058" s="22"/>
    </row>
    <row r="1059" ht="15.75" customHeight="1">
      <c r="A1059" s="25"/>
      <c r="B1059" s="22"/>
      <c r="C1059" s="25"/>
      <c r="D1059" s="22"/>
      <c r="E1059" s="25"/>
      <c r="F1059" s="22"/>
      <c r="G1059" s="25"/>
      <c r="H1059" s="22"/>
      <c r="I1059" s="25"/>
      <c r="J1059" s="22"/>
    </row>
    <row r="1060" ht="15.75" customHeight="1">
      <c r="A1060" s="25"/>
      <c r="B1060" s="22"/>
      <c r="C1060" s="25"/>
      <c r="D1060" s="22"/>
      <c r="E1060" s="25"/>
      <c r="F1060" s="22"/>
      <c r="G1060" s="25"/>
      <c r="H1060" s="22"/>
      <c r="I1060" s="25"/>
      <c r="J1060" s="22"/>
    </row>
    <row r="1061" ht="15.75" customHeight="1">
      <c r="A1061" s="25"/>
      <c r="B1061" s="22"/>
      <c r="C1061" s="25"/>
      <c r="D1061" s="22"/>
      <c r="E1061" s="25"/>
      <c r="F1061" s="22"/>
      <c r="G1061" s="25"/>
      <c r="H1061" s="22"/>
      <c r="I1061" s="25"/>
      <c r="J1061" s="22"/>
    </row>
    <row r="1062" ht="15.75" customHeight="1">
      <c r="A1062" s="25"/>
      <c r="B1062" s="22"/>
      <c r="C1062" s="25"/>
      <c r="D1062" s="22"/>
      <c r="E1062" s="25"/>
      <c r="F1062" s="22"/>
      <c r="G1062" s="25"/>
      <c r="H1062" s="22"/>
      <c r="I1062" s="25"/>
      <c r="J1062" s="22"/>
    </row>
    <row r="1063" ht="15.75" customHeight="1">
      <c r="A1063" s="25"/>
      <c r="B1063" s="22"/>
      <c r="C1063" s="25"/>
      <c r="D1063" s="22"/>
      <c r="E1063" s="25"/>
      <c r="F1063" s="22"/>
      <c r="G1063" s="25"/>
      <c r="H1063" s="22"/>
      <c r="I1063" s="25"/>
      <c r="J1063" s="22"/>
    </row>
    <row r="1064" ht="15.75" customHeight="1">
      <c r="A1064" s="25"/>
      <c r="B1064" s="22"/>
      <c r="C1064" s="25"/>
      <c r="D1064" s="22"/>
      <c r="E1064" s="25"/>
      <c r="F1064" s="22"/>
      <c r="G1064" s="25"/>
      <c r="H1064" s="22"/>
      <c r="I1064" s="25"/>
      <c r="J1064" s="22"/>
    </row>
    <row r="1065" ht="15.75" customHeight="1">
      <c r="A1065" s="25"/>
      <c r="B1065" s="22"/>
      <c r="C1065" s="25"/>
      <c r="D1065" s="22"/>
      <c r="E1065" s="25"/>
      <c r="F1065" s="22"/>
      <c r="G1065" s="25"/>
      <c r="H1065" s="22"/>
      <c r="I1065" s="25"/>
      <c r="J1065" s="22"/>
    </row>
    <row r="1066" ht="15.75" customHeight="1">
      <c r="A1066" s="25"/>
      <c r="B1066" s="22"/>
      <c r="C1066" s="25"/>
      <c r="D1066" s="22"/>
      <c r="E1066" s="25"/>
      <c r="F1066" s="22"/>
      <c r="G1066" s="25"/>
      <c r="H1066" s="22"/>
      <c r="I1066" s="25"/>
      <c r="J1066" s="22"/>
    </row>
    <row r="1067" ht="15.75" customHeight="1">
      <c r="A1067" s="25"/>
      <c r="B1067" s="22"/>
      <c r="C1067" s="25"/>
      <c r="D1067" s="22"/>
      <c r="E1067" s="25"/>
      <c r="F1067" s="22"/>
      <c r="G1067" s="25"/>
      <c r="H1067" s="22"/>
      <c r="I1067" s="25"/>
      <c r="J1067" s="22"/>
    </row>
    <row r="1068" ht="15.75" customHeight="1">
      <c r="A1068" s="25"/>
      <c r="B1068" s="22"/>
      <c r="C1068" s="25"/>
      <c r="D1068" s="22"/>
      <c r="E1068" s="25"/>
      <c r="F1068" s="22"/>
      <c r="G1068" s="25"/>
      <c r="H1068" s="22"/>
      <c r="I1068" s="25"/>
      <c r="J1068" s="22"/>
    </row>
    <row r="1069" ht="15.75" customHeight="1">
      <c r="A1069" s="25"/>
      <c r="B1069" s="22"/>
      <c r="C1069" s="25"/>
      <c r="D1069" s="22"/>
      <c r="E1069" s="25"/>
      <c r="F1069" s="22"/>
      <c r="G1069" s="25"/>
      <c r="H1069" s="22"/>
      <c r="I1069" s="25"/>
      <c r="J1069" s="22"/>
    </row>
    <row r="1070" ht="15.75" customHeight="1">
      <c r="A1070" s="25"/>
      <c r="B1070" s="22"/>
      <c r="C1070" s="25"/>
      <c r="D1070" s="22"/>
      <c r="E1070" s="25"/>
      <c r="F1070" s="22"/>
      <c r="G1070" s="25"/>
      <c r="H1070" s="22"/>
      <c r="I1070" s="25"/>
      <c r="J1070" s="22"/>
    </row>
    <row r="1071" ht="15.75" customHeight="1">
      <c r="A1071" s="25"/>
      <c r="B1071" s="22"/>
      <c r="C1071" s="25"/>
      <c r="D1071" s="22"/>
      <c r="E1071" s="25"/>
      <c r="F1071" s="22"/>
      <c r="G1071" s="25"/>
      <c r="H1071" s="22"/>
      <c r="I1071" s="25"/>
      <c r="J1071" s="22"/>
    </row>
    <row r="1072" ht="15.75" customHeight="1">
      <c r="A1072" s="25"/>
      <c r="B1072" s="22"/>
      <c r="C1072" s="25"/>
      <c r="D1072" s="22"/>
      <c r="E1072" s="25"/>
      <c r="F1072" s="22"/>
      <c r="G1072" s="25"/>
      <c r="H1072" s="22"/>
      <c r="I1072" s="25"/>
      <c r="J1072" s="22"/>
    </row>
    <row r="1073" ht="15.75" customHeight="1">
      <c r="A1073" s="25"/>
      <c r="B1073" s="22"/>
      <c r="C1073" s="25"/>
      <c r="D1073" s="22"/>
      <c r="E1073" s="25"/>
      <c r="F1073" s="22"/>
      <c r="G1073" s="25"/>
      <c r="H1073" s="22"/>
      <c r="I1073" s="25"/>
      <c r="J1073" s="22"/>
    </row>
    <row r="1074" ht="15.75" customHeight="1">
      <c r="A1074" s="25"/>
      <c r="B1074" s="22"/>
      <c r="C1074" s="25"/>
      <c r="D1074" s="22"/>
      <c r="E1074" s="25"/>
      <c r="F1074" s="22"/>
      <c r="G1074" s="25"/>
      <c r="H1074" s="22"/>
      <c r="I1074" s="25"/>
      <c r="J1074" s="22"/>
    </row>
    <row r="1075" ht="15.75" customHeight="1">
      <c r="A1075" s="25"/>
      <c r="B1075" s="22"/>
      <c r="C1075" s="25"/>
      <c r="D1075" s="22"/>
      <c r="E1075" s="25"/>
      <c r="F1075" s="22"/>
      <c r="G1075" s="25"/>
      <c r="H1075" s="22"/>
      <c r="I1075" s="25"/>
      <c r="J1075" s="22"/>
    </row>
    <row r="1076" ht="15.75" customHeight="1">
      <c r="A1076" s="25"/>
      <c r="B1076" s="22"/>
      <c r="C1076" s="25"/>
      <c r="D1076" s="22"/>
      <c r="E1076" s="25"/>
      <c r="F1076" s="22"/>
      <c r="G1076" s="25"/>
      <c r="H1076" s="22"/>
      <c r="I1076" s="25"/>
      <c r="J1076" s="22"/>
    </row>
    <row r="1077" ht="15.75" customHeight="1">
      <c r="A1077" s="25"/>
      <c r="B1077" s="22"/>
      <c r="C1077" s="25"/>
      <c r="D1077" s="22"/>
      <c r="E1077" s="25"/>
      <c r="F1077" s="22"/>
      <c r="G1077" s="25"/>
      <c r="H1077" s="22"/>
      <c r="I1077" s="25"/>
      <c r="J1077" s="22"/>
    </row>
    <row r="1078" ht="15.75" customHeight="1">
      <c r="A1078" s="25"/>
      <c r="B1078" s="22"/>
      <c r="C1078" s="25"/>
      <c r="D1078" s="22"/>
      <c r="E1078" s="25"/>
      <c r="F1078" s="22"/>
      <c r="G1078" s="25"/>
      <c r="H1078" s="22"/>
      <c r="I1078" s="25"/>
      <c r="J1078" s="22"/>
    </row>
    <row r="1079" ht="15.75" customHeight="1">
      <c r="A1079" s="25"/>
      <c r="B1079" s="22"/>
      <c r="C1079" s="25"/>
      <c r="D1079" s="22"/>
      <c r="E1079" s="25"/>
      <c r="F1079" s="22"/>
      <c r="G1079" s="25"/>
      <c r="H1079" s="22"/>
      <c r="I1079" s="25"/>
      <c r="J1079" s="22"/>
    </row>
    <row r="1080" ht="15.75" customHeight="1">
      <c r="A1080" s="25"/>
      <c r="B1080" s="22"/>
      <c r="C1080" s="25"/>
      <c r="D1080" s="22"/>
      <c r="E1080" s="25"/>
      <c r="F1080" s="22"/>
      <c r="G1080" s="25"/>
      <c r="H1080" s="22"/>
      <c r="I1080" s="25"/>
      <c r="J1080" s="22"/>
    </row>
    <row r="1081" ht="15.75" customHeight="1">
      <c r="A1081" s="25"/>
      <c r="B1081" s="22"/>
      <c r="C1081" s="25"/>
      <c r="D1081" s="22"/>
      <c r="E1081" s="25"/>
      <c r="F1081" s="22"/>
      <c r="G1081" s="25"/>
      <c r="H1081" s="22"/>
      <c r="I1081" s="25"/>
      <c r="J1081" s="22"/>
    </row>
    <row r="1082" ht="15.75" customHeight="1">
      <c r="A1082" s="25"/>
      <c r="B1082" s="22"/>
      <c r="C1082" s="25"/>
      <c r="D1082" s="22"/>
      <c r="E1082" s="25"/>
      <c r="F1082" s="22"/>
      <c r="G1082" s="25"/>
      <c r="H1082" s="22"/>
      <c r="I1082" s="25"/>
      <c r="J1082" s="22"/>
    </row>
    <row r="1083" ht="15.75" customHeight="1">
      <c r="A1083" s="25"/>
      <c r="B1083" s="22"/>
      <c r="C1083" s="25"/>
      <c r="D1083" s="22"/>
      <c r="E1083" s="25"/>
      <c r="F1083" s="22"/>
      <c r="G1083" s="25"/>
      <c r="H1083" s="22"/>
      <c r="I1083" s="25"/>
      <c r="J1083" s="22"/>
    </row>
    <row r="1084" ht="15.75" customHeight="1">
      <c r="A1084" s="25"/>
      <c r="B1084" s="22"/>
      <c r="C1084" s="25"/>
      <c r="D1084" s="22"/>
      <c r="E1084" s="25"/>
      <c r="F1084" s="22"/>
      <c r="G1084" s="25"/>
      <c r="H1084" s="22"/>
      <c r="I1084" s="25"/>
      <c r="J1084" s="22"/>
    </row>
    <row r="1085" ht="15.75" customHeight="1">
      <c r="A1085" s="25"/>
      <c r="B1085" s="22"/>
      <c r="C1085" s="25"/>
      <c r="D1085" s="22"/>
      <c r="E1085" s="25"/>
      <c r="F1085" s="22"/>
      <c r="G1085" s="25"/>
      <c r="H1085" s="22"/>
      <c r="I1085" s="25"/>
      <c r="J1085" s="22"/>
    </row>
    <row r="1086" ht="15.75" customHeight="1">
      <c r="A1086" s="25"/>
      <c r="B1086" s="22"/>
      <c r="C1086" s="25"/>
      <c r="D1086" s="22"/>
      <c r="E1086" s="25"/>
      <c r="F1086" s="22"/>
      <c r="G1086" s="25"/>
      <c r="H1086" s="22"/>
      <c r="I1086" s="25"/>
      <c r="J1086" s="22"/>
    </row>
    <row r="1087" ht="15.75" customHeight="1">
      <c r="A1087" s="25"/>
      <c r="B1087" s="22"/>
      <c r="C1087" s="25"/>
      <c r="D1087" s="22"/>
      <c r="E1087" s="25"/>
      <c r="F1087" s="22"/>
      <c r="G1087" s="25"/>
      <c r="H1087" s="22"/>
      <c r="I1087" s="25"/>
      <c r="J1087" s="22"/>
    </row>
    <row r="1088" ht="15.75" customHeight="1">
      <c r="A1088" s="25"/>
      <c r="B1088" s="22"/>
      <c r="C1088" s="25"/>
      <c r="D1088" s="22"/>
      <c r="E1088" s="25"/>
      <c r="F1088" s="22"/>
      <c r="G1088" s="25"/>
      <c r="H1088" s="22"/>
      <c r="I1088" s="25"/>
      <c r="J1088" s="22"/>
    </row>
    <row r="1089" ht="15.75" customHeight="1">
      <c r="A1089" s="25"/>
      <c r="B1089" s="22"/>
      <c r="C1089" s="25"/>
      <c r="D1089" s="22"/>
      <c r="E1089" s="25"/>
      <c r="F1089" s="22"/>
      <c r="G1089" s="25"/>
      <c r="H1089" s="22"/>
      <c r="I1089" s="25"/>
      <c r="J1089" s="22"/>
    </row>
    <row r="1090" ht="15.75" customHeight="1">
      <c r="A1090" s="25"/>
      <c r="B1090" s="22"/>
      <c r="C1090" s="25"/>
      <c r="D1090" s="22"/>
      <c r="E1090" s="25"/>
      <c r="F1090" s="22"/>
      <c r="G1090" s="25"/>
      <c r="H1090" s="22"/>
      <c r="I1090" s="25"/>
      <c r="J1090" s="22"/>
    </row>
    <row r="1091" ht="15.75" customHeight="1">
      <c r="A1091" s="25"/>
      <c r="B1091" s="22"/>
      <c r="C1091" s="25"/>
      <c r="D1091" s="22"/>
      <c r="E1091" s="25"/>
      <c r="F1091" s="22"/>
      <c r="G1091" s="25"/>
      <c r="H1091" s="22"/>
      <c r="I1091" s="25"/>
      <c r="J1091" s="22"/>
    </row>
    <row r="1092" ht="15.75" customHeight="1">
      <c r="A1092" s="25"/>
      <c r="B1092" s="22"/>
      <c r="C1092" s="25"/>
      <c r="D1092" s="22"/>
      <c r="E1092" s="25"/>
      <c r="F1092" s="22"/>
      <c r="G1092" s="25"/>
      <c r="H1092" s="22"/>
      <c r="I1092" s="25"/>
      <c r="J1092" s="22"/>
    </row>
    <row r="1093" ht="15.75" customHeight="1">
      <c r="A1093" s="25"/>
      <c r="B1093" s="22"/>
      <c r="C1093" s="25"/>
      <c r="D1093" s="22"/>
      <c r="E1093" s="25"/>
      <c r="F1093" s="22"/>
      <c r="G1093" s="25"/>
      <c r="H1093" s="22"/>
      <c r="I1093" s="25"/>
      <c r="J1093" s="22"/>
    </row>
    <row r="1094" ht="15.75" customHeight="1">
      <c r="A1094" s="25"/>
      <c r="B1094" s="22"/>
      <c r="C1094" s="25"/>
      <c r="D1094" s="22"/>
      <c r="E1094" s="25"/>
      <c r="F1094" s="22"/>
      <c r="G1094" s="25"/>
      <c r="H1094" s="22"/>
      <c r="I1094" s="25"/>
      <c r="J1094" s="22"/>
    </row>
    <row r="1095" ht="15.75" customHeight="1">
      <c r="A1095" s="25"/>
      <c r="B1095" s="22"/>
      <c r="C1095" s="25"/>
      <c r="D1095" s="22"/>
      <c r="E1095" s="25"/>
      <c r="F1095" s="22"/>
      <c r="G1095" s="25"/>
      <c r="H1095" s="22"/>
      <c r="I1095" s="25"/>
      <c r="J1095" s="22"/>
    </row>
    <row r="1096" ht="15.75" customHeight="1">
      <c r="A1096" s="25"/>
      <c r="B1096" s="22"/>
      <c r="C1096" s="25"/>
      <c r="D1096" s="22"/>
      <c r="E1096" s="25"/>
      <c r="F1096" s="22"/>
      <c r="G1096" s="25"/>
      <c r="H1096" s="22"/>
      <c r="I1096" s="25"/>
      <c r="J1096" s="22"/>
    </row>
    <row r="1097" ht="15.75" customHeight="1">
      <c r="A1097" s="25"/>
      <c r="B1097" s="22"/>
      <c r="C1097" s="25"/>
      <c r="D1097" s="22"/>
      <c r="E1097" s="25"/>
      <c r="F1097" s="22"/>
      <c r="G1097" s="25"/>
      <c r="H1097" s="22"/>
      <c r="I1097" s="25"/>
      <c r="J1097" s="22"/>
    </row>
    <row r="1098" ht="15.75" customHeight="1">
      <c r="A1098" s="25"/>
      <c r="B1098" s="22"/>
      <c r="C1098" s="25"/>
      <c r="D1098" s="22"/>
      <c r="E1098" s="25"/>
      <c r="F1098" s="22"/>
      <c r="G1098" s="25"/>
      <c r="H1098" s="22"/>
      <c r="I1098" s="25"/>
      <c r="J1098" s="22"/>
    </row>
    <row r="1099" ht="15.75" customHeight="1">
      <c r="A1099" s="25"/>
      <c r="B1099" s="22"/>
      <c r="C1099" s="25"/>
      <c r="D1099" s="22"/>
      <c r="E1099" s="25"/>
      <c r="F1099" s="22"/>
      <c r="G1099" s="25"/>
      <c r="H1099" s="22"/>
      <c r="I1099" s="25"/>
      <c r="J1099" s="22"/>
    </row>
    <row r="1100" ht="15.75" customHeight="1">
      <c r="A1100" s="25"/>
      <c r="B1100" s="22"/>
      <c r="C1100" s="25"/>
      <c r="D1100" s="22"/>
      <c r="E1100" s="25"/>
      <c r="F1100" s="22"/>
      <c r="G1100" s="25"/>
      <c r="H1100" s="22"/>
      <c r="I1100" s="25"/>
      <c r="J1100" s="22"/>
    </row>
    <row r="1101" ht="15.75" customHeight="1">
      <c r="A1101" s="25"/>
      <c r="B1101" s="22"/>
      <c r="C1101" s="25"/>
      <c r="D1101" s="22"/>
      <c r="E1101" s="25"/>
      <c r="F1101" s="22"/>
      <c r="G1101" s="25"/>
      <c r="H1101" s="22"/>
      <c r="I1101" s="25"/>
      <c r="J1101" s="22"/>
    </row>
    <row r="1102" ht="15.75" customHeight="1">
      <c r="A1102" s="25"/>
      <c r="B1102" s="22"/>
      <c r="C1102" s="25"/>
      <c r="D1102" s="22"/>
      <c r="E1102" s="25"/>
      <c r="F1102" s="22"/>
      <c r="G1102" s="25"/>
      <c r="H1102" s="22"/>
      <c r="I1102" s="25"/>
      <c r="J1102" s="22"/>
    </row>
    <row r="1103" ht="15.75" customHeight="1">
      <c r="A1103" s="25"/>
      <c r="B1103" s="22"/>
      <c r="C1103" s="25"/>
      <c r="D1103" s="22"/>
      <c r="E1103" s="25"/>
      <c r="F1103" s="22"/>
      <c r="G1103" s="25"/>
      <c r="H1103" s="22"/>
      <c r="I1103" s="25"/>
      <c r="J1103" s="22"/>
    </row>
    <row r="1104" ht="15.75" customHeight="1">
      <c r="A1104" s="25"/>
      <c r="B1104" s="22"/>
      <c r="C1104" s="25"/>
      <c r="D1104" s="22"/>
      <c r="E1104" s="25"/>
      <c r="F1104" s="22"/>
      <c r="G1104" s="25"/>
      <c r="H1104" s="22"/>
      <c r="I1104" s="25"/>
      <c r="J1104" s="22"/>
    </row>
    <row r="1105" ht="15.75" customHeight="1">
      <c r="A1105" s="25"/>
      <c r="B1105" s="22"/>
      <c r="C1105" s="25"/>
      <c r="D1105" s="22"/>
      <c r="E1105" s="25"/>
      <c r="F1105" s="22"/>
      <c r="G1105" s="25"/>
      <c r="H1105" s="22"/>
      <c r="I1105" s="25"/>
      <c r="J1105" s="22"/>
    </row>
    <row r="1106" ht="15.75" customHeight="1">
      <c r="A1106" s="25"/>
      <c r="B1106" s="22"/>
      <c r="C1106" s="25"/>
      <c r="D1106" s="22"/>
      <c r="E1106" s="25"/>
      <c r="F1106" s="22"/>
      <c r="G1106" s="25"/>
      <c r="H1106" s="22"/>
      <c r="I1106" s="25"/>
      <c r="J1106" s="22"/>
    </row>
    <row r="1107" ht="15.75" customHeight="1">
      <c r="A1107" s="25"/>
      <c r="B1107" s="22"/>
      <c r="C1107" s="25"/>
      <c r="D1107" s="22"/>
      <c r="E1107" s="25"/>
      <c r="F1107" s="22"/>
      <c r="G1107" s="25"/>
      <c r="H1107" s="22"/>
      <c r="I1107" s="25"/>
      <c r="J1107" s="22"/>
    </row>
    <row r="1108" ht="15.75" customHeight="1">
      <c r="A1108" s="25"/>
      <c r="B1108" s="22"/>
      <c r="C1108" s="25"/>
      <c r="D1108" s="22"/>
      <c r="E1108" s="25"/>
      <c r="F1108" s="22"/>
      <c r="G1108" s="25"/>
      <c r="H1108" s="22"/>
      <c r="I1108" s="25"/>
      <c r="J1108" s="22"/>
    </row>
    <row r="1109" ht="15.75" customHeight="1">
      <c r="A1109" s="25"/>
      <c r="B1109" s="22"/>
      <c r="C1109" s="25"/>
      <c r="D1109" s="22"/>
      <c r="E1109" s="25"/>
      <c r="F1109" s="22"/>
      <c r="G1109" s="25"/>
      <c r="H1109" s="22"/>
      <c r="I1109" s="25"/>
      <c r="J1109" s="22"/>
    </row>
    <row r="1110" ht="15.75" customHeight="1">
      <c r="A1110" s="25"/>
      <c r="B1110" s="22"/>
      <c r="C1110" s="25"/>
      <c r="D1110" s="22"/>
      <c r="E1110" s="25"/>
      <c r="F1110" s="22"/>
      <c r="G1110" s="25"/>
      <c r="H1110" s="22"/>
      <c r="I1110" s="25"/>
      <c r="J1110" s="22"/>
    </row>
    <row r="1111" ht="15.75" customHeight="1">
      <c r="A1111" s="25"/>
      <c r="B1111" s="22"/>
      <c r="C1111" s="25"/>
      <c r="D1111" s="22"/>
      <c r="E1111" s="25"/>
      <c r="F1111" s="22"/>
      <c r="G1111" s="25"/>
      <c r="H1111" s="22"/>
      <c r="I1111" s="25"/>
      <c r="J1111" s="22"/>
    </row>
    <row r="1112" ht="15.75" customHeight="1">
      <c r="A1112" s="25"/>
      <c r="B1112" s="22"/>
      <c r="C1112" s="25"/>
      <c r="D1112" s="22"/>
      <c r="E1112" s="25"/>
      <c r="F1112" s="22"/>
      <c r="G1112" s="25"/>
      <c r="H1112" s="22"/>
      <c r="I1112" s="25"/>
      <c r="J1112" s="22"/>
    </row>
    <row r="1113" ht="15.75" customHeight="1">
      <c r="A1113" s="25"/>
      <c r="B1113" s="22"/>
      <c r="C1113" s="25"/>
      <c r="D1113" s="22"/>
      <c r="E1113" s="25"/>
      <c r="F1113" s="22"/>
      <c r="G1113" s="25"/>
      <c r="H1113" s="22"/>
      <c r="I1113" s="25"/>
      <c r="J1113" s="22"/>
    </row>
    <row r="1114" ht="15.75" customHeight="1">
      <c r="A1114" s="25"/>
      <c r="B1114" s="22"/>
      <c r="C1114" s="25"/>
      <c r="D1114" s="22"/>
      <c r="E1114" s="25"/>
      <c r="F1114" s="22"/>
      <c r="G1114" s="25"/>
      <c r="H1114" s="22"/>
      <c r="I1114" s="25"/>
      <c r="J1114" s="22"/>
    </row>
    <row r="1115" ht="15.75" customHeight="1">
      <c r="A1115" s="25"/>
      <c r="B1115" s="22"/>
      <c r="C1115" s="25"/>
      <c r="D1115" s="22"/>
      <c r="E1115" s="25"/>
      <c r="F1115" s="22"/>
      <c r="G1115" s="25"/>
      <c r="H1115" s="22"/>
      <c r="I1115" s="25"/>
      <c r="J1115" s="22"/>
    </row>
    <row r="1116" ht="15.75" customHeight="1">
      <c r="A1116" s="25"/>
      <c r="B1116" s="22"/>
      <c r="C1116" s="25"/>
      <c r="D1116" s="22"/>
      <c r="E1116" s="25"/>
      <c r="F1116" s="22"/>
      <c r="G1116" s="25"/>
      <c r="H1116" s="22"/>
      <c r="I1116" s="25"/>
      <c r="J1116" s="22"/>
    </row>
    <row r="1117" ht="15.75" customHeight="1">
      <c r="A1117" s="25"/>
      <c r="B1117" s="22"/>
      <c r="C1117" s="25"/>
      <c r="D1117" s="22"/>
      <c r="E1117" s="25"/>
      <c r="F1117" s="22"/>
      <c r="G1117" s="25"/>
      <c r="H1117" s="22"/>
      <c r="I1117" s="25"/>
      <c r="J1117" s="22"/>
    </row>
    <row r="1118" ht="15.75" customHeight="1">
      <c r="A1118" s="25"/>
      <c r="B1118" s="22"/>
      <c r="C1118" s="25"/>
      <c r="D1118" s="22"/>
      <c r="E1118" s="25"/>
      <c r="F1118" s="22"/>
      <c r="G1118" s="25"/>
      <c r="H1118" s="22"/>
      <c r="I1118" s="25"/>
      <c r="J1118" s="22"/>
    </row>
    <row r="1119" ht="15.75" customHeight="1">
      <c r="A1119" s="25"/>
      <c r="B1119" s="22"/>
      <c r="C1119" s="25"/>
      <c r="D1119" s="22"/>
      <c r="E1119" s="25"/>
      <c r="F1119" s="22"/>
      <c r="G1119" s="25"/>
      <c r="H1119" s="22"/>
      <c r="I1119" s="25"/>
      <c r="J1119" s="22"/>
    </row>
    <row r="1120" ht="15.75" customHeight="1">
      <c r="A1120" s="25"/>
      <c r="B1120" s="22"/>
      <c r="C1120" s="25"/>
      <c r="D1120" s="22"/>
      <c r="E1120" s="25"/>
      <c r="F1120" s="22"/>
      <c r="G1120" s="25"/>
      <c r="H1120" s="22"/>
      <c r="I1120" s="25"/>
      <c r="J1120" s="22"/>
    </row>
    <row r="1121" ht="15.75" customHeight="1">
      <c r="A1121" s="25"/>
      <c r="B1121" s="22"/>
      <c r="C1121" s="25"/>
      <c r="D1121" s="22"/>
      <c r="E1121" s="25"/>
      <c r="F1121" s="22"/>
      <c r="G1121" s="25"/>
      <c r="H1121" s="22"/>
      <c r="I1121" s="25"/>
      <c r="J1121" s="22"/>
    </row>
    <row r="1122" ht="15.75" customHeight="1">
      <c r="A1122" s="25"/>
      <c r="B1122" s="22"/>
      <c r="C1122" s="25"/>
      <c r="D1122" s="22"/>
      <c r="E1122" s="25"/>
      <c r="F1122" s="22"/>
      <c r="G1122" s="25"/>
      <c r="H1122" s="22"/>
      <c r="I1122" s="25"/>
      <c r="J1122" s="22"/>
    </row>
    <row r="1123" ht="15.75" customHeight="1">
      <c r="A1123" s="25"/>
      <c r="B1123" s="22"/>
      <c r="C1123" s="25"/>
      <c r="D1123" s="22"/>
      <c r="E1123" s="25"/>
      <c r="F1123" s="22"/>
      <c r="G1123" s="25"/>
      <c r="H1123" s="22"/>
      <c r="I1123" s="25"/>
      <c r="J1123" s="22"/>
    </row>
    <row r="1124" ht="15.75" customHeight="1">
      <c r="A1124" s="25"/>
      <c r="B1124" s="22"/>
      <c r="C1124" s="25"/>
      <c r="D1124" s="22"/>
      <c r="E1124" s="25"/>
      <c r="F1124" s="22"/>
      <c r="G1124" s="25"/>
      <c r="H1124" s="22"/>
      <c r="I1124" s="25"/>
      <c r="J1124" s="22"/>
    </row>
    <row r="1125" ht="15.75" customHeight="1">
      <c r="A1125" s="25"/>
      <c r="B1125" s="22"/>
      <c r="C1125" s="25"/>
      <c r="D1125" s="22"/>
      <c r="E1125" s="25"/>
      <c r="F1125" s="22"/>
      <c r="G1125" s="25"/>
      <c r="H1125" s="22"/>
      <c r="I1125" s="25"/>
      <c r="J1125" s="22"/>
    </row>
    <row r="1126" ht="15.75" customHeight="1">
      <c r="A1126" s="25"/>
      <c r="B1126" s="22"/>
      <c r="C1126" s="25"/>
      <c r="D1126" s="22"/>
      <c r="E1126" s="25"/>
      <c r="F1126" s="22"/>
      <c r="G1126" s="25"/>
      <c r="H1126" s="22"/>
      <c r="I1126" s="25"/>
      <c r="J1126" s="22"/>
    </row>
    <row r="1127" ht="15.75" customHeight="1">
      <c r="A1127" s="25"/>
      <c r="B1127" s="22"/>
      <c r="C1127" s="25"/>
      <c r="D1127" s="22"/>
      <c r="E1127" s="25"/>
      <c r="F1127" s="22"/>
      <c r="G1127" s="25"/>
      <c r="H1127" s="22"/>
      <c r="I1127" s="25"/>
      <c r="J1127" s="22"/>
    </row>
    <row r="1128" ht="15.75" customHeight="1">
      <c r="A1128" s="25"/>
      <c r="B1128" s="22"/>
      <c r="C1128" s="25"/>
      <c r="D1128" s="22"/>
      <c r="E1128" s="25"/>
      <c r="F1128" s="22"/>
      <c r="G1128" s="25"/>
      <c r="H1128" s="22"/>
      <c r="I1128" s="25"/>
      <c r="J1128" s="22"/>
    </row>
    <row r="1129" ht="15.75" customHeight="1">
      <c r="A1129" s="25"/>
      <c r="B1129" s="22"/>
      <c r="C1129" s="25"/>
      <c r="D1129" s="22"/>
      <c r="E1129" s="25"/>
      <c r="F1129" s="22"/>
      <c r="G1129" s="25"/>
      <c r="H1129" s="22"/>
      <c r="I1129" s="25"/>
      <c r="J1129" s="22"/>
    </row>
    <row r="1130" ht="15.75" customHeight="1">
      <c r="A1130" s="25"/>
      <c r="B1130" s="22"/>
      <c r="C1130" s="25"/>
      <c r="D1130" s="22"/>
      <c r="E1130" s="25"/>
      <c r="F1130" s="22"/>
      <c r="G1130" s="25"/>
      <c r="H1130" s="22"/>
      <c r="I1130" s="25"/>
      <c r="J1130" s="22"/>
    </row>
    <row r="1131" ht="15.75" customHeight="1">
      <c r="A1131" s="25"/>
      <c r="B1131" s="22"/>
      <c r="C1131" s="25"/>
      <c r="D1131" s="22"/>
      <c r="E1131" s="25"/>
      <c r="F1131" s="22"/>
      <c r="G1131" s="25"/>
      <c r="H1131" s="22"/>
      <c r="I1131" s="25"/>
      <c r="J1131" s="22"/>
    </row>
    <row r="1132" ht="15.75" customHeight="1">
      <c r="A1132" s="25"/>
      <c r="B1132" s="22"/>
      <c r="C1132" s="25"/>
      <c r="D1132" s="22"/>
      <c r="E1132" s="25"/>
      <c r="F1132" s="22"/>
      <c r="G1132" s="25"/>
      <c r="H1132" s="22"/>
      <c r="I1132" s="25"/>
      <c r="J1132" s="22"/>
    </row>
    <row r="1133" ht="15.75" customHeight="1">
      <c r="A1133" s="25"/>
      <c r="B1133" s="22"/>
      <c r="C1133" s="25"/>
      <c r="D1133" s="22"/>
      <c r="E1133" s="25"/>
      <c r="F1133" s="22"/>
      <c r="G1133" s="25"/>
      <c r="H1133" s="22"/>
      <c r="I1133" s="25"/>
      <c r="J1133" s="22"/>
    </row>
    <row r="1134" ht="15.75" customHeight="1">
      <c r="A1134" s="25"/>
      <c r="B1134" s="22"/>
      <c r="C1134" s="25"/>
      <c r="D1134" s="22"/>
      <c r="E1134" s="25"/>
      <c r="F1134" s="22"/>
      <c r="G1134" s="25"/>
      <c r="H1134" s="22"/>
      <c r="I1134" s="25"/>
      <c r="J1134" s="22"/>
    </row>
    <row r="1135" ht="15.75" customHeight="1">
      <c r="A1135" s="25"/>
      <c r="B1135" s="22"/>
      <c r="C1135" s="25"/>
      <c r="D1135" s="22"/>
      <c r="E1135" s="25"/>
      <c r="F1135" s="22"/>
      <c r="G1135" s="25"/>
      <c r="H1135" s="22"/>
      <c r="I1135" s="25"/>
      <c r="J1135" s="22"/>
    </row>
    <row r="1136" ht="15.75" customHeight="1">
      <c r="A1136" s="25"/>
      <c r="B1136" s="22"/>
      <c r="C1136" s="25"/>
      <c r="D1136" s="22"/>
      <c r="E1136" s="25"/>
      <c r="F1136" s="22"/>
      <c r="G1136" s="25"/>
      <c r="H1136" s="22"/>
      <c r="I1136" s="25"/>
      <c r="J1136" s="22"/>
    </row>
    <row r="1137" ht="15.75" customHeight="1">
      <c r="A1137" s="25"/>
      <c r="B1137" s="22"/>
      <c r="C1137" s="25"/>
      <c r="D1137" s="22"/>
      <c r="E1137" s="25"/>
      <c r="F1137" s="22"/>
      <c r="G1137" s="25"/>
      <c r="H1137" s="22"/>
      <c r="I1137" s="25"/>
      <c r="J1137" s="22"/>
    </row>
    <row r="1138" ht="15.75" customHeight="1">
      <c r="A1138" s="25"/>
      <c r="B1138" s="22"/>
      <c r="C1138" s="25"/>
      <c r="D1138" s="22"/>
      <c r="E1138" s="25"/>
      <c r="F1138" s="22"/>
      <c r="G1138" s="25"/>
      <c r="H1138" s="22"/>
      <c r="I1138" s="25"/>
      <c r="J1138" s="22"/>
    </row>
    <row r="1139" ht="15.75" customHeight="1">
      <c r="A1139" s="25"/>
      <c r="B1139" s="22"/>
      <c r="C1139" s="25"/>
      <c r="D1139" s="22"/>
      <c r="E1139" s="25"/>
      <c r="F1139" s="22"/>
      <c r="G1139" s="25"/>
      <c r="H1139" s="22"/>
      <c r="I1139" s="25"/>
      <c r="J1139" s="22"/>
    </row>
    <row r="1140" ht="15.75" customHeight="1">
      <c r="A1140" s="25"/>
      <c r="B1140" s="22"/>
      <c r="C1140" s="25"/>
      <c r="D1140" s="22"/>
      <c r="E1140" s="25"/>
      <c r="F1140" s="22"/>
      <c r="G1140" s="25"/>
      <c r="H1140" s="22"/>
      <c r="I1140" s="25"/>
      <c r="J1140" s="22"/>
    </row>
    <row r="1141" ht="15.75" customHeight="1">
      <c r="A1141" s="25"/>
      <c r="B1141" s="22"/>
      <c r="C1141" s="25"/>
      <c r="D1141" s="22"/>
      <c r="E1141" s="25"/>
      <c r="F1141" s="22"/>
      <c r="G1141" s="25"/>
      <c r="H1141" s="22"/>
      <c r="I1141" s="25"/>
      <c r="J1141" s="22"/>
    </row>
    <row r="1142" ht="15.75" customHeight="1">
      <c r="A1142" s="25"/>
      <c r="B1142" s="22"/>
      <c r="C1142" s="25"/>
      <c r="D1142" s="22"/>
      <c r="E1142" s="25"/>
      <c r="F1142" s="22"/>
      <c r="G1142" s="25"/>
      <c r="H1142" s="22"/>
      <c r="I1142" s="25"/>
      <c r="J1142" s="22"/>
    </row>
    <row r="1143" ht="15.75" customHeight="1">
      <c r="A1143" s="25"/>
      <c r="B1143" s="22"/>
      <c r="C1143" s="25"/>
      <c r="D1143" s="22"/>
      <c r="E1143" s="25"/>
      <c r="F1143" s="22"/>
      <c r="G1143" s="25"/>
      <c r="H1143" s="22"/>
      <c r="I1143" s="25"/>
      <c r="J1143" s="22"/>
    </row>
    <row r="1144" ht="15.75" customHeight="1">
      <c r="A1144" s="25"/>
      <c r="B1144" s="22"/>
      <c r="C1144" s="25"/>
      <c r="D1144" s="22"/>
      <c r="E1144" s="25"/>
      <c r="F1144" s="22"/>
      <c r="G1144" s="25"/>
      <c r="H1144" s="22"/>
      <c r="I1144" s="25"/>
      <c r="J1144" s="22"/>
    </row>
    <row r="1145" ht="15.75" customHeight="1">
      <c r="A1145" s="25"/>
      <c r="B1145" s="22"/>
      <c r="C1145" s="25"/>
      <c r="D1145" s="22"/>
      <c r="E1145" s="25"/>
      <c r="F1145" s="22"/>
      <c r="G1145" s="25"/>
      <c r="H1145" s="22"/>
      <c r="I1145" s="25"/>
      <c r="J1145" s="22"/>
    </row>
    <row r="1146" ht="15.75" customHeight="1">
      <c r="A1146" s="25"/>
      <c r="B1146" s="22"/>
      <c r="C1146" s="25"/>
      <c r="D1146" s="22"/>
      <c r="E1146" s="25"/>
      <c r="F1146" s="22"/>
      <c r="G1146" s="25"/>
      <c r="H1146" s="22"/>
      <c r="I1146" s="25"/>
      <c r="J1146" s="22"/>
    </row>
    <row r="1147" ht="15.75" customHeight="1">
      <c r="A1147" s="25"/>
      <c r="B1147" s="22"/>
      <c r="C1147" s="25"/>
      <c r="D1147" s="22"/>
      <c r="E1147" s="25"/>
      <c r="F1147" s="22"/>
      <c r="G1147" s="25"/>
      <c r="H1147" s="22"/>
      <c r="I1147" s="25"/>
      <c r="J1147" s="22"/>
    </row>
    <row r="1148" ht="15.75" customHeight="1">
      <c r="A1148" s="25"/>
      <c r="B1148" s="22"/>
      <c r="C1148" s="25"/>
      <c r="D1148" s="22"/>
      <c r="E1148" s="25"/>
      <c r="F1148" s="22"/>
      <c r="G1148" s="25"/>
      <c r="H1148" s="22"/>
      <c r="I1148" s="25"/>
      <c r="J1148" s="22"/>
    </row>
    <row r="1149" ht="15.75" customHeight="1">
      <c r="A1149" s="25"/>
      <c r="B1149" s="22"/>
      <c r="C1149" s="25"/>
      <c r="D1149" s="22"/>
      <c r="E1149" s="25"/>
      <c r="F1149" s="22"/>
      <c r="G1149" s="25"/>
      <c r="H1149" s="22"/>
      <c r="I1149" s="25"/>
      <c r="J1149" s="22"/>
    </row>
    <row r="1150" ht="15.75" customHeight="1">
      <c r="A1150" s="25"/>
      <c r="B1150" s="22"/>
      <c r="C1150" s="25"/>
      <c r="D1150" s="22"/>
      <c r="E1150" s="25"/>
      <c r="F1150" s="22"/>
      <c r="G1150" s="25"/>
      <c r="H1150" s="22"/>
      <c r="I1150" s="25"/>
      <c r="J1150" s="22"/>
    </row>
    <row r="1151" ht="15.75" customHeight="1">
      <c r="A1151" s="25"/>
      <c r="B1151" s="22"/>
      <c r="C1151" s="25"/>
      <c r="D1151" s="22"/>
      <c r="E1151" s="25"/>
      <c r="F1151" s="22"/>
      <c r="G1151" s="25"/>
      <c r="H1151" s="22"/>
      <c r="I1151" s="25"/>
      <c r="J1151" s="22"/>
    </row>
    <row r="1152" ht="15.75" customHeight="1">
      <c r="A1152" s="25"/>
      <c r="B1152" s="22"/>
      <c r="C1152" s="25"/>
      <c r="D1152" s="22"/>
      <c r="E1152" s="25"/>
      <c r="F1152" s="22"/>
      <c r="G1152" s="25"/>
      <c r="H1152" s="22"/>
      <c r="I1152" s="25"/>
      <c r="J1152" s="22"/>
    </row>
    <row r="1153" ht="15.75" customHeight="1">
      <c r="A1153" s="25"/>
      <c r="B1153" s="22"/>
      <c r="C1153" s="25"/>
      <c r="D1153" s="22"/>
      <c r="E1153" s="25"/>
      <c r="F1153" s="22"/>
      <c r="G1153" s="25"/>
      <c r="H1153" s="22"/>
      <c r="I1153" s="25"/>
      <c r="J1153" s="22"/>
    </row>
    <row r="1154" ht="15.75" customHeight="1">
      <c r="A1154" s="25"/>
      <c r="B1154" s="22"/>
      <c r="C1154" s="25"/>
      <c r="D1154" s="22"/>
      <c r="E1154" s="25"/>
      <c r="F1154" s="22"/>
      <c r="G1154" s="25"/>
      <c r="H1154" s="22"/>
      <c r="I1154" s="25"/>
      <c r="J1154" s="22"/>
    </row>
    <row r="1155" ht="15.75" customHeight="1">
      <c r="A1155" s="25"/>
      <c r="B1155" s="22"/>
      <c r="C1155" s="25"/>
      <c r="D1155" s="22"/>
      <c r="E1155" s="25"/>
      <c r="F1155" s="22"/>
      <c r="G1155" s="25"/>
      <c r="H1155" s="22"/>
      <c r="I1155" s="25"/>
      <c r="J1155" s="22"/>
    </row>
    <row r="1156" ht="15.75" customHeight="1">
      <c r="A1156" s="25"/>
      <c r="B1156" s="22"/>
      <c r="C1156" s="25"/>
      <c r="D1156" s="22"/>
      <c r="E1156" s="25"/>
      <c r="F1156" s="22"/>
      <c r="G1156" s="25"/>
      <c r="H1156" s="22"/>
      <c r="I1156" s="25"/>
      <c r="J1156" s="22"/>
    </row>
    <row r="1157" ht="15.75" customHeight="1">
      <c r="A1157" s="25"/>
      <c r="B1157" s="22"/>
      <c r="C1157" s="25"/>
      <c r="D1157" s="22"/>
      <c r="E1157" s="25"/>
      <c r="F1157" s="22"/>
      <c r="G1157" s="25"/>
      <c r="H1157" s="22"/>
      <c r="I1157" s="25"/>
      <c r="J1157" s="22"/>
    </row>
    <row r="1158" ht="15.75" customHeight="1">
      <c r="A1158" s="25"/>
      <c r="B1158" s="22"/>
      <c r="C1158" s="25"/>
      <c r="D1158" s="22"/>
      <c r="E1158" s="25"/>
      <c r="F1158" s="22"/>
      <c r="G1158" s="25"/>
      <c r="H1158" s="22"/>
      <c r="I1158" s="25"/>
      <c r="J1158" s="22"/>
    </row>
    <row r="1159" ht="15.75" customHeight="1">
      <c r="A1159" s="25"/>
      <c r="B1159" s="22"/>
      <c r="C1159" s="25"/>
      <c r="D1159" s="22"/>
      <c r="E1159" s="25"/>
      <c r="F1159" s="22"/>
      <c r="G1159" s="25"/>
      <c r="H1159" s="22"/>
      <c r="I1159" s="25"/>
      <c r="J1159" s="22"/>
    </row>
    <row r="1160" ht="15.75" customHeight="1">
      <c r="A1160" s="25"/>
      <c r="B1160" s="22"/>
      <c r="C1160" s="25"/>
      <c r="D1160" s="22"/>
      <c r="E1160" s="25"/>
      <c r="F1160" s="22"/>
      <c r="G1160" s="25"/>
      <c r="H1160" s="22"/>
      <c r="I1160" s="25"/>
      <c r="J1160" s="22"/>
    </row>
    <row r="1161" ht="15.75" customHeight="1">
      <c r="A1161" s="25"/>
      <c r="B1161" s="22"/>
      <c r="C1161" s="25"/>
      <c r="D1161" s="22"/>
      <c r="E1161" s="25"/>
      <c r="F1161" s="22"/>
      <c r="G1161" s="25"/>
      <c r="H1161" s="22"/>
      <c r="I1161" s="25"/>
      <c r="J1161" s="22"/>
    </row>
    <row r="1162" ht="15.75" customHeight="1">
      <c r="A1162" s="25"/>
      <c r="B1162" s="22"/>
      <c r="C1162" s="25"/>
      <c r="D1162" s="22"/>
      <c r="E1162" s="25"/>
      <c r="F1162" s="22"/>
      <c r="G1162" s="25"/>
      <c r="H1162" s="22"/>
      <c r="I1162" s="25"/>
      <c r="J1162" s="22"/>
    </row>
    <row r="1163" ht="15.75" customHeight="1">
      <c r="A1163" s="25"/>
      <c r="B1163" s="22"/>
      <c r="C1163" s="25"/>
      <c r="D1163" s="22"/>
      <c r="E1163" s="25"/>
      <c r="F1163" s="22"/>
      <c r="G1163" s="25"/>
      <c r="H1163" s="22"/>
      <c r="I1163" s="25"/>
      <c r="J1163" s="22"/>
    </row>
    <row r="1164" ht="15.75" customHeight="1">
      <c r="A1164" s="25"/>
      <c r="B1164" s="22"/>
      <c r="C1164" s="25"/>
      <c r="D1164" s="22"/>
      <c r="E1164" s="25"/>
      <c r="F1164" s="22"/>
      <c r="G1164" s="25"/>
      <c r="H1164" s="22"/>
      <c r="I1164" s="25"/>
      <c r="J1164" s="22"/>
    </row>
    <row r="1165" ht="15.75" customHeight="1">
      <c r="A1165" s="25"/>
      <c r="B1165" s="22"/>
      <c r="C1165" s="25"/>
      <c r="D1165" s="22"/>
      <c r="E1165" s="25"/>
      <c r="F1165" s="22"/>
      <c r="G1165" s="25"/>
      <c r="H1165" s="22"/>
      <c r="I1165" s="25"/>
      <c r="J1165" s="22"/>
    </row>
    <row r="1166" ht="15.75" customHeight="1">
      <c r="A1166" s="25"/>
      <c r="B1166" s="22"/>
      <c r="C1166" s="25"/>
      <c r="D1166" s="22"/>
      <c r="E1166" s="25"/>
      <c r="F1166" s="22"/>
      <c r="G1166" s="25"/>
      <c r="H1166" s="22"/>
      <c r="I1166" s="25"/>
      <c r="J1166" s="22"/>
    </row>
    <row r="1167" ht="15.75" customHeight="1">
      <c r="A1167" s="25"/>
      <c r="B1167" s="22"/>
      <c r="C1167" s="25"/>
      <c r="D1167" s="22"/>
      <c r="E1167" s="25"/>
      <c r="F1167" s="22"/>
      <c r="G1167" s="25"/>
      <c r="H1167" s="22"/>
      <c r="I1167" s="25"/>
      <c r="J1167" s="22"/>
    </row>
    <row r="1168" ht="15.75" customHeight="1">
      <c r="A1168" s="25"/>
      <c r="B1168" s="22"/>
      <c r="C1168" s="25"/>
      <c r="D1168" s="22"/>
      <c r="E1168" s="25"/>
      <c r="F1168" s="22"/>
      <c r="G1168" s="25"/>
      <c r="H1168" s="22"/>
      <c r="I1168" s="25"/>
      <c r="J1168" s="22"/>
    </row>
    <row r="1169" ht="15.75" customHeight="1">
      <c r="A1169" s="25"/>
      <c r="B1169" s="22"/>
      <c r="C1169" s="25"/>
      <c r="D1169" s="22"/>
      <c r="E1169" s="25"/>
      <c r="F1169" s="22"/>
      <c r="G1169" s="25"/>
      <c r="H1169" s="22"/>
      <c r="I1169" s="25"/>
      <c r="J1169" s="22"/>
    </row>
    <row r="1170" ht="15.75" customHeight="1">
      <c r="A1170" s="25"/>
      <c r="B1170" s="22"/>
      <c r="C1170" s="25"/>
      <c r="D1170" s="22"/>
      <c r="E1170" s="25"/>
      <c r="F1170" s="22"/>
      <c r="G1170" s="25"/>
      <c r="H1170" s="22"/>
      <c r="I1170" s="25"/>
      <c r="J1170" s="22"/>
    </row>
    <row r="1171" ht="15.75" customHeight="1">
      <c r="A1171" s="25"/>
      <c r="B1171" s="22"/>
      <c r="C1171" s="25"/>
      <c r="D1171" s="22"/>
      <c r="E1171" s="25"/>
      <c r="F1171" s="22"/>
      <c r="G1171" s="25"/>
      <c r="H1171" s="22"/>
      <c r="I1171" s="25"/>
      <c r="J1171" s="22"/>
    </row>
    <row r="1172" ht="15.75" customHeight="1">
      <c r="A1172" s="25"/>
      <c r="B1172" s="22"/>
      <c r="C1172" s="25"/>
      <c r="D1172" s="22"/>
      <c r="E1172" s="25"/>
      <c r="F1172" s="22"/>
      <c r="G1172" s="25"/>
      <c r="H1172" s="22"/>
      <c r="I1172" s="25"/>
      <c r="J1172" s="22"/>
    </row>
    <row r="1173" ht="15.75" customHeight="1">
      <c r="A1173" s="25"/>
      <c r="B1173" s="22"/>
      <c r="C1173" s="25"/>
      <c r="D1173" s="22"/>
      <c r="E1173" s="25"/>
      <c r="F1173" s="22"/>
      <c r="G1173" s="25"/>
      <c r="H1173" s="22"/>
      <c r="I1173" s="25"/>
      <c r="J1173" s="22"/>
    </row>
    <row r="1174" ht="15.75" customHeight="1">
      <c r="A1174" s="25"/>
      <c r="B1174" s="22"/>
      <c r="C1174" s="25"/>
      <c r="D1174" s="22"/>
      <c r="E1174" s="25"/>
      <c r="F1174" s="22"/>
      <c r="G1174" s="25"/>
      <c r="H1174" s="22"/>
      <c r="I1174" s="25"/>
      <c r="J1174" s="22"/>
    </row>
    <row r="1175" ht="15.75" customHeight="1">
      <c r="A1175" s="25"/>
      <c r="B1175" s="22"/>
      <c r="C1175" s="25"/>
      <c r="D1175" s="22"/>
      <c r="E1175" s="25"/>
      <c r="F1175" s="22"/>
      <c r="G1175" s="25"/>
      <c r="H1175" s="22"/>
      <c r="I1175" s="25"/>
      <c r="J1175" s="22"/>
    </row>
    <row r="1176" ht="15.75" customHeight="1">
      <c r="A1176" s="25"/>
      <c r="B1176" s="22"/>
      <c r="C1176" s="25"/>
      <c r="D1176" s="22"/>
      <c r="E1176" s="25"/>
      <c r="F1176" s="22"/>
      <c r="G1176" s="25"/>
      <c r="H1176" s="22"/>
      <c r="I1176" s="25"/>
      <c r="J1176" s="22"/>
    </row>
    <row r="1177" ht="15.75" customHeight="1">
      <c r="A1177" s="25"/>
      <c r="B1177" s="22"/>
      <c r="C1177" s="25"/>
      <c r="D1177" s="22"/>
      <c r="E1177" s="25"/>
      <c r="F1177" s="22"/>
      <c r="G1177" s="25"/>
      <c r="H1177" s="22"/>
      <c r="I1177" s="25"/>
      <c r="J1177" s="22"/>
    </row>
    <row r="1178" ht="15.75" customHeight="1">
      <c r="A1178" s="25"/>
      <c r="B1178" s="22"/>
      <c r="C1178" s="25"/>
      <c r="D1178" s="22"/>
      <c r="E1178" s="25"/>
      <c r="F1178" s="22"/>
      <c r="G1178" s="25"/>
      <c r="H1178" s="22"/>
      <c r="I1178" s="25"/>
      <c r="J1178" s="22"/>
    </row>
    <row r="1179" ht="15.75" customHeight="1">
      <c r="A1179" s="25"/>
      <c r="B1179" s="22"/>
      <c r="C1179" s="25"/>
      <c r="D1179" s="22"/>
      <c r="E1179" s="25"/>
      <c r="F1179" s="22"/>
      <c r="G1179" s="25"/>
      <c r="H1179" s="22"/>
      <c r="I1179" s="25"/>
      <c r="J1179" s="22"/>
    </row>
    <row r="1180" ht="15.75" customHeight="1">
      <c r="A1180" s="25"/>
      <c r="B1180" s="22"/>
      <c r="C1180" s="25"/>
      <c r="D1180" s="22"/>
      <c r="E1180" s="25"/>
      <c r="F1180" s="22"/>
      <c r="G1180" s="25"/>
      <c r="H1180" s="22"/>
      <c r="I1180" s="25"/>
      <c r="J1180" s="22"/>
    </row>
    <row r="1181" ht="15.75" customHeight="1">
      <c r="A1181" s="25"/>
      <c r="B1181" s="22"/>
      <c r="C1181" s="25"/>
      <c r="D1181" s="22"/>
      <c r="E1181" s="25"/>
      <c r="F1181" s="22"/>
      <c r="G1181" s="25"/>
      <c r="H1181" s="22"/>
      <c r="I1181" s="25"/>
      <c r="J1181" s="22"/>
    </row>
    <row r="1182" ht="15.75" customHeight="1">
      <c r="A1182" s="25"/>
      <c r="B1182" s="22"/>
      <c r="C1182" s="25"/>
      <c r="D1182" s="22"/>
      <c r="E1182" s="25"/>
      <c r="F1182" s="22"/>
      <c r="G1182" s="25"/>
      <c r="H1182" s="22"/>
      <c r="I1182" s="25"/>
      <c r="J1182" s="22"/>
    </row>
    <row r="1183" ht="15.75" customHeight="1">
      <c r="A1183" s="25"/>
      <c r="B1183" s="22"/>
      <c r="C1183" s="25"/>
      <c r="D1183" s="22"/>
      <c r="E1183" s="25"/>
      <c r="F1183" s="22"/>
      <c r="G1183" s="25"/>
      <c r="H1183" s="22"/>
      <c r="I1183" s="25"/>
      <c r="J1183" s="22"/>
    </row>
    <row r="1184" ht="15.75" customHeight="1">
      <c r="A1184" s="25"/>
      <c r="B1184" s="22"/>
      <c r="C1184" s="25"/>
      <c r="D1184" s="22"/>
      <c r="E1184" s="25"/>
      <c r="F1184" s="22"/>
      <c r="G1184" s="25"/>
      <c r="H1184" s="22"/>
      <c r="I1184" s="25"/>
      <c r="J1184" s="22"/>
    </row>
    <row r="1185" ht="15.75" customHeight="1">
      <c r="A1185" s="25"/>
      <c r="B1185" s="22"/>
      <c r="C1185" s="25"/>
      <c r="D1185" s="22"/>
      <c r="E1185" s="25"/>
      <c r="F1185" s="22"/>
      <c r="G1185" s="25"/>
      <c r="H1185" s="22"/>
      <c r="I1185" s="25"/>
      <c r="J1185" s="22"/>
    </row>
    <row r="1186" ht="15.75" customHeight="1">
      <c r="A1186" s="25"/>
      <c r="B1186" s="22"/>
      <c r="C1186" s="25"/>
      <c r="D1186" s="22"/>
      <c r="E1186" s="25"/>
      <c r="F1186" s="22"/>
      <c r="G1186" s="25"/>
      <c r="H1186" s="22"/>
      <c r="I1186" s="25"/>
      <c r="J1186" s="22"/>
    </row>
    <row r="1187" ht="15.75" customHeight="1">
      <c r="A1187" s="25"/>
      <c r="B1187" s="22"/>
      <c r="C1187" s="25"/>
      <c r="D1187" s="22"/>
      <c r="E1187" s="25"/>
      <c r="F1187" s="22"/>
      <c r="G1187" s="25"/>
      <c r="H1187" s="22"/>
      <c r="I1187" s="25"/>
      <c r="J1187" s="22"/>
    </row>
    <row r="1188" ht="15.75" customHeight="1">
      <c r="A1188" s="25"/>
      <c r="B1188" s="22"/>
      <c r="C1188" s="25"/>
      <c r="D1188" s="22"/>
      <c r="E1188" s="25"/>
      <c r="F1188" s="22"/>
      <c r="G1188" s="25"/>
      <c r="H1188" s="22"/>
      <c r="I1188" s="25"/>
      <c r="J1188" s="22"/>
    </row>
    <row r="1189" ht="15.75" customHeight="1">
      <c r="A1189" s="25"/>
      <c r="B1189" s="22"/>
      <c r="C1189" s="25"/>
      <c r="D1189" s="22"/>
      <c r="E1189" s="25"/>
      <c r="F1189" s="22"/>
      <c r="G1189" s="25"/>
      <c r="H1189" s="22"/>
      <c r="I1189" s="25"/>
      <c r="J1189" s="22"/>
    </row>
    <row r="1190" ht="15.75" customHeight="1">
      <c r="A1190" s="25"/>
      <c r="B1190" s="22"/>
      <c r="C1190" s="25"/>
      <c r="D1190" s="22"/>
      <c r="E1190" s="25"/>
      <c r="F1190" s="22"/>
      <c r="G1190" s="25"/>
      <c r="H1190" s="22"/>
      <c r="I1190" s="25"/>
      <c r="J1190" s="22"/>
    </row>
    <row r="1191" ht="15.75" customHeight="1">
      <c r="A1191" s="25"/>
      <c r="B1191" s="22"/>
      <c r="C1191" s="25"/>
      <c r="D1191" s="22"/>
      <c r="E1191" s="25"/>
      <c r="F1191" s="22"/>
      <c r="G1191" s="25"/>
      <c r="H1191" s="22"/>
      <c r="I1191" s="25"/>
      <c r="J1191" s="22"/>
    </row>
    <row r="1192" ht="15.75" customHeight="1">
      <c r="A1192" s="25"/>
      <c r="B1192" s="22"/>
      <c r="C1192" s="25"/>
      <c r="D1192" s="22"/>
      <c r="E1192" s="25"/>
      <c r="F1192" s="22"/>
      <c r="G1192" s="25"/>
      <c r="H1192" s="22"/>
      <c r="I1192" s="25"/>
      <c r="J1192" s="22"/>
    </row>
    <row r="1193" ht="15.75" customHeight="1">
      <c r="A1193" s="25"/>
      <c r="B1193" s="22"/>
      <c r="C1193" s="25"/>
      <c r="D1193" s="22"/>
      <c r="E1193" s="25"/>
      <c r="F1193" s="22"/>
      <c r="G1193" s="25"/>
      <c r="H1193" s="22"/>
      <c r="I1193" s="25"/>
      <c r="J1193" s="22"/>
    </row>
    <row r="1194" ht="15.75" customHeight="1">
      <c r="A1194" s="25"/>
      <c r="B1194" s="22"/>
      <c r="C1194" s="25"/>
      <c r="D1194" s="22"/>
      <c r="E1194" s="25"/>
      <c r="F1194" s="22"/>
      <c r="G1194" s="25"/>
      <c r="H1194" s="22"/>
      <c r="I1194" s="25"/>
      <c r="J1194" s="22"/>
    </row>
    <row r="1195" ht="15.75" customHeight="1">
      <c r="A1195" s="25"/>
      <c r="B1195" s="22"/>
      <c r="C1195" s="25"/>
      <c r="D1195" s="22"/>
      <c r="E1195" s="25"/>
      <c r="F1195" s="22"/>
      <c r="G1195" s="25"/>
      <c r="H1195" s="22"/>
      <c r="I1195" s="25"/>
      <c r="J1195" s="22"/>
    </row>
    <row r="1196" ht="15.75" customHeight="1">
      <c r="A1196" s="25"/>
      <c r="B1196" s="22"/>
      <c r="C1196" s="25"/>
      <c r="D1196" s="22"/>
      <c r="E1196" s="25"/>
      <c r="F1196" s="22"/>
      <c r="G1196" s="25"/>
      <c r="H1196" s="22"/>
      <c r="I1196" s="25"/>
      <c r="J1196" s="22"/>
    </row>
    <row r="1197" ht="15.75" customHeight="1">
      <c r="A1197" s="25"/>
      <c r="B1197" s="22"/>
      <c r="C1197" s="25"/>
      <c r="D1197" s="22"/>
      <c r="E1197" s="25"/>
      <c r="F1197" s="22"/>
      <c r="G1197" s="25"/>
      <c r="H1197" s="22"/>
      <c r="I1197" s="25"/>
      <c r="J1197" s="22"/>
    </row>
    <row r="1198" ht="15.75" customHeight="1">
      <c r="A1198" s="25"/>
      <c r="B1198" s="22"/>
      <c r="C1198" s="25"/>
      <c r="D1198" s="22"/>
      <c r="E1198" s="25"/>
      <c r="F1198" s="22"/>
      <c r="G1198" s="25"/>
      <c r="H1198" s="22"/>
      <c r="I1198" s="25"/>
      <c r="J1198" s="22"/>
    </row>
    <row r="1199" ht="15.75" customHeight="1">
      <c r="A1199" s="25"/>
      <c r="B1199" s="22"/>
      <c r="C1199" s="25"/>
      <c r="D1199" s="22"/>
      <c r="E1199" s="25"/>
      <c r="F1199" s="22"/>
      <c r="G1199" s="25"/>
      <c r="H1199" s="22"/>
      <c r="I1199" s="25"/>
      <c r="J1199" s="22"/>
    </row>
    <row r="1200" ht="15.75" customHeight="1">
      <c r="A1200" s="25"/>
      <c r="B1200" s="22"/>
      <c r="C1200" s="25"/>
      <c r="D1200" s="22"/>
      <c r="E1200" s="25"/>
      <c r="F1200" s="22"/>
      <c r="G1200" s="25"/>
      <c r="H1200" s="22"/>
      <c r="I1200" s="25"/>
      <c r="J1200" s="22"/>
    </row>
    <row r="1201" ht="15.75" customHeight="1">
      <c r="A1201" s="25"/>
      <c r="B1201" s="22"/>
      <c r="C1201" s="25"/>
      <c r="D1201" s="22"/>
      <c r="E1201" s="25"/>
      <c r="F1201" s="22"/>
      <c r="G1201" s="25"/>
      <c r="H1201" s="22"/>
      <c r="I1201" s="25"/>
      <c r="J1201" s="22"/>
    </row>
    <row r="1202" ht="15.75" customHeight="1">
      <c r="A1202" s="25"/>
      <c r="B1202" s="22"/>
      <c r="C1202" s="25"/>
      <c r="D1202" s="22"/>
      <c r="E1202" s="25"/>
      <c r="F1202" s="22"/>
      <c r="G1202" s="25"/>
      <c r="H1202" s="22"/>
      <c r="I1202" s="25"/>
      <c r="J1202" s="22"/>
    </row>
    <row r="1203" ht="15.75" customHeight="1">
      <c r="A1203" s="25"/>
      <c r="B1203" s="22"/>
      <c r="C1203" s="25"/>
      <c r="D1203" s="22"/>
      <c r="E1203" s="25"/>
      <c r="F1203" s="22"/>
      <c r="G1203" s="25"/>
      <c r="H1203" s="22"/>
      <c r="I1203" s="25"/>
      <c r="J1203" s="22"/>
    </row>
    <row r="1204" ht="15.75" customHeight="1">
      <c r="A1204" s="25"/>
      <c r="B1204" s="22"/>
      <c r="C1204" s="25"/>
      <c r="D1204" s="22"/>
      <c r="E1204" s="25"/>
      <c r="F1204" s="22"/>
      <c r="G1204" s="25"/>
      <c r="H1204" s="22"/>
      <c r="I1204" s="25"/>
      <c r="J1204" s="22"/>
    </row>
    <row r="1205" ht="15.75" customHeight="1">
      <c r="A1205" s="25"/>
      <c r="B1205" s="22"/>
      <c r="C1205" s="25"/>
      <c r="D1205" s="22"/>
      <c r="E1205" s="25"/>
      <c r="F1205" s="22"/>
      <c r="G1205" s="25"/>
      <c r="H1205" s="22"/>
      <c r="I1205" s="25"/>
      <c r="J1205" s="22"/>
    </row>
    <row r="1206" ht="15.75" customHeight="1">
      <c r="A1206" s="25"/>
      <c r="B1206" s="22"/>
      <c r="C1206" s="25"/>
      <c r="D1206" s="22"/>
      <c r="E1206" s="25"/>
      <c r="F1206" s="22"/>
      <c r="G1206" s="25"/>
      <c r="H1206" s="22"/>
      <c r="I1206" s="25"/>
      <c r="J1206" s="22"/>
    </row>
    <row r="1207" ht="15.75" customHeight="1">
      <c r="A1207" s="25"/>
      <c r="B1207" s="22"/>
      <c r="C1207" s="25"/>
      <c r="D1207" s="22"/>
      <c r="E1207" s="25"/>
      <c r="F1207" s="22"/>
      <c r="G1207" s="25"/>
      <c r="H1207" s="22"/>
      <c r="I1207" s="25"/>
      <c r="J1207" s="22"/>
    </row>
    <row r="1208" ht="15.75" customHeight="1">
      <c r="A1208" s="25"/>
      <c r="B1208" s="22"/>
      <c r="C1208" s="25"/>
      <c r="D1208" s="22"/>
      <c r="E1208" s="25"/>
      <c r="F1208" s="22"/>
      <c r="G1208" s="25"/>
      <c r="H1208" s="22"/>
      <c r="I1208" s="25"/>
      <c r="J1208" s="22"/>
    </row>
    <row r="1209" ht="15.75" customHeight="1">
      <c r="A1209" s="25"/>
      <c r="B1209" s="22"/>
      <c r="C1209" s="25"/>
      <c r="D1209" s="22"/>
      <c r="E1209" s="25"/>
      <c r="F1209" s="22"/>
      <c r="G1209" s="25"/>
      <c r="H1209" s="22"/>
      <c r="I1209" s="25"/>
      <c r="J1209" s="22"/>
    </row>
    <row r="1210" ht="15.75" customHeight="1">
      <c r="A1210" s="25"/>
      <c r="B1210" s="22"/>
      <c r="C1210" s="25"/>
      <c r="D1210" s="22"/>
      <c r="E1210" s="25"/>
      <c r="F1210" s="22"/>
      <c r="G1210" s="25"/>
      <c r="H1210" s="22"/>
      <c r="I1210" s="25"/>
      <c r="J1210" s="22"/>
    </row>
    <row r="1211" ht="15.75" customHeight="1">
      <c r="A1211" s="25"/>
      <c r="B1211" s="22"/>
      <c r="C1211" s="25"/>
      <c r="D1211" s="22"/>
      <c r="E1211" s="25"/>
      <c r="F1211" s="22"/>
      <c r="G1211" s="25"/>
      <c r="H1211" s="22"/>
      <c r="I1211" s="25"/>
      <c r="J1211" s="22"/>
    </row>
    <row r="1212" ht="15.75" customHeight="1">
      <c r="A1212" s="25"/>
      <c r="B1212" s="22"/>
      <c r="C1212" s="25"/>
      <c r="D1212" s="22"/>
      <c r="E1212" s="25"/>
      <c r="F1212" s="22"/>
      <c r="G1212" s="25"/>
      <c r="H1212" s="22"/>
      <c r="I1212" s="25"/>
      <c r="J1212" s="22"/>
    </row>
    <row r="1213" ht="15.75" customHeight="1">
      <c r="A1213" s="25"/>
      <c r="B1213" s="22"/>
      <c r="C1213" s="25"/>
      <c r="D1213" s="22"/>
      <c r="E1213" s="25"/>
      <c r="F1213" s="22"/>
      <c r="G1213" s="25"/>
      <c r="H1213" s="22"/>
      <c r="I1213" s="25"/>
      <c r="J1213" s="22"/>
    </row>
    <row r="1214" ht="15.75" customHeight="1">
      <c r="A1214" s="25"/>
      <c r="B1214" s="22"/>
      <c r="C1214" s="25"/>
      <c r="D1214" s="22"/>
      <c r="E1214" s="25"/>
      <c r="F1214" s="22"/>
      <c r="G1214" s="25"/>
      <c r="H1214" s="22"/>
      <c r="I1214" s="25"/>
      <c r="J1214" s="22"/>
    </row>
    <row r="1215" ht="15.75" customHeight="1">
      <c r="A1215" s="25"/>
      <c r="B1215" s="22"/>
      <c r="C1215" s="25"/>
      <c r="D1215" s="22"/>
      <c r="E1215" s="25"/>
      <c r="F1215" s="22"/>
      <c r="G1215" s="25"/>
      <c r="H1215" s="22"/>
      <c r="I1215" s="25"/>
      <c r="J1215" s="22"/>
    </row>
    <row r="1216" ht="15.75" customHeight="1">
      <c r="A1216" s="25"/>
      <c r="B1216" s="22"/>
      <c r="C1216" s="25"/>
      <c r="D1216" s="22"/>
      <c r="E1216" s="25"/>
      <c r="F1216" s="22"/>
      <c r="G1216" s="25"/>
      <c r="H1216" s="22"/>
      <c r="I1216" s="25"/>
      <c r="J1216" s="22"/>
    </row>
    <row r="1217" ht="15.75" customHeight="1">
      <c r="A1217" s="25"/>
      <c r="B1217" s="22"/>
      <c r="C1217" s="25"/>
      <c r="D1217" s="22"/>
      <c r="E1217" s="25"/>
      <c r="F1217" s="22"/>
      <c r="G1217" s="25"/>
      <c r="H1217" s="22"/>
      <c r="I1217" s="25"/>
      <c r="J1217" s="22"/>
    </row>
    <row r="1218" ht="15.75" customHeight="1">
      <c r="A1218" s="25"/>
      <c r="B1218" s="22"/>
      <c r="C1218" s="25"/>
      <c r="D1218" s="22"/>
      <c r="E1218" s="25"/>
      <c r="F1218" s="22"/>
      <c r="G1218" s="25"/>
      <c r="H1218" s="22"/>
      <c r="I1218" s="25"/>
      <c r="J1218" s="22"/>
    </row>
    <row r="1219" ht="15.75" customHeight="1">
      <c r="A1219" s="25"/>
      <c r="B1219" s="22"/>
      <c r="C1219" s="25"/>
      <c r="D1219" s="22"/>
      <c r="E1219" s="25"/>
      <c r="F1219" s="22"/>
      <c r="G1219" s="25"/>
      <c r="H1219" s="22"/>
      <c r="I1219" s="25"/>
      <c r="J1219" s="22"/>
    </row>
    <row r="1220" ht="15.75" customHeight="1">
      <c r="A1220" s="25"/>
      <c r="B1220" s="22"/>
      <c r="C1220" s="25"/>
      <c r="D1220" s="22"/>
      <c r="E1220" s="25"/>
      <c r="F1220" s="22"/>
      <c r="G1220" s="25"/>
      <c r="H1220" s="22"/>
      <c r="I1220" s="25"/>
      <c r="J1220" s="22"/>
    </row>
    <row r="1221" ht="15.75" customHeight="1">
      <c r="A1221" s="25"/>
      <c r="B1221" s="22"/>
      <c r="C1221" s="25"/>
      <c r="D1221" s="22"/>
      <c r="E1221" s="25"/>
      <c r="F1221" s="22"/>
      <c r="G1221" s="25"/>
      <c r="H1221" s="22"/>
      <c r="I1221" s="25"/>
      <c r="J1221" s="22"/>
    </row>
    <row r="1222" ht="15.75" customHeight="1">
      <c r="A1222" s="25"/>
      <c r="B1222" s="22"/>
      <c r="C1222" s="25"/>
      <c r="D1222" s="22"/>
      <c r="E1222" s="25"/>
      <c r="F1222" s="22"/>
      <c r="G1222" s="25"/>
      <c r="H1222" s="22"/>
      <c r="I1222" s="25"/>
      <c r="J1222" s="22"/>
    </row>
    <row r="1223" ht="15.75" customHeight="1">
      <c r="A1223" s="25"/>
      <c r="B1223" s="22"/>
      <c r="C1223" s="25"/>
      <c r="D1223" s="22"/>
      <c r="E1223" s="25"/>
      <c r="F1223" s="22"/>
      <c r="G1223" s="25"/>
      <c r="H1223" s="22"/>
      <c r="I1223" s="25"/>
      <c r="J1223" s="22"/>
    </row>
    <row r="1224" ht="15.75" customHeight="1">
      <c r="A1224" s="25"/>
      <c r="B1224" s="22"/>
      <c r="C1224" s="25"/>
      <c r="D1224" s="22"/>
      <c r="E1224" s="25"/>
      <c r="F1224" s="22"/>
      <c r="G1224" s="25"/>
      <c r="H1224" s="22"/>
      <c r="I1224" s="25"/>
      <c r="J1224" s="22"/>
    </row>
    <row r="1225" ht="15.75" customHeight="1">
      <c r="A1225" s="25"/>
      <c r="B1225" s="22"/>
      <c r="C1225" s="25"/>
      <c r="D1225" s="22"/>
      <c r="E1225" s="25"/>
      <c r="F1225" s="22"/>
      <c r="G1225" s="25"/>
      <c r="H1225" s="22"/>
      <c r="I1225" s="25"/>
      <c r="J1225" s="22"/>
    </row>
    <row r="1226" ht="15.75" customHeight="1">
      <c r="A1226" s="25"/>
      <c r="B1226" s="22"/>
      <c r="C1226" s="25"/>
      <c r="D1226" s="22"/>
      <c r="E1226" s="25"/>
      <c r="F1226" s="22"/>
      <c r="G1226" s="25"/>
      <c r="H1226" s="22"/>
      <c r="I1226" s="25"/>
      <c r="J1226" s="22"/>
    </row>
    <row r="1227" ht="15.75" customHeight="1">
      <c r="A1227" s="25"/>
      <c r="B1227" s="22"/>
      <c r="C1227" s="25"/>
      <c r="D1227" s="22"/>
      <c r="E1227" s="25"/>
      <c r="F1227" s="22"/>
      <c r="G1227" s="25"/>
      <c r="H1227" s="22"/>
      <c r="I1227" s="25"/>
      <c r="J1227" s="22"/>
    </row>
    <row r="1228" ht="15.75" customHeight="1">
      <c r="A1228" s="25"/>
      <c r="B1228" s="22"/>
      <c r="C1228" s="25"/>
      <c r="D1228" s="22"/>
      <c r="E1228" s="25"/>
      <c r="F1228" s="22"/>
      <c r="G1228" s="25"/>
      <c r="H1228" s="22"/>
      <c r="I1228" s="25"/>
      <c r="J1228" s="22"/>
    </row>
    <row r="1229" ht="15.75" customHeight="1">
      <c r="A1229" s="25"/>
      <c r="B1229" s="22"/>
      <c r="C1229" s="25"/>
      <c r="D1229" s="22"/>
      <c r="E1229" s="25"/>
      <c r="F1229" s="22"/>
      <c r="G1229" s="25"/>
      <c r="H1229" s="22"/>
      <c r="I1229" s="25"/>
      <c r="J1229" s="22"/>
    </row>
    <row r="1230" ht="15.75" customHeight="1">
      <c r="A1230" s="25"/>
      <c r="B1230" s="22"/>
      <c r="C1230" s="25"/>
      <c r="D1230" s="22"/>
      <c r="E1230" s="25"/>
      <c r="F1230" s="22"/>
      <c r="G1230" s="25"/>
      <c r="H1230" s="22"/>
      <c r="I1230" s="25"/>
      <c r="J1230" s="22"/>
    </row>
    <row r="1231" ht="15.75" customHeight="1">
      <c r="A1231" s="25"/>
      <c r="B1231" s="22"/>
      <c r="C1231" s="25"/>
      <c r="D1231" s="22"/>
      <c r="E1231" s="25"/>
      <c r="F1231" s="22"/>
      <c r="G1231" s="25"/>
      <c r="H1231" s="22"/>
      <c r="I1231" s="25"/>
      <c r="J1231" s="22"/>
    </row>
    <row r="1232" ht="15.75" customHeight="1">
      <c r="A1232" s="25"/>
      <c r="B1232" s="22"/>
      <c r="C1232" s="25"/>
      <c r="D1232" s="22"/>
      <c r="E1232" s="25"/>
      <c r="F1232" s="22"/>
      <c r="G1232" s="25"/>
      <c r="H1232" s="22"/>
      <c r="I1232" s="25"/>
      <c r="J1232" s="22"/>
    </row>
    <row r="1233" ht="15.75" customHeight="1">
      <c r="A1233" s="25"/>
      <c r="B1233" s="22"/>
      <c r="C1233" s="25"/>
      <c r="D1233" s="22"/>
      <c r="E1233" s="25"/>
      <c r="F1233" s="22"/>
      <c r="G1233" s="25"/>
      <c r="H1233" s="22"/>
      <c r="I1233" s="25"/>
      <c r="J1233" s="22"/>
    </row>
    <row r="1234" ht="15.75" customHeight="1">
      <c r="A1234" s="25"/>
      <c r="B1234" s="22"/>
      <c r="C1234" s="25"/>
      <c r="D1234" s="22"/>
      <c r="E1234" s="25"/>
      <c r="F1234" s="22"/>
      <c r="G1234" s="25"/>
      <c r="H1234" s="22"/>
      <c r="I1234" s="25"/>
      <c r="J1234" s="22"/>
    </row>
    <row r="1235" ht="15.75" customHeight="1">
      <c r="A1235" s="25"/>
      <c r="B1235" s="22"/>
      <c r="C1235" s="25"/>
      <c r="D1235" s="22"/>
      <c r="E1235" s="25"/>
      <c r="F1235" s="22"/>
      <c r="G1235" s="25"/>
      <c r="H1235" s="22"/>
      <c r="I1235" s="25"/>
      <c r="J1235" s="22"/>
    </row>
    <row r="1236" ht="15.75" customHeight="1">
      <c r="A1236" s="25"/>
      <c r="B1236" s="22"/>
      <c r="C1236" s="25"/>
      <c r="D1236" s="22"/>
      <c r="E1236" s="25"/>
      <c r="F1236" s="22"/>
      <c r="G1236" s="25"/>
      <c r="H1236" s="22"/>
      <c r="I1236" s="25"/>
      <c r="J1236" s="22"/>
    </row>
    <row r="1237" ht="15.75" customHeight="1">
      <c r="A1237" s="25"/>
      <c r="B1237" s="22"/>
      <c r="C1237" s="25"/>
      <c r="D1237" s="22"/>
      <c r="E1237" s="25"/>
      <c r="F1237" s="22"/>
      <c r="G1237" s="25"/>
      <c r="H1237" s="22"/>
      <c r="I1237" s="25"/>
      <c r="J1237" s="22"/>
    </row>
    <row r="1238" ht="15.75" customHeight="1">
      <c r="A1238" s="25"/>
      <c r="B1238" s="22"/>
      <c r="C1238" s="25"/>
      <c r="D1238" s="22"/>
      <c r="E1238" s="25"/>
      <c r="F1238" s="22"/>
      <c r="G1238" s="25"/>
      <c r="H1238" s="22"/>
      <c r="I1238" s="25"/>
      <c r="J1238" s="22"/>
    </row>
    <row r="1239" ht="15.75" customHeight="1">
      <c r="A1239" s="25"/>
      <c r="B1239" s="22"/>
      <c r="C1239" s="25"/>
      <c r="D1239" s="22"/>
      <c r="E1239" s="25"/>
      <c r="F1239" s="22"/>
      <c r="G1239" s="25"/>
      <c r="H1239" s="22"/>
      <c r="I1239" s="25"/>
      <c r="J1239" s="22"/>
    </row>
    <row r="1240" ht="15.75" customHeight="1">
      <c r="A1240" s="25"/>
      <c r="B1240" s="22"/>
      <c r="C1240" s="25"/>
      <c r="D1240" s="22"/>
      <c r="E1240" s="25"/>
      <c r="F1240" s="22"/>
      <c r="G1240" s="25"/>
      <c r="H1240" s="22"/>
      <c r="I1240" s="25"/>
      <c r="J1240" s="22"/>
    </row>
    <row r="1241" ht="15.75" customHeight="1">
      <c r="A1241" s="25"/>
      <c r="B1241" s="22"/>
      <c r="C1241" s="25"/>
      <c r="D1241" s="22"/>
      <c r="E1241" s="25"/>
      <c r="F1241" s="22"/>
      <c r="G1241" s="25"/>
      <c r="H1241" s="22"/>
      <c r="I1241" s="25"/>
      <c r="J1241" s="22"/>
    </row>
    <row r="1242" ht="15.75" customHeight="1">
      <c r="A1242" s="25"/>
      <c r="B1242" s="22"/>
      <c r="C1242" s="25"/>
      <c r="D1242" s="22"/>
      <c r="E1242" s="25"/>
      <c r="F1242" s="22"/>
      <c r="G1242" s="25"/>
      <c r="H1242" s="22"/>
      <c r="I1242" s="25"/>
      <c r="J1242" s="22"/>
    </row>
    <row r="1243" ht="15.75" customHeight="1">
      <c r="A1243" s="25"/>
      <c r="B1243" s="22"/>
      <c r="C1243" s="25"/>
      <c r="D1243" s="22"/>
      <c r="E1243" s="25"/>
      <c r="F1243" s="22"/>
      <c r="G1243" s="25"/>
      <c r="H1243" s="22"/>
      <c r="I1243" s="25"/>
      <c r="J1243" s="22"/>
    </row>
    <row r="1244" ht="15.75" customHeight="1">
      <c r="A1244" s="25"/>
      <c r="B1244" s="22"/>
      <c r="C1244" s="25"/>
      <c r="D1244" s="22"/>
      <c r="E1244" s="25"/>
      <c r="F1244" s="22"/>
      <c r="G1244" s="25"/>
      <c r="H1244" s="22"/>
      <c r="I1244" s="25"/>
      <c r="J1244" s="22"/>
    </row>
    <row r="1245" ht="15.75" customHeight="1">
      <c r="A1245" s="25"/>
      <c r="B1245" s="22"/>
      <c r="C1245" s="25"/>
      <c r="D1245" s="22"/>
      <c r="E1245" s="25"/>
      <c r="F1245" s="22"/>
      <c r="G1245" s="25"/>
      <c r="H1245" s="22"/>
      <c r="I1245" s="25"/>
      <c r="J1245" s="22"/>
    </row>
    <row r="1246" ht="15.75" customHeight="1">
      <c r="A1246" s="25"/>
      <c r="B1246" s="22"/>
      <c r="C1246" s="25"/>
      <c r="D1246" s="22"/>
      <c r="E1246" s="25"/>
      <c r="F1246" s="22"/>
      <c r="G1246" s="25"/>
      <c r="H1246" s="22"/>
      <c r="I1246" s="25"/>
      <c r="J1246" s="22"/>
    </row>
    <row r="1247" ht="15.75" customHeight="1">
      <c r="A1247" s="25"/>
      <c r="B1247" s="22"/>
      <c r="C1247" s="25"/>
      <c r="D1247" s="22"/>
      <c r="E1247" s="25"/>
      <c r="F1247" s="22"/>
      <c r="G1247" s="25"/>
      <c r="H1247" s="22"/>
      <c r="I1247" s="25"/>
      <c r="J1247" s="22"/>
    </row>
    <row r="1248" ht="15.75" customHeight="1">
      <c r="A1248" s="25"/>
      <c r="B1248" s="22"/>
      <c r="C1248" s="25"/>
      <c r="D1248" s="22"/>
      <c r="E1248" s="25"/>
      <c r="F1248" s="22"/>
      <c r="G1248" s="25"/>
      <c r="H1248" s="22"/>
      <c r="I1248" s="25"/>
      <c r="J1248" s="22"/>
    </row>
    <row r="1249" ht="15.75" customHeight="1">
      <c r="A1249" s="25"/>
      <c r="B1249" s="22"/>
      <c r="C1249" s="25"/>
      <c r="D1249" s="22"/>
      <c r="E1249" s="25"/>
      <c r="F1249" s="22"/>
      <c r="G1249" s="25"/>
      <c r="H1249" s="22"/>
      <c r="I1249" s="25"/>
      <c r="J1249" s="22"/>
    </row>
    <row r="1250" ht="15.75" customHeight="1">
      <c r="A1250" s="25"/>
      <c r="B1250" s="22"/>
      <c r="C1250" s="25"/>
      <c r="D1250" s="22"/>
      <c r="E1250" s="25"/>
      <c r="F1250" s="22"/>
      <c r="G1250" s="25"/>
      <c r="H1250" s="22"/>
      <c r="I1250" s="25"/>
      <c r="J1250" s="22"/>
    </row>
    <row r="1251" ht="15.75" customHeight="1">
      <c r="A1251" s="25"/>
      <c r="B1251" s="22"/>
      <c r="C1251" s="25"/>
      <c r="D1251" s="22"/>
      <c r="E1251" s="25"/>
      <c r="F1251" s="22"/>
      <c r="G1251" s="25"/>
      <c r="H1251" s="22"/>
      <c r="I1251" s="25"/>
      <c r="J1251" s="22"/>
    </row>
    <row r="1252" ht="15.75" customHeight="1">
      <c r="A1252" s="25"/>
      <c r="B1252" s="22"/>
      <c r="C1252" s="25"/>
      <c r="D1252" s="22"/>
      <c r="E1252" s="25"/>
      <c r="F1252" s="22"/>
      <c r="G1252" s="25"/>
      <c r="H1252" s="22"/>
      <c r="I1252" s="25"/>
      <c r="J1252" s="22"/>
    </row>
    <row r="1253" ht="15.75" customHeight="1">
      <c r="A1253" s="25"/>
      <c r="B1253" s="22"/>
      <c r="C1253" s="25"/>
      <c r="D1253" s="22"/>
      <c r="E1253" s="25"/>
      <c r="F1253" s="22"/>
      <c r="G1253" s="25"/>
      <c r="H1253" s="22"/>
      <c r="I1253" s="25"/>
      <c r="J1253" s="22"/>
    </row>
    <row r="1254" ht="15.75" customHeight="1">
      <c r="A1254" s="25"/>
      <c r="B1254" s="22"/>
      <c r="C1254" s="25"/>
      <c r="D1254" s="22"/>
      <c r="E1254" s="25"/>
      <c r="F1254" s="22"/>
      <c r="G1254" s="25"/>
      <c r="H1254" s="22"/>
      <c r="I1254" s="25"/>
      <c r="J1254" s="22"/>
    </row>
    <row r="1255" ht="15.75" customHeight="1">
      <c r="A1255" s="25"/>
      <c r="B1255" s="22"/>
      <c r="C1255" s="25"/>
      <c r="D1255" s="22"/>
      <c r="E1255" s="25"/>
      <c r="F1255" s="22"/>
      <c r="G1255" s="25"/>
      <c r="H1255" s="22"/>
      <c r="I1255" s="25"/>
      <c r="J1255" s="22"/>
    </row>
    <row r="1256" ht="15.75" customHeight="1">
      <c r="A1256" s="25"/>
      <c r="B1256" s="22"/>
      <c r="C1256" s="25"/>
      <c r="D1256" s="22"/>
      <c r="E1256" s="25"/>
      <c r="F1256" s="22"/>
      <c r="G1256" s="25"/>
      <c r="H1256" s="22"/>
      <c r="I1256" s="25"/>
      <c r="J1256" s="22"/>
    </row>
    <row r="1257" ht="15.75" customHeight="1">
      <c r="A1257" s="25"/>
      <c r="B1257" s="22"/>
      <c r="C1257" s="25"/>
      <c r="D1257" s="22"/>
      <c r="E1257" s="25"/>
      <c r="F1257" s="22"/>
      <c r="G1257" s="25"/>
      <c r="H1257" s="22"/>
      <c r="I1257" s="25"/>
      <c r="J1257" s="22"/>
    </row>
    <row r="1258" ht="15.75" customHeight="1">
      <c r="A1258" s="25"/>
      <c r="B1258" s="22"/>
      <c r="C1258" s="25"/>
      <c r="D1258" s="22"/>
      <c r="E1258" s="25"/>
      <c r="F1258" s="22"/>
      <c r="G1258" s="25"/>
      <c r="H1258" s="22"/>
      <c r="I1258" s="25"/>
      <c r="J1258" s="22"/>
    </row>
    <row r="1259" ht="15.75" customHeight="1">
      <c r="A1259" s="25"/>
      <c r="B1259" s="22"/>
      <c r="C1259" s="25"/>
      <c r="D1259" s="22"/>
      <c r="E1259" s="25"/>
      <c r="F1259" s="22"/>
      <c r="G1259" s="25"/>
      <c r="H1259" s="22"/>
      <c r="I1259" s="25"/>
      <c r="J1259" s="22"/>
    </row>
    <row r="1260" ht="15.75" customHeight="1">
      <c r="A1260" s="25"/>
      <c r="B1260" s="22"/>
      <c r="C1260" s="25"/>
      <c r="D1260" s="22"/>
      <c r="E1260" s="25"/>
      <c r="F1260" s="22"/>
      <c r="G1260" s="25"/>
      <c r="H1260" s="22"/>
      <c r="I1260" s="25"/>
      <c r="J1260" s="22"/>
    </row>
    <row r="1261" ht="15.75" customHeight="1">
      <c r="A1261" s="25"/>
      <c r="B1261" s="22"/>
      <c r="C1261" s="25"/>
      <c r="D1261" s="22"/>
      <c r="E1261" s="25"/>
      <c r="F1261" s="22"/>
      <c r="G1261" s="25"/>
      <c r="H1261" s="22"/>
      <c r="I1261" s="25"/>
      <c r="J1261" s="22"/>
    </row>
    <row r="1262" ht="15.75" customHeight="1">
      <c r="A1262" s="25"/>
      <c r="B1262" s="22"/>
      <c r="C1262" s="25"/>
      <c r="D1262" s="22"/>
      <c r="E1262" s="25"/>
      <c r="F1262" s="22"/>
      <c r="G1262" s="25"/>
      <c r="H1262" s="22"/>
      <c r="I1262" s="25"/>
      <c r="J1262" s="22"/>
    </row>
    <row r="1263" ht="15.75" customHeight="1">
      <c r="A1263" s="25"/>
      <c r="B1263" s="22"/>
      <c r="C1263" s="25"/>
      <c r="D1263" s="22"/>
      <c r="E1263" s="25"/>
      <c r="F1263" s="22"/>
      <c r="G1263" s="25"/>
      <c r="H1263" s="22"/>
      <c r="I1263" s="25"/>
      <c r="J1263" s="22"/>
    </row>
    <row r="1264" ht="15.75" customHeight="1">
      <c r="A1264" s="25"/>
      <c r="B1264" s="22"/>
      <c r="C1264" s="25"/>
      <c r="D1264" s="22"/>
      <c r="E1264" s="25"/>
      <c r="F1264" s="22"/>
      <c r="G1264" s="25"/>
      <c r="H1264" s="22"/>
      <c r="I1264" s="25"/>
      <c r="J1264" s="22"/>
    </row>
    <row r="1265" ht="15.75" customHeight="1">
      <c r="A1265" s="25"/>
      <c r="B1265" s="22"/>
      <c r="C1265" s="25"/>
      <c r="D1265" s="22"/>
      <c r="E1265" s="25"/>
      <c r="F1265" s="22"/>
      <c r="G1265" s="25"/>
      <c r="H1265" s="22"/>
      <c r="I1265" s="25"/>
      <c r="J1265" s="22"/>
    </row>
    <row r="1266" ht="15.75" customHeight="1">
      <c r="A1266" s="25"/>
      <c r="B1266" s="22"/>
      <c r="C1266" s="25"/>
      <c r="D1266" s="22"/>
      <c r="E1266" s="25"/>
      <c r="F1266" s="22"/>
      <c r="G1266" s="25"/>
      <c r="H1266" s="22"/>
      <c r="I1266" s="25"/>
      <c r="J1266" s="22"/>
    </row>
    <row r="1267" ht="15.75" customHeight="1">
      <c r="A1267" s="25"/>
      <c r="B1267" s="22"/>
      <c r="C1267" s="25"/>
      <c r="D1267" s="22"/>
      <c r="E1267" s="25"/>
      <c r="F1267" s="22"/>
      <c r="G1267" s="25"/>
      <c r="H1267" s="22"/>
      <c r="I1267" s="25"/>
      <c r="J1267" s="22"/>
    </row>
    <row r="1268" ht="15.75" customHeight="1">
      <c r="A1268" s="25"/>
      <c r="B1268" s="22"/>
      <c r="C1268" s="25"/>
      <c r="D1268" s="22"/>
      <c r="E1268" s="25"/>
      <c r="F1268" s="22"/>
      <c r="G1268" s="25"/>
      <c r="H1268" s="22"/>
      <c r="I1268" s="25"/>
      <c r="J1268" s="22"/>
    </row>
    <row r="1269" ht="15.75" customHeight="1">
      <c r="A1269" s="25"/>
      <c r="B1269" s="22"/>
      <c r="C1269" s="25"/>
      <c r="D1269" s="22"/>
      <c r="E1269" s="25"/>
      <c r="F1269" s="22"/>
      <c r="G1269" s="25"/>
      <c r="H1269" s="22"/>
      <c r="I1269" s="25"/>
      <c r="J1269" s="22"/>
    </row>
    <row r="1270" ht="15.75" customHeight="1">
      <c r="A1270" s="25"/>
      <c r="B1270" s="22"/>
      <c r="C1270" s="25"/>
      <c r="D1270" s="22"/>
      <c r="E1270" s="25"/>
      <c r="F1270" s="22"/>
      <c r="G1270" s="25"/>
      <c r="H1270" s="22"/>
      <c r="I1270" s="25"/>
      <c r="J1270" s="22"/>
    </row>
    <row r="1271" ht="15.75" customHeight="1">
      <c r="A1271" s="25"/>
      <c r="B1271" s="22"/>
      <c r="C1271" s="25"/>
      <c r="D1271" s="22"/>
      <c r="E1271" s="25"/>
      <c r="F1271" s="22"/>
      <c r="G1271" s="25"/>
      <c r="H1271" s="22"/>
      <c r="I1271" s="25"/>
      <c r="J1271" s="22"/>
    </row>
    <row r="1272" ht="15.75" customHeight="1">
      <c r="A1272" s="25"/>
      <c r="B1272" s="22"/>
      <c r="C1272" s="25"/>
      <c r="D1272" s="22"/>
      <c r="E1272" s="25"/>
      <c r="F1272" s="22"/>
      <c r="G1272" s="25"/>
      <c r="H1272" s="22"/>
      <c r="I1272" s="25"/>
      <c r="J1272" s="22"/>
    </row>
    <row r="1273" ht="15.75" customHeight="1">
      <c r="A1273" s="25"/>
      <c r="B1273" s="22"/>
      <c r="C1273" s="25"/>
      <c r="D1273" s="22"/>
      <c r="E1273" s="25"/>
      <c r="F1273" s="22"/>
      <c r="G1273" s="25"/>
      <c r="H1273" s="22"/>
      <c r="I1273" s="25"/>
      <c r="J1273" s="22"/>
    </row>
    <row r="1274" ht="15.75" customHeight="1">
      <c r="A1274" s="25"/>
      <c r="B1274" s="22"/>
      <c r="C1274" s="25"/>
      <c r="D1274" s="22"/>
      <c r="E1274" s="25"/>
      <c r="F1274" s="22"/>
      <c r="G1274" s="25"/>
      <c r="H1274" s="22"/>
      <c r="I1274" s="25"/>
      <c r="J1274" s="22"/>
    </row>
    <row r="1275" ht="15.75" customHeight="1">
      <c r="A1275" s="25"/>
      <c r="B1275" s="22"/>
      <c r="C1275" s="25"/>
      <c r="D1275" s="22"/>
      <c r="E1275" s="25"/>
      <c r="F1275" s="22"/>
      <c r="G1275" s="25"/>
      <c r="H1275" s="22"/>
      <c r="I1275" s="25"/>
      <c r="J1275" s="22"/>
    </row>
    <row r="1276" ht="15.75" customHeight="1">
      <c r="A1276" s="25"/>
      <c r="B1276" s="22"/>
      <c r="C1276" s="25"/>
      <c r="D1276" s="22"/>
      <c r="E1276" s="25"/>
      <c r="F1276" s="22"/>
      <c r="G1276" s="25"/>
      <c r="H1276" s="22"/>
      <c r="I1276" s="25"/>
      <c r="J1276" s="22"/>
    </row>
    <row r="1277" ht="15.75" customHeight="1">
      <c r="A1277" s="25"/>
      <c r="B1277" s="22"/>
      <c r="C1277" s="25"/>
      <c r="D1277" s="22"/>
      <c r="E1277" s="25"/>
      <c r="F1277" s="22"/>
      <c r="G1277" s="25"/>
      <c r="H1277" s="22"/>
      <c r="I1277" s="25"/>
      <c r="J1277" s="22"/>
    </row>
    <row r="1278" ht="15.75" customHeight="1">
      <c r="A1278" s="25"/>
      <c r="B1278" s="22"/>
      <c r="C1278" s="25"/>
      <c r="D1278" s="22"/>
      <c r="E1278" s="25"/>
      <c r="F1278" s="22"/>
      <c r="G1278" s="25"/>
      <c r="H1278" s="22"/>
      <c r="I1278" s="25"/>
      <c r="J1278" s="22"/>
    </row>
    <row r="1279" ht="15.75" customHeight="1">
      <c r="A1279" s="25"/>
      <c r="B1279" s="22"/>
      <c r="C1279" s="25"/>
      <c r="D1279" s="22"/>
      <c r="E1279" s="25"/>
      <c r="F1279" s="22"/>
      <c r="G1279" s="25"/>
      <c r="H1279" s="22"/>
      <c r="I1279" s="25"/>
      <c r="J1279" s="22"/>
    </row>
    <row r="1280" ht="15.75" customHeight="1">
      <c r="A1280" s="25"/>
      <c r="B1280" s="22"/>
      <c r="C1280" s="25"/>
      <c r="D1280" s="22"/>
      <c r="E1280" s="25"/>
      <c r="F1280" s="22"/>
      <c r="G1280" s="25"/>
      <c r="H1280" s="22"/>
      <c r="I1280" s="25"/>
      <c r="J1280" s="22"/>
    </row>
    <row r="1281" ht="15.75" customHeight="1">
      <c r="A1281" s="25"/>
      <c r="B1281" s="22"/>
      <c r="C1281" s="25"/>
      <c r="D1281" s="22"/>
      <c r="E1281" s="25"/>
      <c r="F1281" s="22"/>
      <c r="G1281" s="25"/>
      <c r="H1281" s="22"/>
      <c r="I1281" s="25"/>
      <c r="J1281" s="22"/>
    </row>
    <row r="1282" ht="15.75" customHeight="1">
      <c r="A1282" s="25"/>
      <c r="B1282" s="22"/>
      <c r="C1282" s="25"/>
      <c r="D1282" s="22"/>
      <c r="E1282" s="25"/>
      <c r="F1282" s="22"/>
      <c r="G1282" s="25"/>
      <c r="H1282" s="22"/>
      <c r="I1282" s="25"/>
      <c r="J1282" s="22"/>
    </row>
    <row r="1283" ht="15.75" customHeight="1">
      <c r="A1283" s="25"/>
      <c r="B1283" s="22"/>
      <c r="C1283" s="25"/>
      <c r="D1283" s="22"/>
      <c r="E1283" s="25"/>
      <c r="F1283" s="22"/>
      <c r="G1283" s="25"/>
      <c r="H1283" s="22"/>
      <c r="I1283" s="25"/>
      <c r="J1283" s="22"/>
    </row>
    <row r="1284" ht="15.75" customHeight="1">
      <c r="A1284" s="25"/>
      <c r="B1284" s="22"/>
      <c r="C1284" s="25"/>
      <c r="D1284" s="22"/>
      <c r="E1284" s="25"/>
      <c r="F1284" s="22"/>
      <c r="G1284" s="25"/>
      <c r="H1284" s="22"/>
      <c r="I1284" s="25"/>
      <c r="J1284" s="22"/>
    </row>
    <row r="1285" ht="15.75" customHeight="1">
      <c r="A1285" s="25"/>
      <c r="B1285" s="22"/>
      <c r="C1285" s="25"/>
      <c r="D1285" s="22"/>
      <c r="E1285" s="25"/>
      <c r="F1285" s="22"/>
      <c r="G1285" s="25"/>
      <c r="H1285" s="22"/>
      <c r="I1285" s="25"/>
      <c r="J1285" s="22"/>
    </row>
    <row r="1286" ht="15.75" customHeight="1">
      <c r="A1286" s="25"/>
      <c r="B1286" s="22"/>
      <c r="C1286" s="25"/>
      <c r="D1286" s="22"/>
      <c r="E1286" s="25"/>
      <c r="F1286" s="22"/>
      <c r="G1286" s="25"/>
      <c r="H1286" s="22"/>
      <c r="I1286" s="25"/>
      <c r="J1286" s="22"/>
    </row>
    <row r="1287" ht="15.75" customHeight="1">
      <c r="A1287" s="25"/>
      <c r="B1287" s="22"/>
      <c r="C1287" s="25"/>
      <c r="D1287" s="22"/>
      <c r="E1287" s="25"/>
      <c r="F1287" s="22"/>
      <c r="G1287" s="25"/>
      <c r="H1287" s="22"/>
      <c r="I1287" s="25"/>
      <c r="J1287" s="22"/>
    </row>
    <row r="1288" ht="15.75" customHeight="1">
      <c r="A1288" s="25"/>
      <c r="B1288" s="22"/>
      <c r="C1288" s="25"/>
      <c r="D1288" s="22"/>
      <c r="E1288" s="25"/>
      <c r="F1288" s="22"/>
      <c r="G1288" s="25"/>
      <c r="H1288" s="22"/>
      <c r="I1288" s="25"/>
      <c r="J1288" s="22"/>
    </row>
    <row r="1289" ht="15.75" customHeight="1">
      <c r="A1289" s="25"/>
      <c r="B1289" s="22"/>
      <c r="C1289" s="25"/>
      <c r="D1289" s="22"/>
      <c r="E1289" s="25"/>
      <c r="F1289" s="22"/>
      <c r="G1289" s="25"/>
      <c r="H1289" s="22"/>
      <c r="I1289" s="25"/>
      <c r="J1289" s="22"/>
    </row>
    <row r="1290" ht="15.75" customHeight="1">
      <c r="A1290" s="25"/>
      <c r="B1290" s="22"/>
      <c r="C1290" s="25"/>
      <c r="D1290" s="22"/>
      <c r="E1290" s="25"/>
      <c r="F1290" s="22"/>
      <c r="G1290" s="25"/>
      <c r="H1290" s="22"/>
      <c r="I1290" s="25"/>
      <c r="J1290" s="22"/>
    </row>
    <row r="1291" ht="15.75" customHeight="1">
      <c r="A1291" s="25"/>
      <c r="B1291" s="22"/>
      <c r="C1291" s="25"/>
      <c r="D1291" s="22"/>
      <c r="E1291" s="25"/>
      <c r="F1291" s="22"/>
      <c r="G1291" s="25"/>
      <c r="H1291" s="22"/>
      <c r="I1291" s="25"/>
      <c r="J1291" s="22"/>
    </row>
    <row r="1292" ht="15.75" customHeight="1">
      <c r="A1292" s="25"/>
      <c r="B1292" s="22"/>
      <c r="C1292" s="25"/>
      <c r="D1292" s="22"/>
      <c r="E1292" s="25"/>
      <c r="F1292" s="22"/>
      <c r="G1292" s="25"/>
      <c r="H1292" s="22"/>
      <c r="I1292" s="25"/>
      <c r="J1292" s="22"/>
    </row>
    <row r="1293" ht="15.75" customHeight="1">
      <c r="A1293" s="25"/>
      <c r="B1293" s="22"/>
      <c r="C1293" s="25"/>
      <c r="D1293" s="22"/>
      <c r="E1293" s="25"/>
      <c r="F1293" s="22"/>
      <c r="G1293" s="25"/>
      <c r="H1293" s="22"/>
      <c r="I1293" s="25"/>
      <c r="J1293" s="22"/>
    </row>
    <row r="1294" ht="15.75" customHeight="1">
      <c r="A1294" s="25"/>
      <c r="B1294" s="22"/>
      <c r="C1294" s="25"/>
      <c r="D1294" s="22"/>
      <c r="E1294" s="25"/>
      <c r="F1294" s="22"/>
      <c r="G1294" s="25"/>
      <c r="H1294" s="22"/>
      <c r="I1294" s="25"/>
      <c r="J1294" s="22"/>
    </row>
    <row r="1295" ht="15.75" customHeight="1">
      <c r="A1295" s="25"/>
      <c r="B1295" s="22"/>
      <c r="C1295" s="25"/>
      <c r="D1295" s="22"/>
      <c r="E1295" s="25"/>
      <c r="F1295" s="22"/>
      <c r="G1295" s="25"/>
      <c r="H1295" s="22"/>
      <c r="I1295" s="25"/>
      <c r="J1295" s="22"/>
    </row>
    <row r="1296" ht="15.75" customHeight="1">
      <c r="A1296" s="25"/>
      <c r="B1296" s="22"/>
      <c r="C1296" s="25"/>
      <c r="D1296" s="22"/>
      <c r="E1296" s="25"/>
      <c r="F1296" s="22"/>
      <c r="G1296" s="25"/>
      <c r="H1296" s="22"/>
      <c r="I1296" s="25"/>
      <c r="J1296" s="22"/>
    </row>
    <row r="1297" ht="15.75" customHeight="1">
      <c r="A1297" s="25"/>
      <c r="B1297" s="22"/>
      <c r="C1297" s="25"/>
      <c r="D1297" s="22"/>
      <c r="E1297" s="25"/>
      <c r="F1297" s="22"/>
      <c r="G1297" s="25"/>
      <c r="H1297" s="22"/>
      <c r="I1297" s="25"/>
      <c r="J1297" s="22"/>
    </row>
    <row r="1298" ht="15.75" customHeight="1">
      <c r="A1298" s="25"/>
      <c r="B1298" s="22"/>
      <c r="C1298" s="25"/>
      <c r="D1298" s="22"/>
      <c r="E1298" s="25"/>
      <c r="F1298" s="22"/>
      <c r="G1298" s="25"/>
      <c r="H1298" s="22"/>
      <c r="I1298" s="25"/>
      <c r="J1298" s="22"/>
    </row>
    <row r="1299" ht="15.75" customHeight="1">
      <c r="A1299" s="25"/>
      <c r="B1299" s="22"/>
      <c r="C1299" s="25"/>
      <c r="D1299" s="22"/>
      <c r="E1299" s="25"/>
      <c r="F1299" s="22"/>
      <c r="G1299" s="25"/>
      <c r="H1299" s="22"/>
      <c r="I1299" s="25"/>
      <c r="J1299" s="22"/>
    </row>
    <row r="1300" ht="15.75" customHeight="1">
      <c r="A1300" s="25"/>
      <c r="B1300" s="22"/>
      <c r="C1300" s="25"/>
      <c r="D1300" s="22"/>
      <c r="E1300" s="25"/>
      <c r="F1300" s="22"/>
      <c r="G1300" s="25"/>
      <c r="H1300" s="22"/>
      <c r="I1300" s="25"/>
      <c r="J1300" s="22"/>
    </row>
    <row r="1301" ht="15.75" customHeight="1">
      <c r="A1301" s="25"/>
      <c r="B1301" s="22"/>
      <c r="C1301" s="25"/>
      <c r="D1301" s="22"/>
      <c r="E1301" s="25"/>
      <c r="F1301" s="22"/>
      <c r="G1301" s="25"/>
      <c r="H1301" s="22"/>
      <c r="I1301" s="25"/>
      <c r="J1301" s="22"/>
    </row>
    <row r="1302" ht="15.75" customHeight="1">
      <c r="A1302" s="25"/>
      <c r="B1302" s="22"/>
      <c r="C1302" s="25"/>
      <c r="D1302" s="22"/>
      <c r="E1302" s="25"/>
      <c r="F1302" s="22"/>
      <c r="G1302" s="25"/>
      <c r="H1302" s="22"/>
      <c r="I1302" s="25"/>
      <c r="J1302" s="22"/>
    </row>
    <row r="1303" ht="15.75" customHeight="1">
      <c r="A1303" s="25"/>
      <c r="B1303" s="22"/>
      <c r="C1303" s="25"/>
      <c r="D1303" s="22"/>
      <c r="E1303" s="25"/>
      <c r="F1303" s="22"/>
      <c r="G1303" s="25"/>
      <c r="H1303" s="22"/>
      <c r="I1303" s="25"/>
      <c r="J1303" s="22"/>
    </row>
    <row r="1304" ht="15.75" customHeight="1">
      <c r="A1304" s="25"/>
      <c r="B1304" s="22"/>
      <c r="C1304" s="25"/>
      <c r="D1304" s="22"/>
      <c r="E1304" s="25"/>
      <c r="F1304" s="22"/>
      <c r="G1304" s="25"/>
      <c r="H1304" s="22"/>
      <c r="I1304" s="25"/>
      <c r="J1304" s="22"/>
    </row>
    <row r="1305" ht="15.75" customHeight="1">
      <c r="A1305" s="25"/>
      <c r="B1305" s="22"/>
      <c r="C1305" s="25"/>
      <c r="D1305" s="22"/>
      <c r="E1305" s="25"/>
      <c r="F1305" s="22"/>
      <c r="G1305" s="25"/>
      <c r="H1305" s="22"/>
      <c r="I1305" s="25"/>
      <c r="J1305" s="22"/>
    </row>
    <row r="1306" ht="15.75" customHeight="1">
      <c r="A1306" s="25"/>
      <c r="B1306" s="22"/>
      <c r="C1306" s="25"/>
      <c r="D1306" s="22"/>
      <c r="E1306" s="25"/>
      <c r="F1306" s="22"/>
      <c r="G1306" s="25"/>
      <c r="H1306" s="22"/>
      <c r="I1306" s="25"/>
      <c r="J1306" s="22"/>
    </row>
    <row r="1307" ht="15.75" customHeight="1">
      <c r="A1307" s="25"/>
      <c r="B1307" s="22"/>
      <c r="C1307" s="25"/>
      <c r="D1307" s="22"/>
      <c r="E1307" s="25"/>
      <c r="F1307" s="22"/>
      <c r="G1307" s="25"/>
      <c r="H1307" s="22"/>
      <c r="I1307" s="25"/>
      <c r="J1307" s="22"/>
    </row>
    <row r="1308" ht="15.75" customHeight="1">
      <c r="A1308" s="25"/>
      <c r="B1308" s="22"/>
      <c r="C1308" s="25"/>
      <c r="D1308" s="22"/>
      <c r="E1308" s="25"/>
      <c r="F1308" s="22"/>
      <c r="G1308" s="25"/>
      <c r="H1308" s="22"/>
      <c r="I1308" s="25"/>
      <c r="J1308" s="22"/>
    </row>
    <row r="1309" ht="15.75" customHeight="1">
      <c r="A1309" s="25"/>
      <c r="B1309" s="22"/>
      <c r="C1309" s="25"/>
      <c r="D1309" s="22"/>
      <c r="E1309" s="25"/>
      <c r="F1309" s="22"/>
      <c r="G1309" s="25"/>
      <c r="H1309" s="22"/>
      <c r="I1309" s="25"/>
      <c r="J1309" s="22"/>
    </row>
    <row r="1310" ht="15.75" customHeight="1">
      <c r="A1310" s="25"/>
      <c r="B1310" s="22"/>
      <c r="C1310" s="25"/>
      <c r="D1310" s="22"/>
      <c r="E1310" s="25"/>
      <c r="F1310" s="22"/>
      <c r="G1310" s="25"/>
      <c r="H1310" s="22"/>
      <c r="I1310" s="25"/>
      <c r="J1310" s="22"/>
    </row>
    <row r="1311" ht="15.75" customHeight="1">
      <c r="A1311" s="25"/>
      <c r="B1311" s="22"/>
      <c r="C1311" s="25"/>
      <c r="D1311" s="22"/>
      <c r="E1311" s="25"/>
      <c r="F1311" s="22"/>
      <c r="G1311" s="25"/>
      <c r="H1311" s="22"/>
      <c r="I1311" s="25"/>
      <c r="J1311" s="22"/>
    </row>
    <row r="1312" ht="15.75" customHeight="1">
      <c r="A1312" s="25"/>
      <c r="B1312" s="22"/>
      <c r="C1312" s="25"/>
      <c r="D1312" s="22"/>
      <c r="E1312" s="25"/>
      <c r="F1312" s="22"/>
      <c r="G1312" s="25"/>
      <c r="H1312" s="22"/>
      <c r="I1312" s="25"/>
      <c r="J1312" s="22"/>
    </row>
    <row r="1313" ht="15.75" customHeight="1">
      <c r="A1313" s="25"/>
      <c r="B1313" s="22"/>
      <c r="C1313" s="25"/>
      <c r="D1313" s="22"/>
      <c r="E1313" s="25"/>
      <c r="F1313" s="22"/>
      <c r="G1313" s="25"/>
      <c r="H1313" s="22"/>
      <c r="I1313" s="25"/>
      <c r="J1313" s="22"/>
    </row>
    <row r="1314" ht="15.75" customHeight="1">
      <c r="A1314" s="25"/>
      <c r="B1314" s="22"/>
      <c r="C1314" s="25"/>
      <c r="D1314" s="22"/>
      <c r="E1314" s="25"/>
      <c r="F1314" s="22"/>
      <c r="G1314" s="25"/>
      <c r="H1314" s="22"/>
      <c r="I1314" s="25"/>
      <c r="J1314" s="22"/>
    </row>
    <row r="1315" ht="15.75" customHeight="1">
      <c r="A1315" s="25"/>
      <c r="B1315" s="22"/>
      <c r="C1315" s="25"/>
      <c r="D1315" s="22"/>
      <c r="E1315" s="25"/>
      <c r="F1315" s="22"/>
      <c r="G1315" s="25"/>
      <c r="H1315" s="22"/>
      <c r="I1315" s="25"/>
      <c r="J1315" s="22"/>
    </row>
    <row r="1316" ht="15.75" customHeight="1">
      <c r="A1316" s="25"/>
      <c r="B1316" s="22"/>
      <c r="C1316" s="25"/>
      <c r="D1316" s="22"/>
      <c r="E1316" s="25"/>
      <c r="F1316" s="22"/>
      <c r="G1316" s="25"/>
      <c r="H1316" s="22"/>
      <c r="I1316" s="25"/>
      <c r="J1316" s="22"/>
    </row>
    <row r="1317" ht="15.75" customHeight="1">
      <c r="A1317" s="25"/>
      <c r="B1317" s="22"/>
      <c r="C1317" s="25"/>
      <c r="D1317" s="22"/>
      <c r="E1317" s="25"/>
      <c r="F1317" s="22"/>
      <c r="G1317" s="25"/>
      <c r="H1317" s="22"/>
      <c r="I1317" s="25"/>
      <c r="J1317" s="22"/>
    </row>
    <row r="1318" ht="15.75" customHeight="1">
      <c r="A1318" s="25"/>
      <c r="B1318" s="22"/>
      <c r="C1318" s="25"/>
      <c r="D1318" s="22"/>
      <c r="E1318" s="25"/>
      <c r="F1318" s="22"/>
      <c r="G1318" s="25"/>
      <c r="H1318" s="22"/>
      <c r="I1318" s="25"/>
      <c r="J1318" s="22"/>
    </row>
    <row r="1319" ht="15.75" customHeight="1">
      <c r="A1319" s="25"/>
      <c r="B1319" s="22"/>
      <c r="C1319" s="25"/>
      <c r="D1319" s="22"/>
      <c r="E1319" s="25"/>
      <c r="F1319" s="22"/>
      <c r="G1319" s="25"/>
      <c r="H1319" s="22"/>
      <c r="I1319" s="25"/>
      <c r="J1319" s="22"/>
    </row>
    <row r="1320" ht="15.75" customHeight="1">
      <c r="A1320" s="25"/>
      <c r="B1320" s="22"/>
      <c r="C1320" s="25"/>
      <c r="D1320" s="22"/>
      <c r="E1320" s="25"/>
      <c r="F1320" s="22"/>
      <c r="G1320" s="25"/>
      <c r="H1320" s="22"/>
      <c r="I1320" s="25"/>
      <c r="J1320" s="22"/>
    </row>
    <row r="1321" ht="15.75" customHeight="1">
      <c r="A1321" s="25"/>
      <c r="B1321" s="22"/>
      <c r="C1321" s="25"/>
      <c r="D1321" s="22"/>
      <c r="E1321" s="25"/>
      <c r="F1321" s="22"/>
      <c r="G1321" s="25"/>
      <c r="H1321" s="22"/>
      <c r="I1321" s="25"/>
      <c r="J1321" s="22"/>
    </row>
    <row r="1322" ht="15.75" customHeight="1">
      <c r="A1322" s="25"/>
      <c r="B1322" s="22"/>
      <c r="C1322" s="25"/>
      <c r="D1322" s="22"/>
      <c r="E1322" s="25"/>
      <c r="F1322" s="22"/>
      <c r="G1322" s="25"/>
      <c r="H1322" s="22"/>
      <c r="I1322" s="25"/>
      <c r="J1322" s="22"/>
    </row>
    <row r="1323" ht="15.75" customHeight="1">
      <c r="A1323" s="25"/>
      <c r="B1323" s="22"/>
      <c r="C1323" s="25"/>
      <c r="D1323" s="22"/>
      <c r="E1323" s="25"/>
      <c r="F1323" s="22"/>
      <c r="G1323" s="25"/>
      <c r="H1323" s="22"/>
      <c r="I1323" s="25"/>
      <c r="J1323" s="22"/>
    </row>
    <row r="1324" ht="15.75" customHeight="1">
      <c r="A1324" s="25"/>
      <c r="B1324" s="22"/>
      <c r="C1324" s="25"/>
      <c r="D1324" s="22"/>
      <c r="E1324" s="25"/>
      <c r="F1324" s="22"/>
      <c r="G1324" s="25"/>
      <c r="H1324" s="22"/>
      <c r="I1324" s="25"/>
      <c r="J1324" s="22"/>
    </row>
    <row r="1325" ht="15.75" customHeight="1">
      <c r="A1325" s="25"/>
      <c r="B1325" s="22"/>
      <c r="C1325" s="25"/>
      <c r="D1325" s="22"/>
      <c r="E1325" s="25"/>
      <c r="F1325" s="22"/>
      <c r="G1325" s="25"/>
      <c r="H1325" s="22"/>
      <c r="I1325" s="25"/>
      <c r="J1325" s="22"/>
    </row>
    <row r="1326" ht="15.75" customHeight="1">
      <c r="A1326" s="25"/>
      <c r="B1326" s="22"/>
      <c r="C1326" s="25"/>
      <c r="D1326" s="22"/>
      <c r="E1326" s="25"/>
      <c r="F1326" s="22"/>
      <c r="G1326" s="25"/>
      <c r="H1326" s="22"/>
      <c r="I1326" s="25"/>
      <c r="J1326" s="22"/>
    </row>
    <row r="1327" ht="15.75" customHeight="1">
      <c r="A1327" s="25"/>
      <c r="B1327" s="22"/>
      <c r="C1327" s="25"/>
      <c r="D1327" s="22"/>
      <c r="E1327" s="25"/>
      <c r="F1327" s="22"/>
      <c r="G1327" s="25"/>
      <c r="H1327" s="22"/>
      <c r="I1327" s="25"/>
      <c r="J1327" s="22"/>
    </row>
    <row r="1328" ht="15.75" customHeight="1">
      <c r="A1328" s="25"/>
      <c r="B1328" s="22"/>
      <c r="C1328" s="25"/>
      <c r="D1328" s="22"/>
      <c r="E1328" s="25"/>
      <c r="F1328" s="22"/>
      <c r="G1328" s="25"/>
      <c r="H1328" s="22"/>
      <c r="I1328" s="25"/>
      <c r="J1328" s="22"/>
    </row>
    <row r="1329" ht="15.75" customHeight="1">
      <c r="A1329" s="25"/>
      <c r="B1329" s="22"/>
      <c r="C1329" s="25"/>
      <c r="D1329" s="22"/>
      <c r="E1329" s="25"/>
      <c r="F1329" s="22"/>
      <c r="G1329" s="25"/>
      <c r="H1329" s="22"/>
      <c r="I1329" s="25"/>
      <c r="J1329" s="22"/>
    </row>
    <row r="1330" ht="15.75" customHeight="1">
      <c r="A1330" s="25"/>
      <c r="B1330" s="22"/>
      <c r="C1330" s="25"/>
      <c r="D1330" s="22"/>
      <c r="E1330" s="25"/>
      <c r="F1330" s="22"/>
      <c r="G1330" s="25"/>
      <c r="H1330" s="22"/>
      <c r="I1330" s="25"/>
      <c r="J1330" s="22"/>
    </row>
    <row r="1331" ht="15.75" customHeight="1">
      <c r="A1331" s="25"/>
      <c r="B1331" s="22"/>
      <c r="C1331" s="25"/>
      <c r="D1331" s="22"/>
      <c r="E1331" s="25"/>
      <c r="F1331" s="22"/>
      <c r="G1331" s="25"/>
      <c r="H1331" s="22"/>
      <c r="I1331" s="25"/>
      <c r="J1331" s="22"/>
    </row>
    <row r="1332" ht="15.75" customHeight="1">
      <c r="A1332" s="25"/>
      <c r="B1332" s="22"/>
      <c r="C1332" s="25"/>
      <c r="D1332" s="22"/>
      <c r="E1332" s="25"/>
      <c r="F1332" s="22"/>
      <c r="G1332" s="25"/>
      <c r="H1332" s="22"/>
      <c r="I1332" s="25"/>
      <c r="J1332" s="22"/>
    </row>
    <row r="1333" ht="15.75" customHeight="1">
      <c r="A1333" s="25"/>
      <c r="B1333" s="22"/>
      <c r="C1333" s="25"/>
      <c r="D1333" s="22"/>
      <c r="E1333" s="25"/>
      <c r="F1333" s="22"/>
      <c r="G1333" s="25"/>
      <c r="H1333" s="22"/>
      <c r="I1333" s="25"/>
      <c r="J1333" s="22"/>
    </row>
    <row r="1334" ht="15.75" customHeight="1">
      <c r="A1334" s="25"/>
      <c r="B1334" s="22"/>
      <c r="C1334" s="25"/>
      <c r="D1334" s="22"/>
      <c r="E1334" s="25"/>
      <c r="F1334" s="22"/>
      <c r="G1334" s="25"/>
      <c r="H1334" s="22"/>
      <c r="I1334" s="25"/>
      <c r="J1334" s="22"/>
    </row>
    <row r="1335" ht="15.75" customHeight="1">
      <c r="A1335" s="25"/>
      <c r="B1335" s="22"/>
      <c r="C1335" s="25"/>
      <c r="D1335" s="22"/>
      <c r="E1335" s="25"/>
      <c r="F1335" s="22"/>
      <c r="G1335" s="25"/>
      <c r="H1335" s="22"/>
      <c r="I1335" s="25"/>
      <c r="J1335" s="22"/>
    </row>
    <row r="1336" ht="15.75" customHeight="1">
      <c r="A1336" s="25"/>
      <c r="B1336" s="22"/>
      <c r="C1336" s="25"/>
      <c r="D1336" s="22"/>
      <c r="E1336" s="25"/>
      <c r="F1336" s="22"/>
      <c r="G1336" s="25"/>
      <c r="H1336" s="22"/>
      <c r="I1336" s="25"/>
      <c r="J1336" s="22"/>
    </row>
    <row r="1337" ht="15.75" customHeight="1">
      <c r="A1337" s="25"/>
      <c r="B1337" s="22"/>
      <c r="C1337" s="25"/>
      <c r="D1337" s="22"/>
      <c r="E1337" s="25"/>
      <c r="F1337" s="22"/>
      <c r="G1337" s="25"/>
      <c r="H1337" s="22"/>
      <c r="I1337" s="25"/>
      <c r="J1337" s="22"/>
    </row>
    <row r="1338" ht="15.75" customHeight="1">
      <c r="A1338" s="25"/>
      <c r="B1338" s="22"/>
      <c r="C1338" s="25"/>
      <c r="D1338" s="22"/>
      <c r="E1338" s="25"/>
      <c r="F1338" s="22"/>
      <c r="G1338" s="25"/>
      <c r="H1338" s="22"/>
      <c r="I1338" s="25"/>
      <c r="J1338" s="22"/>
    </row>
    <row r="1339" ht="15.75" customHeight="1">
      <c r="A1339" s="25"/>
      <c r="B1339" s="22"/>
      <c r="C1339" s="25"/>
      <c r="D1339" s="22"/>
      <c r="E1339" s="25"/>
      <c r="F1339" s="22"/>
      <c r="G1339" s="25"/>
      <c r="H1339" s="22"/>
      <c r="I1339" s="25"/>
      <c r="J1339" s="22"/>
    </row>
    <row r="1340" ht="15.75" customHeight="1">
      <c r="A1340" s="25"/>
      <c r="B1340" s="22"/>
      <c r="C1340" s="25"/>
      <c r="D1340" s="22"/>
      <c r="E1340" s="25"/>
      <c r="F1340" s="22"/>
      <c r="G1340" s="25"/>
      <c r="H1340" s="22"/>
      <c r="I1340" s="25"/>
      <c r="J1340" s="22"/>
    </row>
    <row r="1341" ht="15.75" customHeight="1">
      <c r="A1341" s="25"/>
      <c r="B1341" s="22"/>
      <c r="C1341" s="25"/>
      <c r="D1341" s="22"/>
      <c r="E1341" s="25"/>
      <c r="F1341" s="22"/>
      <c r="G1341" s="25"/>
      <c r="H1341" s="22"/>
      <c r="I1341" s="25"/>
      <c r="J1341" s="22"/>
    </row>
    <row r="1342" ht="15.75" customHeight="1">
      <c r="A1342" s="25"/>
      <c r="B1342" s="22"/>
      <c r="C1342" s="25"/>
      <c r="D1342" s="22"/>
      <c r="E1342" s="25"/>
      <c r="F1342" s="22"/>
      <c r="G1342" s="25"/>
      <c r="H1342" s="22"/>
      <c r="I1342" s="25"/>
      <c r="J1342" s="22"/>
    </row>
    <row r="1343" ht="15.75" customHeight="1">
      <c r="A1343" s="25"/>
      <c r="B1343" s="22"/>
      <c r="C1343" s="25"/>
      <c r="D1343" s="22"/>
      <c r="E1343" s="25"/>
      <c r="F1343" s="22"/>
      <c r="G1343" s="25"/>
      <c r="H1343" s="22"/>
      <c r="I1343" s="25"/>
      <c r="J1343" s="22"/>
    </row>
    <row r="1344" ht="15.75" customHeight="1">
      <c r="A1344" s="25"/>
      <c r="B1344" s="22"/>
      <c r="C1344" s="25"/>
      <c r="D1344" s="22"/>
      <c r="E1344" s="25"/>
      <c r="F1344" s="22"/>
      <c r="G1344" s="25"/>
      <c r="H1344" s="22"/>
      <c r="I1344" s="25"/>
      <c r="J1344" s="22"/>
    </row>
    <row r="1345" ht="15.75" customHeight="1">
      <c r="A1345" s="25"/>
      <c r="B1345" s="22"/>
      <c r="C1345" s="25"/>
      <c r="D1345" s="22"/>
      <c r="E1345" s="25"/>
      <c r="F1345" s="22"/>
      <c r="G1345" s="25"/>
      <c r="H1345" s="22"/>
      <c r="I1345" s="25"/>
      <c r="J1345" s="22"/>
    </row>
    <row r="1346" ht="15.75" customHeight="1">
      <c r="A1346" s="25"/>
      <c r="B1346" s="22"/>
      <c r="C1346" s="25"/>
      <c r="D1346" s="22"/>
      <c r="E1346" s="25"/>
      <c r="F1346" s="22"/>
      <c r="G1346" s="25"/>
      <c r="H1346" s="22"/>
      <c r="I1346" s="25"/>
      <c r="J1346" s="22"/>
    </row>
    <row r="1347" ht="15.75" customHeight="1">
      <c r="A1347" s="25"/>
      <c r="B1347" s="22"/>
      <c r="C1347" s="25"/>
      <c r="D1347" s="22"/>
      <c r="E1347" s="25"/>
      <c r="F1347" s="22"/>
      <c r="G1347" s="25"/>
      <c r="H1347" s="22"/>
      <c r="I1347" s="25"/>
      <c r="J1347" s="22"/>
    </row>
    <row r="1348" ht="15.75" customHeight="1">
      <c r="A1348" s="25"/>
      <c r="B1348" s="22"/>
      <c r="C1348" s="25"/>
      <c r="D1348" s="22"/>
      <c r="E1348" s="25"/>
      <c r="F1348" s="22"/>
      <c r="G1348" s="25"/>
      <c r="H1348" s="22"/>
      <c r="I1348" s="25"/>
      <c r="J1348" s="22"/>
    </row>
    <row r="1349" ht="15.75" customHeight="1">
      <c r="A1349" s="25"/>
      <c r="B1349" s="22"/>
      <c r="C1349" s="25"/>
      <c r="D1349" s="22"/>
      <c r="E1349" s="25"/>
      <c r="F1349" s="22"/>
      <c r="G1349" s="25"/>
      <c r="H1349" s="22"/>
      <c r="I1349" s="25"/>
      <c r="J1349" s="22"/>
    </row>
    <row r="1350" ht="15.75" customHeight="1">
      <c r="A1350" s="25"/>
      <c r="B1350" s="22"/>
      <c r="C1350" s="25"/>
      <c r="D1350" s="22"/>
      <c r="E1350" s="25"/>
      <c r="F1350" s="22"/>
      <c r="G1350" s="25"/>
      <c r="H1350" s="22"/>
      <c r="I1350" s="25"/>
      <c r="J1350" s="22"/>
    </row>
    <row r="1351" ht="15.75" customHeight="1">
      <c r="A1351" s="25"/>
      <c r="B1351" s="22"/>
      <c r="C1351" s="25"/>
      <c r="D1351" s="22"/>
      <c r="E1351" s="25"/>
      <c r="F1351" s="22"/>
      <c r="G1351" s="25"/>
      <c r="H1351" s="22"/>
      <c r="I1351" s="25"/>
      <c r="J1351" s="22"/>
    </row>
    <row r="1352" ht="15.75" customHeight="1">
      <c r="A1352" s="25"/>
      <c r="B1352" s="22"/>
      <c r="C1352" s="25"/>
      <c r="D1352" s="22"/>
      <c r="E1352" s="25"/>
      <c r="F1352" s="22"/>
      <c r="G1352" s="25"/>
      <c r="H1352" s="22"/>
      <c r="I1352" s="25"/>
      <c r="J1352" s="22"/>
    </row>
    <row r="1353" ht="15.75" customHeight="1">
      <c r="A1353" s="25"/>
      <c r="B1353" s="22"/>
      <c r="C1353" s="25"/>
      <c r="D1353" s="22"/>
      <c r="E1353" s="25"/>
      <c r="F1353" s="22"/>
      <c r="G1353" s="25"/>
      <c r="H1353" s="22"/>
      <c r="I1353" s="25"/>
      <c r="J1353" s="22"/>
    </row>
    <row r="1354" ht="15.75" customHeight="1">
      <c r="A1354" s="25"/>
      <c r="B1354" s="22"/>
      <c r="C1354" s="25"/>
      <c r="D1354" s="22"/>
      <c r="E1354" s="25"/>
      <c r="F1354" s="22"/>
      <c r="G1354" s="25"/>
      <c r="H1354" s="22"/>
      <c r="I1354" s="25"/>
      <c r="J1354" s="22"/>
    </row>
    <row r="1355" ht="15.75" customHeight="1">
      <c r="A1355" s="25"/>
      <c r="B1355" s="22"/>
      <c r="C1355" s="25"/>
      <c r="D1355" s="22"/>
      <c r="E1355" s="25"/>
      <c r="F1355" s="22"/>
      <c r="G1355" s="25"/>
      <c r="H1355" s="22"/>
      <c r="I1355" s="25"/>
      <c r="J1355" s="22"/>
    </row>
    <row r="1356" ht="15.75" customHeight="1">
      <c r="A1356" s="25"/>
      <c r="B1356" s="22"/>
      <c r="C1356" s="25"/>
      <c r="D1356" s="22"/>
      <c r="E1356" s="25"/>
      <c r="F1356" s="22"/>
      <c r="G1356" s="25"/>
      <c r="H1356" s="22"/>
      <c r="I1356" s="25"/>
      <c r="J1356" s="22"/>
    </row>
    <row r="1357" ht="15.75" customHeight="1">
      <c r="A1357" s="25"/>
      <c r="B1357" s="22"/>
      <c r="C1357" s="25"/>
      <c r="D1357" s="22"/>
      <c r="E1357" s="25"/>
      <c r="F1357" s="22"/>
      <c r="G1357" s="25"/>
      <c r="H1357" s="22"/>
      <c r="I1357" s="25"/>
      <c r="J1357" s="22"/>
    </row>
    <row r="1358" ht="15.75" customHeight="1">
      <c r="A1358" s="25"/>
      <c r="B1358" s="22"/>
      <c r="C1358" s="25"/>
      <c r="D1358" s="22"/>
      <c r="E1358" s="25"/>
      <c r="F1358" s="22"/>
      <c r="G1358" s="25"/>
      <c r="H1358" s="22"/>
      <c r="I1358" s="25"/>
      <c r="J1358" s="22"/>
    </row>
    <row r="1359" ht="15.75" customHeight="1">
      <c r="A1359" s="25"/>
      <c r="B1359" s="22"/>
      <c r="C1359" s="25"/>
      <c r="D1359" s="22"/>
      <c r="E1359" s="25"/>
      <c r="F1359" s="22"/>
      <c r="G1359" s="25"/>
      <c r="H1359" s="22"/>
      <c r="I1359" s="25"/>
      <c r="J1359" s="22"/>
    </row>
    <row r="1360" ht="15.75" customHeight="1">
      <c r="A1360" s="25"/>
      <c r="B1360" s="22"/>
      <c r="C1360" s="25"/>
      <c r="D1360" s="22"/>
      <c r="E1360" s="25"/>
      <c r="F1360" s="22"/>
      <c r="G1360" s="25"/>
      <c r="H1360" s="22"/>
      <c r="I1360" s="25"/>
      <c r="J1360" s="22"/>
    </row>
    <row r="1361" ht="15.75" customHeight="1">
      <c r="A1361" s="25"/>
      <c r="B1361" s="22"/>
      <c r="C1361" s="25"/>
      <c r="D1361" s="22"/>
      <c r="E1361" s="25"/>
      <c r="F1361" s="22"/>
      <c r="G1361" s="25"/>
      <c r="H1361" s="22"/>
      <c r="I1361" s="25"/>
      <c r="J1361" s="22"/>
    </row>
    <row r="1362" ht="15.75" customHeight="1">
      <c r="A1362" s="25"/>
      <c r="B1362" s="22"/>
      <c r="C1362" s="25"/>
      <c r="D1362" s="22"/>
      <c r="E1362" s="25"/>
      <c r="F1362" s="22"/>
      <c r="G1362" s="25"/>
      <c r="H1362" s="22"/>
      <c r="I1362" s="25"/>
      <c r="J1362" s="22"/>
    </row>
    <row r="1363" ht="15.75" customHeight="1">
      <c r="A1363" s="25"/>
      <c r="B1363" s="22"/>
      <c r="C1363" s="25"/>
      <c r="D1363" s="22"/>
      <c r="E1363" s="25"/>
      <c r="F1363" s="22"/>
      <c r="G1363" s="25"/>
      <c r="H1363" s="22"/>
      <c r="I1363" s="25"/>
      <c r="J1363" s="22"/>
    </row>
    <row r="1364" ht="15.75" customHeight="1">
      <c r="A1364" s="25"/>
      <c r="B1364" s="22"/>
      <c r="C1364" s="25"/>
      <c r="D1364" s="22"/>
      <c r="E1364" s="25"/>
      <c r="F1364" s="22"/>
      <c r="G1364" s="25"/>
      <c r="H1364" s="22"/>
      <c r="I1364" s="25"/>
      <c r="J1364" s="22"/>
    </row>
    <row r="1365" ht="15.75" customHeight="1">
      <c r="A1365" s="25"/>
      <c r="B1365" s="22"/>
      <c r="C1365" s="25"/>
      <c r="D1365" s="22"/>
      <c r="E1365" s="25"/>
      <c r="F1365" s="22"/>
      <c r="G1365" s="25"/>
      <c r="H1365" s="22"/>
      <c r="I1365" s="25"/>
      <c r="J1365" s="22"/>
    </row>
    <row r="1366" ht="15.75" customHeight="1">
      <c r="A1366" s="25"/>
      <c r="B1366" s="22"/>
      <c r="C1366" s="25"/>
      <c r="D1366" s="22"/>
      <c r="E1366" s="25"/>
      <c r="F1366" s="22"/>
      <c r="G1366" s="25"/>
      <c r="H1366" s="22"/>
      <c r="I1366" s="25"/>
      <c r="J1366" s="22"/>
    </row>
    <row r="1367" ht="15.75" customHeight="1">
      <c r="A1367" s="25"/>
      <c r="B1367" s="22"/>
      <c r="C1367" s="25"/>
      <c r="D1367" s="22"/>
      <c r="E1367" s="25"/>
      <c r="F1367" s="22"/>
      <c r="G1367" s="25"/>
      <c r="H1367" s="22"/>
      <c r="I1367" s="25"/>
      <c r="J1367" s="22"/>
    </row>
    <row r="1368" ht="15.75" customHeight="1">
      <c r="A1368" s="25"/>
      <c r="B1368" s="22"/>
      <c r="C1368" s="25"/>
      <c r="D1368" s="22"/>
      <c r="E1368" s="25"/>
      <c r="F1368" s="22"/>
      <c r="G1368" s="25"/>
      <c r="H1368" s="22"/>
      <c r="I1368" s="25"/>
      <c r="J1368" s="22"/>
    </row>
    <row r="1369" ht="15.75" customHeight="1">
      <c r="A1369" s="25"/>
      <c r="B1369" s="22"/>
      <c r="C1369" s="25"/>
      <c r="D1369" s="22"/>
      <c r="E1369" s="25"/>
      <c r="F1369" s="22"/>
      <c r="G1369" s="25"/>
      <c r="H1369" s="22"/>
      <c r="I1369" s="25"/>
      <c r="J1369" s="22"/>
    </row>
    <row r="1370" ht="15.75" customHeight="1">
      <c r="A1370" s="25"/>
      <c r="B1370" s="22"/>
      <c r="C1370" s="25"/>
      <c r="D1370" s="22"/>
      <c r="E1370" s="25"/>
      <c r="F1370" s="22"/>
      <c r="G1370" s="25"/>
      <c r="H1370" s="22"/>
      <c r="I1370" s="25"/>
      <c r="J1370" s="22"/>
    </row>
    <row r="1371" ht="15.75" customHeight="1">
      <c r="A1371" s="25"/>
      <c r="B1371" s="22"/>
      <c r="C1371" s="25"/>
      <c r="D1371" s="22"/>
      <c r="E1371" s="25"/>
      <c r="F1371" s="22"/>
      <c r="G1371" s="25"/>
      <c r="H1371" s="22"/>
      <c r="I1371" s="25"/>
      <c r="J1371" s="22"/>
    </row>
    <row r="1372" ht="15.75" customHeight="1">
      <c r="A1372" s="25"/>
      <c r="B1372" s="22"/>
      <c r="C1372" s="25"/>
      <c r="D1372" s="22"/>
      <c r="E1372" s="25"/>
      <c r="F1372" s="22"/>
      <c r="G1372" s="25"/>
      <c r="H1372" s="22"/>
      <c r="I1372" s="25"/>
      <c r="J1372" s="22"/>
    </row>
    <row r="1373" ht="15.75" customHeight="1">
      <c r="A1373" s="25"/>
      <c r="B1373" s="22"/>
      <c r="C1373" s="25"/>
      <c r="D1373" s="22"/>
      <c r="E1373" s="25"/>
      <c r="F1373" s="22"/>
      <c r="G1373" s="25"/>
      <c r="H1373" s="22"/>
      <c r="I1373" s="25"/>
      <c r="J1373" s="22"/>
    </row>
    <row r="1374" ht="15.75" customHeight="1">
      <c r="A1374" s="25"/>
      <c r="B1374" s="22"/>
      <c r="C1374" s="25"/>
      <c r="D1374" s="22"/>
      <c r="E1374" s="25"/>
      <c r="F1374" s="22"/>
      <c r="G1374" s="25"/>
      <c r="H1374" s="22"/>
      <c r="I1374" s="25"/>
      <c r="J1374" s="22"/>
    </row>
    <row r="1375" ht="15.75" customHeight="1">
      <c r="A1375" s="25"/>
      <c r="B1375" s="22"/>
      <c r="C1375" s="25"/>
      <c r="D1375" s="22"/>
      <c r="E1375" s="25"/>
      <c r="F1375" s="22"/>
      <c r="G1375" s="25"/>
      <c r="H1375" s="22"/>
      <c r="I1375" s="25"/>
      <c r="J1375" s="22"/>
    </row>
    <row r="1376" ht="15.75" customHeight="1">
      <c r="A1376" s="25"/>
      <c r="B1376" s="22"/>
      <c r="C1376" s="25"/>
      <c r="D1376" s="22"/>
      <c r="E1376" s="25"/>
      <c r="F1376" s="22"/>
      <c r="G1376" s="25"/>
      <c r="H1376" s="22"/>
      <c r="I1376" s="25"/>
      <c r="J1376" s="22"/>
    </row>
    <row r="1377" ht="15.75" customHeight="1">
      <c r="A1377" s="25"/>
      <c r="B1377" s="22"/>
      <c r="C1377" s="25"/>
      <c r="D1377" s="22"/>
      <c r="E1377" s="25"/>
      <c r="F1377" s="22"/>
      <c r="G1377" s="25"/>
      <c r="H1377" s="22"/>
      <c r="I1377" s="25"/>
      <c r="J1377" s="22"/>
    </row>
    <row r="1378" ht="15.75" customHeight="1">
      <c r="A1378" s="25"/>
      <c r="B1378" s="22"/>
      <c r="C1378" s="25"/>
      <c r="D1378" s="22"/>
      <c r="E1378" s="25"/>
      <c r="F1378" s="22"/>
      <c r="G1378" s="25"/>
      <c r="H1378" s="22"/>
      <c r="I1378" s="25"/>
      <c r="J1378" s="22"/>
    </row>
    <row r="1379" ht="15.75" customHeight="1">
      <c r="A1379" s="25"/>
      <c r="B1379" s="22"/>
      <c r="C1379" s="25"/>
      <c r="D1379" s="22"/>
      <c r="E1379" s="25"/>
      <c r="F1379" s="22"/>
      <c r="G1379" s="25"/>
      <c r="H1379" s="22"/>
      <c r="I1379" s="25"/>
      <c r="J1379" s="22"/>
    </row>
    <row r="1380" ht="15.75" customHeight="1">
      <c r="A1380" s="25"/>
      <c r="B1380" s="22"/>
      <c r="C1380" s="25"/>
      <c r="D1380" s="22"/>
      <c r="E1380" s="25"/>
      <c r="F1380" s="22"/>
      <c r="G1380" s="25"/>
      <c r="H1380" s="22"/>
      <c r="I1380" s="25"/>
      <c r="J1380" s="22"/>
    </row>
    <row r="1381" ht="15.75" customHeight="1">
      <c r="A1381" s="25"/>
      <c r="B1381" s="22"/>
      <c r="C1381" s="25"/>
      <c r="D1381" s="22"/>
      <c r="E1381" s="25"/>
      <c r="F1381" s="22"/>
      <c r="G1381" s="25"/>
      <c r="H1381" s="22"/>
      <c r="I1381" s="25"/>
      <c r="J1381" s="22"/>
    </row>
    <row r="1382" ht="15.75" customHeight="1">
      <c r="A1382" s="25"/>
      <c r="B1382" s="22"/>
      <c r="C1382" s="25"/>
      <c r="D1382" s="22"/>
      <c r="E1382" s="25"/>
      <c r="F1382" s="22"/>
      <c r="G1382" s="25"/>
      <c r="H1382" s="22"/>
      <c r="I1382" s="25"/>
      <c r="J1382" s="22"/>
    </row>
    <row r="1383" ht="15.75" customHeight="1">
      <c r="A1383" s="25"/>
      <c r="B1383" s="22"/>
      <c r="C1383" s="25"/>
      <c r="D1383" s="22"/>
      <c r="E1383" s="25"/>
      <c r="F1383" s="22"/>
      <c r="G1383" s="25"/>
      <c r="H1383" s="22"/>
      <c r="I1383" s="25"/>
      <c r="J1383" s="22"/>
    </row>
    <row r="1384" ht="15.75" customHeight="1">
      <c r="A1384" s="25"/>
      <c r="B1384" s="22"/>
      <c r="C1384" s="25"/>
      <c r="D1384" s="22"/>
      <c r="E1384" s="25"/>
      <c r="F1384" s="22"/>
      <c r="G1384" s="25"/>
      <c r="H1384" s="22"/>
      <c r="I1384" s="25"/>
      <c r="J1384" s="22"/>
    </row>
    <row r="1385" ht="15.75" customHeight="1">
      <c r="A1385" s="25"/>
      <c r="B1385" s="22"/>
      <c r="C1385" s="25"/>
      <c r="D1385" s="22"/>
      <c r="E1385" s="25"/>
      <c r="F1385" s="22"/>
      <c r="G1385" s="25"/>
      <c r="H1385" s="22"/>
      <c r="I1385" s="25"/>
      <c r="J1385" s="22"/>
    </row>
    <row r="1386" ht="15.75" customHeight="1">
      <c r="A1386" s="25"/>
      <c r="B1386" s="22"/>
      <c r="C1386" s="25"/>
      <c r="D1386" s="22"/>
      <c r="E1386" s="25"/>
      <c r="F1386" s="22"/>
      <c r="G1386" s="25"/>
      <c r="H1386" s="22"/>
      <c r="I1386" s="25"/>
      <c r="J1386" s="22"/>
    </row>
    <row r="1387" ht="15.75" customHeight="1">
      <c r="A1387" s="25"/>
      <c r="B1387" s="22"/>
      <c r="C1387" s="25"/>
      <c r="D1387" s="22"/>
      <c r="E1387" s="25"/>
      <c r="F1387" s="22"/>
      <c r="G1387" s="25"/>
      <c r="H1387" s="22"/>
      <c r="I1387" s="25"/>
      <c r="J1387" s="22"/>
    </row>
    <row r="1388" ht="15.75" customHeight="1">
      <c r="A1388" s="25"/>
      <c r="B1388" s="22"/>
      <c r="C1388" s="25"/>
      <c r="D1388" s="22"/>
      <c r="E1388" s="25"/>
      <c r="F1388" s="22"/>
      <c r="G1388" s="25"/>
      <c r="H1388" s="22"/>
      <c r="I1388" s="25"/>
      <c r="J1388" s="22"/>
    </row>
    <row r="1389" ht="15.75" customHeight="1">
      <c r="A1389" s="25"/>
      <c r="B1389" s="22"/>
      <c r="C1389" s="25"/>
      <c r="D1389" s="22"/>
      <c r="E1389" s="25"/>
      <c r="F1389" s="22"/>
      <c r="G1389" s="25"/>
      <c r="H1389" s="22"/>
      <c r="I1389" s="25"/>
      <c r="J1389" s="22"/>
    </row>
    <row r="1390" ht="15.75" customHeight="1">
      <c r="A1390" s="25"/>
      <c r="B1390" s="22"/>
      <c r="C1390" s="25"/>
      <c r="D1390" s="22"/>
      <c r="E1390" s="25"/>
      <c r="F1390" s="22"/>
      <c r="G1390" s="25"/>
      <c r="H1390" s="22"/>
      <c r="I1390" s="25"/>
      <c r="J1390" s="22"/>
    </row>
    <row r="1391" ht="15.75" customHeight="1">
      <c r="A1391" s="25"/>
      <c r="B1391" s="22"/>
      <c r="C1391" s="25"/>
      <c r="D1391" s="22"/>
      <c r="E1391" s="25"/>
      <c r="F1391" s="22"/>
      <c r="G1391" s="25"/>
      <c r="H1391" s="22"/>
      <c r="I1391" s="25"/>
      <c r="J1391" s="22"/>
    </row>
    <row r="1392" ht="15.75" customHeight="1">
      <c r="A1392" s="25"/>
      <c r="B1392" s="22"/>
      <c r="C1392" s="25"/>
      <c r="D1392" s="22"/>
      <c r="E1392" s="25"/>
      <c r="F1392" s="22"/>
      <c r="G1392" s="25"/>
      <c r="H1392" s="22"/>
      <c r="I1392" s="25"/>
      <c r="J1392" s="22"/>
    </row>
    <row r="1393" ht="15.75" customHeight="1">
      <c r="A1393" s="25"/>
      <c r="B1393" s="22"/>
      <c r="C1393" s="25"/>
      <c r="D1393" s="22"/>
      <c r="E1393" s="25"/>
      <c r="F1393" s="22"/>
      <c r="G1393" s="25"/>
      <c r="H1393" s="22"/>
      <c r="I1393" s="25"/>
      <c r="J1393" s="22"/>
    </row>
    <row r="1394" ht="15.75" customHeight="1">
      <c r="A1394" s="25"/>
      <c r="B1394" s="22"/>
      <c r="C1394" s="25"/>
      <c r="D1394" s="22"/>
      <c r="E1394" s="25"/>
      <c r="F1394" s="22"/>
      <c r="G1394" s="25"/>
      <c r="H1394" s="22"/>
      <c r="I1394" s="25"/>
      <c r="J1394" s="22"/>
    </row>
    <row r="1395" ht="15.75" customHeight="1">
      <c r="A1395" s="25"/>
      <c r="B1395" s="22"/>
      <c r="C1395" s="25"/>
      <c r="D1395" s="22"/>
      <c r="E1395" s="25"/>
      <c r="F1395" s="22"/>
      <c r="G1395" s="25"/>
      <c r="H1395" s="22"/>
      <c r="I1395" s="25"/>
      <c r="J1395" s="22"/>
    </row>
    <row r="1396" ht="15.75" customHeight="1">
      <c r="A1396" s="25"/>
      <c r="B1396" s="22"/>
      <c r="C1396" s="25"/>
      <c r="D1396" s="22"/>
      <c r="E1396" s="25"/>
      <c r="F1396" s="22"/>
      <c r="G1396" s="25"/>
      <c r="H1396" s="22"/>
      <c r="I1396" s="25"/>
      <c r="J1396" s="22"/>
    </row>
    <row r="1397" ht="15.75" customHeight="1">
      <c r="A1397" s="25"/>
      <c r="B1397" s="22"/>
      <c r="C1397" s="25"/>
      <c r="D1397" s="22"/>
      <c r="E1397" s="25"/>
      <c r="F1397" s="22"/>
      <c r="G1397" s="25"/>
      <c r="H1397" s="22"/>
      <c r="I1397" s="25"/>
      <c r="J1397" s="22"/>
    </row>
    <row r="1398" ht="15.75" customHeight="1">
      <c r="A1398" s="25"/>
      <c r="B1398" s="22"/>
      <c r="C1398" s="25"/>
      <c r="D1398" s="22"/>
      <c r="E1398" s="25"/>
      <c r="F1398" s="22"/>
      <c r="G1398" s="25"/>
      <c r="H1398" s="22"/>
      <c r="I1398" s="25"/>
      <c r="J1398" s="22"/>
    </row>
    <row r="1399" ht="15.75" customHeight="1">
      <c r="A1399" s="25"/>
      <c r="B1399" s="22"/>
      <c r="C1399" s="25"/>
      <c r="D1399" s="22"/>
      <c r="E1399" s="25"/>
      <c r="F1399" s="22"/>
      <c r="G1399" s="25"/>
      <c r="H1399" s="22"/>
      <c r="I1399" s="25"/>
      <c r="J1399" s="22"/>
    </row>
    <row r="1400" ht="15.75" customHeight="1">
      <c r="A1400" s="25"/>
      <c r="B1400" s="22"/>
      <c r="C1400" s="25"/>
      <c r="D1400" s="22"/>
      <c r="E1400" s="25"/>
      <c r="F1400" s="22"/>
      <c r="G1400" s="25"/>
      <c r="H1400" s="22"/>
      <c r="I1400" s="25"/>
      <c r="J1400" s="22"/>
    </row>
    <row r="1401" ht="15.75" customHeight="1">
      <c r="A1401" s="25"/>
      <c r="B1401" s="22"/>
      <c r="C1401" s="25"/>
      <c r="D1401" s="22"/>
      <c r="E1401" s="25"/>
      <c r="F1401" s="22"/>
      <c r="G1401" s="25"/>
      <c r="H1401" s="22"/>
      <c r="I1401" s="25"/>
      <c r="J1401" s="22"/>
    </row>
    <row r="1402" ht="15.75" customHeight="1">
      <c r="A1402" s="25"/>
      <c r="B1402" s="22"/>
      <c r="C1402" s="25"/>
      <c r="D1402" s="22"/>
      <c r="E1402" s="25"/>
      <c r="F1402" s="22"/>
      <c r="G1402" s="25"/>
      <c r="H1402" s="22"/>
      <c r="I1402" s="25"/>
      <c r="J1402" s="22"/>
    </row>
    <row r="1403" ht="15.75" customHeight="1">
      <c r="A1403" s="25"/>
      <c r="B1403" s="22"/>
      <c r="C1403" s="25"/>
      <c r="D1403" s="22"/>
      <c r="E1403" s="25"/>
      <c r="F1403" s="22"/>
      <c r="G1403" s="25"/>
      <c r="H1403" s="22"/>
      <c r="I1403" s="25"/>
      <c r="J1403" s="22"/>
    </row>
    <row r="1404" ht="15.75" customHeight="1">
      <c r="A1404" s="25"/>
      <c r="B1404" s="22"/>
      <c r="C1404" s="25"/>
      <c r="D1404" s="22"/>
      <c r="E1404" s="25"/>
      <c r="F1404" s="22"/>
      <c r="G1404" s="25"/>
      <c r="H1404" s="22"/>
      <c r="I1404" s="25"/>
      <c r="J1404" s="22"/>
    </row>
    <row r="1405" ht="15.75" customHeight="1">
      <c r="A1405" s="25"/>
      <c r="B1405" s="22"/>
      <c r="C1405" s="25"/>
      <c r="D1405" s="22"/>
      <c r="E1405" s="25"/>
      <c r="F1405" s="22"/>
      <c r="G1405" s="25"/>
      <c r="H1405" s="22"/>
      <c r="I1405" s="25"/>
      <c r="J1405" s="22"/>
    </row>
    <row r="1406" ht="15.75" customHeight="1">
      <c r="A1406" s="25"/>
      <c r="B1406" s="22"/>
      <c r="C1406" s="25"/>
      <c r="D1406" s="22"/>
      <c r="E1406" s="25"/>
      <c r="F1406" s="22"/>
      <c r="G1406" s="25"/>
      <c r="H1406" s="22"/>
      <c r="I1406" s="25"/>
      <c r="J1406" s="22"/>
    </row>
    <row r="1407" ht="15.75" customHeight="1">
      <c r="A1407" s="25"/>
      <c r="B1407" s="22"/>
      <c r="C1407" s="25"/>
      <c r="D1407" s="22"/>
      <c r="E1407" s="25"/>
      <c r="F1407" s="22"/>
      <c r="G1407" s="25"/>
      <c r="H1407" s="22"/>
      <c r="I1407" s="25"/>
      <c r="J1407" s="22"/>
    </row>
    <row r="1408" ht="15.75" customHeight="1">
      <c r="A1408" s="25"/>
      <c r="B1408" s="22"/>
      <c r="C1408" s="25"/>
      <c r="D1408" s="22"/>
      <c r="E1408" s="25"/>
      <c r="F1408" s="22"/>
      <c r="G1408" s="25"/>
      <c r="H1408" s="22"/>
      <c r="I1408" s="25"/>
      <c r="J1408" s="22"/>
    </row>
    <row r="1409" ht="15.75" customHeight="1">
      <c r="A1409" s="25"/>
      <c r="B1409" s="22"/>
      <c r="C1409" s="25"/>
      <c r="D1409" s="22"/>
      <c r="E1409" s="25"/>
      <c r="F1409" s="22"/>
      <c r="G1409" s="25"/>
      <c r="H1409" s="22"/>
      <c r="I1409" s="25"/>
      <c r="J1409" s="22"/>
    </row>
    <row r="1410" ht="15.75" customHeight="1">
      <c r="A1410" s="25"/>
      <c r="B1410" s="22"/>
      <c r="C1410" s="25"/>
      <c r="D1410" s="22"/>
      <c r="E1410" s="25"/>
      <c r="F1410" s="22"/>
      <c r="G1410" s="25"/>
      <c r="H1410" s="22"/>
      <c r="I1410" s="25"/>
      <c r="J1410" s="22"/>
    </row>
    <row r="1411" ht="15.75" customHeight="1">
      <c r="A1411" s="25"/>
      <c r="B1411" s="22"/>
      <c r="C1411" s="25"/>
      <c r="D1411" s="22"/>
      <c r="E1411" s="25"/>
      <c r="F1411" s="22"/>
      <c r="G1411" s="25"/>
      <c r="H1411" s="22"/>
      <c r="I1411" s="25"/>
      <c r="J1411" s="22"/>
    </row>
    <row r="1412" ht="15.75" customHeight="1">
      <c r="A1412" s="25"/>
      <c r="B1412" s="22"/>
      <c r="C1412" s="25"/>
      <c r="D1412" s="22"/>
      <c r="E1412" s="25"/>
      <c r="F1412" s="22"/>
      <c r="G1412" s="25"/>
      <c r="H1412" s="22"/>
      <c r="I1412" s="25"/>
      <c r="J1412" s="22"/>
    </row>
    <row r="1413" ht="15.75" customHeight="1">
      <c r="A1413" s="25"/>
      <c r="B1413" s="22"/>
      <c r="C1413" s="25"/>
      <c r="D1413" s="22"/>
      <c r="E1413" s="25"/>
      <c r="F1413" s="22"/>
      <c r="G1413" s="25"/>
      <c r="H1413" s="22"/>
      <c r="I1413" s="25"/>
      <c r="J1413" s="22"/>
    </row>
    <row r="1414" ht="15.75" customHeight="1">
      <c r="A1414" s="25"/>
      <c r="B1414" s="22"/>
      <c r="C1414" s="25"/>
      <c r="D1414" s="22"/>
      <c r="E1414" s="25"/>
      <c r="F1414" s="22"/>
      <c r="G1414" s="25"/>
      <c r="H1414" s="22"/>
      <c r="I1414" s="25"/>
      <c r="J1414" s="22"/>
    </row>
    <row r="1415" ht="15.75" customHeight="1">
      <c r="A1415" s="25"/>
      <c r="B1415" s="22"/>
      <c r="C1415" s="25"/>
      <c r="D1415" s="22"/>
      <c r="E1415" s="25"/>
      <c r="F1415" s="22"/>
      <c r="G1415" s="25"/>
      <c r="H1415" s="22"/>
      <c r="I1415" s="25"/>
      <c r="J1415" s="22"/>
    </row>
    <row r="1416" ht="15.75" customHeight="1">
      <c r="A1416" s="25"/>
      <c r="B1416" s="22"/>
      <c r="C1416" s="25"/>
      <c r="D1416" s="22"/>
      <c r="E1416" s="25"/>
      <c r="F1416" s="22"/>
      <c r="G1416" s="25"/>
      <c r="H1416" s="22"/>
      <c r="I1416" s="25"/>
      <c r="J1416" s="22"/>
    </row>
    <row r="1417" ht="15.75" customHeight="1">
      <c r="A1417" s="25"/>
      <c r="B1417" s="22"/>
      <c r="C1417" s="25"/>
      <c r="D1417" s="22"/>
      <c r="E1417" s="25"/>
      <c r="F1417" s="22"/>
      <c r="G1417" s="25"/>
      <c r="H1417" s="22"/>
      <c r="I1417" s="25"/>
      <c r="J1417" s="22"/>
    </row>
    <row r="1418" ht="15.75" customHeight="1">
      <c r="A1418" s="25"/>
      <c r="B1418" s="22"/>
      <c r="C1418" s="25"/>
      <c r="D1418" s="22"/>
      <c r="E1418" s="25"/>
      <c r="F1418" s="22"/>
      <c r="G1418" s="25"/>
      <c r="H1418" s="22"/>
      <c r="I1418" s="25"/>
      <c r="J1418" s="22"/>
    </row>
    <row r="1419" ht="15.75" customHeight="1">
      <c r="A1419" s="25"/>
      <c r="B1419" s="22"/>
      <c r="C1419" s="25"/>
      <c r="D1419" s="22"/>
      <c r="E1419" s="25"/>
      <c r="F1419" s="22"/>
      <c r="G1419" s="25"/>
      <c r="H1419" s="22"/>
      <c r="I1419" s="25"/>
      <c r="J1419" s="22"/>
    </row>
    <row r="1420" ht="15.75" customHeight="1">
      <c r="A1420" s="25"/>
      <c r="B1420" s="22"/>
      <c r="C1420" s="25"/>
      <c r="D1420" s="22"/>
      <c r="E1420" s="25"/>
      <c r="F1420" s="22"/>
      <c r="G1420" s="25"/>
      <c r="H1420" s="22"/>
      <c r="I1420" s="25"/>
      <c r="J1420" s="22"/>
    </row>
    <row r="1421" ht="15.75" customHeight="1">
      <c r="A1421" s="25"/>
      <c r="B1421" s="22"/>
      <c r="C1421" s="25"/>
      <c r="D1421" s="22"/>
      <c r="E1421" s="25"/>
      <c r="F1421" s="22"/>
      <c r="G1421" s="25"/>
      <c r="H1421" s="22"/>
      <c r="I1421" s="25"/>
      <c r="J1421" s="22"/>
    </row>
    <row r="1422" ht="15.75" customHeight="1">
      <c r="A1422" s="25"/>
      <c r="B1422" s="22"/>
      <c r="C1422" s="25"/>
      <c r="D1422" s="22"/>
      <c r="E1422" s="25"/>
      <c r="F1422" s="22"/>
      <c r="G1422" s="25"/>
      <c r="H1422" s="22"/>
      <c r="I1422" s="25"/>
      <c r="J1422" s="22"/>
    </row>
    <row r="1423" ht="15.75" customHeight="1">
      <c r="A1423" s="25"/>
      <c r="B1423" s="22"/>
      <c r="C1423" s="25"/>
      <c r="D1423" s="22"/>
      <c r="E1423" s="25"/>
      <c r="F1423" s="22"/>
      <c r="G1423" s="25"/>
      <c r="H1423" s="22"/>
      <c r="I1423" s="25"/>
      <c r="J1423" s="22"/>
    </row>
    <row r="1424" ht="15.75" customHeight="1">
      <c r="A1424" s="25"/>
      <c r="B1424" s="22"/>
      <c r="C1424" s="25"/>
      <c r="D1424" s="22"/>
      <c r="E1424" s="25"/>
      <c r="F1424" s="22"/>
      <c r="G1424" s="25"/>
      <c r="H1424" s="22"/>
      <c r="I1424" s="25"/>
      <c r="J1424" s="22"/>
    </row>
    <row r="1425" ht="15.75" customHeight="1">
      <c r="A1425" s="25"/>
      <c r="B1425" s="22"/>
      <c r="C1425" s="25"/>
      <c r="D1425" s="22"/>
      <c r="E1425" s="25"/>
      <c r="F1425" s="22"/>
      <c r="G1425" s="25"/>
      <c r="H1425" s="22"/>
      <c r="I1425" s="25"/>
      <c r="J1425" s="22"/>
    </row>
    <row r="1426" ht="15.75" customHeight="1">
      <c r="A1426" s="25"/>
      <c r="B1426" s="22"/>
      <c r="C1426" s="25"/>
      <c r="D1426" s="22"/>
      <c r="E1426" s="25"/>
      <c r="F1426" s="22"/>
      <c r="G1426" s="25"/>
      <c r="H1426" s="22"/>
      <c r="I1426" s="25"/>
      <c r="J1426" s="22"/>
    </row>
    <row r="1427" ht="15.75" customHeight="1">
      <c r="A1427" s="25"/>
      <c r="B1427" s="22"/>
      <c r="C1427" s="25"/>
      <c r="D1427" s="22"/>
      <c r="E1427" s="25"/>
      <c r="F1427" s="22"/>
      <c r="G1427" s="25"/>
      <c r="H1427" s="22"/>
      <c r="I1427" s="25"/>
      <c r="J1427" s="22"/>
    </row>
    <row r="1428" ht="15.75" customHeight="1">
      <c r="A1428" s="25"/>
      <c r="B1428" s="22"/>
      <c r="C1428" s="25"/>
      <c r="D1428" s="22"/>
      <c r="E1428" s="25"/>
      <c r="F1428" s="22"/>
      <c r="G1428" s="25"/>
      <c r="H1428" s="22"/>
      <c r="I1428" s="25"/>
      <c r="J1428" s="22"/>
    </row>
    <row r="1429" ht="15.75" customHeight="1">
      <c r="A1429" s="25"/>
      <c r="B1429" s="22"/>
      <c r="C1429" s="25"/>
      <c r="D1429" s="22"/>
      <c r="E1429" s="25"/>
      <c r="F1429" s="22"/>
      <c r="G1429" s="25"/>
      <c r="H1429" s="22"/>
      <c r="I1429" s="25"/>
      <c r="J1429" s="22"/>
    </row>
    <row r="1430" ht="15.75" customHeight="1">
      <c r="A1430" s="25"/>
      <c r="B1430" s="22"/>
      <c r="C1430" s="25"/>
      <c r="D1430" s="22"/>
      <c r="E1430" s="25"/>
      <c r="F1430" s="22"/>
      <c r="G1430" s="25"/>
      <c r="H1430" s="22"/>
      <c r="I1430" s="25"/>
      <c r="J1430" s="22"/>
    </row>
    <row r="1431" ht="15.75" customHeight="1">
      <c r="A1431" s="25"/>
      <c r="B1431" s="22"/>
      <c r="C1431" s="25"/>
      <c r="D1431" s="22"/>
      <c r="E1431" s="25"/>
      <c r="F1431" s="22"/>
      <c r="G1431" s="25"/>
      <c r="H1431" s="22"/>
      <c r="I1431" s="25"/>
      <c r="J1431" s="22"/>
    </row>
    <row r="1432" ht="15.75" customHeight="1">
      <c r="A1432" s="25"/>
      <c r="B1432" s="22"/>
      <c r="C1432" s="25"/>
      <c r="D1432" s="22"/>
      <c r="E1432" s="25"/>
      <c r="F1432" s="22"/>
      <c r="G1432" s="25"/>
      <c r="H1432" s="22"/>
      <c r="I1432" s="25"/>
      <c r="J1432" s="22"/>
    </row>
    <row r="1433" ht="15.75" customHeight="1">
      <c r="A1433" s="25"/>
      <c r="B1433" s="22"/>
      <c r="C1433" s="25"/>
      <c r="D1433" s="22"/>
      <c r="E1433" s="25"/>
      <c r="F1433" s="22"/>
      <c r="G1433" s="25"/>
      <c r="H1433" s="22"/>
      <c r="I1433" s="25"/>
      <c r="J1433" s="22"/>
    </row>
    <row r="1434" ht="15.75" customHeight="1">
      <c r="A1434" s="25"/>
      <c r="B1434" s="22"/>
      <c r="C1434" s="25"/>
      <c r="D1434" s="22"/>
      <c r="E1434" s="25"/>
      <c r="F1434" s="22"/>
      <c r="G1434" s="25"/>
      <c r="H1434" s="22"/>
      <c r="I1434" s="25"/>
      <c r="J1434" s="22"/>
    </row>
    <row r="1435" ht="15.75" customHeight="1">
      <c r="A1435" s="25"/>
      <c r="B1435" s="22"/>
      <c r="C1435" s="25"/>
      <c r="D1435" s="22"/>
      <c r="E1435" s="25"/>
      <c r="F1435" s="22"/>
      <c r="G1435" s="25"/>
      <c r="H1435" s="22"/>
      <c r="I1435" s="25"/>
      <c r="J1435" s="22"/>
    </row>
    <row r="1436" ht="15.75" customHeight="1">
      <c r="A1436" s="25"/>
      <c r="B1436" s="22"/>
      <c r="C1436" s="25"/>
      <c r="D1436" s="22"/>
      <c r="E1436" s="25"/>
      <c r="F1436" s="22"/>
      <c r="G1436" s="25"/>
      <c r="H1436" s="22"/>
      <c r="I1436" s="25"/>
      <c r="J1436" s="22"/>
    </row>
    <row r="1437" ht="15.75" customHeight="1">
      <c r="A1437" s="25"/>
      <c r="B1437" s="22"/>
      <c r="C1437" s="25"/>
      <c r="D1437" s="22"/>
      <c r="E1437" s="25"/>
      <c r="F1437" s="22"/>
      <c r="G1437" s="25"/>
      <c r="H1437" s="22"/>
      <c r="I1437" s="25"/>
      <c r="J1437" s="22"/>
    </row>
    <row r="1438" ht="15.75" customHeight="1">
      <c r="A1438" s="25"/>
      <c r="B1438" s="22"/>
      <c r="C1438" s="25"/>
      <c r="D1438" s="22"/>
      <c r="E1438" s="25"/>
      <c r="F1438" s="22"/>
      <c r="G1438" s="25"/>
      <c r="H1438" s="22"/>
      <c r="I1438" s="25"/>
      <c r="J1438" s="22"/>
    </row>
    <row r="1439" ht="15.75" customHeight="1">
      <c r="A1439" s="25"/>
      <c r="B1439" s="22"/>
      <c r="C1439" s="25"/>
      <c r="D1439" s="22"/>
      <c r="E1439" s="25"/>
      <c r="F1439" s="22"/>
      <c r="G1439" s="25"/>
      <c r="H1439" s="22"/>
      <c r="I1439" s="25"/>
      <c r="J1439" s="22"/>
    </row>
    <row r="1440" ht="15.75" customHeight="1">
      <c r="A1440" s="25"/>
      <c r="B1440" s="22"/>
      <c r="C1440" s="25"/>
      <c r="D1440" s="22"/>
      <c r="E1440" s="25"/>
      <c r="F1440" s="22"/>
      <c r="G1440" s="25"/>
      <c r="H1440" s="22"/>
      <c r="I1440" s="25"/>
      <c r="J1440" s="22"/>
    </row>
    <row r="1441" ht="15.75" customHeight="1">
      <c r="A1441" s="25"/>
      <c r="B1441" s="22"/>
      <c r="C1441" s="25"/>
      <c r="D1441" s="22"/>
      <c r="E1441" s="25"/>
      <c r="F1441" s="22"/>
      <c r="G1441" s="25"/>
      <c r="H1441" s="22"/>
      <c r="I1441" s="25"/>
      <c r="J1441" s="22"/>
    </row>
    <row r="1442" ht="15.75" customHeight="1">
      <c r="A1442" s="25"/>
      <c r="B1442" s="22"/>
      <c r="C1442" s="25"/>
      <c r="D1442" s="22"/>
      <c r="E1442" s="25"/>
      <c r="F1442" s="22"/>
      <c r="G1442" s="25"/>
      <c r="H1442" s="22"/>
      <c r="I1442" s="25"/>
      <c r="J1442" s="22"/>
    </row>
    <row r="1443" ht="15.75" customHeight="1">
      <c r="A1443" s="25"/>
      <c r="B1443" s="22"/>
      <c r="C1443" s="25"/>
      <c r="D1443" s="22"/>
      <c r="E1443" s="25"/>
      <c r="F1443" s="22"/>
      <c r="G1443" s="25"/>
      <c r="H1443" s="22"/>
      <c r="I1443" s="25"/>
      <c r="J1443" s="22"/>
    </row>
    <row r="1444" ht="15.75" customHeight="1">
      <c r="A1444" s="25"/>
      <c r="B1444" s="22"/>
      <c r="C1444" s="25"/>
      <c r="D1444" s="22"/>
      <c r="E1444" s="25"/>
      <c r="F1444" s="22"/>
      <c r="G1444" s="25"/>
      <c r="H1444" s="22"/>
      <c r="I1444" s="25"/>
      <c r="J1444" s="22"/>
    </row>
    <row r="1445" ht="15.75" customHeight="1">
      <c r="A1445" s="25"/>
      <c r="B1445" s="22"/>
      <c r="C1445" s="25"/>
      <c r="D1445" s="22"/>
      <c r="E1445" s="25"/>
      <c r="F1445" s="22"/>
      <c r="G1445" s="25"/>
      <c r="H1445" s="22"/>
      <c r="I1445" s="25"/>
      <c r="J1445" s="22"/>
    </row>
    <row r="1446" ht="15.75" customHeight="1">
      <c r="A1446" s="25"/>
      <c r="B1446" s="22"/>
      <c r="C1446" s="25"/>
      <c r="D1446" s="22"/>
      <c r="E1446" s="25"/>
      <c r="F1446" s="22"/>
      <c r="G1446" s="25"/>
      <c r="H1446" s="22"/>
      <c r="I1446" s="25"/>
      <c r="J1446" s="22"/>
    </row>
    <row r="1447" ht="15.75" customHeight="1">
      <c r="A1447" s="25"/>
      <c r="B1447" s="22"/>
      <c r="C1447" s="25"/>
      <c r="D1447" s="22"/>
      <c r="E1447" s="25"/>
      <c r="F1447" s="22"/>
      <c r="G1447" s="25"/>
      <c r="H1447" s="22"/>
      <c r="I1447" s="25"/>
      <c r="J1447" s="22"/>
    </row>
    <row r="1448" ht="15.75" customHeight="1">
      <c r="A1448" s="25"/>
      <c r="B1448" s="22"/>
      <c r="C1448" s="25"/>
      <c r="D1448" s="22"/>
      <c r="E1448" s="25"/>
      <c r="F1448" s="22"/>
      <c r="G1448" s="25"/>
      <c r="H1448" s="22"/>
      <c r="I1448" s="25"/>
      <c r="J1448" s="22"/>
    </row>
    <row r="1449" ht="15.75" customHeight="1">
      <c r="A1449" s="25"/>
      <c r="B1449" s="22"/>
      <c r="C1449" s="25"/>
      <c r="D1449" s="22"/>
      <c r="E1449" s="25"/>
      <c r="F1449" s="22"/>
      <c r="G1449" s="25"/>
      <c r="H1449" s="22"/>
      <c r="I1449" s="25"/>
      <c r="J1449" s="22"/>
    </row>
    <row r="1450" ht="15.75" customHeight="1">
      <c r="A1450" s="25"/>
      <c r="B1450" s="22"/>
      <c r="C1450" s="25"/>
      <c r="D1450" s="22"/>
      <c r="E1450" s="25"/>
      <c r="F1450" s="22"/>
      <c r="G1450" s="25"/>
      <c r="H1450" s="22"/>
      <c r="I1450" s="25"/>
      <c r="J1450" s="22"/>
    </row>
    <row r="1451" ht="15.75" customHeight="1">
      <c r="A1451" s="25"/>
      <c r="B1451" s="22"/>
      <c r="C1451" s="25"/>
      <c r="D1451" s="22"/>
      <c r="E1451" s="25"/>
      <c r="F1451" s="22"/>
      <c r="G1451" s="25"/>
      <c r="H1451" s="22"/>
      <c r="I1451" s="25"/>
      <c r="J1451" s="22"/>
    </row>
    <row r="1452" ht="15.75" customHeight="1">
      <c r="A1452" s="25"/>
      <c r="B1452" s="22"/>
      <c r="C1452" s="25"/>
      <c r="D1452" s="22"/>
      <c r="E1452" s="25"/>
      <c r="F1452" s="22"/>
      <c r="G1452" s="25"/>
      <c r="H1452" s="22"/>
      <c r="I1452" s="25"/>
      <c r="J1452" s="22"/>
    </row>
    <row r="1453" ht="15.75" customHeight="1">
      <c r="A1453" s="25"/>
      <c r="B1453" s="22"/>
      <c r="C1453" s="25"/>
      <c r="D1453" s="22"/>
      <c r="E1453" s="25"/>
      <c r="F1453" s="22"/>
      <c r="G1453" s="25"/>
      <c r="H1453" s="22"/>
      <c r="I1453" s="25"/>
      <c r="J1453" s="22"/>
    </row>
    <row r="1454" ht="15.75" customHeight="1">
      <c r="A1454" s="25"/>
      <c r="B1454" s="22"/>
      <c r="C1454" s="25"/>
      <c r="D1454" s="22"/>
      <c r="E1454" s="25"/>
      <c r="F1454" s="22"/>
      <c r="G1454" s="25"/>
      <c r="H1454" s="22"/>
      <c r="I1454" s="25"/>
      <c r="J1454" s="22"/>
    </row>
    <row r="1455" ht="15.75" customHeight="1">
      <c r="A1455" s="25"/>
      <c r="B1455" s="22"/>
      <c r="C1455" s="25"/>
      <c r="D1455" s="22"/>
      <c r="E1455" s="25"/>
      <c r="F1455" s="22"/>
      <c r="G1455" s="25"/>
      <c r="H1455" s="22"/>
      <c r="I1455" s="25"/>
      <c r="J1455" s="22"/>
    </row>
    <row r="1456" ht="15.75" customHeight="1">
      <c r="A1456" s="25"/>
      <c r="B1456" s="22"/>
      <c r="C1456" s="25"/>
      <c r="D1456" s="22"/>
      <c r="E1456" s="25"/>
      <c r="F1456" s="22"/>
      <c r="G1456" s="25"/>
      <c r="H1456" s="22"/>
      <c r="I1456" s="25"/>
      <c r="J1456" s="22"/>
    </row>
    <row r="1457" ht="15.75" customHeight="1">
      <c r="A1457" s="25"/>
      <c r="B1457" s="22"/>
      <c r="C1457" s="25"/>
      <c r="D1457" s="22"/>
      <c r="E1457" s="25"/>
      <c r="F1457" s="22"/>
      <c r="G1457" s="25"/>
      <c r="H1457" s="22"/>
      <c r="I1457" s="25"/>
      <c r="J1457" s="22"/>
    </row>
    <row r="1458" ht="15.75" customHeight="1">
      <c r="A1458" s="25"/>
      <c r="B1458" s="22"/>
      <c r="C1458" s="25"/>
      <c r="D1458" s="22"/>
      <c r="E1458" s="25"/>
      <c r="F1458" s="22"/>
      <c r="G1458" s="25"/>
      <c r="H1458" s="22"/>
      <c r="I1458" s="25"/>
      <c r="J1458" s="22"/>
    </row>
    <row r="1459" ht="15.75" customHeight="1">
      <c r="A1459" s="25"/>
      <c r="B1459" s="22"/>
      <c r="C1459" s="25"/>
      <c r="D1459" s="22"/>
      <c r="E1459" s="25"/>
      <c r="F1459" s="22"/>
      <c r="G1459" s="25"/>
      <c r="H1459" s="22"/>
      <c r="I1459" s="25"/>
      <c r="J1459" s="22"/>
    </row>
    <row r="1460" ht="15.75" customHeight="1">
      <c r="A1460" s="25"/>
      <c r="B1460" s="22"/>
      <c r="C1460" s="25"/>
      <c r="D1460" s="22"/>
      <c r="E1460" s="25"/>
      <c r="F1460" s="22"/>
      <c r="G1460" s="25"/>
      <c r="H1460" s="22"/>
      <c r="I1460" s="25"/>
      <c r="J1460" s="22"/>
    </row>
    <row r="1461" ht="15.75" customHeight="1">
      <c r="A1461" s="25"/>
      <c r="B1461" s="22"/>
      <c r="C1461" s="25"/>
      <c r="D1461" s="22"/>
      <c r="E1461" s="25"/>
      <c r="F1461" s="22"/>
      <c r="G1461" s="25"/>
      <c r="H1461" s="22"/>
      <c r="I1461" s="25"/>
      <c r="J1461" s="22"/>
    </row>
    <row r="1462" ht="15.75" customHeight="1">
      <c r="A1462" s="25"/>
      <c r="B1462" s="22"/>
      <c r="C1462" s="25"/>
      <c r="D1462" s="22"/>
      <c r="E1462" s="25"/>
      <c r="F1462" s="22"/>
      <c r="G1462" s="25"/>
      <c r="H1462" s="22"/>
      <c r="I1462" s="25"/>
      <c r="J1462" s="22"/>
    </row>
    <row r="1463" ht="15.75" customHeight="1">
      <c r="A1463" s="25"/>
      <c r="B1463" s="22"/>
      <c r="C1463" s="25"/>
      <c r="D1463" s="22"/>
      <c r="E1463" s="25"/>
      <c r="F1463" s="22"/>
      <c r="G1463" s="25"/>
      <c r="H1463" s="22"/>
      <c r="I1463" s="25"/>
      <c r="J1463" s="22"/>
    </row>
    <row r="1464" ht="15.75" customHeight="1">
      <c r="A1464" s="25"/>
      <c r="B1464" s="22"/>
      <c r="C1464" s="25"/>
      <c r="D1464" s="22"/>
      <c r="E1464" s="25"/>
      <c r="F1464" s="22"/>
      <c r="G1464" s="25"/>
      <c r="H1464" s="22"/>
      <c r="I1464" s="25"/>
      <c r="J1464" s="22"/>
    </row>
    <row r="1465" ht="15.75" customHeight="1">
      <c r="A1465" s="25"/>
      <c r="B1465" s="22"/>
      <c r="C1465" s="25"/>
      <c r="D1465" s="22"/>
      <c r="E1465" s="25"/>
      <c r="F1465" s="22"/>
      <c r="G1465" s="25"/>
      <c r="H1465" s="22"/>
      <c r="I1465" s="25"/>
      <c r="J1465" s="22"/>
    </row>
    <row r="1466" ht="15.75" customHeight="1">
      <c r="A1466" s="25"/>
      <c r="B1466" s="22"/>
      <c r="C1466" s="25"/>
      <c r="D1466" s="22"/>
      <c r="E1466" s="25"/>
      <c r="F1466" s="22"/>
      <c r="G1466" s="25"/>
      <c r="H1466" s="22"/>
      <c r="I1466" s="25"/>
      <c r="J1466" s="22"/>
    </row>
    <row r="1467" ht="15.75" customHeight="1">
      <c r="A1467" s="25"/>
      <c r="B1467" s="22"/>
      <c r="C1467" s="25"/>
      <c r="D1467" s="22"/>
      <c r="E1467" s="25"/>
      <c r="F1467" s="22"/>
      <c r="G1467" s="25"/>
      <c r="H1467" s="22"/>
      <c r="I1467" s="25"/>
      <c r="J1467" s="22"/>
    </row>
    <row r="1468" ht="15.75" customHeight="1">
      <c r="A1468" s="25"/>
      <c r="B1468" s="22"/>
      <c r="C1468" s="25"/>
      <c r="D1468" s="22"/>
      <c r="E1468" s="25"/>
      <c r="F1468" s="22"/>
      <c r="G1468" s="25"/>
      <c r="H1468" s="22"/>
      <c r="I1468" s="25"/>
      <c r="J1468" s="22"/>
    </row>
    <row r="1469" ht="15.75" customHeight="1">
      <c r="A1469" s="25"/>
      <c r="B1469" s="22"/>
      <c r="C1469" s="25"/>
      <c r="D1469" s="22"/>
      <c r="E1469" s="25"/>
      <c r="F1469" s="22"/>
      <c r="G1469" s="25"/>
      <c r="H1469" s="22"/>
      <c r="I1469" s="25"/>
      <c r="J1469" s="22"/>
    </row>
    <row r="1470" ht="15.75" customHeight="1">
      <c r="A1470" s="25"/>
      <c r="B1470" s="22"/>
      <c r="C1470" s="25"/>
      <c r="D1470" s="22"/>
      <c r="E1470" s="25"/>
      <c r="F1470" s="22"/>
      <c r="G1470" s="25"/>
      <c r="H1470" s="22"/>
      <c r="I1470" s="25"/>
      <c r="J1470" s="22"/>
    </row>
    <row r="1471" ht="15.75" customHeight="1">
      <c r="A1471" s="25"/>
      <c r="B1471" s="22"/>
      <c r="C1471" s="25"/>
      <c r="D1471" s="22"/>
      <c r="E1471" s="25"/>
      <c r="F1471" s="22"/>
      <c r="G1471" s="25"/>
      <c r="H1471" s="22"/>
      <c r="I1471" s="25"/>
      <c r="J1471" s="22"/>
    </row>
    <row r="1472" ht="15.75" customHeight="1">
      <c r="A1472" s="25"/>
      <c r="B1472" s="22"/>
      <c r="C1472" s="25"/>
      <c r="D1472" s="22"/>
      <c r="E1472" s="25"/>
      <c r="F1472" s="22"/>
      <c r="G1472" s="25"/>
      <c r="H1472" s="22"/>
      <c r="I1472" s="25"/>
      <c r="J1472" s="22"/>
    </row>
    <row r="1473" ht="15.75" customHeight="1">
      <c r="A1473" s="25"/>
      <c r="B1473" s="22"/>
      <c r="C1473" s="25"/>
      <c r="D1473" s="22"/>
      <c r="E1473" s="25"/>
      <c r="F1473" s="22"/>
      <c r="G1473" s="25"/>
      <c r="H1473" s="22"/>
      <c r="I1473" s="25"/>
      <c r="J1473" s="22"/>
    </row>
    <row r="1474" ht="15.75" customHeight="1">
      <c r="A1474" s="25"/>
      <c r="B1474" s="22"/>
      <c r="C1474" s="25"/>
      <c r="D1474" s="22"/>
      <c r="E1474" s="25"/>
      <c r="F1474" s="22"/>
      <c r="G1474" s="25"/>
      <c r="H1474" s="22"/>
      <c r="I1474" s="25"/>
      <c r="J1474" s="22"/>
    </row>
    <row r="1475" ht="15.75" customHeight="1">
      <c r="A1475" s="25"/>
      <c r="B1475" s="22"/>
      <c r="C1475" s="25"/>
      <c r="D1475" s="22"/>
      <c r="E1475" s="25"/>
      <c r="F1475" s="22"/>
      <c r="G1475" s="25"/>
      <c r="H1475" s="22"/>
      <c r="I1475" s="25"/>
      <c r="J1475" s="22"/>
    </row>
    <row r="1476" ht="15.75" customHeight="1">
      <c r="A1476" s="25"/>
      <c r="B1476" s="22"/>
      <c r="C1476" s="25"/>
      <c r="D1476" s="22"/>
      <c r="E1476" s="25"/>
      <c r="F1476" s="22"/>
      <c r="G1476" s="25"/>
      <c r="H1476" s="22"/>
      <c r="I1476" s="25"/>
      <c r="J1476" s="22"/>
    </row>
    <row r="1477" ht="15.75" customHeight="1">
      <c r="A1477" s="25"/>
      <c r="B1477" s="22"/>
      <c r="C1477" s="25"/>
      <c r="D1477" s="22"/>
      <c r="E1477" s="25"/>
      <c r="F1477" s="22"/>
      <c r="G1477" s="25"/>
      <c r="H1477" s="22"/>
      <c r="I1477" s="25"/>
      <c r="J1477" s="22"/>
    </row>
    <row r="1478" ht="15.75" customHeight="1">
      <c r="A1478" s="25"/>
      <c r="B1478" s="22"/>
      <c r="C1478" s="25"/>
      <c r="D1478" s="22"/>
      <c r="E1478" s="25"/>
      <c r="F1478" s="22"/>
      <c r="G1478" s="25"/>
      <c r="H1478" s="22"/>
      <c r="I1478" s="25"/>
      <c r="J1478" s="22"/>
    </row>
    <row r="1479" ht="15.75" customHeight="1">
      <c r="A1479" s="25"/>
      <c r="B1479" s="22"/>
      <c r="C1479" s="25"/>
      <c r="D1479" s="22"/>
      <c r="E1479" s="25"/>
      <c r="F1479" s="22"/>
      <c r="G1479" s="25"/>
      <c r="H1479" s="22"/>
      <c r="I1479" s="25"/>
      <c r="J1479" s="22"/>
    </row>
    <row r="1480" ht="15.75" customHeight="1">
      <c r="A1480" s="25"/>
      <c r="B1480" s="22"/>
      <c r="C1480" s="25"/>
      <c r="D1480" s="22"/>
      <c r="E1480" s="25"/>
      <c r="F1480" s="22"/>
      <c r="G1480" s="25"/>
      <c r="H1480" s="22"/>
      <c r="I1480" s="25"/>
      <c r="J1480" s="22"/>
    </row>
    <row r="1481" ht="15.75" customHeight="1">
      <c r="A1481" s="25"/>
      <c r="B1481" s="22"/>
      <c r="C1481" s="25"/>
      <c r="D1481" s="22"/>
      <c r="E1481" s="25"/>
      <c r="F1481" s="22"/>
      <c r="G1481" s="25"/>
      <c r="H1481" s="22"/>
      <c r="I1481" s="25"/>
      <c r="J1481" s="22"/>
    </row>
    <row r="1482" ht="15.75" customHeight="1">
      <c r="A1482" s="25"/>
      <c r="B1482" s="22"/>
      <c r="C1482" s="25"/>
      <c r="D1482" s="22"/>
      <c r="E1482" s="25"/>
      <c r="F1482" s="22"/>
      <c r="G1482" s="25"/>
      <c r="H1482" s="22"/>
      <c r="I1482" s="25"/>
      <c r="J1482" s="22"/>
    </row>
    <row r="1483" ht="15.75" customHeight="1">
      <c r="A1483" s="25"/>
      <c r="B1483" s="22"/>
      <c r="C1483" s="25"/>
      <c r="D1483" s="22"/>
      <c r="E1483" s="25"/>
      <c r="F1483" s="22"/>
      <c r="G1483" s="25"/>
      <c r="H1483" s="22"/>
      <c r="I1483" s="25"/>
      <c r="J1483" s="22"/>
    </row>
    <row r="1484" ht="15.75" customHeight="1">
      <c r="A1484" s="25"/>
      <c r="B1484" s="22"/>
      <c r="C1484" s="25"/>
      <c r="D1484" s="22"/>
      <c r="E1484" s="25"/>
      <c r="F1484" s="22"/>
      <c r="G1484" s="25"/>
      <c r="H1484" s="22"/>
      <c r="I1484" s="25"/>
      <c r="J1484" s="22"/>
    </row>
    <row r="1485" ht="15.75" customHeight="1">
      <c r="A1485" s="25"/>
      <c r="B1485" s="22"/>
      <c r="C1485" s="25"/>
      <c r="D1485" s="22"/>
      <c r="E1485" s="25"/>
      <c r="F1485" s="22"/>
      <c r="G1485" s="25"/>
      <c r="H1485" s="22"/>
      <c r="I1485" s="25"/>
      <c r="J1485" s="22"/>
    </row>
    <row r="1486" ht="15.75" customHeight="1">
      <c r="A1486" s="25"/>
      <c r="B1486" s="22"/>
      <c r="C1486" s="25"/>
      <c r="D1486" s="22"/>
      <c r="E1486" s="25"/>
      <c r="F1486" s="22"/>
      <c r="G1486" s="25"/>
      <c r="H1486" s="22"/>
      <c r="I1486" s="25"/>
      <c r="J1486" s="22"/>
    </row>
    <row r="1487" ht="15.75" customHeight="1">
      <c r="A1487" s="25"/>
      <c r="B1487" s="22"/>
      <c r="C1487" s="25"/>
      <c r="D1487" s="22"/>
      <c r="E1487" s="25"/>
      <c r="F1487" s="22"/>
      <c r="G1487" s="25"/>
      <c r="H1487" s="22"/>
      <c r="I1487" s="25"/>
      <c r="J1487" s="22"/>
    </row>
    <row r="1488" ht="15.75" customHeight="1">
      <c r="A1488" s="25"/>
      <c r="B1488" s="22"/>
      <c r="C1488" s="25"/>
      <c r="D1488" s="22"/>
      <c r="E1488" s="25"/>
      <c r="F1488" s="22"/>
      <c r="G1488" s="25"/>
      <c r="H1488" s="22"/>
      <c r="I1488" s="25"/>
      <c r="J1488" s="22"/>
    </row>
    <row r="1489" ht="15.75" customHeight="1">
      <c r="A1489" s="25"/>
      <c r="B1489" s="22"/>
      <c r="C1489" s="25"/>
      <c r="D1489" s="22"/>
      <c r="E1489" s="25"/>
      <c r="F1489" s="22"/>
      <c r="G1489" s="25"/>
      <c r="H1489" s="22"/>
      <c r="I1489" s="25"/>
      <c r="J1489" s="22"/>
    </row>
    <row r="1490" ht="15.75" customHeight="1">
      <c r="A1490" s="25"/>
      <c r="B1490" s="22"/>
      <c r="C1490" s="25"/>
      <c r="D1490" s="22"/>
      <c r="E1490" s="25"/>
      <c r="F1490" s="22"/>
      <c r="G1490" s="25"/>
      <c r="H1490" s="22"/>
      <c r="I1490" s="25"/>
      <c r="J1490" s="22"/>
    </row>
    <row r="1491" ht="15.75" customHeight="1">
      <c r="A1491" s="25"/>
      <c r="B1491" s="22"/>
      <c r="C1491" s="25"/>
      <c r="D1491" s="22"/>
      <c r="E1491" s="25"/>
      <c r="F1491" s="22"/>
      <c r="G1491" s="25"/>
      <c r="H1491" s="22"/>
      <c r="I1491" s="25"/>
      <c r="J1491" s="22"/>
    </row>
    <row r="1492" ht="15.75" customHeight="1">
      <c r="A1492" s="25"/>
      <c r="B1492" s="22"/>
      <c r="C1492" s="25"/>
      <c r="D1492" s="22"/>
      <c r="E1492" s="25"/>
      <c r="F1492" s="22"/>
      <c r="G1492" s="25"/>
      <c r="H1492" s="22"/>
      <c r="I1492" s="25"/>
      <c r="J1492" s="22"/>
    </row>
    <row r="1493" ht="15.75" customHeight="1">
      <c r="A1493" s="25"/>
      <c r="B1493" s="22"/>
      <c r="C1493" s="25"/>
      <c r="D1493" s="22"/>
      <c r="E1493" s="25"/>
      <c r="F1493" s="22"/>
      <c r="G1493" s="25"/>
      <c r="H1493" s="22"/>
      <c r="I1493" s="25"/>
      <c r="J1493" s="22"/>
    </row>
    <row r="1494" ht="15.75" customHeight="1">
      <c r="A1494" s="25"/>
      <c r="B1494" s="22"/>
      <c r="C1494" s="25"/>
      <c r="D1494" s="22"/>
      <c r="E1494" s="25"/>
      <c r="F1494" s="22"/>
      <c r="G1494" s="25"/>
      <c r="H1494" s="22"/>
      <c r="I1494" s="25"/>
      <c r="J1494" s="22"/>
    </row>
    <row r="1495" ht="15.75" customHeight="1">
      <c r="A1495" s="25"/>
      <c r="B1495" s="22"/>
      <c r="C1495" s="25"/>
      <c r="D1495" s="22"/>
      <c r="E1495" s="25"/>
      <c r="F1495" s="22"/>
      <c r="G1495" s="25"/>
      <c r="H1495" s="22"/>
      <c r="I1495" s="25"/>
      <c r="J1495" s="22"/>
    </row>
    <row r="1496" ht="15.75" customHeight="1">
      <c r="A1496" s="25"/>
      <c r="B1496" s="22"/>
      <c r="C1496" s="25"/>
      <c r="D1496" s="22"/>
      <c r="E1496" s="25"/>
      <c r="F1496" s="22"/>
      <c r="G1496" s="25"/>
      <c r="H1496" s="22"/>
      <c r="I1496" s="25"/>
      <c r="J1496" s="22"/>
    </row>
    <row r="1497" ht="15.75" customHeight="1">
      <c r="A1497" s="25"/>
      <c r="B1497" s="22"/>
      <c r="C1497" s="25"/>
      <c r="D1497" s="22"/>
      <c r="E1497" s="25"/>
      <c r="F1497" s="22"/>
      <c r="G1497" s="25"/>
      <c r="H1497" s="22"/>
      <c r="I1497" s="25"/>
      <c r="J1497" s="22"/>
    </row>
    <row r="1498" ht="15.75" customHeight="1">
      <c r="A1498" s="25"/>
      <c r="B1498" s="22"/>
      <c r="C1498" s="25"/>
      <c r="D1498" s="22"/>
      <c r="E1498" s="25"/>
      <c r="F1498" s="22"/>
      <c r="G1498" s="25"/>
      <c r="H1498" s="22"/>
      <c r="I1498" s="25"/>
      <c r="J1498" s="22"/>
    </row>
    <row r="1499" ht="15.75" customHeight="1">
      <c r="A1499" s="25"/>
      <c r="B1499" s="22"/>
      <c r="C1499" s="25"/>
      <c r="D1499" s="22"/>
      <c r="E1499" s="25"/>
      <c r="F1499" s="22"/>
      <c r="G1499" s="25"/>
      <c r="H1499" s="22"/>
      <c r="I1499" s="25"/>
      <c r="J1499" s="22"/>
    </row>
    <row r="1500" ht="15.75" customHeight="1">
      <c r="A1500" s="25"/>
      <c r="B1500" s="22"/>
      <c r="C1500" s="25"/>
      <c r="D1500" s="22"/>
      <c r="E1500" s="25"/>
      <c r="F1500" s="22"/>
      <c r="G1500" s="25"/>
      <c r="H1500" s="22"/>
      <c r="I1500" s="25"/>
      <c r="J1500" s="22"/>
    </row>
    <row r="1501" ht="15.75" customHeight="1">
      <c r="A1501" s="25"/>
      <c r="B1501" s="22"/>
      <c r="C1501" s="25"/>
      <c r="D1501" s="22"/>
      <c r="E1501" s="25"/>
      <c r="F1501" s="22"/>
      <c r="G1501" s="25"/>
      <c r="H1501" s="22"/>
      <c r="I1501" s="25"/>
      <c r="J1501" s="22"/>
    </row>
    <row r="1502" ht="15.75" customHeight="1">
      <c r="A1502" s="25"/>
      <c r="B1502" s="22"/>
      <c r="C1502" s="25"/>
      <c r="D1502" s="22"/>
      <c r="E1502" s="25"/>
      <c r="F1502" s="22"/>
      <c r="G1502" s="25"/>
      <c r="H1502" s="22"/>
      <c r="I1502" s="25"/>
      <c r="J1502" s="22"/>
    </row>
    <row r="1503" ht="15.75" customHeight="1">
      <c r="A1503" s="25"/>
      <c r="B1503" s="22"/>
      <c r="C1503" s="25"/>
      <c r="D1503" s="22"/>
      <c r="E1503" s="25"/>
      <c r="F1503" s="22"/>
      <c r="G1503" s="25"/>
      <c r="H1503" s="22"/>
      <c r="I1503" s="25"/>
      <c r="J1503" s="22"/>
    </row>
    <row r="1504" ht="15.75" customHeight="1">
      <c r="A1504" s="25"/>
      <c r="B1504" s="22"/>
      <c r="C1504" s="25"/>
      <c r="D1504" s="22"/>
      <c r="E1504" s="25"/>
      <c r="F1504" s="22"/>
      <c r="G1504" s="25"/>
      <c r="H1504" s="22"/>
      <c r="I1504" s="25"/>
      <c r="J1504" s="22"/>
    </row>
    <row r="1505" ht="15.75" customHeight="1">
      <c r="A1505" s="25"/>
      <c r="B1505" s="22"/>
      <c r="C1505" s="25"/>
      <c r="D1505" s="22"/>
      <c r="E1505" s="25"/>
      <c r="F1505" s="22"/>
      <c r="G1505" s="25"/>
      <c r="H1505" s="22"/>
      <c r="I1505" s="25"/>
      <c r="J1505" s="22"/>
    </row>
    <row r="1506" ht="15.75" customHeight="1">
      <c r="A1506" s="25"/>
      <c r="B1506" s="22"/>
      <c r="C1506" s="25"/>
      <c r="D1506" s="22"/>
      <c r="E1506" s="25"/>
      <c r="F1506" s="22"/>
      <c r="G1506" s="25"/>
      <c r="H1506" s="22"/>
      <c r="I1506" s="25"/>
      <c r="J1506" s="22"/>
    </row>
    <row r="1507" ht="15.75" customHeight="1">
      <c r="A1507" s="25"/>
      <c r="B1507" s="22"/>
      <c r="C1507" s="25"/>
      <c r="D1507" s="22"/>
      <c r="E1507" s="25"/>
      <c r="F1507" s="22"/>
      <c r="G1507" s="25"/>
      <c r="H1507" s="22"/>
      <c r="I1507" s="25"/>
      <c r="J1507" s="22"/>
    </row>
    <row r="1508" ht="15.75" customHeight="1">
      <c r="A1508" s="25"/>
      <c r="B1508" s="22"/>
      <c r="C1508" s="25"/>
      <c r="D1508" s="22"/>
      <c r="E1508" s="25"/>
      <c r="F1508" s="22"/>
      <c r="G1508" s="25"/>
      <c r="H1508" s="22"/>
      <c r="I1508" s="25"/>
      <c r="J1508" s="22"/>
    </row>
    <row r="1509" ht="15.75" customHeight="1">
      <c r="A1509" s="25"/>
      <c r="B1509" s="22"/>
      <c r="C1509" s="25"/>
      <c r="D1509" s="22"/>
      <c r="E1509" s="25"/>
      <c r="F1509" s="22"/>
      <c r="G1509" s="25"/>
      <c r="H1509" s="22"/>
      <c r="I1509" s="25"/>
      <c r="J1509" s="22"/>
    </row>
    <row r="1510" ht="15.75" customHeight="1">
      <c r="A1510" s="25"/>
      <c r="B1510" s="22"/>
      <c r="C1510" s="25"/>
      <c r="D1510" s="22"/>
      <c r="E1510" s="25"/>
      <c r="F1510" s="22"/>
      <c r="G1510" s="25"/>
      <c r="H1510" s="22"/>
      <c r="I1510" s="25"/>
      <c r="J1510" s="22"/>
    </row>
    <row r="1511" ht="15.75" customHeight="1">
      <c r="A1511" s="25"/>
      <c r="B1511" s="22"/>
      <c r="C1511" s="25"/>
      <c r="D1511" s="22"/>
      <c r="E1511" s="25"/>
      <c r="F1511" s="22"/>
      <c r="G1511" s="25"/>
      <c r="H1511" s="22"/>
      <c r="I1511" s="25"/>
      <c r="J1511" s="22"/>
    </row>
    <row r="1512" ht="15.75" customHeight="1">
      <c r="A1512" s="25"/>
      <c r="B1512" s="22"/>
      <c r="C1512" s="25"/>
      <c r="D1512" s="22"/>
      <c r="E1512" s="25"/>
      <c r="F1512" s="22"/>
      <c r="G1512" s="25"/>
      <c r="H1512" s="22"/>
      <c r="I1512" s="25"/>
      <c r="J1512" s="22"/>
    </row>
    <row r="1513" ht="15.75" customHeight="1">
      <c r="A1513" s="25"/>
      <c r="B1513" s="22"/>
      <c r="C1513" s="25"/>
      <c r="D1513" s="22"/>
      <c r="E1513" s="25"/>
      <c r="F1513" s="22"/>
      <c r="G1513" s="25"/>
      <c r="H1513" s="22"/>
      <c r="I1513" s="25"/>
      <c r="J1513" s="22"/>
    </row>
    <row r="1514" ht="15.75" customHeight="1">
      <c r="A1514" s="25"/>
      <c r="B1514" s="22"/>
      <c r="C1514" s="25"/>
      <c r="D1514" s="22"/>
      <c r="E1514" s="25"/>
      <c r="F1514" s="22"/>
      <c r="G1514" s="25"/>
      <c r="H1514" s="22"/>
      <c r="I1514" s="25"/>
      <c r="J1514" s="22"/>
    </row>
    <row r="1515" ht="15.75" customHeight="1">
      <c r="A1515" s="25"/>
      <c r="B1515" s="22"/>
      <c r="C1515" s="25"/>
      <c r="D1515" s="22"/>
      <c r="E1515" s="25"/>
      <c r="F1515" s="22"/>
      <c r="G1515" s="25"/>
      <c r="H1515" s="22"/>
      <c r="I1515" s="25"/>
      <c r="J1515" s="22"/>
    </row>
    <row r="1516" ht="15.75" customHeight="1">
      <c r="A1516" s="25"/>
      <c r="B1516" s="22"/>
      <c r="C1516" s="25"/>
      <c r="D1516" s="22"/>
      <c r="E1516" s="25"/>
      <c r="F1516" s="22"/>
      <c r="G1516" s="25"/>
      <c r="H1516" s="22"/>
      <c r="I1516" s="25"/>
      <c r="J1516" s="22"/>
    </row>
    <row r="1517" ht="15.75" customHeight="1">
      <c r="A1517" s="25"/>
      <c r="B1517" s="22"/>
      <c r="C1517" s="25"/>
      <c r="D1517" s="22"/>
      <c r="E1517" s="25"/>
      <c r="F1517" s="22"/>
      <c r="G1517" s="25"/>
      <c r="H1517" s="22"/>
      <c r="I1517" s="25"/>
      <c r="J1517" s="22"/>
    </row>
    <row r="1518" ht="15.75" customHeight="1">
      <c r="A1518" s="25"/>
      <c r="B1518" s="22"/>
      <c r="C1518" s="25"/>
      <c r="D1518" s="22"/>
      <c r="E1518" s="25"/>
      <c r="F1518" s="22"/>
      <c r="G1518" s="25"/>
      <c r="H1518" s="22"/>
      <c r="I1518" s="25"/>
      <c r="J1518" s="22"/>
    </row>
    <row r="1519" ht="15.75" customHeight="1">
      <c r="A1519" s="25"/>
      <c r="B1519" s="22"/>
      <c r="C1519" s="25"/>
      <c r="D1519" s="22"/>
      <c r="E1519" s="25"/>
      <c r="F1519" s="22"/>
      <c r="G1519" s="25"/>
      <c r="H1519" s="22"/>
      <c r="I1519" s="25"/>
      <c r="J1519" s="22"/>
    </row>
    <row r="1520" ht="15.75" customHeight="1">
      <c r="A1520" s="25"/>
      <c r="B1520" s="22"/>
      <c r="C1520" s="25"/>
      <c r="D1520" s="22"/>
      <c r="E1520" s="25"/>
      <c r="F1520" s="22"/>
      <c r="G1520" s="25"/>
      <c r="H1520" s="22"/>
      <c r="I1520" s="25"/>
      <c r="J1520" s="22"/>
    </row>
    <row r="1521" ht="15.75" customHeight="1">
      <c r="A1521" s="25"/>
      <c r="B1521" s="22"/>
      <c r="C1521" s="25"/>
      <c r="D1521" s="22"/>
      <c r="E1521" s="25"/>
      <c r="F1521" s="22"/>
      <c r="G1521" s="25"/>
      <c r="H1521" s="22"/>
      <c r="I1521" s="25"/>
      <c r="J1521" s="22"/>
    </row>
    <row r="1522" ht="15.75" customHeight="1">
      <c r="A1522" s="25"/>
      <c r="B1522" s="22"/>
      <c r="C1522" s="25"/>
      <c r="D1522" s="22"/>
      <c r="E1522" s="25"/>
      <c r="F1522" s="22"/>
      <c r="G1522" s="25"/>
      <c r="H1522" s="22"/>
      <c r="I1522" s="25"/>
      <c r="J1522" s="22"/>
    </row>
    <row r="1523" ht="15.75" customHeight="1">
      <c r="A1523" s="25"/>
      <c r="B1523" s="22"/>
      <c r="C1523" s="25"/>
      <c r="D1523" s="22"/>
      <c r="E1523" s="25"/>
      <c r="F1523" s="22"/>
      <c r="G1523" s="25"/>
      <c r="H1523" s="22"/>
      <c r="I1523" s="25"/>
      <c r="J1523" s="22"/>
    </row>
    <row r="1524" ht="15.75" customHeight="1">
      <c r="A1524" s="25"/>
      <c r="B1524" s="22"/>
      <c r="C1524" s="25"/>
      <c r="D1524" s="22"/>
      <c r="E1524" s="25"/>
      <c r="F1524" s="22"/>
      <c r="G1524" s="25"/>
      <c r="H1524" s="22"/>
      <c r="I1524" s="25"/>
      <c r="J1524" s="22"/>
    </row>
    <row r="1525" ht="15.75" customHeight="1">
      <c r="A1525" s="25"/>
      <c r="B1525" s="22"/>
      <c r="C1525" s="25"/>
      <c r="D1525" s="22"/>
      <c r="E1525" s="25"/>
      <c r="F1525" s="22"/>
      <c r="G1525" s="25"/>
      <c r="H1525" s="22"/>
      <c r="I1525" s="25"/>
      <c r="J1525" s="22"/>
    </row>
    <row r="1526" ht="15.75" customHeight="1">
      <c r="A1526" s="25"/>
      <c r="B1526" s="22"/>
      <c r="C1526" s="25"/>
      <c r="D1526" s="22"/>
      <c r="E1526" s="25"/>
      <c r="F1526" s="22"/>
      <c r="G1526" s="25"/>
      <c r="H1526" s="22"/>
      <c r="I1526" s="25"/>
      <c r="J1526" s="22"/>
    </row>
    <row r="1527" ht="15.75" customHeight="1">
      <c r="A1527" s="25"/>
      <c r="B1527" s="22"/>
      <c r="C1527" s="25"/>
      <c r="D1527" s="22"/>
      <c r="E1527" s="25"/>
      <c r="F1527" s="22"/>
      <c r="G1527" s="25"/>
      <c r="H1527" s="22"/>
      <c r="I1527" s="25"/>
      <c r="J1527" s="22"/>
    </row>
    <row r="1528" ht="15.75" customHeight="1">
      <c r="A1528" s="25"/>
      <c r="B1528" s="22"/>
      <c r="C1528" s="25"/>
      <c r="D1528" s="22"/>
      <c r="E1528" s="25"/>
      <c r="F1528" s="22"/>
      <c r="G1528" s="25"/>
      <c r="H1528" s="22"/>
      <c r="I1528" s="25"/>
      <c r="J1528" s="22"/>
    </row>
    <row r="1529" ht="15.75" customHeight="1">
      <c r="A1529" s="25"/>
      <c r="B1529" s="22"/>
      <c r="C1529" s="25"/>
      <c r="D1529" s="22"/>
      <c r="E1529" s="25"/>
      <c r="F1529" s="22"/>
      <c r="G1529" s="25"/>
      <c r="H1529" s="22"/>
      <c r="I1529" s="25"/>
      <c r="J1529" s="22"/>
    </row>
    <row r="1530" ht="15.75" customHeight="1">
      <c r="A1530" s="25"/>
      <c r="B1530" s="22"/>
      <c r="C1530" s="25"/>
      <c r="D1530" s="22"/>
      <c r="E1530" s="25"/>
      <c r="F1530" s="22"/>
      <c r="G1530" s="25"/>
      <c r="H1530" s="22"/>
      <c r="I1530" s="25"/>
      <c r="J1530" s="22"/>
    </row>
    <row r="1531" ht="15.75" customHeight="1">
      <c r="A1531" s="25"/>
      <c r="B1531" s="22"/>
      <c r="C1531" s="25"/>
      <c r="D1531" s="22"/>
      <c r="E1531" s="25"/>
      <c r="F1531" s="22"/>
      <c r="G1531" s="25"/>
      <c r="H1531" s="22"/>
      <c r="I1531" s="25"/>
      <c r="J1531" s="22"/>
    </row>
    <row r="1532" ht="15.75" customHeight="1">
      <c r="A1532" s="25"/>
      <c r="B1532" s="22"/>
      <c r="C1532" s="25"/>
      <c r="D1532" s="22"/>
      <c r="E1532" s="25"/>
      <c r="F1532" s="22"/>
      <c r="G1532" s="25"/>
      <c r="H1532" s="22"/>
      <c r="I1532" s="25"/>
      <c r="J1532" s="22"/>
    </row>
    <row r="1533" ht="15.75" customHeight="1">
      <c r="A1533" s="25"/>
      <c r="B1533" s="22"/>
      <c r="C1533" s="25"/>
      <c r="D1533" s="22"/>
      <c r="E1533" s="25"/>
      <c r="F1533" s="22"/>
      <c r="G1533" s="25"/>
      <c r="H1533" s="22"/>
      <c r="I1533" s="25"/>
      <c r="J1533" s="22"/>
    </row>
    <row r="1534" ht="15.75" customHeight="1">
      <c r="A1534" s="25"/>
      <c r="B1534" s="22"/>
      <c r="C1534" s="25"/>
      <c r="D1534" s="22"/>
      <c r="E1534" s="25"/>
      <c r="F1534" s="22"/>
      <c r="G1534" s="25"/>
      <c r="H1534" s="22"/>
      <c r="I1534" s="25"/>
      <c r="J1534" s="22"/>
    </row>
    <row r="1535" ht="15.75" customHeight="1">
      <c r="A1535" s="25"/>
      <c r="B1535" s="22"/>
      <c r="C1535" s="25"/>
      <c r="D1535" s="22"/>
      <c r="E1535" s="25"/>
      <c r="F1535" s="22"/>
      <c r="G1535" s="25"/>
      <c r="H1535" s="22"/>
      <c r="I1535" s="25"/>
      <c r="J1535" s="22"/>
    </row>
    <row r="1536" ht="15.75" customHeight="1">
      <c r="A1536" s="25"/>
      <c r="B1536" s="22"/>
      <c r="C1536" s="25"/>
      <c r="D1536" s="22"/>
      <c r="E1536" s="25"/>
      <c r="F1536" s="22"/>
      <c r="G1536" s="25"/>
      <c r="H1536" s="22"/>
      <c r="I1536" s="25"/>
      <c r="J1536" s="22"/>
    </row>
    <row r="1537" ht="15.75" customHeight="1">
      <c r="A1537" s="25"/>
      <c r="B1537" s="22"/>
      <c r="C1537" s="25"/>
      <c r="D1537" s="22"/>
      <c r="E1537" s="25"/>
      <c r="F1537" s="22"/>
      <c r="G1537" s="25"/>
      <c r="H1537" s="22"/>
      <c r="I1537" s="25"/>
      <c r="J1537" s="22"/>
    </row>
    <row r="1538" ht="15.75" customHeight="1">
      <c r="A1538" s="25"/>
      <c r="B1538" s="22"/>
      <c r="C1538" s="25"/>
      <c r="D1538" s="22"/>
      <c r="E1538" s="25"/>
      <c r="F1538" s="22"/>
      <c r="G1538" s="25"/>
      <c r="H1538" s="22"/>
      <c r="I1538" s="25"/>
      <c r="J1538" s="22"/>
    </row>
    <row r="1539" ht="15.75" customHeight="1">
      <c r="A1539" s="25"/>
      <c r="B1539" s="22"/>
      <c r="C1539" s="25"/>
      <c r="D1539" s="22"/>
      <c r="E1539" s="25"/>
      <c r="F1539" s="22"/>
      <c r="G1539" s="25"/>
      <c r="H1539" s="22"/>
      <c r="I1539" s="25"/>
      <c r="J1539" s="22"/>
    </row>
    <row r="1540" ht="15.75" customHeight="1">
      <c r="A1540" s="25"/>
      <c r="B1540" s="22"/>
      <c r="C1540" s="25"/>
      <c r="D1540" s="22"/>
      <c r="E1540" s="25"/>
      <c r="F1540" s="22"/>
      <c r="G1540" s="25"/>
      <c r="H1540" s="22"/>
      <c r="I1540" s="25"/>
      <c r="J1540" s="22"/>
    </row>
    <row r="1541" ht="15.75" customHeight="1">
      <c r="A1541" s="25"/>
      <c r="B1541" s="22"/>
      <c r="C1541" s="25"/>
      <c r="D1541" s="22"/>
      <c r="E1541" s="25"/>
      <c r="F1541" s="22"/>
      <c r="G1541" s="25"/>
      <c r="H1541" s="22"/>
      <c r="I1541" s="25"/>
      <c r="J1541" s="22"/>
    </row>
    <row r="1542" ht="15.75" customHeight="1">
      <c r="A1542" s="25"/>
      <c r="B1542" s="22"/>
      <c r="C1542" s="25"/>
      <c r="D1542" s="22"/>
      <c r="E1542" s="25"/>
      <c r="F1542" s="22"/>
      <c r="G1542" s="25"/>
      <c r="H1542" s="22"/>
      <c r="I1542" s="25"/>
      <c r="J1542" s="22"/>
    </row>
    <row r="1543" ht="15.75" customHeight="1">
      <c r="A1543" s="25"/>
      <c r="B1543" s="22"/>
      <c r="C1543" s="25"/>
      <c r="D1543" s="22"/>
      <c r="E1543" s="25"/>
      <c r="F1543" s="22"/>
      <c r="G1543" s="25"/>
      <c r="H1543" s="22"/>
      <c r="I1543" s="25"/>
      <c r="J1543" s="22"/>
    </row>
    <row r="1544" ht="15.75" customHeight="1">
      <c r="A1544" s="25"/>
      <c r="B1544" s="22"/>
      <c r="C1544" s="25"/>
      <c r="D1544" s="22"/>
      <c r="E1544" s="25"/>
      <c r="F1544" s="22"/>
      <c r="G1544" s="25"/>
      <c r="H1544" s="22"/>
      <c r="I1544" s="25"/>
      <c r="J1544" s="22"/>
    </row>
    <row r="1545" ht="15.75" customHeight="1">
      <c r="A1545" s="25"/>
      <c r="B1545" s="22"/>
      <c r="C1545" s="25"/>
      <c r="D1545" s="22"/>
      <c r="E1545" s="25"/>
      <c r="F1545" s="22"/>
      <c r="G1545" s="25"/>
      <c r="H1545" s="22"/>
      <c r="I1545" s="25"/>
      <c r="J1545" s="22"/>
    </row>
    <row r="1546" ht="15.75" customHeight="1">
      <c r="A1546" s="25"/>
      <c r="B1546" s="22"/>
      <c r="C1546" s="25"/>
      <c r="D1546" s="22"/>
      <c r="E1546" s="25"/>
      <c r="F1546" s="22"/>
      <c r="G1546" s="25"/>
      <c r="H1546" s="22"/>
      <c r="I1546" s="25"/>
      <c r="J1546" s="22"/>
    </row>
    <row r="1547" ht="15.75" customHeight="1">
      <c r="A1547" s="25"/>
      <c r="B1547" s="22"/>
      <c r="C1547" s="25"/>
      <c r="D1547" s="22"/>
      <c r="E1547" s="25"/>
      <c r="F1547" s="22"/>
      <c r="G1547" s="25"/>
      <c r="H1547" s="22"/>
      <c r="I1547" s="25"/>
      <c r="J1547" s="22"/>
    </row>
    <row r="1548" ht="15.75" customHeight="1">
      <c r="A1548" s="25"/>
      <c r="B1548" s="22"/>
      <c r="C1548" s="25"/>
      <c r="D1548" s="22"/>
      <c r="E1548" s="25"/>
      <c r="F1548" s="22"/>
      <c r="G1548" s="25"/>
      <c r="H1548" s="22"/>
      <c r="I1548" s="25"/>
      <c r="J1548" s="22"/>
    </row>
    <row r="1549" ht="15.75" customHeight="1">
      <c r="A1549" s="25"/>
      <c r="B1549" s="22"/>
      <c r="C1549" s="25"/>
      <c r="D1549" s="22"/>
      <c r="E1549" s="25"/>
      <c r="F1549" s="22"/>
      <c r="G1549" s="25"/>
      <c r="H1549" s="22"/>
      <c r="I1549" s="25"/>
      <c r="J1549" s="22"/>
    </row>
    <row r="1550" ht="15.75" customHeight="1">
      <c r="A1550" s="25"/>
      <c r="B1550" s="22"/>
      <c r="C1550" s="25"/>
      <c r="D1550" s="22"/>
      <c r="E1550" s="25"/>
      <c r="F1550" s="22"/>
      <c r="G1550" s="25"/>
      <c r="H1550" s="22"/>
      <c r="I1550" s="25"/>
      <c r="J1550" s="22"/>
    </row>
    <row r="1551" ht="15.75" customHeight="1">
      <c r="A1551" s="25"/>
      <c r="B1551" s="22"/>
      <c r="C1551" s="25"/>
      <c r="D1551" s="22"/>
      <c r="E1551" s="25"/>
      <c r="F1551" s="22"/>
      <c r="G1551" s="25"/>
      <c r="H1551" s="22"/>
      <c r="I1551" s="25"/>
      <c r="J1551" s="22"/>
    </row>
    <row r="1552" ht="15.75" customHeight="1">
      <c r="A1552" s="25"/>
      <c r="B1552" s="22"/>
      <c r="C1552" s="25"/>
      <c r="D1552" s="22"/>
      <c r="E1552" s="25"/>
      <c r="F1552" s="22"/>
      <c r="G1552" s="25"/>
      <c r="H1552" s="22"/>
      <c r="I1552" s="25"/>
      <c r="J1552" s="22"/>
    </row>
    <row r="1553" ht="15.75" customHeight="1">
      <c r="A1553" s="25"/>
      <c r="B1553" s="22"/>
      <c r="C1553" s="25"/>
      <c r="D1553" s="22"/>
      <c r="E1553" s="25"/>
      <c r="F1553" s="22"/>
      <c r="G1553" s="25"/>
      <c r="H1553" s="22"/>
      <c r="I1553" s="25"/>
      <c r="J1553" s="22"/>
    </row>
    <row r="1554" ht="15.75" customHeight="1">
      <c r="A1554" s="25"/>
      <c r="B1554" s="22"/>
      <c r="C1554" s="25"/>
      <c r="D1554" s="22"/>
      <c r="E1554" s="25"/>
      <c r="F1554" s="22"/>
      <c r="G1554" s="25"/>
      <c r="H1554" s="22"/>
      <c r="I1554" s="25"/>
      <c r="J1554" s="22"/>
    </row>
    <row r="1555" ht="15.75" customHeight="1">
      <c r="A1555" s="25"/>
      <c r="B1555" s="22"/>
      <c r="C1555" s="25"/>
      <c r="D1555" s="22"/>
      <c r="E1555" s="25"/>
      <c r="F1555" s="22"/>
      <c r="G1555" s="25"/>
      <c r="H1555" s="22"/>
      <c r="I1555" s="25"/>
      <c r="J1555" s="22"/>
    </row>
    <row r="1556" ht="15.75" customHeight="1">
      <c r="A1556" s="25"/>
      <c r="B1556" s="22"/>
      <c r="C1556" s="25"/>
      <c r="D1556" s="22"/>
      <c r="E1556" s="25"/>
      <c r="F1556" s="22"/>
      <c r="G1556" s="25"/>
      <c r="H1556" s="22"/>
      <c r="I1556" s="25"/>
      <c r="J1556" s="22"/>
    </row>
    <row r="1557" ht="15.75" customHeight="1">
      <c r="A1557" s="25"/>
      <c r="B1557" s="22"/>
      <c r="C1557" s="25"/>
      <c r="D1557" s="22"/>
      <c r="E1557" s="25"/>
      <c r="F1557" s="22"/>
      <c r="G1557" s="25"/>
      <c r="H1557" s="22"/>
      <c r="I1557" s="25"/>
      <c r="J1557" s="22"/>
    </row>
    <row r="1558" ht="15.75" customHeight="1">
      <c r="A1558" s="25"/>
      <c r="B1558" s="22"/>
      <c r="C1558" s="25"/>
      <c r="D1558" s="22"/>
      <c r="E1558" s="25"/>
      <c r="F1558" s="22"/>
      <c r="G1558" s="25"/>
      <c r="H1558" s="22"/>
      <c r="I1558" s="25"/>
      <c r="J1558" s="22"/>
    </row>
    <row r="1559" ht="15.75" customHeight="1">
      <c r="A1559" s="25"/>
      <c r="B1559" s="22"/>
      <c r="C1559" s="25"/>
      <c r="D1559" s="22"/>
      <c r="E1559" s="25"/>
      <c r="F1559" s="22"/>
      <c r="G1559" s="25"/>
      <c r="H1559" s="22"/>
      <c r="I1559" s="25"/>
      <c r="J1559" s="22"/>
    </row>
    <row r="1560" ht="15.75" customHeight="1">
      <c r="A1560" s="25"/>
      <c r="B1560" s="22"/>
      <c r="C1560" s="25"/>
      <c r="D1560" s="22"/>
      <c r="E1560" s="25"/>
      <c r="F1560" s="22"/>
      <c r="G1560" s="25"/>
      <c r="H1560" s="22"/>
      <c r="I1560" s="25"/>
      <c r="J1560" s="22"/>
    </row>
    <row r="1561" ht="15.75" customHeight="1">
      <c r="A1561" s="25"/>
      <c r="B1561" s="22"/>
      <c r="C1561" s="25"/>
      <c r="D1561" s="22"/>
      <c r="E1561" s="25"/>
      <c r="F1561" s="22"/>
      <c r="G1561" s="25"/>
      <c r="H1561" s="22"/>
      <c r="I1561" s="25"/>
      <c r="J1561" s="22"/>
    </row>
    <row r="1562" ht="15.75" customHeight="1">
      <c r="A1562" s="25"/>
      <c r="B1562" s="22"/>
      <c r="C1562" s="25"/>
      <c r="D1562" s="22"/>
      <c r="E1562" s="25"/>
      <c r="F1562" s="22"/>
      <c r="G1562" s="25"/>
      <c r="H1562" s="22"/>
      <c r="I1562" s="25"/>
      <c r="J1562" s="22"/>
    </row>
    <row r="1563" ht="15.75" customHeight="1">
      <c r="A1563" s="25"/>
      <c r="B1563" s="22"/>
      <c r="C1563" s="25"/>
      <c r="D1563" s="22"/>
      <c r="E1563" s="25"/>
      <c r="F1563" s="22"/>
      <c r="G1563" s="25"/>
      <c r="H1563" s="22"/>
      <c r="I1563" s="25"/>
      <c r="J1563" s="22"/>
    </row>
    <row r="1564" ht="15.75" customHeight="1">
      <c r="A1564" s="25"/>
      <c r="B1564" s="22"/>
      <c r="C1564" s="25"/>
      <c r="D1564" s="22"/>
      <c r="E1564" s="25"/>
      <c r="F1564" s="22"/>
      <c r="G1564" s="25"/>
      <c r="H1564" s="22"/>
      <c r="I1564" s="25"/>
      <c r="J1564" s="22"/>
    </row>
    <row r="1565" ht="15.75" customHeight="1">
      <c r="A1565" s="25"/>
      <c r="B1565" s="22"/>
      <c r="C1565" s="25"/>
      <c r="D1565" s="22"/>
      <c r="E1565" s="25"/>
      <c r="F1565" s="22"/>
      <c r="G1565" s="25"/>
      <c r="H1565" s="22"/>
      <c r="I1565" s="25"/>
      <c r="J1565" s="22"/>
    </row>
    <row r="1566" ht="15.75" customHeight="1">
      <c r="A1566" s="25"/>
      <c r="B1566" s="22"/>
      <c r="C1566" s="25"/>
      <c r="D1566" s="22"/>
      <c r="E1566" s="25"/>
      <c r="F1566" s="22"/>
      <c r="G1566" s="25"/>
      <c r="H1566" s="22"/>
      <c r="I1566" s="25"/>
      <c r="J1566" s="22"/>
    </row>
    <row r="1567" ht="15.75" customHeight="1">
      <c r="A1567" s="25"/>
      <c r="B1567" s="22"/>
      <c r="C1567" s="25"/>
      <c r="D1567" s="22"/>
      <c r="E1567" s="25"/>
      <c r="F1567" s="22"/>
      <c r="G1567" s="25"/>
      <c r="H1567" s="22"/>
      <c r="I1567" s="25"/>
      <c r="J1567" s="22"/>
    </row>
    <row r="1568" ht="15.75" customHeight="1">
      <c r="A1568" s="25"/>
      <c r="B1568" s="22"/>
      <c r="C1568" s="25"/>
      <c r="D1568" s="22"/>
      <c r="E1568" s="25"/>
      <c r="F1568" s="22"/>
      <c r="G1568" s="25"/>
      <c r="H1568" s="22"/>
      <c r="I1568" s="25"/>
      <c r="J1568" s="22"/>
    </row>
    <row r="1569" ht="15.75" customHeight="1">
      <c r="A1569" s="25"/>
      <c r="B1569" s="22"/>
      <c r="C1569" s="25"/>
      <c r="D1569" s="22"/>
      <c r="E1569" s="25"/>
      <c r="F1569" s="22"/>
      <c r="G1569" s="25"/>
      <c r="H1569" s="22"/>
      <c r="I1569" s="25"/>
      <c r="J1569" s="22"/>
    </row>
    <row r="1570" ht="15.75" customHeight="1">
      <c r="A1570" s="25"/>
      <c r="B1570" s="22"/>
      <c r="C1570" s="25"/>
      <c r="D1570" s="22"/>
      <c r="E1570" s="25"/>
      <c r="F1570" s="22"/>
      <c r="G1570" s="25"/>
      <c r="H1570" s="22"/>
      <c r="I1570" s="25"/>
      <c r="J1570" s="22"/>
    </row>
    <row r="1571" ht="15.75" customHeight="1">
      <c r="A1571" s="25"/>
      <c r="B1571" s="22"/>
      <c r="C1571" s="25"/>
      <c r="D1571" s="22"/>
      <c r="E1571" s="25"/>
      <c r="F1571" s="22"/>
      <c r="G1571" s="25"/>
      <c r="H1571" s="22"/>
      <c r="I1571" s="25"/>
      <c r="J1571" s="22"/>
    </row>
    <row r="1572" ht="15.75" customHeight="1">
      <c r="A1572" s="25"/>
      <c r="B1572" s="22"/>
      <c r="C1572" s="25"/>
      <c r="D1572" s="22"/>
      <c r="E1572" s="25"/>
      <c r="F1572" s="22"/>
      <c r="G1572" s="25"/>
      <c r="H1572" s="22"/>
      <c r="I1572" s="25"/>
      <c r="J1572" s="22"/>
    </row>
    <row r="1573" ht="15.75" customHeight="1">
      <c r="A1573" s="25"/>
      <c r="B1573" s="22"/>
      <c r="C1573" s="25"/>
      <c r="D1573" s="22"/>
      <c r="E1573" s="25"/>
      <c r="F1573" s="22"/>
      <c r="G1573" s="25"/>
      <c r="H1573" s="22"/>
      <c r="I1573" s="25"/>
      <c r="J1573" s="22"/>
    </row>
    <row r="1574" ht="15.75" customHeight="1">
      <c r="A1574" s="25"/>
      <c r="B1574" s="22"/>
      <c r="C1574" s="25"/>
      <c r="D1574" s="22"/>
      <c r="E1574" s="25"/>
      <c r="F1574" s="22"/>
      <c r="G1574" s="25"/>
      <c r="H1574" s="22"/>
      <c r="I1574" s="25"/>
      <c r="J1574" s="22"/>
    </row>
    <row r="1575" ht="15.75" customHeight="1">
      <c r="A1575" s="25"/>
      <c r="B1575" s="22"/>
      <c r="C1575" s="25"/>
      <c r="D1575" s="22"/>
      <c r="E1575" s="25"/>
      <c r="F1575" s="22"/>
      <c r="G1575" s="25"/>
      <c r="H1575" s="22"/>
      <c r="I1575" s="25"/>
      <c r="J1575" s="22"/>
    </row>
    <row r="1576" ht="15.75" customHeight="1">
      <c r="A1576" s="25"/>
      <c r="B1576" s="22"/>
      <c r="C1576" s="25"/>
      <c r="D1576" s="22"/>
      <c r="E1576" s="25"/>
      <c r="F1576" s="22"/>
      <c r="G1576" s="25"/>
      <c r="H1576" s="22"/>
      <c r="I1576" s="25"/>
      <c r="J1576" s="22"/>
    </row>
    <row r="1577" ht="15.75" customHeight="1">
      <c r="A1577" s="25"/>
      <c r="B1577" s="22"/>
      <c r="C1577" s="25"/>
      <c r="D1577" s="22"/>
      <c r="E1577" s="25"/>
      <c r="F1577" s="22"/>
      <c r="G1577" s="25"/>
      <c r="H1577" s="22"/>
      <c r="I1577" s="25"/>
      <c r="J1577" s="22"/>
    </row>
    <row r="1578" ht="15.75" customHeight="1">
      <c r="A1578" s="25"/>
      <c r="B1578" s="22"/>
      <c r="C1578" s="25"/>
      <c r="D1578" s="22"/>
      <c r="E1578" s="25"/>
      <c r="F1578" s="22"/>
      <c r="G1578" s="25"/>
      <c r="H1578" s="22"/>
      <c r="I1578" s="25"/>
      <c r="J1578" s="22"/>
    </row>
    <row r="1579" ht="15.75" customHeight="1">
      <c r="A1579" s="25"/>
      <c r="B1579" s="22"/>
      <c r="C1579" s="25"/>
      <c r="D1579" s="22"/>
      <c r="E1579" s="25"/>
      <c r="F1579" s="22"/>
      <c r="G1579" s="25"/>
      <c r="H1579" s="22"/>
      <c r="I1579" s="25"/>
      <c r="J1579" s="22"/>
    </row>
    <row r="1580" ht="15.75" customHeight="1">
      <c r="A1580" s="25"/>
      <c r="B1580" s="22"/>
      <c r="C1580" s="25"/>
      <c r="D1580" s="22"/>
      <c r="E1580" s="25"/>
      <c r="F1580" s="22"/>
      <c r="G1580" s="25"/>
      <c r="H1580" s="22"/>
      <c r="I1580" s="25"/>
      <c r="J1580" s="22"/>
    </row>
    <row r="1581" ht="15.75" customHeight="1">
      <c r="A1581" s="25"/>
      <c r="B1581" s="22"/>
      <c r="C1581" s="25"/>
      <c r="D1581" s="22"/>
      <c r="E1581" s="25"/>
      <c r="F1581" s="22"/>
      <c r="G1581" s="25"/>
      <c r="H1581" s="22"/>
      <c r="I1581" s="25"/>
      <c r="J1581" s="22"/>
    </row>
    <row r="1582" ht="15.75" customHeight="1">
      <c r="A1582" s="25"/>
      <c r="B1582" s="22"/>
      <c r="C1582" s="25"/>
      <c r="D1582" s="22"/>
      <c r="E1582" s="25"/>
      <c r="F1582" s="22"/>
      <c r="G1582" s="25"/>
      <c r="H1582" s="22"/>
      <c r="I1582" s="25"/>
      <c r="J1582" s="22"/>
    </row>
    <row r="1583" ht="15.75" customHeight="1">
      <c r="A1583" s="25"/>
      <c r="B1583" s="22"/>
      <c r="C1583" s="25"/>
      <c r="D1583" s="22"/>
      <c r="E1583" s="25"/>
      <c r="F1583" s="22"/>
      <c r="G1583" s="25"/>
      <c r="H1583" s="22"/>
      <c r="I1583" s="25"/>
      <c r="J1583" s="22"/>
    </row>
    <row r="1584" ht="15.75" customHeight="1">
      <c r="A1584" s="25"/>
      <c r="B1584" s="22"/>
      <c r="C1584" s="25"/>
      <c r="D1584" s="22"/>
      <c r="E1584" s="25"/>
      <c r="F1584" s="22"/>
      <c r="G1584" s="25"/>
      <c r="H1584" s="22"/>
      <c r="I1584" s="25"/>
      <c r="J1584" s="22"/>
    </row>
    <row r="1585" ht="15.75" customHeight="1">
      <c r="A1585" s="25"/>
      <c r="B1585" s="22"/>
      <c r="C1585" s="25"/>
      <c r="D1585" s="22"/>
      <c r="E1585" s="25"/>
      <c r="F1585" s="22"/>
      <c r="G1585" s="25"/>
      <c r="H1585" s="22"/>
      <c r="I1585" s="25"/>
      <c r="J1585" s="22"/>
    </row>
    <row r="1586" ht="15.75" customHeight="1">
      <c r="A1586" s="25"/>
      <c r="B1586" s="22"/>
      <c r="C1586" s="25"/>
      <c r="D1586" s="22"/>
      <c r="E1586" s="25"/>
      <c r="F1586" s="22"/>
      <c r="G1586" s="25"/>
      <c r="H1586" s="22"/>
      <c r="I1586" s="25"/>
      <c r="J1586" s="22"/>
    </row>
    <row r="1587" ht="15.75" customHeight="1">
      <c r="A1587" s="25"/>
      <c r="B1587" s="22"/>
      <c r="C1587" s="25"/>
      <c r="D1587" s="22"/>
      <c r="E1587" s="25"/>
      <c r="F1587" s="22"/>
      <c r="G1587" s="25"/>
      <c r="H1587" s="22"/>
      <c r="I1587" s="25"/>
      <c r="J1587" s="22"/>
    </row>
    <row r="1588" ht="15.75" customHeight="1">
      <c r="A1588" s="25"/>
      <c r="B1588" s="22"/>
      <c r="C1588" s="25"/>
      <c r="D1588" s="22"/>
      <c r="E1588" s="25"/>
      <c r="F1588" s="22"/>
      <c r="G1588" s="25"/>
      <c r="H1588" s="22"/>
      <c r="I1588" s="25"/>
      <c r="J1588" s="22"/>
    </row>
    <row r="1589" ht="15.75" customHeight="1">
      <c r="A1589" s="25"/>
      <c r="B1589" s="22"/>
      <c r="C1589" s="25"/>
      <c r="D1589" s="22"/>
      <c r="E1589" s="25"/>
      <c r="F1589" s="22"/>
      <c r="G1589" s="25"/>
      <c r="H1589" s="22"/>
      <c r="I1589" s="25"/>
      <c r="J1589" s="22"/>
    </row>
    <row r="1590" ht="15.75" customHeight="1">
      <c r="A1590" s="25"/>
      <c r="B1590" s="22"/>
      <c r="C1590" s="25"/>
      <c r="D1590" s="22"/>
      <c r="E1590" s="25"/>
      <c r="F1590" s="22"/>
      <c r="G1590" s="25"/>
      <c r="H1590" s="22"/>
      <c r="I1590" s="25"/>
      <c r="J1590" s="22"/>
    </row>
    <row r="1591" ht="15.75" customHeight="1">
      <c r="A1591" s="25"/>
      <c r="B1591" s="22"/>
      <c r="C1591" s="25"/>
      <c r="D1591" s="22"/>
      <c r="E1591" s="25"/>
      <c r="F1591" s="22"/>
      <c r="G1591" s="25"/>
      <c r="H1591" s="22"/>
      <c r="I1591" s="25"/>
      <c r="J1591" s="22"/>
    </row>
    <row r="1592" ht="15.75" customHeight="1">
      <c r="A1592" s="25"/>
      <c r="B1592" s="22"/>
      <c r="C1592" s="25"/>
      <c r="D1592" s="22"/>
      <c r="E1592" s="25"/>
      <c r="F1592" s="22"/>
      <c r="G1592" s="25"/>
      <c r="H1592" s="22"/>
      <c r="I1592" s="25"/>
      <c r="J1592" s="22"/>
    </row>
    <row r="1593" ht="15.75" customHeight="1">
      <c r="A1593" s="25"/>
      <c r="B1593" s="22"/>
      <c r="C1593" s="25"/>
      <c r="D1593" s="22"/>
      <c r="E1593" s="25"/>
      <c r="F1593" s="22"/>
      <c r="G1593" s="25"/>
      <c r="H1593" s="22"/>
      <c r="I1593" s="25"/>
      <c r="J1593" s="22"/>
    </row>
    <row r="1594" ht="15.75" customHeight="1">
      <c r="A1594" s="25"/>
      <c r="B1594" s="22"/>
      <c r="C1594" s="25"/>
      <c r="D1594" s="22"/>
      <c r="E1594" s="25"/>
      <c r="F1594" s="22"/>
      <c r="G1594" s="25"/>
      <c r="H1594" s="22"/>
      <c r="I1594" s="25"/>
      <c r="J1594" s="22"/>
    </row>
    <row r="1595" ht="15.75" customHeight="1">
      <c r="A1595" s="25"/>
      <c r="B1595" s="22"/>
      <c r="C1595" s="25"/>
      <c r="D1595" s="22"/>
      <c r="E1595" s="25"/>
      <c r="F1595" s="22"/>
      <c r="G1595" s="25"/>
      <c r="H1595" s="22"/>
      <c r="I1595" s="25"/>
      <c r="J1595" s="22"/>
    </row>
    <row r="1596" ht="15.75" customHeight="1">
      <c r="A1596" s="25"/>
      <c r="B1596" s="22"/>
      <c r="C1596" s="25"/>
      <c r="D1596" s="22"/>
      <c r="E1596" s="25"/>
      <c r="F1596" s="22"/>
      <c r="G1596" s="25"/>
      <c r="H1596" s="22"/>
      <c r="I1596" s="25"/>
      <c r="J1596" s="22"/>
    </row>
    <row r="1597" ht="15.75" customHeight="1">
      <c r="A1597" s="25"/>
      <c r="B1597" s="22"/>
      <c r="C1597" s="25"/>
      <c r="D1597" s="22"/>
      <c r="E1597" s="25"/>
      <c r="F1597" s="22"/>
      <c r="G1597" s="25"/>
      <c r="H1597" s="22"/>
      <c r="I1597" s="25"/>
      <c r="J1597" s="22"/>
    </row>
    <row r="1598" ht="15.75" customHeight="1">
      <c r="A1598" s="25"/>
      <c r="B1598" s="22"/>
      <c r="C1598" s="25"/>
      <c r="D1598" s="22"/>
      <c r="E1598" s="25"/>
      <c r="F1598" s="22"/>
      <c r="G1598" s="25"/>
      <c r="H1598" s="22"/>
      <c r="I1598" s="25"/>
      <c r="J1598" s="22"/>
    </row>
    <row r="1599" ht="15.75" customHeight="1">
      <c r="A1599" s="25"/>
      <c r="B1599" s="22"/>
      <c r="C1599" s="25"/>
      <c r="D1599" s="22"/>
      <c r="E1599" s="25"/>
      <c r="F1599" s="22"/>
      <c r="G1599" s="25"/>
      <c r="H1599" s="22"/>
      <c r="I1599" s="25"/>
      <c r="J1599" s="22"/>
    </row>
    <row r="1600" ht="15.75" customHeight="1">
      <c r="A1600" s="25"/>
      <c r="B1600" s="22"/>
      <c r="C1600" s="25"/>
      <c r="D1600" s="22"/>
      <c r="E1600" s="25"/>
      <c r="F1600" s="22"/>
      <c r="G1600" s="25"/>
      <c r="H1600" s="22"/>
      <c r="I1600" s="25"/>
      <c r="J1600" s="22"/>
    </row>
    <row r="1601" ht="15.75" customHeight="1">
      <c r="A1601" s="25"/>
      <c r="B1601" s="22"/>
      <c r="C1601" s="25"/>
      <c r="D1601" s="22"/>
      <c r="E1601" s="25"/>
      <c r="F1601" s="22"/>
      <c r="G1601" s="25"/>
      <c r="H1601" s="22"/>
      <c r="I1601" s="25"/>
      <c r="J1601" s="22"/>
    </row>
    <row r="1602" ht="15.75" customHeight="1">
      <c r="A1602" s="25"/>
      <c r="B1602" s="22"/>
      <c r="C1602" s="25"/>
      <c r="D1602" s="22"/>
      <c r="E1602" s="25"/>
      <c r="F1602" s="22"/>
      <c r="G1602" s="25"/>
      <c r="H1602" s="22"/>
      <c r="I1602" s="25"/>
      <c r="J1602" s="22"/>
    </row>
    <row r="1603" ht="15.75" customHeight="1">
      <c r="A1603" s="25"/>
      <c r="B1603" s="22"/>
      <c r="C1603" s="25"/>
      <c r="D1603" s="22"/>
      <c r="E1603" s="25"/>
      <c r="F1603" s="22"/>
      <c r="G1603" s="25"/>
      <c r="H1603" s="22"/>
      <c r="I1603" s="25"/>
      <c r="J1603" s="22"/>
    </row>
    <row r="1604" ht="15.75" customHeight="1">
      <c r="A1604" s="25"/>
      <c r="B1604" s="22"/>
      <c r="C1604" s="25"/>
      <c r="D1604" s="22"/>
      <c r="E1604" s="25"/>
      <c r="F1604" s="22"/>
      <c r="G1604" s="25"/>
      <c r="H1604" s="22"/>
      <c r="I1604" s="25"/>
      <c r="J1604" s="22"/>
    </row>
    <row r="1605" ht="15.75" customHeight="1">
      <c r="A1605" s="25"/>
      <c r="B1605" s="22"/>
      <c r="C1605" s="25"/>
      <c r="D1605" s="22"/>
      <c r="E1605" s="25"/>
      <c r="F1605" s="22"/>
      <c r="G1605" s="25"/>
      <c r="H1605" s="22"/>
      <c r="I1605" s="25"/>
      <c r="J1605" s="22"/>
    </row>
    <row r="1606" ht="15.75" customHeight="1">
      <c r="A1606" s="25"/>
      <c r="B1606" s="22"/>
      <c r="C1606" s="25"/>
      <c r="D1606" s="22"/>
      <c r="E1606" s="25"/>
      <c r="F1606" s="22"/>
      <c r="G1606" s="25"/>
      <c r="H1606" s="22"/>
      <c r="I1606" s="25"/>
      <c r="J1606" s="22"/>
    </row>
    <row r="1607" ht="15.75" customHeight="1">
      <c r="A1607" s="25"/>
      <c r="B1607" s="22"/>
      <c r="C1607" s="25"/>
      <c r="D1607" s="22"/>
      <c r="E1607" s="25"/>
      <c r="F1607" s="22"/>
      <c r="G1607" s="25"/>
      <c r="H1607" s="22"/>
      <c r="I1607" s="25"/>
      <c r="J1607" s="22"/>
    </row>
    <row r="1608" ht="15.75" customHeight="1">
      <c r="A1608" s="25"/>
      <c r="B1608" s="22"/>
      <c r="C1608" s="25"/>
      <c r="D1608" s="22"/>
      <c r="E1608" s="25"/>
      <c r="F1608" s="22"/>
      <c r="G1608" s="25"/>
      <c r="H1608" s="22"/>
      <c r="I1608" s="25"/>
      <c r="J1608" s="22"/>
    </row>
    <row r="1609" ht="15.75" customHeight="1">
      <c r="A1609" s="25"/>
      <c r="B1609" s="22"/>
      <c r="C1609" s="25"/>
      <c r="D1609" s="22"/>
      <c r="E1609" s="25"/>
      <c r="F1609" s="22"/>
      <c r="G1609" s="25"/>
      <c r="H1609" s="22"/>
      <c r="I1609" s="25"/>
      <c r="J1609" s="22"/>
    </row>
    <row r="1610" ht="15.75" customHeight="1">
      <c r="A1610" s="25"/>
      <c r="B1610" s="22"/>
      <c r="C1610" s="25"/>
      <c r="D1610" s="22"/>
      <c r="E1610" s="25"/>
      <c r="F1610" s="22"/>
      <c r="G1610" s="25"/>
      <c r="H1610" s="22"/>
      <c r="I1610" s="25"/>
      <c r="J1610" s="22"/>
    </row>
    <row r="1611" ht="15.75" customHeight="1">
      <c r="A1611" s="25"/>
      <c r="B1611" s="22"/>
      <c r="C1611" s="25"/>
      <c r="D1611" s="22"/>
      <c r="E1611" s="25"/>
      <c r="F1611" s="22"/>
      <c r="G1611" s="25"/>
      <c r="H1611" s="22"/>
      <c r="I1611" s="25"/>
      <c r="J1611" s="22"/>
    </row>
    <row r="1612" ht="15.75" customHeight="1">
      <c r="A1612" s="25"/>
      <c r="B1612" s="22"/>
      <c r="C1612" s="25"/>
      <c r="D1612" s="22"/>
      <c r="E1612" s="25"/>
      <c r="F1612" s="22"/>
      <c r="G1612" s="25"/>
      <c r="H1612" s="22"/>
      <c r="I1612" s="25"/>
      <c r="J1612" s="22"/>
    </row>
    <row r="1613" ht="15.75" customHeight="1">
      <c r="A1613" s="25"/>
      <c r="B1613" s="22"/>
      <c r="C1613" s="25"/>
      <c r="D1613" s="22"/>
      <c r="E1613" s="25"/>
      <c r="F1613" s="22"/>
      <c r="G1613" s="25"/>
      <c r="H1613" s="22"/>
      <c r="I1613" s="25"/>
      <c r="J1613" s="22"/>
    </row>
    <row r="1614" ht="15.75" customHeight="1">
      <c r="A1614" s="25"/>
      <c r="B1614" s="22"/>
      <c r="C1614" s="25"/>
      <c r="D1614" s="22"/>
      <c r="E1614" s="25"/>
      <c r="F1614" s="22"/>
      <c r="G1614" s="25"/>
      <c r="H1614" s="22"/>
      <c r="I1614" s="25"/>
      <c r="J1614" s="22"/>
    </row>
    <row r="1615" ht="15.75" customHeight="1">
      <c r="A1615" s="25"/>
      <c r="B1615" s="22"/>
      <c r="C1615" s="25"/>
      <c r="D1615" s="22"/>
      <c r="E1615" s="25"/>
      <c r="F1615" s="22"/>
      <c r="G1615" s="25"/>
      <c r="H1615" s="22"/>
      <c r="I1615" s="25"/>
      <c r="J1615" s="22"/>
    </row>
    <row r="1616" ht="15.75" customHeight="1">
      <c r="A1616" s="25"/>
      <c r="B1616" s="22"/>
      <c r="C1616" s="25"/>
      <c r="D1616" s="22"/>
      <c r="E1616" s="25"/>
      <c r="F1616" s="22"/>
      <c r="G1616" s="25"/>
      <c r="H1616" s="22"/>
      <c r="I1616" s="25"/>
      <c r="J1616" s="22"/>
    </row>
    <row r="1617" ht="15.75" customHeight="1">
      <c r="A1617" s="25"/>
      <c r="B1617" s="22"/>
      <c r="C1617" s="25"/>
      <c r="D1617" s="22"/>
      <c r="E1617" s="25"/>
      <c r="F1617" s="22"/>
      <c r="G1617" s="25"/>
      <c r="H1617" s="22"/>
      <c r="I1617" s="25"/>
      <c r="J1617" s="22"/>
    </row>
    <row r="1618" ht="15.75" customHeight="1">
      <c r="A1618" s="25"/>
      <c r="B1618" s="22"/>
      <c r="C1618" s="25"/>
      <c r="D1618" s="22"/>
      <c r="E1618" s="25"/>
      <c r="F1618" s="22"/>
      <c r="G1618" s="25"/>
      <c r="H1618" s="22"/>
      <c r="I1618" s="25"/>
      <c r="J1618" s="22"/>
    </row>
    <row r="1619" ht="15.75" customHeight="1">
      <c r="A1619" s="25"/>
      <c r="B1619" s="22"/>
      <c r="C1619" s="25"/>
      <c r="D1619" s="22"/>
      <c r="E1619" s="25"/>
      <c r="F1619" s="22"/>
      <c r="G1619" s="25"/>
      <c r="H1619" s="22"/>
      <c r="I1619" s="25"/>
      <c r="J1619" s="22"/>
    </row>
    <row r="1620" ht="15.75" customHeight="1">
      <c r="A1620" s="25"/>
      <c r="B1620" s="22"/>
      <c r="C1620" s="25"/>
      <c r="D1620" s="22"/>
      <c r="E1620" s="25"/>
      <c r="F1620" s="22"/>
      <c r="G1620" s="25"/>
      <c r="H1620" s="22"/>
      <c r="I1620" s="25"/>
      <c r="J1620" s="22"/>
    </row>
    <row r="1621" ht="15.75" customHeight="1">
      <c r="A1621" s="25"/>
      <c r="B1621" s="22"/>
      <c r="C1621" s="25"/>
      <c r="D1621" s="22"/>
      <c r="E1621" s="25"/>
      <c r="F1621" s="22"/>
      <c r="G1621" s="25"/>
      <c r="H1621" s="22"/>
      <c r="I1621" s="25"/>
      <c r="J1621" s="22"/>
    </row>
    <row r="1622" ht="15.75" customHeight="1">
      <c r="A1622" s="25"/>
      <c r="B1622" s="22"/>
      <c r="C1622" s="25"/>
      <c r="D1622" s="22"/>
      <c r="E1622" s="25"/>
      <c r="F1622" s="22"/>
      <c r="G1622" s="25"/>
      <c r="H1622" s="22"/>
      <c r="I1622" s="25"/>
      <c r="J1622" s="22"/>
    </row>
    <row r="1623" ht="15.75" customHeight="1">
      <c r="A1623" s="25"/>
      <c r="B1623" s="22"/>
      <c r="C1623" s="25"/>
      <c r="D1623" s="22"/>
      <c r="E1623" s="25"/>
      <c r="F1623" s="22"/>
      <c r="G1623" s="25"/>
      <c r="H1623" s="22"/>
      <c r="I1623" s="25"/>
      <c r="J1623" s="22"/>
    </row>
    <row r="1624" ht="15.75" customHeight="1">
      <c r="A1624" s="25"/>
      <c r="B1624" s="22"/>
      <c r="C1624" s="25"/>
      <c r="D1624" s="22"/>
      <c r="E1624" s="25"/>
      <c r="F1624" s="22"/>
      <c r="G1624" s="25"/>
      <c r="H1624" s="22"/>
      <c r="I1624" s="25"/>
      <c r="J1624" s="22"/>
    </row>
    <row r="1625" ht="15.75" customHeight="1">
      <c r="A1625" s="25"/>
      <c r="B1625" s="22"/>
      <c r="C1625" s="25"/>
      <c r="D1625" s="22"/>
      <c r="E1625" s="25"/>
      <c r="F1625" s="22"/>
      <c r="G1625" s="25"/>
      <c r="H1625" s="22"/>
      <c r="I1625" s="25"/>
      <c r="J1625" s="22"/>
    </row>
    <row r="1626" ht="15.75" customHeight="1">
      <c r="A1626" s="25"/>
      <c r="B1626" s="22"/>
      <c r="C1626" s="25"/>
      <c r="D1626" s="22"/>
      <c r="E1626" s="25"/>
      <c r="F1626" s="22"/>
      <c r="G1626" s="25"/>
      <c r="H1626" s="22"/>
      <c r="I1626" s="25"/>
      <c r="J1626" s="22"/>
    </row>
    <row r="1627" ht="15.75" customHeight="1">
      <c r="A1627" s="25"/>
      <c r="B1627" s="22"/>
      <c r="C1627" s="25"/>
      <c r="D1627" s="22"/>
      <c r="E1627" s="25"/>
      <c r="F1627" s="22"/>
      <c r="G1627" s="25"/>
      <c r="H1627" s="22"/>
      <c r="I1627" s="25"/>
      <c r="J1627" s="22"/>
    </row>
    <row r="1628" ht="15.75" customHeight="1">
      <c r="A1628" s="25"/>
      <c r="B1628" s="22"/>
      <c r="C1628" s="25"/>
      <c r="D1628" s="22"/>
      <c r="E1628" s="25"/>
      <c r="F1628" s="22"/>
      <c r="G1628" s="25"/>
      <c r="H1628" s="22"/>
      <c r="I1628" s="25"/>
      <c r="J1628" s="22"/>
    </row>
    <row r="1629" ht="15.75" customHeight="1">
      <c r="A1629" s="25"/>
      <c r="B1629" s="22"/>
      <c r="C1629" s="25"/>
      <c r="D1629" s="22"/>
      <c r="E1629" s="25"/>
      <c r="F1629" s="22"/>
      <c r="G1629" s="25"/>
      <c r="H1629" s="22"/>
      <c r="I1629" s="25"/>
      <c r="J1629" s="22"/>
    </row>
    <row r="1630" ht="15.75" customHeight="1">
      <c r="A1630" s="25"/>
      <c r="B1630" s="22"/>
      <c r="C1630" s="25"/>
      <c r="D1630" s="22"/>
      <c r="E1630" s="25"/>
      <c r="F1630" s="22"/>
      <c r="G1630" s="25"/>
      <c r="H1630" s="22"/>
      <c r="I1630" s="25"/>
      <c r="J1630" s="22"/>
    </row>
    <row r="1631" ht="15.75" customHeight="1">
      <c r="A1631" s="25"/>
      <c r="B1631" s="22"/>
      <c r="C1631" s="25"/>
      <c r="D1631" s="22"/>
      <c r="E1631" s="25"/>
      <c r="F1631" s="22"/>
      <c r="G1631" s="25"/>
      <c r="H1631" s="22"/>
      <c r="I1631" s="25"/>
      <c r="J1631" s="22"/>
    </row>
    <row r="1632" ht="15.75" customHeight="1">
      <c r="A1632" s="25"/>
      <c r="B1632" s="22"/>
      <c r="C1632" s="25"/>
      <c r="D1632" s="22"/>
      <c r="E1632" s="25"/>
      <c r="F1632" s="22"/>
      <c r="G1632" s="25"/>
      <c r="H1632" s="22"/>
      <c r="I1632" s="25"/>
      <c r="J1632" s="22"/>
    </row>
    <row r="1633" ht="15.75" customHeight="1">
      <c r="A1633" s="25"/>
      <c r="B1633" s="22"/>
      <c r="C1633" s="25"/>
      <c r="D1633" s="22"/>
      <c r="E1633" s="25"/>
      <c r="F1633" s="22"/>
      <c r="G1633" s="25"/>
      <c r="H1633" s="22"/>
      <c r="I1633" s="25"/>
      <c r="J1633" s="22"/>
    </row>
    <row r="1634" ht="15.75" customHeight="1">
      <c r="A1634" s="25"/>
      <c r="B1634" s="22"/>
      <c r="C1634" s="25"/>
      <c r="D1634" s="22"/>
      <c r="E1634" s="25"/>
      <c r="F1634" s="22"/>
      <c r="G1634" s="25"/>
      <c r="H1634" s="22"/>
      <c r="I1634" s="25"/>
      <c r="J1634" s="22"/>
    </row>
    <row r="1635" ht="15.75" customHeight="1">
      <c r="A1635" s="25"/>
      <c r="B1635" s="22"/>
      <c r="C1635" s="25"/>
      <c r="D1635" s="22"/>
      <c r="E1635" s="25"/>
      <c r="F1635" s="22"/>
      <c r="G1635" s="25"/>
      <c r="H1635" s="22"/>
      <c r="I1635" s="25"/>
      <c r="J1635" s="22"/>
    </row>
    <row r="1636" ht="15.75" customHeight="1">
      <c r="A1636" s="25"/>
      <c r="B1636" s="22"/>
      <c r="C1636" s="25"/>
      <c r="D1636" s="22"/>
      <c r="E1636" s="25"/>
      <c r="F1636" s="22"/>
      <c r="G1636" s="25"/>
      <c r="H1636" s="22"/>
      <c r="I1636" s="25"/>
      <c r="J1636" s="22"/>
    </row>
    <row r="1637" ht="15.75" customHeight="1">
      <c r="A1637" s="25"/>
      <c r="B1637" s="22"/>
      <c r="C1637" s="25"/>
      <c r="D1637" s="22"/>
      <c r="E1637" s="25"/>
      <c r="F1637" s="22"/>
      <c r="G1637" s="25"/>
      <c r="H1637" s="22"/>
      <c r="I1637" s="25"/>
      <c r="J1637" s="22"/>
    </row>
    <row r="1638" ht="15.75" customHeight="1">
      <c r="A1638" s="25"/>
      <c r="B1638" s="22"/>
      <c r="C1638" s="25"/>
      <c r="D1638" s="22"/>
      <c r="E1638" s="25"/>
      <c r="F1638" s="22"/>
      <c r="G1638" s="25"/>
      <c r="H1638" s="22"/>
      <c r="I1638" s="25"/>
      <c r="J1638" s="22"/>
    </row>
    <row r="1639" ht="15.75" customHeight="1">
      <c r="A1639" s="25"/>
      <c r="B1639" s="22"/>
      <c r="C1639" s="25"/>
      <c r="D1639" s="22"/>
      <c r="E1639" s="25"/>
      <c r="F1639" s="22"/>
      <c r="G1639" s="25"/>
      <c r="H1639" s="22"/>
      <c r="I1639" s="25"/>
      <c r="J1639" s="22"/>
    </row>
    <row r="1640" ht="15.75" customHeight="1">
      <c r="A1640" s="25"/>
      <c r="B1640" s="22"/>
      <c r="C1640" s="25"/>
      <c r="D1640" s="22"/>
      <c r="E1640" s="25"/>
      <c r="F1640" s="22"/>
      <c r="G1640" s="25"/>
      <c r="H1640" s="22"/>
      <c r="I1640" s="25"/>
      <c r="J1640" s="22"/>
    </row>
    <row r="1641" ht="15.75" customHeight="1">
      <c r="A1641" s="25"/>
      <c r="B1641" s="22"/>
      <c r="C1641" s="25"/>
      <c r="D1641" s="22"/>
      <c r="E1641" s="25"/>
      <c r="F1641" s="22"/>
      <c r="G1641" s="25"/>
      <c r="H1641" s="22"/>
      <c r="I1641" s="25"/>
      <c r="J1641" s="22"/>
    </row>
    <row r="1642" ht="15.75" customHeight="1">
      <c r="A1642" s="25"/>
      <c r="B1642" s="22"/>
      <c r="C1642" s="25"/>
      <c r="D1642" s="22"/>
      <c r="E1642" s="25"/>
      <c r="F1642" s="22"/>
      <c r="G1642" s="25"/>
      <c r="H1642" s="22"/>
      <c r="I1642" s="25"/>
      <c r="J1642" s="22"/>
    </row>
    <row r="1643" ht="15.75" customHeight="1">
      <c r="A1643" s="25"/>
      <c r="B1643" s="22"/>
      <c r="C1643" s="25"/>
      <c r="D1643" s="22"/>
      <c r="E1643" s="25"/>
      <c r="F1643" s="22"/>
      <c r="G1643" s="25"/>
      <c r="H1643" s="22"/>
      <c r="I1643" s="25"/>
      <c r="J1643" s="22"/>
    </row>
    <row r="1644" ht="15.75" customHeight="1">
      <c r="A1644" s="25"/>
      <c r="B1644" s="22"/>
      <c r="C1644" s="25"/>
      <c r="D1644" s="22"/>
      <c r="E1644" s="25"/>
      <c r="F1644" s="22"/>
      <c r="G1644" s="25"/>
      <c r="H1644" s="22"/>
      <c r="I1644" s="25"/>
      <c r="J1644" s="22"/>
    </row>
    <row r="1645" ht="15.75" customHeight="1">
      <c r="A1645" s="25"/>
      <c r="B1645" s="22"/>
      <c r="C1645" s="25"/>
      <c r="D1645" s="22"/>
      <c r="E1645" s="25"/>
      <c r="F1645" s="22"/>
      <c r="G1645" s="25"/>
      <c r="H1645" s="22"/>
      <c r="I1645" s="25"/>
      <c r="J1645" s="22"/>
    </row>
    <row r="1646" ht="15.75" customHeight="1">
      <c r="A1646" s="25"/>
      <c r="B1646" s="22"/>
      <c r="C1646" s="25"/>
      <c r="D1646" s="22"/>
      <c r="F1646" s="25"/>
      <c r="G1646" s="22"/>
      <c r="H1646" s="25"/>
      <c r="I1646" s="22"/>
      <c r="J1646" s="25"/>
    </row>
    <row r="1647" ht="15.75" customHeight="1">
      <c r="A1647" s="25"/>
      <c r="B1647" s="22"/>
      <c r="C1647" s="25"/>
      <c r="D1647" s="22"/>
      <c r="F1647" s="25"/>
      <c r="G1647" s="22"/>
      <c r="H1647" s="25"/>
      <c r="I1647" s="22"/>
      <c r="J1647" s="25"/>
    </row>
    <row r="1648" ht="15.75" customHeight="1">
      <c r="A1648" s="25"/>
      <c r="B1648" s="22"/>
      <c r="C1648" s="25"/>
      <c r="D1648" s="22"/>
      <c r="F1648" s="25"/>
      <c r="G1648" s="22"/>
      <c r="H1648" s="25"/>
      <c r="I1648" s="22"/>
      <c r="J1648" s="25"/>
    </row>
    <row r="1649" ht="15.75" customHeight="1">
      <c r="A1649" s="25"/>
      <c r="B1649" s="22"/>
      <c r="C1649" s="25"/>
      <c r="D1649" s="22"/>
      <c r="F1649" s="25"/>
      <c r="G1649" s="22"/>
      <c r="H1649" s="25"/>
      <c r="I1649" s="22"/>
      <c r="J1649" s="25"/>
    </row>
    <row r="1650" ht="15.75" customHeight="1">
      <c r="A1650" s="25"/>
      <c r="B1650" s="22"/>
      <c r="C1650" s="25"/>
      <c r="D1650" s="22"/>
      <c r="F1650" s="25"/>
      <c r="G1650" s="22"/>
      <c r="H1650" s="25"/>
      <c r="I1650" s="22"/>
      <c r="J1650" s="25"/>
    </row>
    <row r="1651" ht="15.75" customHeight="1">
      <c r="A1651" s="25"/>
      <c r="B1651" s="22"/>
      <c r="C1651" s="25"/>
      <c r="D1651" s="22"/>
      <c r="F1651" s="25"/>
      <c r="G1651" s="22"/>
      <c r="H1651" s="25"/>
      <c r="I1651" s="22"/>
      <c r="J1651" s="25"/>
    </row>
    <row r="1652" ht="15.75" customHeight="1">
      <c r="A1652" s="25"/>
      <c r="B1652" s="22"/>
      <c r="C1652" s="25"/>
      <c r="D1652" s="22"/>
      <c r="F1652" s="25"/>
      <c r="G1652" s="22"/>
      <c r="H1652" s="25"/>
      <c r="I1652" s="22"/>
      <c r="J1652" s="25"/>
    </row>
    <row r="1653" ht="15.75" customHeight="1">
      <c r="A1653" s="25"/>
      <c r="B1653" s="22"/>
      <c r="C1653" s="25"/>
      <c r="D1653" s="22"/>
      <c r="F1653" s="25"/>
      <c r="G1653" s="22"/>
      <c r="H1653" s="25"/>
      <c r="I1653" s="22"/>
      <c r="J1653" s="25"/>
    </row>
    <row r="1654" ht="15.75" customHeight="1">
      <c r="A1654" s="25"/>
      <c r="B1654" s="22"/>
      <c r="C1654" s="25"/>
      <c r="D1654" s="22"/>
      <c r="F1654" s="25"/>
      <c r="G1654" s="22"/>
      <c r="H1654" s="25"/>
      <c r="I1654" s="22"/>
      <c r="J1654" s="25"/>
    </row>
    <row r="1655" ht="15.75" customHeight="1">
      <c r="A1655" s="25"/>
      <c r="B1655" s="22"/>
      <c r="C1655" s="25"/>
      <c r="D1655" s="22"/>
      <c r="F1655" s="25"/>
      <c r="G1655" s="22"/>
      <c r="H1655" s="25"/>
      <c r="I1655" s="22"/>
      <c r="J1655" s="25"/>
    </row>
    <row r="1656" ht="15.75" customHeight="1">
      <c r="A1656" s="25"/>
      <c r="B1656" s="22"/>
      <c r="C1656" s="25"/>
      <c r="D1656" s="22"/>
      <c r="F1656" s="25"/>
      <c r="G1656" s="22"/>
      <c r="H1656" s="25"/>
      <c r="I1656" s="22"/>
      <c r="J1656" s="25"/>
    </row>
    <row r="1657" ht="15.75" customHeight="1">
      <c r="A1657" s="25"/>
      <c r="B1657" s="22"/>
      <c r="C1657" s="25"/>
      <c r="D1657" s="22"/>
      <c r="F1657" s="25"/>
      <c r="G1657" s="22"/>
      <c r="H1657" s="25"/>
      <c r="I1657" s="22"/>
      <c r="J1657" s="25"/>
    </row>
    <row r="1658" ht="15.75" customHeight="1">
      <c r="A1658" s="25"/>
      <c r="B1658" s="22"/>
      <c r="C1658" s="25"/>
      <c r="D1658" s="22"/>
      <c r="F1658" s="25"/>
      <c r="G1658" s="22"/>
      <c r="H1658" s="25"/>
      <c r="I1658" s="22"/>
      <c r="J1658" s="25"/>
    </row>
    <row r="1659" ht="15.75" customHeight="1">
      <c r="A1659" s="25"/>
      <c r="B1659" s="22"/>
      <c r="C1659" s="25"/>
      <c r="D1659" s="22"/>
      <c r="F1659" s="25"/>
      <c r="G1659" s="22"/>
      <c r="H1659" s="25"/>
      <c r="I1659" s="22"/>
      <c r="J1659" s="25"/>
    </row>
    <row r="1660" ht="15.75" customHeight="1">
      <c r="A1660" s="25"/>
      <c r="B1660" s="22"/>
      <c r="C1660" s="25"/>
      <c r="D1660" s="22"/>
      <c r="F1660" s="25"/>
      <c r="G1660" s="22"/>
      <c r="H1660" s="25"/>
      <c r="I1660" s="22"/>
      <c r="J1660" s="25"/>
    </row>
    <row r="1661" ht="15.75" customHeight="1">
      <c r="A1661" s="25"/>
      <c r="B1661" s="22"/>
      <c r="C1661" s="25"/>
      <c r="D1661" s="22"/>
      <c r="F1661" s="25"/>
      <c r="G1661" s="22"/>
      <c r="H1661" s="25"/>
      <c r="I1661" s="22"/>
      <c r="J1661" s="25"/>
    </row>
    <row r="1662" ht="15.75" customHeight="1">
      <c r="A1662" s="25"/>
      <c r="B1662" s="22"/>
      <c r="C1662" s="25"/>
      <c r="D1662" s="22"/>
      <c r="F1662" s="25"/>
      <c r="G1662" s="22"/>
      <c r="H1662" s="25"/>
      <c r="I1662" s="22"/>
      <c r="J1662" s="25"/>
    </row>
    <row r="1663" ht="15.75" customHeight="1">
      <c r="A1663" s="25"/>
      <c r="B1663" s="22"/>
      <c r="C1663" s="25"/>
      <c r="D1663" s="22"/>
      <c r="F1663" s="25"/>
      <c r="G1663" s="22"/>
      <c r="H1663" s="25"/>
      <c r="I1663" s="22"/>
      <c r="J1663" s="25"/>
    </row>
    <row r="1664" ht="15.75" customHeight="1">
      <c r="A1664" s="25"/>
      <c r="B1664" s="22"/>
      <c r="C1664" s="25"/>
      <c r="D1664" s="22"/>
      <c r="F1664" s="25"/>
      <c r="G1664" s="22"/>
      <c r="H1664" s="25"/>
      <c r="I1664" s="22"/>
      <c r="J1664" s="25"/>
    </row>
    <row r="1665" ht="15.75" customHeight="1">
      <c r="A1665" s="25"/>
      <c r="B1665" s="22"/>
      <c r="C1665" s="25"/>
      <c r="D1665" s="22"/>
      <c r="F1665" s="25"/>
      <c r="G1665" s="22"/>
      <c r="H1665" s="25"/>
      <c r="I1665" s="22"/>
      <c r="J1665" s="25"/>
    </row>
    <row r="1666" ht="15.75" customHeight="1">
      <c r="A1666" s="25"/>
      <c r="B1666" s="22"/>
      <c r="C1666" s="25"/>
      <c r="D1666" s="22"/>
      <c r="F1666" s="25"/>
      <c r="G1666" s="22"/>
      <c r="H1666" s="25"/>
      <c r="I1666" s="22"/>
      <c r="J1666" s="25"/>
    </row>
    <row r="1667" ht="15.75" customHeight="1">
      <c r="A1667" s="25"/>
      <c r="B1667" s="22"/>
      <c r="C1667" s="25"/>
      <c r="D1667" s="22"/>
      <c r="F1667" s="25"/>
      <c r="G1667" s="22"/>
      <c r="H1667" s="25"/>
      <c r="I1667" s="22"/>
      <c r="J1667" s="25"/>
    </row>
    <row r="1668" ht="15.75" customHeight="1">
      <c r="A1668" s="25"/>
      <c r="B1668" s="22"/>
      <c r="C1668" s="25"/>
      <c r="D1668" s="22"/>
      <c r="F1668" s="25"/>
      <c r="G1668" s="22"/>
      <c r="H1668" s="25"/>
      <c r="I1668" s="22"/>
      <c r="J1668" s="25"/>
    </row>
    <row r="1669" ht="15.75" customHeight="1">
      <c r="A1669" s="25"/>
      <c r="B1669" s="22"/>
      <c r="C1669" s="25"/>
      <c r="D1669" s="22"/>
      <c r="F1669" s="25"/>
      <c r="G1669" s="22"/>
      <c r="H1669" s="25"/>
      <c r="I1669" s="22"/>
      <c r="J1669" s="25"/>
    </row>
    <row r="1670" ht="15.75" customHeight="1">
      <c r="A1670" s="25"/>
      <c r="B1670" s="22"/>
      <c r="C1670" s="25"/>
      <c r="D1670" s="22"/>
      <c r="F1670" s="25"/>
      <c r="G1670" s="22"/>
      <c r="H1670" s="25"/>
      <c r="I1670" s="22"/>
      <c r="J1670" s="25"/>
    </row>
    <row r="1671" ht="15.75" customHeight="1">
      <c r="A1671" s="25"/>
      <c r="B1671" s="22"/>
      <c r="C1671" s="25"/>
      <c r="D1671" s="22"/>
      <c r="F1671" s="25"/>
      <c r="G1671" s="22"/>
      <c r="H1671" s="25"/>
      <c r="I1671" s="22"/>
      <c r="J1671" s="25"/>
    </row>
    <row r="1672" ht="15.75" customHeight="1">
      <c r="A1672" s="25"/>
      <c r="B1672" s="22"/>
      <c r="C1672" s="25"/>
      <c r="D1672" s="22"/>
      <c r="F1672" s="25"/>
      <c r="G1672" s="22"/>
      <c r="H1672" s="25"/>
      <c r="I1672" s="22"/>
      <c r="J1672" s="25"/>
    </row>
    <row r="1673" ht="15.75" customHeight="1">
      <c r="A1673" s="25"/>
      <c r="B1673" s="22"/>
      <c r="C1673" s="25"/>
      <c r="D1673" s="22"/>
      <c r="F1673" s="25"/>
      <c r="G1673" s="22"/>
      <c r="H1673" s="25"/>
      <c r="I1673" s="22"/>
      <c r="J1673" s="25"/>
    </row>
    <row r="1674" ht="15.75" customHeight="1">
      <c r="A1674" s="25"/>
      <c r="B1674" s="22"/>
      <c r="C1674" s="25"/>
      <c r="D1674" s="22"/>
      <c r="F1674" s="25"/>
      <c r="G1674" s="22"/>
      <c r="H1674" s="25"/>
      <c r="I1674" s="22"/>
      <c r="J1674" s="25"/>
    </row>
    <row r="1675" ht="15.75" customHeight="1">
      <c r="A1675" s="25"/>
      <c r="B1675" s="22"/>
      <c r="C1675" s="25"/>
      <c r="D1675" s="22"/>
      <c r="F1675" s="25"/>
      <c r="G1675" s="22"/>
      <c r="H1675" s="25"/>
      <c r="I1675" s="22"/>
      <c r="J1675" s="25"/>
    </row>
    <row r="1676" ht="15.75" customHeight="1">
      <c r="A1676" s="25"/>
      <c r="B1676" s="22"/>
      <c r="C1676" s="25"/>
      <c r="D1676" s="22"/>
      <c r="F1676" s="25"/>
      <c r="G1676" s="22"/>
      <c r="H1676" s="25"/>
      <c r="I1676" s="22"/>
      <c r="J1676" s="25"/>
    </row>
    <row r="1677" ht="15.75" customHeight="1">
      <c r="A1677" s="25"/>
      <c r="B1677" s="22"/>
      <c r="C1677" s="25"/>
      <c r="D1677" s="22"/>
      <c r="F1677" s="25"/>
      <c r="G1677" s="22"/>
      <c r="H1677" s="25"/>
      <c r="I1677" s="22"/>
      <c r="J1677" s="25"/>
    </row>
    <row r="1678" ht="15.75" customHeight="1">
      <c r="A1678" s="25"/>
      <c r="B1678" s="22"/>
      <c r="C1678" s="25"/>
      <c r="D1678" s="22"/>
      <c r="F1678" s="25"/>
      <c r="G1678" s="22"/>
      <c r="H1678" s="25"/>
      <c r="I1678" s="22"/>
      <c r="J1678" s="25"/>
    </row>
    <row r="1679" ht="15.75" customHeight="1">
      <c r="A1679" s="25"/>
      <c r="B1679" s="22"/>
      <c r="C1679" s="25"/>
      <c r="D1679" s="22"/>
      <c r="F1679" s="25"/>
      <c r="G1679" s="22"/>
      <c r="H1679" s="25"/>
      <c r="I1679" s="22"/>
      <c r="J1679" s="25"/>
    </row>
    <row r="1680" ht="15.75" customHeight="1">
      <c r="A1680" s="25"/>
      <c r="B1680" s="22"/>
      <c r="C1680" s="25"/>
      <c r="D1680" s="22"/>
      <c r="F1680" s="25"/>
      <c r="G1680" s="22"/>
      <c r="H1680" s="25"/>
      <c r="I1680" s="22"/>
      <c r="J1680" s="25"/>
    </row>
    <row r="1681" ht="15.75" customHeight="1">
      <c r="A1681" s="25"/>
      <c r="B1681" s="22"/>
      <c r="C1681" s="25"/>
      <c r="D1681" s="22"/>
      <c r="F1681" s="25"/>
      <c r="G1681" s="22"/>
      <c r="H1681" s="25"/>
      <c r="I1681" s="22"/>
      <c r="J1681" s="25"/>
    </row>
    <row r="1682" ht="15.75" customHeight="1">
      <c r="A1682" s="25"/>
      <c r="B1682" s="22"/>
      <c r="C1682" s="25"/>
      <c r="D1682" s="22"/>
      <c r="F1682" s="25"/>
      <c r="G1682" s="22"/>
      <c r="H1682" s="25"/>
      <c r="I1682" s="22"/>
      <c r="J1682" s="25"/>
    </row>
    <row r="1683" ht="15.75" customHeight="1">
      <c r="A1683" s="25"/>
      <c r="B1683" s="22"/>
      <c r="C1683" s="25"/>
      <c r="D1683" s="22"/>
      <c r="F1683" s="25"/>
      <c r="G1683" s="22"/>
      <c r="H1683" s="25"/>
      <c r="I1683" s="22"/>
      <c r="J1683" s="25"/>
    </row>
    <row r="1684" ht="15.75" customHeight="1">
      <c r="A1684" s="25"/>
      <c r="B1684" s="22"/>
      <c r="C1684" s="25"/>
      <c r="D1684" s="22"/>
      <c r="F1684" s="25"/>
      <c r="G1684" s="22"/>
      <c r="H1684" s="25"/>
      <c r="I1684" s="22"/>
      <c r="J1684" s="25"/>
    </row>
    <row r="1685" ht="15.75" customHeight="1">
      <c r="A1685" s="25"/>
      <c r="B1685" s="22"/>
      <c r="C1685" s="25"/>
      <c r="D1685" s="22"/>
      <c r="F1685" s="25"/>
      <c r="G1685" s="22"/>
      <c r="H1685" s="25"/>
      <c r="I1685" s="22"/>
      <c r="J1685" s="25"/>
    </row>
    <row r="1686" ht="15.75" customHeight="1">
      <c r="A1686" s="25"/>
      <c r="B1686" s="22"/>
      <c r="C1686" s="25"/>
      <c r="D1686" s="22"/>
      <c r="F1686" s="25"/>
      <c r="G1686" s="22"/>
      <c r="H1686" s="25"/>
      <c r="I1686" s="22"/>
      <c r="J1686" s="25"/>
    </row>
    <row r="1687" ht="15.75" customHeight="1">
      <c r="A1687" s="25"/>
      <c r="B1687" s="22"/>
      <c r="C1687" s="25"/>
      <c r="D1687" s="22"/>
      <c r="F1687" s="25"/>
      <c r="G1687" s="22"/>
      <c r="H1687" s="25"/>
      <c r="I1687" s="22"/>
      <c r="J1687" s="25"/>
    </row>
    <row r="1688" ht="15.75" customHeight="1">
      <c r="A1688" s="25"/>
      <c r="B1688" s="22"/>
      <c r="C1688" s="25"/>
      <c r="D1688" s="22"/>
      <c r="F1688" s="25"/>
      <c r="G1688" s="22"/>
      <c r="H1688" s="25"/>
      <c r="I1688" s="22"/>
      <c r="J1688" s="25"/>
    </row>
    <row r="1689" ht="15.75" customHeight="1">
      <c r="A1689" s="25"/>
      <c r="B1689" s="22"/>
      <c r="C1689" s="25"/>
      <c r="D1689" s="22"/>
      <c r="F1689" s="25"/>
      <c r="G1689" s="22"/>
      <c r="H1689" s="25"/>
      <c r="I1689" s="22"/>
      <c r="J1689" s="25"/>
    </row>
    <row r="1690" ht="15.75" customHeight="1">
      <c r="A1690" s="25"/>
      <c r="B1690" s="22"/>
      <c r="C1690" s="25"/>
      <c r="D1690" s="22"/>
      <c r="F1690" s="25"/>
      <c r="G1690" s="22"/>
      <c r="H1690" s="25"/>
      <c r="I1690" s="22"/>
      <c r="J1690" s="25"/>
    </row>
    <row r="1691" ht="15.75" customHeight="1">
      <c r="A1691" s="25"/>
      <c r="B1691" s="22"/>
      <c r="C1691" s="25"/>
      <c r="D1691" s="22"/>
      <c r="F1691" s="25"/>
      <c r="G1691" s="22"/>
      <c r="H1691" s="25"/>
      <c r="I1691" s="22"/>
      <c r="J1691" s="25"/>
    </row>
    <row r="1692" ht="15.75" customHeight="1">
      <c r="A1692" s="25"/>
      <c r="B1692" s="22"/>
      <c r="C1692" s="25"/>
      <c r="D1692" s="22"/>
      <c r="F1692" s="25"/>
      <c r="G1692" s="22"/>
      <c r="H1692" s="25"/>
      <c r="I1692" s="22"/>
      <c r="J1692" s="25"/>
    </row>
    <row r="1693" ht="15.75" customHeight="1">
      <c r="A1693" s="25"/>
      <c r="B1693" s="22"/>
      <c r="C1693" s="25"/>
      <c r="D1693" s="22"/>
      <c r="F1693" s="25"/>
      <c r="G1693" s="22"/>
      <c r="H1693" s="25"/>
      <c r="I1693" s="22"/>
      <c r="J1693" s="25"/>
    </row>
    <row r="1694" ht="15.75" customHeight="1">
      <c r="A1694" s="25"/>
      <c r="B1694" s="22"/>
      <c r="C1694" s="25"/>
      <c r="D1694" s="22"/>
      <c r="F1694" s="25"/>
      <c r="G1694" s="22"/>
      <c r="H1694" s="25"/>
      <c r="I1694" s="22"/>
      <c r="J1694" s="25"/>
    </row>
    <row r="1695" ht="15.75" customHeight="1">
      <c r="A1695" s="25"/>
      <c r="B1695" s="22"/>
      <c r="C1695" s="25"/>
      <c r="D1695" s="22"/>
      <c r="F1695" s="25"/>
      <c r="G1695" s="22"/>
      <c r="H1695" s="25"/>
      <c r="I1695" s="22"/>
      <c r="J1695" s="25"/>
    </row>
    <row r="1696" ht="15.75" customHeight="1">
      <c r="A1696" s="25"/>
      <c r="B1696" s="22"/>
      <c r="C1696" s="25"/>
      <c r="D1696" s="22"/>
      <c r="F1696" s="25"/>
      <c r="G1696" s="22"/>
      <c r="H1696" s="25"/>
      <c r="I1696" s="22"/>
      <c r="J1696" s="25"/>
    </row>
    <row r="1697" ht="15.75" customHeight="1">
      <c r="A1697" s="25"/>
      <c r="B1697" s="22"/>
      <c r="C1697" s="25"/>
      <c r="D1697" s="22"/>
      <c r="F1697" s="25"/>
      <c r="G1697" s="22"/>
      <c r="H1697" s="25"/>
      <c r="I1697" s="22"/>
      <c r="J1697" s="25"/>
    </row>
    <row r="1698" ht="15.75" customHeight="1">
      <c r="A1698" s="25"/>
      <c r="B1698" s="22"/>
      <c r="C1698" s="25"/>
      <c r="D1698" s="22"/>
      <c r="F1698" s="25"/>
      <c r="G1698" s="22"/>
      <c r="H1698" s="25"/>
      <c r="I1698" s="22"/>
      <c r="J1698" s="25"/>
    </row>
    <row r="1699" ht="15.75" customHeight="1">
      <c r="A1699" s="25"/>
      <c r="B1699" s="22"/>
      <c r="C1699" s="25"/>
      <c r="D1699" s="22"/>
      <c r="F1699" s="25"/>
      <c r="G1699" s="22"/>
      <c r="H1699" s="25"/>
      <c r="I1699" s="22"/>
      <c r="J1699" s="25"/>
    </row>
    <row r="1700" ht="15.75" customHeight="1">
      <c r="A1700" s="25"/>
      <c r="B1700" s="22"/>
      <c r="C1700" s="25"/>
      <c r="D1700" s="22"/>
      <c r="F1700" s="25"/>
      <c r="G1700" s="22"/>
      <c r="H1700" s="25"/>
      <c r="I1700" s="22"/>
      <c r="J1700" s="25"/>
    </row>
    <row r="1701" ht="15.75" customHeight="1">
      <c r="A1701" s="25"/>
      <c r="B1701" s="22"/>
      <c r="C1701" s="25"/>
      <c r="D1701" s="22"/>
      <c r="F1701" s="25"/>
      <c r="G1701" s="22"/>
      <c r="H1701" s="25"/>
      <c r="I1701" s="22"/>
      <c r="J1701" s="25"/>
    </row>
    <row r="1702" ht="15.75" customHeight="1">
      <c r="A1702" s="25"/>
      <c r="B1702" s="22"/>
      <c r="C1702" s="25"/>
      <c r="D1702" s="22"/>
      <c r="F1702" s="25"/>
      <c r="G1702" s="22"/>
      <c r="H1702" s="25"/>
      <c r="I1702" s="22"/>
      <c r="J1702" s="25"/>
    </row>
    <row r="1703" ht="15.75" customHeight="1">
      <c r="A1703" s="25"/>
      <c r="B1703" s="22"/>
      <c r="C1703" s="25"/>
      <c r="D1703" s="22"/>
      <c r="F1703" s="25"/>
      <c r="G1703" s="22"/>
      <c r="H1703" s="25"/>
      <c r="I1703" s="22"/>
      <c r="J1703" s="25"/>
    </row>
    <row r="1704" ht="15.75" customHeight="1">
      <c r="A1704" s="25"/>
      <c r="B1704" s="22"/>
      <c r="C1704" s="25"/>
      <c r="D1704" s="22"/>
      <c r="F1704" s="25"/>
      <c r="G1704" s="22"/>
      <c r="H1704" s="25"/>
      <c r="I1704" s="22"/>
      <c r="J1704" s="25"/>
    </row>
    <row r="1705" ht="15.75" customHeight="1">
      <c r="A1705" s="25"/>
      <c r="B1705" s="22"/>
      <c r="C1705" s="25"/>
      <c r="D1705" s="22"/>
      <c r="F1705" s="25"/>
      <c r="G1705" s="22"/>
      <c r="H1705" s="25"/>
      <c r="I1705" s="22"/>
      <c r="J1705" s="25"/>
    </row>
    <row r="1706" ht="15.75" customHeight="1">
      <c r="A1706" s="25"/>
      <c r="B1706" s="22"/>
      <c r="C1706" s="25"/>
      <c r="D1706" s="22"/>
      <c r="F1706" s="25"/>
      <c r="G1706" s="22"/>
      <c r="H1706" s="25"/>
      <c r="I1706" s="22"/>
      <c r="J1706" s="25"/>
    </row>
    <row r="1707" ht="15.75" customHeight="1">
      <c r="A1707" s="25"/>
      <c r="B1707" s="22"/>
      <c r="C1707" s="25"/>
      <c r="D1707" s="22"/>
      <c r="F1707" s="25"/>
      <c r="G1707" s="22"/>
      <c r="H1707" s="25"/>
      <c r="I1707" s="22"/>
      <c r="J1707" s="25"/>
    </row>
    <row r="1708" ht="15.75" customHeight="1">
      <c r="A1708" s="25"/>
      <c r="B1708" s="22"/>
      <c r="C1708" s="25"/>
      <c r="D1708" s="22"/>
      <c r="F1708" s="25"/>
      <c r="G1708" s="22"/>
      <c r="H1708" s="25"/>
      <c r="I1708" s="22"/>
      <c r="J1708" s="25"/>
    </row>
    <row r="1709" ht="15.75" customHeight="1">
      <c r="A1709" s="25"/>
      <c r="B1709" s="22"/>
      <c r="C1709" s="25"/>
      <c r="D1709" s="22"/>
      <c r="F1709" s="25"/>
      <c r="G1709" s="22"/>
      <c r="H1709" s="25"/>
      <c r="I1709" s="22"/>
      <c r="J1709" s="25"/>
    </row>
    <row r="1710" ht="15.75" customHeight="1">
      <c r="A1710" s="25"/>
      <c r="B1710" s="22"/>
      <c r="C1710" s="25"/>
      <c r="D1710" s="22"/>
      <c r="F1710" s="25"/>
      <c r="G1710" s="22"/>
      <c r="H1710" s="25"/>
      <c r="I1710" s="22"/>
      <c r="J1710" s="25"/>
    </row>
    <row r="1711" ht="15.75" customHeight="1">
      <c r="A1711" s="25"/>
      <c r="B1711" s="22"/>
      <c r="C1711" s="25"/>
      <c r="D1711" s="22"/>
      <c r="F1711" s="25"/>
      <c r="G1711" s="22"/>
      <c r="H1711" s="25"/>
      <c r="I1711" s="22"/>
      <c r="J1711" s="25"/>
    </row>
    <row r="1712" ht="15.75" customHeight="1">
      <c r="A1712" s="25"/>
      <c r="B1712" s="22"/>
      <c r="C1712" s="25"/>
      <c r="D1712" s="22"/>
      <c r="F1712" s="25"/>
      <c r="G1712" s="22"/>
      <c r="H1712" s="25"/>
      <c r="I1712" s="22"/>
      <c r="J1712" s="25"/>
    </row>
    <row r="1713" ht="15.75" customHeight="1">
      <c r="A1713" s="25"/>
      <c r="B1713" s="22"/>
      <c r="C1713" s="25"/>
      <c r="D1713" s="22"/>
      <c r="F1713" s="25"/>
      <c r="G1713" s="22"/>
      <c r="H1713" s="25"/>
      <c r="I1713" s="22"/>
      <c r="J1713" s="25"/>
    </row>
    <row r="1714" ht="15.75" customHeight="1">
      <c r="A1714" s="25"/>
      <c r="B1714" s="22"/>
      <c r="C1714" s="25"/>
      <c r="D1714" s="22"/>
      <c r="F1714" s="25"/>
      <c r="G1714" s="22"/>
      <c r="H1714" s="25"/>
      <c r="I1714" s="22"/>
      <c r="J1714" s="25"/>
    </row>
    <row r="1715" ht="15.75" customHeight="1">
      <c r="A1715" s="25"/>
      <c r="B1715" s="22"/>
      <c r="C1715" s="25"/>
      <c r="D1715" s="22"/>
      <c r="F1715" s="25"/>
      <c r="G1715" s="22"/>
      <c r="H1715" s="25"/>
      <c r="I1715" s="22"/>
      <c r="J1715" s="25"/>
    </row>
    <row r="1716" ht="15.75" customHeight="1">
      <c r="A1716" s="25"/>
      <c r="B1716" s="22"/>
      <c r="C1716" s="25"/>
      <c r="D1716" s="22"/>
      <c r="F1716" s="25"/>
      <c r="G1716" s="22"/>
      <c r="H1716" s="25"/>
      <c r="I1716" s="22"/>
      <c r="J1716" s="25"/>
    </row>
    <row r="1717" ht="15.75" customHeight="1">
      <c r="A1717" s="25"/>
      <c r="B1717" s="22"/>
      <c r="C1717" s="25"/>
      <c r="D1717" s="22"/>
      <c r="F1717" s="25"/>
      <c r="G1717" s="22"/>
      <c r="H1717" s="25"/>
      <c r="I1717" s="22"/>
      <c r="J1717" s="25"/>
    </row>
    <row r="1718" ht="15.75" customHeight="1">
      <c r="A1718" s="25"/>
      <c r="B1718" s="22"/>
      <c r="C1718" s="25"/>
      <c r="D1718" s="22"/>
      <c r="F1718" s="25"/>
      <c r="G1718" s="22"/>
      <c r="H1718" s="25"/>
      <c r="I1718" s="22"/>
      <c r="J1718" s="25"/>
    </row>
    <row r="1719" ht="15.75" customHeight="1">
      <c r="A1719" s="25"/>
      <c r="B1719" s="22"/>
      <c r="C1719" s="25"/>
      <c r="D1719" s="22"/>
      <c r="F1719" s="25"/>
      <c r="G1719" s="22"/>
      <c r="H1719" s="25"/>
      <c r="I1719" s="22"/>
      <c r="J1719" s="25"/>
    </row>
    <row r="1720" ht="15.75" customHeight="1">
      <c r="A1720" s="25"/>
      <c r="B1720" s="22"/>
      <c r="C1720" s="25"/>
      <c r="D1720" s="22"/>
      <c r="F1720" s="25"/>
      <c r="G1720" s="22"/>
      <c r="H1720" s="25"/>
      <c r="I1720" s="22"/>
      <c r="J1720" s="25"/>
    </row>
    <row r="1721" ht="15.75" customHeight="1">
      <c r="A1721" s="25"/>
      <c r="B1721" s="22"/>
      <c r="C1721" s="25"/>
      <c r="D1721" s="22"/>
      <c r="F1721" s="25"/>
      <c r="G1721" s="22"/>
      <c r="H1721" s="25"/>
      <c r="I1721" s="22"/>
      <c r="J1721" s="25"/>
    </row>
    <row r="1722" ht="15.75" customHeight="1">
      <c r="A1722" s="25"/>
      <c r="B1722" s="22"/>
      <c r="C1722" s="25"/>
      <c r="D1722" s="22"/>
      <c r="F1722" s="25"/>
      <c r="G1722" s="22"/>
      <c r="H1722" s="25"/>
      <c r="I1722" s="22"/>
      <c r="J1722" s="25"/>
    </row>
    <row r="1723" ht="15.75" customHeight="1">
      <c r="A1723" s="25"/>
      <c r="B1723" s="22"/>
      <c r="C1723" s="25"/>
      <c r="D1723" s="22"/>
      <c r="F1723" s="25"/>
      <c r="G1723" s="22"/>
      <c r="H1723" s="25"/>
      <c r="I1723" s="22"/>
      <c r="J1723" s="25"/>
    </row>
    <row r="1724" ht="15.75" customHeight="1">
      <c r="A1724" s="25"/>
      <c r="B1724" s="22"/>
      <c r="C1724" s="25"/>
      <c r="D1724" s="22"/>
      <c r="F1724" s="25"/>
      <c r="G1724" s="22"/>
      <c r="H1724" s="25"/>
      <c r="I1724" s="22"/>
      <c r="J1724" s="25"/>
    </row>
    <row r="1725" ht="15.75" customHeight="1">
      <c r="A1725" s="25"/>
      <c r="B1725" s="22"/>
      <c r="C1725" s="25"/>
      <c r="D1725" s="22"/>
      <c r="F1725" s="25"/>
      <c r="G1725" s="22"/>
      <c r="H1725" s="25"/>
      <c r="I1725" s="22"/>
      <c r="J1725" s="25"/>
    </row>
    <row r="1726" ht="15.75" customHeight="1">
      <c r="A1726" s="25"/>
      <c r="B1726" s="22"/>
      <c r="C1726" s="25"/>
      <c r="D1726" s="22"/>
      <c r="F1726" s="25"/>
      <c r="G1726" s="22"/>
      <c r="H1726" s="25"/>
      <c r="I1726" s="22"/>
      <c r="J1726" s="25"/>
    </row>
    <row r="1727" ht="15.75" customHeight="1">
      <c r="A1727" s="25"/>
      <c r="B1727" s="22"/>
      <c r="C1727" s="25"/>
      <c r="D1727" s="22"/>
      <c r="F1727" s="25"/>
      <c r="G1727" s="22"/>
      <c r="H1727" s="25"/>
      <c r="I1727" s="22"/>
      <c r="J1727" s="25"/>
    </row>
    <row r="1728" ht="15.75" customHeight="1">
      <c r="A1728" s="25"/>
      <c r="B1728" s="22"/>
      <c r="C1728" s="25"/>
      <c r="D1728" s="22"/>
      <c r="F1728" s="25"/>
      <c r="G1728" s="22"/>
      <c r="H1728" s="25"/>
      <c r="I1728" s="22"/>
      <c r="J1728" s="25"/>
    </row>
    <row r="1729" ht="15.75" customHeight="1">
      <c r="A1729" s="25"/>
      <c r="B1729" s="22"/>
      <c r="C1729" s="25"/>
      <c r="D1729" s="22"/>
      <c r="F1729" s="25"/>
      <c r="G1729" s="22"/>
      <c r="H1729" s="25"/>
      <c r="I1729" s="22"/>
      <c r="J1729" s="25"/>
    </row>
    <row r="1730" ht="15.75" customHeight="1">
      <c r="A1730" s="25"/>
      <c r="B1730" s="22"/>
      <c r="C1730" s="25"/>
      <c r="D1730" s="22"/>
      <c r="F1730" s="25"/>
      <c r="G1730" s="22"/>
      <c r="H1730" s="25"/>
      <c r="I1730" s="22"/>
      <c r="J1730" s="25"/>
    </row>
    <row r="1731" ht="15.75" customHeight="1">
      <c r="A1731" s="25"/>
      <c r="B1731" s="22"/>
      <c r="C1731" s="25"/>
      <c r="D1731" s="22"/>
      <c r="F1731" s="25"/>
      <c r="G1731" s="22"/>
      <c r="H1731" s="25"/>
      <c r="I1731" s="22"/>
      <c r="J1731" s="25"/>
    </row>
    <row r="1732" ht="15.75" customHeight="1">
      <c r="A1732" s="25"/>
      <c r="B1732" s="22"/>
      <c r="C1732" s="25"/>
      <c r="D1732" s="22"/>
      <c r="F1732" s="25"/>
      <c r="G1732" s="22"/>
      <c r="H1732" s="25"/>
      <c r="I1732" s="22"/>
      <c r="J1732" s="25"/>
    </row>
    <row r="1733" ht="15.75" customHeight="1">
      <c r="A1733" s="25"/>
      <c r="B1733" s="22"/>
      <c r="C1733" s="25"/>
      <c r="D1733" s="22"/>
      <c r="F1733" s="25"/>
      <c r="G1733" s="22"/>
      <c r="H1733" s="25"/>
      <c r="I1733" s="22"/>
      <c r="J1733" s="25"/>
    </row>
    <row r="1734" ht="15.75" customHeight="1">
      <c r="A1734" s="25"/>
      <c r="B1734" s="22"/>
      <c r="C1734" s="25"/>
      <c r="D1734" s="22"/>
      <c r="F1734" s="25"/>
      <c r="G1734" s="22"/>
      <c r="H1734" s="25"/>
      <c r="I1734" s="22"/>
      <c r="J1734" s="25"/>
    </row>
    <row r="1735" ht="15.75" customHeight="1">
      <c r="A1735" s="25"/>
      <c r="B1735" s="22"/>
      <c r="C1735" s="25"/>
      <c r="D1735" s="22"/>
      <c r="F1735" s="25"/>
      <c r="G1735" s="22"/>
      <c r="H1735" s="25"/>
      <c r="I1735" s="22"/>
      <c r="J1735" s="25"/>
    </row>
    <row r="1736" ht="15.75" customHeight="1">
      <c r="A1736" s="25"/>
      <c r="B1736" s="22"/>
      <c r="C1736" s="25"/>
      <c r="D1736" s="22"/>
      <c r="F1736" s="25"/>
      <c r="G1736" s="22"/>
      <c r="H1736" s="25"/>
      <c r="I1736" s="22"/>
      <c r="J1736" s="25"/>
    </row>
    <row r="1737" ht="15.75" customHeight="1">
      <c r="A1737" s="25"/>
      <c r="B1737" s="22"/>
      <c r="C1737" s="25"/>
      <c r="D1737" s="22"/>
      <c r="F1737" s="25"/>
      <c r="G1737" s="22"/>
      <c r="H1737" s="25"/>
      <c r="I1737" s="22"/>
      <c r="J1737" s="25"/>
    </row>
    <row r="1738" ht="15.75" customHeight="1">
      <c r="A1738" s="25"/>
      <c r="B1738" s="22"/>
      <c r="C1738" s="25"/>
      <c r="D1738" s="22"/>
      <c r="F1738" s="25"/>
      <c r="G1738" s="22"/>
      <c r="H1738" s="25"/>
      <c r="I1738" s="22"/>
      <c r="J1738" s="25"/>
    </row>
    <row r="1739" ht="15.75" customHeight="1">
      <c r="A1739" s="25"/>
      <c r="B1739" s="22"/>
      <c r="C1739" s="25"/>
      <c r="D1739" s="22"/>
      <c r="F1739" s="25"/>
      <c r="G1739" s="22"/>
      <c r="H1739" s="25"/>
      <c r="I1739" s="22"/>
      <c r="J1739" s="25"/>
    </row>
    <row r="1740" ht="15.75" customHeight="1">
      <c r="A1740" s="25"/>
      <c r="B1740" s="22"/>
      <c r="C1740" s="25"/>
      <c r="D1740" s="22"/>
      <c r="F1740" s="25"/>
      <c r="G1740" s="22"/>
      <c r="H1740" s="25"/>
      <c r="I1740" s="22"/>
      <c r="J1740" s="25"/>
    </row>
    <row r="1741" ht="15.75" customHeight="1">
      <c r="A1741" s="25"/>
      <c r="B1741" s="22"/>
      <c r="C1741" s="25"/>
      <c r="D1741" s="22"/>
      <c r="F1741" s="25"/>
      <c r="G1741" s="22"/>
      <c r="H1741" s="25"/>
      <c r="I1741" s="22"/>
      <c r="J1741" s="25"/>
    </row>
    <row r="1742" ht="15.75" customHeight="1">
      <c r="A1742" s="25"/>
      <c r="B1742" s="22"/>
      <c r="C1742" s="25"/>
      <c r="D1742" s="22"/>
      <c r="F1742" s="25"/>
      <c r="G1742" s="22"/>
      <c r="H1742" s="25"/>
      <c r="I1742" s="22"/>
      <c r="J1742" s="25"/>
    </row>
    <row r="1743" ht="15.75" customHeight="1">
      <c r="A1743" s="25"/>
      <c r="B1743" s="22"/>
      <c r="C1743" s="25"/>
      <c r="D1743" s="22"/>
      <c r="F1743" s="25"/>
      <c r="G1743" s="22"/>
      <c r="H1743" s="25"/>
      <c r="I1743" s="22"/>
      <c r="J1743" s="25"/>
    </row>
    <row r="1744" ht="15.75" customHeight="1">
      <c r="A1744" s="25"/>
      <c r="B1744" s="22"/>
      <c r="C1744" s="25"/>
      <c r="D1744" s="22"/>
      <c r="F1744" s="25"/>
      <c r="G1744" s="22"/>
      <c r="H1744" s="25"/>
      <c r="I1744" s="22"/>
      <c r="J1744" s="25"/>
    </row>
    <row r="1745" ht="15.75" customHeight="1">
      <c r="A1745" s="25"/>
      <c r="B1745" s="22"/>
      <c r="C1745" s="25"/>
      <c r="D1745" s="22"/>
      <c r="F1745" s="25"/>
      <c r="G1745" s="22"/>
      <c r="H1745" s="25"/>
      <c r="I1745" s="22"/>
      <c r="J1745" s="25"/>
    </row>
    <row r="1746" ht="15.75" customHeight="1">
      <c r="A1746" s="25"/>
      <c r="B1746" s="22"/>
      <c r="C1746" s="25"/>
      <c r="D1746" s="22"/>
      <c r="F1746" s="25"/>
      <c r="G1746" s="22"/>
      <c r="H1746" s="25"/>
      <c r="I1746" s="22"/>
      <c r="J1746" s="25"/>
    </row>
    <row r="1747" ht="15.75" customHeight="1">
      <c r="A1747" s="25"/>
      <c r="B1747" s="22"/>
      <c r="C1747" s="25"/>
      <c r="D1747" s="22"/>
      <c r="F1747" s="25"/>
      <c r="G1747" s="22"/>
      <c r="H1747" s="25"/>
      <c r="I1747" s="22"/>
      <c r="J1747" s="25"/>
    </row>
    <row r="1748" ht="15.75" customHeight="1">
      <c r="A1748" s="25"/>
      <c r="B1748" s="22"/>
      <c r="C1748" s="25"/>
      <c r="D1748" s="22"/>
      <c r="F1748" s="25"/>
      <c r="G1748" s="22"/>
      <c r="H1748" s="25"/>
      <c r="I1748" s="22"/>
      <c r="J1748" s="25"/>
    </row>
    <row r="1749" ht="15.75" customHeight="1">
      <c r="A1749" s="25"/>
      <c r="B1749" s="22"/>
      <c r="C1749" s="25"/>
      <c r="D1749" s="22"/>
      <c r="F1749" s="25"/>
      <c r="G1749" s="22"/>
      <c r="H1749" s="25"/>
      <c r="I1749" s="22"/>
      <c r="J1749" s="25"/>
    </row>
    <row r="1750" ht="15.75" customHeight="1">
      <c r="A1750" s="25"/>
      <c r="B1750" s="22"/>
      <c r="C1750" s="25"/>
      <c r="D1750" s="22"/>
      <c r="F1750" s="25"/>
      <c r="G1750" s="22"/>
      <c r="H1750" s="25"/>
      <c r="I1750" s="22"/>
      <c r="J1750" s="25"/>
    </row>
    <row r="1751" ht="15.75" customHeight="1">
      <c r="A1751" s="25"/>
      <c r="B1751" s="22"/>
      <c r="C1751" s="25"/>
      <c r="D1751" s="22"/>
      <c r="F1751" s="25"/>
      <c r="G1751" s="22"/>
      <c r="H1751" s="25"/>
      <c r="I1751" s="22"/>
      <c r="J1751" s="25"/>
    </row>
    <row r="1752" ht="15.75" customHeight="1">
      <c r="A1752" s="25"/>
      <c r="B1752" s="22"/>
      <c r="C1752" s="25"/>
      <c r="D1752" s="22"/>
      <c r="F1752" s="25"/>
      <c r="G1752" s="22"/>
      <c r="H1752" s="25"/>
      <c r="I1752" s="22"/>
      <c r="J1752" s="25"/>
    </row>
    <row r="1753" ht="15.75" customHeight="1">
      <c r="A1753" s="25"/>
      <c r="B1753" s="22"/>
      <c r="C1753" s="25"/>
      <c r="D1753" s="22"/>
      <c r="F1753" s="25"/>
      <c r="G1753" s="22"/>
      <c r="H1753" s="25"/>
      <c r="I1753" s="22"/>
      <c r="J1753" s="25"/>
    </row>
    <row r="1754" ht="15.75" customHeight="1">
      <c r="A1754" s="25"/>
      <c r="B1754" s="22"/>
      <c r="C1754" s="25"/>
      <c r="D1754" s="22"/>
      <c r="F1754" s="25"/>
      <c r="G1754" s="22"/>
      <c r="H1754" s="25"/>
      <c r="I1754" s="22"/>
      <c r="J1754" s="25"/>
    </row>
    <row r="1755" ht="15.75" customHeight="1">
      <c r="A1755" s="25"/>
      <c r="B1755" s="22"/>
      <c r="C1755" s="25"/>
      <c r="D1755" s="22"/>
      <c r="F1755" s="25"/>
      <c r="G1755" s="22"/>
      <c r="H1755" s="25"/>
      <c r="I1755" s="22"/>
      <c r="J1755" s="25"/>
    </row>
    <row r="1756" ht="15.75" customHeight="1">
      <c r="A1756" s="25"/>
      <c r="B1756" s="22"/>
      <c r="C1756" s="25"/>
      <c r="D1756" s="22"/>
      <c r="F1756" s="25"/>
      <c r="G1756" s="22"/>
      <c r="H1756" s="25"/>
      <c r="I1756" s="22"/>
      <c r="J1756" s="25"/>
    </row>
    <row r="1757" ht="15.75" customHeight="1">
      <c r="A1757" s="25"/>
      <c r="B1757" s="22"/>
      <c r="C1757" s="25"/>
      <c r="D1757" s="22"/>
      <c r="F1757" s="25"/>
      <c r="G1757" s="22"/>
      <c r="H1757" s="25"/>
      <c r="I1757" s="22"/>
      <c r="J1757" s="25"/>
    </row>
    <row r="1758" ht="15.75" customHeight="1">
      <c r="A1758" s="25"/>
      <c r="B1758" s="22"/>
      <c r="C1758" s="25"/>
      <c r="D1758" s="22"/>
      <c r="F1758" s="25"/>
      <c r="G1758" s="22"/>
      <c r="H1758" s="25"/>
      <c r="I1758" s="22"/>
      <c r="J1758" s="25"/>
    </row>
    <row r="1759" ht="15.75" customHeight="1">
      <c r="A1759" s="25"/>
      <c r="B1759" s="22"/>
      <c r="C1759" s="25"/>
      <c r="D1759" s="22"/>
      <c r="F1759" s="25"/>
      <c r="G1759" s="22"/>
      <c r="H1759" s="25"/>
      <c r="I1759" s="22"/>
      <c r="J1759" s="25"/>
    </row>
    <row r="1760" ht="15.75" customHeight="1">
      <c r="A1760" s="25"/>
      <c r="B1760" s="22"/>
      <c r="C1760" s="25"/>
      <c r="D1760" s="22"/>
      <c r="F1760" s="25"/>
      <c r="G1760" s="22"/>
      <c r="H1760" s="25"/>
      <c r="I1760" s="22"/>
      <c r="J1760" s="25"/>
    </row>
    <row r="1761" ht="15.75" customHeight="1">
      <c r="A1761" s="25"/>
      <c r="B1761" s="22"/>
      <c r="C1761" s="25"/>
      <c r="D1761" s="22"/>
      <c r="F1761" s="25"/>
      <c r="G1761" s="22"/>
      <c r="H1761" s="25"/>
      <c r="I1761" s="22"/>
      <c r="J1761" s="25"/>
    </row>
    <row r="1762" ht="15.75" customHeight="1">
      <c r="A1762" s="25"/>
      <c r="B1762" s="22"/>
      <c r="C1762" s="25"/>
      <c r="D1762" s="22"/>
      <c r="F1762" s="25"/>
      <c r="G1762" s="22"/>
      <c r="H1762" s="25"/>
      <c r="I1762" s="22"/>
      <c r="J1762" s="25"/>
    </row>
    <row r="1763" ht="15.75" customHeight="1">
      <c r="A1763" s="25"/>
      <c r="B1763" s="22"/>
      <c r="C1763" s="25"/>
      <c r="D1763" s="22"/>
      <c r="F1763" s="25"/>
      <c r="G1763" s="22"/>
      <c r="H1763" s="25"/>
      <c r="I1763" s="22"/>
      <c r="J1763" s="25"/>
    </row>
    <row r="1764" ht="15.75" customHeight="1">
      <c r="A1764" s="25"/>
      <c r="B1764" s="22"/>
      <c r="C1764" s="25"/>
      <c r="D1764" s="22"/>
      <c r="F1764" s="25"/>
      <c r="G1764" s="22"/>
      <c r="H1764" s="25"/>
      <c r="I1764" s="22"/>
      <c r="J1764" s="25"/>
    </row>
    <row r="1765" ht="15.75" customHeight="1">
      <c r="A1765" s="25"/>
      <c r="B1765" s="22"/>
      <c r="C1765" s="25"/>
      <c r="D1765" s="22"/>
      <c r="F1765" s="25"/>
      <c r="G1765" s="22"/>
      <c r="H1765" s="25"/>
      <c r="I1765" s="22"/>
      <c r="J1765" s="25"/>
    </row>
    <row r="1766" ht="15.75" customHeight="1">
      <c r="A1766" s="25"/>
      <c r="B1766" s="22"/>
      <c r="C1766" s="25"/>
      <c r="D1766" s="22"/>
      <c r="F1766" s="25"/>
      <c r="G1766" s="22"/>
      <c r="H1766" s="25"/>
      <c r="I1766" s="22"/>
      <c r="J1766" s="25"/>
    </row>
    <row r="1767" ht="15.75" customHeight="1">
      <c r="A1767" s="25"/>
      <c r="B1767" s="22"/>
      <c r="C1767" s="25"/>
      <c r="D1767" s="22"/>
      <c r="F1767" s="25"/>
      <c r="G1767" s="22"/>
      <c r="H1767" s="25"/>
      <c r="I1767" s="22"/>
      <c r="J1767" s="25"/>
    </row>
    <row r="1768" ht="15.75" customHeight="1">
      <c r="A1768" s="25"/>
      <c r="B1768" s="22"/>
      <c r="C1768" s="25"/>
      <c r="D1768" s="22"/>
      <c r="F1768" s="25"/>
      <c r="G1768" s="22"/>
      <c r="H1768" s="25"/>
      <c r="I1768" s="22"/>
      <c r="J1768" s="25"/>
    </row>
    <row r="1769" ht="15.75" customHeight="1">
      <c r="A1769" s="25"/>
      <c r="B1769" s="22"/>
      <c r="C1769" s="25"/>
      <c r="D1769" s="22"/>
      <c r="F1769" s="25"/>
      <c r="G1769" s="22"/>
      <c r="H1769" s="25"/>
      <c r="I1769" s="22"/>
      <c r="J1769" s="25"/>
    </row>
    <row r="1770" ht="15.75" customHeight="1">
      <c r="A1770" s="25"/>
      <c r="B1770" s="22"/>
      <c r="C1770" s="25"/>
      <c r="D1770" s="22"/>
      <c r="F1770" s="25"/>
      <c r="G1770" s="22"/>
      <c r="H1770" s="25"/>
      <c r="I1770" s="22"/>
      <c r="J1770" s="25"/>
    </row>
    <row r="1771" ht="15.75" customHeight="1">
      <c r="A1771" s="25"/>
      <c r="B1771" s="22"/>
      <c r="C1771" s="25"/>
      <c r="D1771" s="22"/>
      <c r="F1771" s="25"/>
      <c r="G1771" s="22"/>
      <c r="H1771" s="25"/>
      <c r="I1771" s="22"/>
      <c r="J1771" s="25"/>
    </row>
    <row r="1772" ht="15.75" customHeight="1">
      <c r="A1772" s="25"/>
      <c r="B1772" s="22"/>
      <c r="C1772" s="25"/>
      <c r="D1772" s="22"/>
      <c r="F1772" s="25"/>
      <c r="G1772" s="22"/>
      <c r="H1772" s="25"/>
      <c r="I1772" s="22"/>
      <c r="J1772" s="25"/>
    </row>
    <row r="1773" ht="15.75" customHeight="1">
      <c r="A1773" s="25"/>
      <c r="B1773" s="22"/>
      <c r="C1773" s="25"/>
      <c r="D1773" s="22"/>
      <c r="F1773" s="25"/>
      <c r="G1773" s="22"/>
      <c r="H1773" s="25"/>
      <c r="I1773" s="22"/>
      <c r="J1773" s="25"/>
    </row>
    <row r="1774" ht="15.75" customHeight="1">
      <c r="A1774" s="25"/>
      <c r="B1774" s="22"/>
      <c r="C1774" s="25"/>
      <c r="D1774" s="22"/>
      <c r="F1774" s="25"/>
      <c r="G1774" s="22"/>
      <c r="H1774" s="25"/>
      <c r="I1774" s="22"/>
      <c r="J1774" s="25"/>
    </row>
    <row r="1775" ht="15.75" customHeight="1">
      <c r="A1775" s="25"/>
      <c r="B1775" s="22"/>
      <c r="C1775" s="25"/>
      <c r="D1775" s="22"/>
      <c r="F1775" s="25"/>
      <c r="G1775" s="22"/>
      <c r="H1775" s="25"/>
      <c r="I1775" s="22"/>
      <c r="J1775" s="25"/>
    </row>
    <row r="1776" ht="15.75" customHeight="1">
      <c r="A1776" s="25"/>
      <c r="B1776" s="22"/>
      <c r="C1776" s="25"/>
      <c r="D1776" s="22"/>
      <c r="F1776" s="25"/>
      <c r="G1776" s="22"/>
      <c r="H1776" s="25"/>
      <c r="I1776" s="22"/>
      <c r="J1776" s="25"/>
    </row>
    <row r="1777" ht="15.75" customHeight="1">
      <c r="A1777" s="25"/>
      <c r="B1777" s="22"/>
      <c r="C1777" s="25"/>
      <c r="D1777" s="22"/>
      <c r="F1777" s="25"/>
      <c r="G1777" s="22"/>
      <c r="H1777" s="25"/>
      <c r="I1777" s="22"/>
      <c r="J1777" s="25"/>
    </row>
    <row r="1778" ht="15.75" customHeight="1">
      <c r="A1778" s="25"/>
      <c r="B1778" s="22"/>
      <c r="C1778" s="25"/>
      <c r="D1778" s="22"/>
      <c r="F1778" s="25"/>
      <c r="G1778" s="22"/>
      <c r="H1778" s="25"/>
      <c r="I1778" s="22"/>
      <c r="J1778" s="25"/>
    </row>
    <row r="1779" ht="15.75" customHeight="1">
      <c r="A1779" s="25"/>
      <c r="B1779" s="22"/>
      <c r="C1779" s="25"/>
      <c r="D1779" s="22"/>
      <c r="F1779" s="25"/>
      <c r="G1779" s="22"/>
      <c r="H1779" s="25"/>
      <c r="I1779" s="22"/>
      <c r="J1779" s="25"/>
    </row>
    <row r="1780" ht="15.75" customHeight="1">
      <c r="A1780" s="25"/>
      <c r="B1780" s="22"/>
      <c r="C1780" s="25"/>
      <c r="D1780" s="22"/>
      <c r="F1780" s="25"/>
      <c r="G1780" s="22"/>
      <c r="H1780" s="25"/>
      <c r="I1780" s="22"/>
      <c r="J1780" s="25"/>
    </row>
    <row r="1781" ht="15.75" customHeight="1">
      <c r="A1781" s="25"/>
      <c r="B1781" s="22"/>
      <c r="C1781" s="25"/>
      <c r="D1781" s="22"/>
      <c r="F1781" s="25"/>
      <c r="G1781" s="22"/>
      <c r="H1781" s="25"/>
      <c r="I1781" s="22"/>
      <c r="J1781" s="25"/>
    </row>
    <row r="1782" ht="15.75" customHeight="1">
      <c r="A1782" s="25"/>
      <c r="B1782" s="22"/>
      <c r="C1782" s="25"/>
      <c r="D1782" s="22"/>
      <c r="F1782" s="25"/>
      <c r="G1782" s="22"/>
      <c r="H1782" s="25"/>
      <c r="I1782" s="22"/>
      <c r="J1782" s="25"/>
    </row>
    <row r="1783" ht="15.75" customHeight="1">
      <c r="A1783" s="25"/>
      <c r="B1783" s="22"/>
      <c r="C1783" s="25"/>
      <c r="D1783" s="22"/>
      <c r="F1783" s="25"/>
      <c r="G1783" s="22"/>
      <c r="H1783" s="25"/>
      <c r="I1783" s="22"/>
      <c r="J1783" s="25"/>
    </row>
    <row r="1784" ht="15.75" customHeight="1">
      <c r="A1784" s="25"/>
      <c r="B1784" s="22"/>
      <c r="C1784" s="25"/>
      <c r="D1784" s="22"/>
      <c r="F1784" s="25"/>
      <c r="G1784" s="22"/>
      <c r="H1784" s="25"/>
      <c r="I1784" s="22"/>
      <c r="J1784" s="25"/>
    </row>
    <row r="1785" ht="15.75" customHeight="1">
      <c r="A1785" s="25"/>
      <c r="B1785" s="22"/>
      <c r="C1785" s="25"/>
      <c r="D1785" s="22"/>
      <c r="F1785" s="25"/>
      <c r="G1785" s="22"/>
      <c r="H1785" s="25"/>
      <c r="I1785" s="22"/>
      <c r="J1785" s="25"/>
    </row>
    <row r="1786" ht="15.75" customHeight="1">
      <c r="A1786" s="25"/>
      <c r="B1786" s="22"/>
      <c r="C1786" s="25"/>
      <c r="D1786" s="22"/>
      <c r="F1786" s="25"/>
      <c r="G1786" s="22"/>
      <c r="H1786" s="25"/>
      <c r="I1786" s="22"/>
      <c r="J1786" s="25"/>
    </row>
    <row r="1787" ht="15.75" customHeight="1">
      <c r="A1787" s="25"/>
      <c r="B1787" s="22"/>
      <c r="C1787" s="25"/>
      <c r="D1787" s="22"/>
      <c r="F1787" s="25"/>
      <c r="G1787" s="22"/>
      <c r="H1787" s="25"/>
      <c r="I1787" s="22"/>
      <c r="J1787" s="25"/>
    </row>
    <row r="1788" ht="15.75" customHeight="1">
      <c r="A1788" s="25"/>
      <c r="B1788" s="22"/>
      <c r="C1788" s="25"/>
      <c r="D1788" s="22"/>
      <c r="F1788" s="25"/>
      <c r="G1788" s="22"/>
      <c r="H1788" s="25"/>
      <c r="I1788" s="22"/>
      <c r="J1788" s="25"/>
    </row>
    <row r="1789" ht="15.75" customHeight="1">
      <c r="A1789" s="25"/>
      <c r="B1789" s="22"/>
      <c r="C1789" s="25"/>
      <c r="D1789" s="22"/>
      <c r="F1789" s="25"/>
      <c r="G1789" s="22"/>
      <c r="H1789" s="25"/>
      <c r="I1789" s="22"/>
      <c r="J1789" s="25"/>
    </row>
    <row r="1790" ht="15.75" customHeight="1">
      <c r="A1790" s="25"/>
      <c r="B1790" s="22"/>
      <c r="C1790" s="25"/>
      <c r="D1790" s="22"/>
      <c r="F1790" s="25"/>
      <c r="G1790" s="22"/>
      <c r="H1790" s="25"/>
      <c r="I1790" s="22"/>
      <c r="J1790" s="25"/>
    </row>
    <row r="1791" ht="15.75" customHeight="1">
      <c r="A1791" s="25"/>
      <c r="B1791" s="22"/>
      <c r="C1791" s="25"/>
      <c r="D1791" s="22"/>
      <c r="F1791" s="25"/>
      <c r="G1791" s="22"/>
      <c r="H1791" s="25"/>
      <c r="I1791" s="22"/>
      <c r="J1791" s="25"/>
    </row>
    <row r="1792" ht="15.75" customHeight="1">
      <c r="A1792" s="25"/>
      <c r="B1792" s="22"/>
      <c r="C1792" s="25"/>
      <c r="D1792" s="22"/>
      <c r="F1792" s="25"/>
      <c r="G1792" s="22"/>
      <c r="H1792" s="25"/>
      <c r="I1792" s="22"/>
      <c r="J1792" s="25"/>
    </row>
    <row r="1793" ht="15.75" customHeight="1">
      <c r="A1793" s="25"/>
      <c r="B1793" s="22"/>
      <c r="C1793" s="25"/>
      <c r="D1793" s="22"/>
      <c r="F1793" s="25"/>
      <c r="G1793" s="22"/>
      <c r="H1793" s="25"/>
      <c r="I1793" s="22"/>
      <c r="J1793" s="25"/>
    </row>
    <row r="1794" ht="15.75" customHeight="1">
      <c r="A1794" s="25"/>
      <c r="B1794" s="22"/>
      <c r="C1794" s="25"/>
      <c r="D1794" s="22"/>
      <c r="F1794" s="25"/>
      <c r="G1794" s="22"/>
      <c r="H1794" s="25"/>
      <c r="I1794" s="22"/>
      <c r="J1794" s="25"/>
    </row>
    <row r="1795" ht="15.75" customHeight="1">
      <c r="A1795" s="25"/>
      <c r="B1795" s="22"/>
      <c r="C1795" s="25"/>
      <c r="D1795" s="22"/>
      <c r="F1795" s="25"/>
      <c r="G1795" s="22"/>
      <c r="H1795" s="25"/>
      <c r="I1795" s="22"/>
      <c r="J1795" s="25"/>
    </row>
    <row r="1796" ht="15.75" customHeight="1">
      <c r="A1796" s="25"/>
      <c r="B1796" s="22"/>
      <c r="C1796" s="25"/>
      <c r="D1796" s="22"/>
      <c r="F1796" s="25"/>
      <c r="G1796" s="22"/>
      <c r="H1796" s="25"/>
      <c r="I1796" s="22"/>
      <c r="J1796" s="25"/>
    </row>
    <row r="1797" ht="15.75" customHeight="1">
      <c r="A1797" s="25"/>
      <c r="B1797" s="22"/>
      <c r="C1797" s="25"/>
      <c r="D1797" s="22"/>
      <c r="F1797" s="25"/>
      <c r="G1797" s="22"/>
      <c r="H1797" s="25"/>
      <c r="I1797" s="22"/>
      <c r="J1797" s="25"/>
    </row>
    <row r="1798" ht="15.75" customHeight="1">
      <c r="A1798" s="25"/>
      <c r="B1798" s="22"/>
      <c r="C1798" s="25"/>
      <c r="D1798" s="22"/>
      <c r="F1798" s="25"/>
      <c r="G1798" s="22"/>
      <c r="H1798" s="25"/>
      <c r="I1798" s="22"/>
      <c r="J1798" s="25"/>
    </row>
    <row r="1799" ht="15.75" customHeight="1">
      <c r="A1799" s="25"/>
      <c r="B1799" s="22"/>
      <c r="C1799" s="25"/>
      <c r="D1799" s="22"/>
      <c r="F1799" s="25"/>
      <c r="G1799" s="22"/>
      <c r="H1799" s="25"/>
      <c r="I1799" s="22"/>
      <c r="J1799" s="25"/>
    </row>
    <row r="1800" ht="15.75" customHeight="1">
      <c r="A1800" s="25"/>
      <c r="B1800" s="22"/>
      <c r="C1800" s="25"/>
      <c r="D1800" s="22"/>
      <c r="F1800" s="25"/>
      <c r="G1800" s="22"/>
      <c r="H1800" s="25"/>
      <c r="I1800" s="22"/>
      <c r="J1800" s="25"/>
    </row>
    <row r="1801" ht="15.75" customHeight="1">
      <c r="A1801" s="25"/>
      <c r="B1801" s="22"/>
      <c r="C1801" s="25"/>
      <c r="D1801" s="22"/>
      <c r="F1801" s="25"/>
      <c r="G1801" s="22"/>
      <c r="H1801" s="25"/>
      <c r="I1801" s="22"/>
      <c r="J1801" s="25"/>
    </row>
    <row r="1802" ht="15.75" customHeight="1">
      <c r="A1802" s="25"/>
      <c r="B1802" s="22"/>
      <c r="C1802" s="25"/>
      <c r="D1802" s="22"/>
      <c r="F1802" s="25"/>
      <c r="G1802" s="22"/>
      <c r="H1802" s="25"/>
      <c r="I1802" s="22"/>
      <c r="J1802" s="25"/>
    </row>
    <row r="1803" ht="15.75" customHeight="1">
      <c r="A1803" s="25"/>
      <c r="B1803" s="22"/>
      <c r="C1803" s="25"/>
      <c r="D1803" s="22"/>
      <c r="F1803" s="25"/>
      <c r="G1803" s="22"/>
      <c r="H1803" s="25"/>
      <c r="I1803" s="22"/>
      <c r="J1803" s="25"/>
    </row>
    <row r="1804" ht="15.75" customHeight="1">
      <c r="A1804" s="25"/>
      <c r="B1804" s="22"/>
      <c r="C1804" s="25"/>
      <c r="D1804" s="22"/>
      <c r="F1804" s="25"/>
      <c r="G1804" s="22"/>
      <c r="H1804" s="25"/>
      <c r="I1804" s="22"/>
      <c r="J1804" s="25"/>
    </row>
    <row r="1805" ht="15.75" customHeight="1">
      <c r="A1805" s="25"/>
      <c r="B1805" s="22"/>
      <c r="C1805" s="25"/>
      <c r="D1805" s="22"/>
      <c r="F1805" s="25"/>
      <c r="G1805" s="22"/>
      <c r="H1805" s="25"/>
      <c r="I1805" s="22"/>
      <c r="J1805" s="25"/>
    </row>
    <row r="1806" ht="15.75" customHeight="1">
      <c r="A1806" s="25"/>
      <c r="B1806" s="22"/>
      <c r="C1806" s="25"/>
      <c r="D1806" s="22"/>
      <c r="F1806" s="25"/>
      <c r="G1806" s="22"/>
      <c r="H1806" s="25"/>
      <c r="I1806" s="22"/>
      <c r="J1806" s="25"/>
    </row>
    <row r="1807" ht="15.75" customHeight="1">
      <c r="A1807" s="25"/>
      <c r="B1807" s="22"/>
      <c r="C1807" s="25"/>
      <c r="D1807" s="22"/>
      <c r="F1807" s="25"/>
      <c r="G1807" s="22"/>
      <c r="H1807" s="25"/>
      <c r="I1807" s="22"/>
      <c r="J1807" s="25"/>
    </row>
    <row r="1808" ht="15.75" customHeight="1">
      <c r="A1808" s="25"/>
      <c r="B1808" s="22"/>
      <c r="C1808" s="25"/>
      <c r="D1808" s="22"/>
      <c r="F1808" s="25"/>
      <c r="G1808" s="22"/>
      <c r="H1808" s="25"/>
      <c r="I1808" s="22"/>
      <c r="J1808" s="25"/>
    </row>
    <row r="1809" ht="15.75" customHeight="1">
      <c r="A1809" s="25"/>
      <c r="B1809" s="22"/>
      <c r="C1809" s="25"/>
      <c r="D1809" s="22"/>
      <c r="F1809" s="25"/>
      <c r="G1809" s="22"/>
      <c r="H1809" s="25"/>
      <c r="I1809" s="22"/>
      <c r="J1809" s="25"/>
    </row>
    <row r="1810" ht="15.75" customHeight="1">
      <c r="A1810" s="25"/>
      <c r="B1810" s="22"/>
      <c r="C1810" s="25"/>
      <c r="D1810" s="22"/>
      <c r="F1810" s="25"/>
      <c r="G1810" s="22"/>
      <c r="H1810" s="25"/>
      <c r="I1810" s="22"/>
      <c r="J1810" s="25"/>
    </row>
    <row r="1811" ht="15.75" customHeight="1">
      <c r="A1811" s="25"/>
      <c r="B1811" s="22"/>
      <c r="C1811" s="25"/>
      <c r="D1811" s="22"/>
      <c r="F1811" s="25"/>
      <c r="G1811" s="22"/>
      <c r="H1811" s="25"/>
      <c r="I1811" s="22"/>
      <c r="J1811" s="25"/>
    </row>
    <row r="1812" ht="15.75" customHeight="1">
      <c r="A1812" s="25"/>
      <c r="B1812" s="22"/>
      <c r="C1812" s="25"/>
      <c r="D1812" s="22"/>
      <c r="F1812" s="25"/>
      <c r="G1812" s="22"/>
      <c r="H1812" s="25"/>
      <c r="I1812" s="22"/>
      <c r="J1812" s="25"/>
    </row>
    <row r="1813" ht="15.75" customHeight="1">
      <c r="A1813" s="25"/>
      <c r="B1813" s="22"/>
      <c r="C1813" s="25"/>
      <c r="D1813" s="22"/>
      <c r="F1813" s="25"/>
      <c r="G1813" s="22"/>
      <c r="H1813" s="25"/>
      <c r="I1813" s="22"/>
      <c r="J1813" s="25"/>
    </row>
    <row r="1814" ht="15.75" customHeight="1">
      <c r="A1814" s="25"/>
      <c r="B1814" s="22"/>
      <c r="C1814" s="25"/>
      <c r="D1814" s="22"/>
      <c r="F1814" s="25"/>
      <c r="G1814" s="22"/>
      <c r="H1814" s="25"/>
      <c r="I1814" s="22"/>
      <c r="J1814" s="25"/>
    </row>
    <row r="1815" ht="15.75" customHeight="1">
      <c r="A1815" s="25"/>
      <c r="B1815" s="22"/>
      <c r="C1815" s="25"/>
      <c r="D1815" s="22"/>
      <c r="F1815" s="25"/>
      <c r="G1815" s="22"/>
      <c r="H1815" s="25"/>
      <c r="I1815" s="22"/>
      <c r="J1815" s="25"/>
    </row>
    <row r="1816" ht="15.75" customHeight="1">
      <c r="A1816" s="25"/>
      <c r="B1816" s="22"/>
      <c r="C1816" s="25"/>
      <c r="D1816" s="22"/>
      <c r="F1816" s="25"/>
      <c r="G1816" s="22"/>
      <c r="H1816" s="25"/>
      <c r="I1816" s="22"/>
      <c r="J1816" s="25"/>
    </row>
    <row r="1817" ht="15.75" customHeight="1">
      <c r="A1817" s="25"/>
      <c r="B1817" s="22"/>
      <c r="C1817" s="25"/>
      <c r="D1817" s="22"/>
      <c r="F1817" s="25"/>
      <c r="G1817" s="22"/>
      <c r="H1817" s="25"/>
      <c r="I1817" s="22"/>
      <c r="J1817" s="25"/>
    </row>
    <row r="1818" ht="15.75" customHeight="1">
      <c r="A1818" s="25"/>
      <c r="B1818" s="22"/>
      <c r="C1818" s="25"/>
      <c r="D1818" s="22"/>
      <c r="F1818" s="25"/>
      <c r="G1818" s="22"/>
      <c r="H1818" s="25"/>
      <c r="I1818" s="22"/>
      <c r="J1818" s="25"/>
    </row>
    <row r="1819" ht="15.75" customHeight="1">
      <c r="A1819" s="25"/>
      <c r="B1819" s="22"/>
      <c r="C1819" s="25"/>
      <c r="D1819" s="22"/>
      <c r="F1819" s="25"/>
      <c r="G1819" s="22"/>
      <c r="H1819" s="25"/>
      <c r="I1819" s="22"/>
      <c r="J1819" s="25"/>
    </row>
    <row r="1820" ht="15.75" customHeight="1">
      <c r="A1820" s="25"/>
      <c r="B1820" s="22"/>
      <c r="C1820" s="25"/>
      <c r="D1820" s="22"/>
      <c r="F1820" s="25"/>
      <c r="G1820" s="22"/>
      <c r="H1820" s="25"/>
      <c r="I1820" s="22"/>
      <c r="J1820" s="25"/>
    </row>
    <row r="1821" ht="15.75" customHeight="1">
      <c r="A1821" s="25"/>
      <c r="B1821" s="22"/>
      <c r="C1821" s="25"/>
      <c r="D1821" s="22"/>
      <c r="F1821" s="25"/>
      <c r="G1821" s="22"/>
      <c r="H1821" s="25"/>
      <c r="I1821" s="22"/>
      <c r="J1821" s="25"/>
    </row>
    <row r="1822" ht="15.75" customHeight="1">
      <c r="A1822" s="25"/>
      <c r="B1822" s="22"/>
      <c r="C1822" s="25"/>
      <c r="D1822" s="22"/>
      <c r="F1822" s="25"/>
      <c r="G1822" s="22"/>
      <c r="H1822" s="25"/>
      <c r="I1822" s="22"/>
      <c r="J1822" s="25"/>
    </row>
    <row r="1823" ht="15.75" customHeight="1">
      <c r="A1823" s="25"/>
      <c r="B1823" s="22"/>
      <c r="C1823" s="25"/>
      <c r="D1823" s="22"/>
      <c r="F1823" s="25"/>
      <c r="G1823" s="22"/>
      <c r="H1823" s="25"/>
      <c r="I1823" s="22"/>
      <c r="J1823" s="25"/>
    </row>
    <row r="1824" ht="15.75" customHeight="1">
      <c r="A1824" s="25"/>
      <c r="B1824" s="22"/>
      <c r="C1824" s="25"/>
      <c r="D1824" s="22"/>
      <c r="F1824" s="25"/>
      <c r="G1824" s="22"/>
      <c r="H1824" s="25"/>
      <c r="I1824" s="22"/>
      <c r="J1824" s="25"/>
    </row>
    <row r="1825" ht="15.75" customHeight="1">
      <c r="A1825" s="25"/>
      <c r="B1825" s="22"/>
      <c r="C1825" s="25"/>
      <c r="D1825" s="22"/>
      <c r="F1825" s="25"/>
      <c r="G1825" s="22"/>
      <c r="H1825" s="25"/>
      <c r="I1825" s="22"/>
      <c r="J1825" s="25"/>
    </row>
    <row r="1826" ht="15.75" customHeight="1">
      <c r="A1826" s="25"/>
      <c r="B1826" s="22"/>
      <c r="C1826" s="25"/>
      <c r="D1826" s="22"/>
      <c r="F1826" s="25"/>
      <c r="G1826" s="22"/>
      <c r="H1826" s="25"/>
      <c r="I1826" s="22"/>
      <c r="J1826" s="25"/>
    </row>
    <row r="1827" ht="15.75" customHeight="1">
      <c r="A1827" s="25"/>
      <c r="B1827" s="22"/>
      <c r="C1827" s="25"/>
      <c r="D1827" s="22"/>
      <c r="F1827" s="25"/>
      <c r="G1827" s="22"/>
      <c r="H1827" s="25"/>
      <c r="I1827" s="22"/>
      <c r="J1827" s="25"/>
    </row>
    <row r="1828" ht="15.75" customHeight="1">
      <c r="A1828" s="25"/>
      <c r="B1828" s="22"/>
      <c r="C1828" s="25"/>
      <c r="D1828" s="22"/>
      <c r="F1828" s="25"/>
      <c r="G1828" s="22"/>
      <c r="H1828" s="25"/>
      <c r="I1828" s="22"/>
      <c r="J1828" s="25"/>
    </row>
    <row r="1829" ht="15.75" customHeight="1">
      <c r="A1829" s="25"/>
      <c r="B1829" s="22"/>
      <c r="C1829" s="25"/>
      <c r="D1829" s="22"/>
      <c r="F1829" s="25"/>
      <c r="G1829" s="22"/>
      <c r="H1829" s="25"/>
      <c r="I1829" s="22"/>
      <c r="J1829" s="25"/>
    </row>
    <row r="1830" ht="15.75" customHeight="1">
      <c r="A1830" s="25"/>
      <c r="B1830" s="22"/>
      <c r="C1830" s="25"/>
      <c r="D1830" s="22"/>
      <c r="F1830" s="25"/>
      <c r="G1830" s="22"/>
      <c r="H1830" s="25"/>
      <c r="I1830" s="22"/>
      <c r="J1830" s="25"/>
    </row>
    <row r="1831" ht="15.75" customHeight="1">
      <c r="A1831" s="25"/>
      <c r="B1831" s="22"/>
      <c r="C1831" s="25"/>
      <c r="D1831" s="22"/>
      <c r="F1831" s="25"/>
      <c r="G1831" s="22"/>
      <c r="H1831" s="25"/>
      <c r="I1831" s="22"/>
      <c r="J1831" s="25"/>
    </row>
    <row r="1832" ht="15.75" customHeight="1">
      <c r="A1832" s="25"/>
      <c r="B1832" s="22"/>
      <c r="C1832" s="25"/>
      <c r="D1832" s="22"/>
      <c r="F1832" s="25"/>
      <c r="G1832" s="22"/>
      <c r="H1832" s="25"/>
      <c r="I1832" s="22"/>
      <c r="J1832" s="25"/>
    </row>
    <row r="1833" ht="15.75" customHeight="1">
      <c r="A1833" s="25"/>
      <c r="B1833" s="22"/>
      <c r="C1833" s="25"/>
      <c r="D1833" s="22"/>
      <c r="F1833" s="25"/>
      <c r="G1833" s="22"/>
      <c r="H1833" s="25"/>
      <c r="I1833" s="22"/>
      <c r="J1833" s="25"/>
    </row>
    <row r="1834" ht="15.75" customHeight="1">
      <c r="A1834" s="25"/>
      <c r="B1834" s="22"/>
      <c r="C1834" s="25"/>
      <c r="D1834" s="22"/>
      <c r="F1834" s="25"/>
      <c r="G1834" s="22"/>
      <c r="H1834" s="25"/>
      <c r="I1834" s="22"/>
      <c r="J1834" s="25"/>
    </row>
    <row r="1835" ht="15.75" customHeight="1">
      <c r="A1835" s="25"/>
      <c r="B1835" s="22"/>
      <c r="C1835" s="25"/>
      <c r="D1835" s="22"/>
      <c r="F1835" s="25"/>
      <c r="G1835" s="22"/>
      <c r="H1835" s="25"/>
      <c r="I1835" s="22"/>
      <c r="J1835" s="25"/>
    </row>
    <row r="1836" ht="15.75" customHeight="1">
      <c r="A1836" s="25"/>
      <c r="B1836" s="22"/>
      <c r="C1836" s="25"/>
      <c r="D1836" s="22"/>
      <c r="F1836" s="25"/>
      <c r="G1836" s="22"/>
      <c r="H1836" s="25"/>
      <c r="I1836" s="22"/>
      <c r="J1836" s="25"/>
    </row>
    <row r="1837" ht="15.75" customHeight="1">
      <c r="A1837" s="25"/>
      <c r="B1837" s="22"/>
      <c r="C1837" s="25"/>
      <c r="D1837" s="22"/>
      <c r="F1837" s="25"/>
      <c r="G1837" s="22"/>
      <c r="H1837" s="25"/>
      <c r="I1837" s="22"/>
      <c r="J1837" s="25"/>
    </row>
    <row r="1838" ht="15.75" customHeight="1">
      <c r="A1838" s="25"/>
      <c r="B1838" s="22"/>
      <c r="C1838" s="25"/>
      <c r="D1838" s="22"/>
      <c r="F1838" s="25"/>
      <c r="G1838" s="22"/>
      <c r="H1838" s="25"/>
      <c r="I1838" s="22"/>
      <c r="J1838" s="25"/>
    </row>
    <row r="1839" ht="15.75" customHeight="1">
      <c r="A1839" s="25"/>
      <c r="B1839" s="22"/>
      <c r="C1839" s="25"/>
      <c r="D1839" s="22"/>
      <c r="F1839" s="25"/>
      <c r="G1839" s="22"/>
      <c r="H1839" s="25"/>
      <c r="I1839" s="22"/>
      <c r="J1839" s="25"/>
    </row>
    <row r="1840" ht="15.75" customHeight="1">
      <c r="A1840" s="25"/>
      <c r="B1840" s="22"/>
      <c r="C1840" s="25"/>
      <c r="D1840" s="22"/>
      <c r="F1840" s="25"/>
      <c r="G1840" s="22"/>
      <c r="H1840" s="25"/>
      <c r="I1840" s="22"/>
      <c r="J1840" s="25"/>
    </row>
    <row r="1841" ht="15.75" customHeight="1">
      <c r="A1841" s="25"/>
      <c r="B1841" s="22"/>
      <c r="C1841" s="25"/>
      <c r="D1841" s="22"/>
      <c r="F1841" s="25"/>
      <c r="G1841" s="22"/>
      <c r="H1841" s="25"/>
      <c r="I1841" s="22"/>
      <c r="J1841" s="25"/>
    </row>
    <row r="1842" ht="15.75" customHeight="1">
      <c r="A1842" s="25"/>
      <c r="B1842" s="22"/>
      <c r="C1842" s="25"/>
      <c r="D1842" s="22"/>
      <c r="F1842" s="25"/>
      <c r="G1842" s="22"/>
      <c r="H1842" s="25"/>
      <c r="I1842" s="22"/>
      <c r="J1842" s="25"/>
    </row>
    <row r="1843" ht="15.75" customHeight="1">
      <c r="A1843" s="25"/>
      <c r="B1843" s="22"/>
      <c r="C1843" s="25"/>
      <c r="D1843" s="22"/>
      <c r="F1843" s="25"/>
      <c r="G1843" s="22"/>
      <c r="H1843" s="25"/>
      <c r="I1843" s="22"/>
      <c r="J1843" s="25"/>
    </row>
    <row r="1844" ht="15.75" customHeight="1">
      <c r="A1844" s="25"/>
      <c r="B1844" s="22"/>
      <c r="C1844" s="25"/>
      <c r="D1844" s="22"/>
      <c r="F1844" s="25"/>
      <c r="G1844" s="22"/>
      <c r="H1844" s="25"/>
      <c r="I1844" s="22"/>
      <c r="J1844" s="25"/>
    </row>
    <row r="1845" ht="15.75" customHeight="1">
      <c r="A1845" s="25"/>
      <c r="B1845" s="22"/>
      <c r="C1845" s="25"/>
      <c r="D1845" s="22"/>
      <c r="F1845" s="25"/>
      <c r="G1845" s="22"/>
      <c r="H1845" s="25"/>
      <c r="I1845" s="22"/>
      <c r="J1845" s="25"/>
    </row>
    <row r="1846" ht="15.75" customHeight="1">
      <c r="A1846" s="25"/>
      <c r="B1846" s="22"/>
      <c r="C1846" s="25"/>
      <c r="D1846" s="22"/>
      <c r="F1846" s="25"/>
      <c r="G1846" s="22"/>
      <c r="H1846" s="25"/>
      <c r="I1846" s="22"/>
      <c r="J1846" s="25"/>
    </row>
    <row r="1847" ht="15.75" customHeight="1">
      <c r="A1847" s="25"/>
      <c r="B1847" s="22"/>
      <c r="C1847" s="25"/>
      <c r="D1847" s="22"/>
      <c r="F1847" s="25"/>
      <c r="G1847" s="22"/>
      <c r="H1847" s="25"/>
      <c r="I1847" s="22"/>
      <c r="J1847" s="25"/>
    </row>
    <row r="1848" ht="15.75" customHeight="1">
      <c r="A1848" s="25"/>
      <c r="B1848" s="22"/>
      <c r="C1848" s="25"/>
      <c r="D1848" s="22"/>
      <c r="F1848" s="25"/>
      <c r="G1848" s="22"/>
      <c r="H1848" s="25"/>
      <c r="I1848" s="22"/>
      <c r="J1848" s="25"/>
    </row>
    <row r="1849" ht="15.75" customHeight="1">
      <c r="A1849" s="25"/>
      <c r="B1849" s="22"/>
      <c r="C1849" s="25"/>
      <c r="D1849" s="22"/>
      <c r="F1849" s="25"/>
      <c r="G1849" s="22"/>
      <c r="H1849" s="25"/>
      <c r="I1849" s="22"/>
      <c r="J1849" s="25"/>
    </row>
    <row r="1850" ht="15.75" customHeight="1">
      <c r="A1850" s="25"/>
      <c r="B1850" s="22"/>
      <c r="C1850" s="25"/>
      <c r="D1850" s="22"/>
      <c r="F1850" s="25"/>
      <c r="G1850" s="22"/>
      <c r="H1850" s="25"/>
      <c r="I1850" s="22"/>
      <c r="J1850" s="25"/>
    </row>
    <row r="1851" ht="15.75" customHeight="1">
      <c r="A1851" s="25"/>
      <c r="B1851" s="22"/>
      <c r="C1851" s="25"/>
      <c r="D1851" s="22"/>
      <c r="F1851" s="25"/>
      <c r="G1851" s="22"/>
      <c r="H1851" s="25"/>
      <c r="I1851" s="22"/>
      <c r="J1851" s="25"/>
    </row>
    <row r="1852" ht="15.75" customHeight="1">
      <c r="A1852" s="25"/>
      <c r="B1852" s="22"/>
      <c r="C1852" s="25"/>
      <c r="D1852" s="22"/>
      <c r="F1852" s="25"/>
      <c r="G1852" s="22"/>
      <c r="H1852" s="25"/>
      <c r="I1852" s="22"/>
      <c r="J1852" s="25"/>
    </row>
    <row r="1853" ht="15.75" customHeight="1">
      <c r="A1853" s="25"/>
      <c r="B1853" s="22"/>
      <c r="C1853" s="25"/>
      <c r="D1853" s="22"/>
      <c r="F1853" s="25"/>
      <c r="G1853" s="22"/>
      <c r="H1853" s="25"/>
      <c r="I1853" s="22"/>
      <c r="J1853" s="25"/>
    </row>
    <row r="1854" ht="15.75" customHeight="1">
      <c r="A1854" s="25"/>
      <c r="B1854" s="22"/>
      <c r="C1854" s="25"/>
      <c r="D1854" s="22"/>
      <c r="F1854" s="25"/>
      <c r="G1854" s="22"/>
      <c r="H1854" s="25"/>
      <c r="I1854" s="22"/>
      <c r="J1854" s="25"/>
    </row>
    <row r="1855" ht="15.75" customHeight="1">
      <c r="A1855" s="25"/>
      <c r="B1855" s="22"/>
      <c r="C1855" s="25"/>
      <c r="D1855" s="22"/>
      <c r="F1855" s="25"/>
      <c r="G1855" s="22"/>
      <c r="H1855" s="25"/>
      <c r="I1855" s="22"/>
      <c r="J1855" s="25"/>
    </row>
    <row r="1856" ht="15.75" customHeight="1">
      <c r="A1856" s="25"/>
      <c r="B1856" s="22"/>
      <c r="C1856" s="25"/>
      <c r="D1856" s="22"/>
      <c r="F1856" s="25"/>
      <c r="G1856" s="22"/>
      <c r="H1856" s="25"/>
      <c r="I1856" s="22"/>
      <c r="J1856" s="25"/>
    </row>
    <row r="1857" ht="15.75" customHeight="1">
      <c r="A1857" s="25"/>
      <c r="B1857" s="22"/>
      <c r="C1857" s="25"/>
      <c r="D1857" s="22"/>
      <c r="F1857" s="25"/>
      <c r="G1857" s="22"/>
      <c r="H1857" s="25"/>
      <c r="I1857" s="22"/>
      <c r="J1857" s="25"/>
    </row>
    <row r="1858" ht="15.75" customHeight="1">
      <c r="A1858" s="25"/>
      <c r="B1858" s="22"/>
      <c r="C1858" s="25"/>
      <c r="D1858" s="22"/>
      <c r="F1858" s="25"/>
      <c r="G1858" s="22"/>
      <c r="H1858" s="25"/>
      <c r="I1858" s="22"/>
      <c r="J1858" s="25"/>
    </row>
    <row r="1859" ht="15.75" customHeight="1">
      <c r="A1859" s="25"/>
      <c r="B1859" s="22"/>
      <c r="C1859" s="25"/>
      <c r="D1859" s="22"/>
      <c r="F1859" s="25"/>
      <c r="G1859" s="22"/>
      <c r="H1859" s="25"/>
      <c r="I1859" s="22"/>
      <c r="J1859" s="25"/>
    </row>
    <row r="1860" ht="15.75" customHeight="1">
      <c r="A1860" s="25"/>
      <c r="B1860" s="22"/>
      <c r="C1860" s="25"/>
      <c r="D1860" s="22"/>
      <c r="F1860" s="25"/>
      <c r="G1860" s="22"/>
      <c r="H1860" s="25"/>
      <c r="I1860" s="22"/>
      <c r="J1860" s="25"/>
    </row>
    <row r="1861" ht="15.75" customHeight="1">
      <c r="A1861" s="25"/>
      <c r="B1861" s="22"/>
      <c r="C1861" s="25"/>
      <c r="D1861" s="22"/>
      <c r="F1861" s="25"/>
      <c r="G1861" s="22"/>
      <c r="H1861" s="25"/>
      <c r="I1861" s="22"/>
      <c r="J1861" s="25"/>
    </row>
    <row r="1862" ht="15.75" customHeight="1">
      <c r="A1862" s="25"/>
      <c r="B1862" s="22"/>
      <c r="C1862" s="25"/>
      <c r="D1862" s="22"/>
      <c r="F1862" s="25"/>
      <c r="G1862" s="22"/>
      <c r="H1862" s="25"/>
      <c r="I1862" s="22"/>
      <c r="J1862" s="25"/>
    </row>
    <row r="1863" ht="15.75" customHeight="1">
      <c r="A1863" s="25"/>
      <c r="B1863" s="22"/>
      <c r="C1863" s="25"/>
      <c r="D1863" s="22"/>
      <c r="F1863" s="25"/>
      <c r="G1863" s="22"/>
      <c r="H1863" s="25"/>
      <c r="I1863" s="22"/>
      <c r="J1863" s="25"/>
    </row>
    <row r="1864" ht="15.75" customHeight="1">
      <c r="A1864" s="25"/>
      <c r="B1864" s="22"/>
      <c r="C1864" s="25"/>
      <c r="D1864" s="22"/>
      <c r="F1864" s="25"/>
      <c r="G1864" s="22"/>
      <c r="H1864" s="25"/>
      <c r="I1864" s="22"/>
      <c r="J1864" s="25"/>
    </row>
    <row r="1865" ht="15.75" customHeight="1">
      <c r="A1865" s="25"/>
      <c r="B1865" s="22"/>
      <c r="C1865" s="25"/>
      <c r="D1865" s="22"/>
      <c r="F1865" s="25"/>
      <c r="G1865" s="22"/>
      <c r="H1865" s="25"/>
      <c r="I1865" s="22"/>
      <c r="J1865" s="25"/>
    </row>
    <row r="1866" ht="15.75" customHeight="1">
      <c r="A1866" s="25"/>
      <c r="B1866" s="22"/>
      <c r="C1866" s="25"/>
      <c r="D1866" s="22"/>
      <c r="F1866" s="25"/>
      <c r="G1866" s="22"/>
      <c r="H1866" s="25"/>
      <c r="I1866" s="22"/>
      <c r="J1866" s="25"/>
    </row>
    <row r="1867" ht="15.75" customHeight="1">
      <c r="A1867" s="25"/>
      <c r="B1867" s="22"/>
      <c r="C1867" s="25"/>
      <c r="D1867" s="22"/>
      <c r="F1867" s="25"/>
      <c r="G1867" s="22"/>
      <c r="H1867" s="25"/>
      <c r="I1867" s="22"/>
      <c r="J1867" s="25"/>
    </row>
    <row r="1868" ht="15.75" customHeight="1">
      <c r="A1868" s="25"/>
      <c r="B1868" s="22"/>
      <c r="C1868" s="25"/>
      <c r="D1868" s="22"/>
      <c r="F1868" s="25"/>
      <c r="G1868" s="22"/>
      <c r="H1868" s="25"/>
      <c r="I1868" s="22"/>
      <c r="J1868" s="25"/>
    </row>
    <row r="1869" ht="15.75" customHeight="1">
      <c r="A1869" s="25"/>
      <c r="B1869" s="22"/>
      <c r="C1869" s="25"/>
      <c r="D1869" s="22"/>
      <c r="F1869" s="25"/>
      <c r="G1869" s="22"/>
      <c r="H1869" s="25"/>
      <c r="I1869" s="22"/>
      <c r="J1869" s="25"/>
    </row>
    <row r="1870" ht="15.75" customHeight="1">
      <c r="A1870" s="25"/>
      <c r="B1870" s="22"/>
      <c r="C1870" s="25"/>
      <c r="D1870" s="22"/>
      <c r="F1870" s="25"/>
      <c r="G1870" s="22"/>
      <c r="H1870" s="25"/>
      <c r="I1870" s="22"/>
      <c r="J1870" s="25"/>
    </row>
    <row r="1871" ht="15.75" customHeight="1">
      <c r="A1871" s="25"/>
      <c r="B1871" s="22"/>
      <c r="C1871" s="25"/>
      <c r="D1871" s="22"/>
      <c r="F1871" s="25"/>
      <c r="G1871" s="22"/>
      <c r="H1871" s="25"/>
      <c r="I1871" s="22"/>
      <c r="J1871" s="25"/>
    </row>
    <row r="1872" ht="15.75" customHeight="1">
      <c r="A1872" s="25"/>
      <c r="B1872" s="22"/>
      <c r="C1872" s="25"/>
      <c r="D1872" s="22"/>
      <c r="F1872" s="25"/>
      <c r="G1872" s="22"/>
      <c r="H1872" s="25"/>
      <c r="I1872" s="22"/>
      <c r="J1872" s="25"/>
    </row>
    <row r="1873" ht="15.75" customHeight="1">
      <c r="A1873" s="25"/>
      <c r="B1873" s="22"/>
      <c r="C1873" s="25"/>
      <c r="D1873" s="22"/>
      <c r="F1873" s="25"/>
      <c r="G1873" s="22"/>
      <c r="H1873" s="25"/>
      <c r="I1873" s="22"/>
      <c r="J1873" s="25"/>
    </row>
    <row r="1874" ht="15.75" customHeight="1">
      <c r="A1874" s="25"/>
      <c r="B1874" s="22"/>
      <c r="C1874" s="25"/>
      <c r="D1874" s="22"/>
      <c r="F1874" s="25"/>
      <c r="G1874" s="22"/>
      <c r="H1874" s="25"/>
      <c r="I1874" s="22"/>
      <c r="J1874" s="25"/>
    </row>
    <row r="1875" ht="15.75" customHeight="1">
      <c r="A1875" s="25"/>
      <c r="B1875" s="22"/>
      <c r="C1875" s="25"/>
      <c r="D1875" s="22"/>
      <c r="F1875" s="25"/>
      <c r="G1875" s="22"/>
      <c r="H1875" s="25"/>
      <c r="I1875" s="22"/>
      <c r="J1875" s="25"/>
    </row>
    <row r="1876" ht="15.75" customHeight="1">
      <c r="A1876" s="25"/>
      <c r="B1876" s="22"/>
      <c r="C1876" s="25"/>
      <c r="D1876" s="22"/>
      <c r="F1876" s="25"/>
      <c r="G1876" s="22"/>
      <c r="H1876" s="25"/>
      <c r="I1876" s="22"/>
      <c r="J1876" s="25"/>
    </row>
    <row r="1877" ht="15.75" customHeight="1">
      <c r="A1877" s="25"/>
      <c r="B1877" s="22"/>
      <c r="C1877" s="25"/>
      <c r="D1877" s="22"/>
      <c r="F1877" s="25"/>
      <c r="G1877" s="22"/>
      <c r="H1877" s="25"/>
      <c r="I1877" s="22"/>
      <c r="J1877" s="25"/>
    </row>
    <row r="1878" ht="15.75" customHeight="1">
      <c r="A1878" s="25"/>
      <c r="B1878" s="22"/>
      <c r="C1878" s="25"/>
      <c r="D1878" s="22"/>
      <c r="F1878" s="25"/>
      <c r="G1878" s="22"/>
      <c r="H1878" s="25"/>
      <c r="I1878" s="22"/>
      <c r="J1878" s="25"/>
    </row>
    <row r="1879" ht="15.75" customHeight="1">
      <c r="A1879" s="25"/>
      <c r="B1879" s="22"/>
      <c r="C1879" s="25"/>
      <c r="D1879" s="22"/>
      <c r="F1879" s="25"/>
      <c r="G1879" s="22"/>
      <c r="H1879" s="25"/>
      <c r="I1879" s="22"/>
      <c r="J1879" s="25"/>
    </row>
    <row r="1880" ht="15.75" customHeight="1">
      <c r="A1880" s="25"/>
      <c r="B1880" s="22"/>
      <c r="C1880" s="25"/>
      <c r="D1880" s="22"/>
      <c r="F1880" s="25"/>
      <c r="G1880" s="22"/>
      <c r="H1880" s="25"/>
      <c r="I1880" s="22"/>
      <c r="J1880" s="25"/>
    </row>
    <row r="1881" ht="15.75" customHeight="1">
      <c r="A1881" s="25"/>
      <c r="B1881" s="22"/>
      <c r="C1881" s="25"/>
      <c r="D1881" s="22"/>
      <c r="F1881" s="25"/>
      <c r="G1881" s="22"/>
      <c r="H1881" s="25"/>
      <c r="I1881" s="22"/>
      <c r="J1881" s="25"/>
    </row>
    <row r="1882" ht="15.75" customHeight="1">
      <c r="A1882" s="25"/>
      <c r="B1882" s="22"/>
      <c r="C1882" s="25"/>
      <c r="D1882" s="22"/>
      <c r="F1882" s="25"/>
      <c r="G1882" s="22"/>
      <c r="H1882" s="25"/>
      <c r="I1882" s="22"/>
      <c r="J1882" s="25"/>
    </row>
    <row r="1883" ht="15.75" customHeight="1">
      <c r="A1883" s="25"/>
      <c r="B1883" s="22"/>
      <c r="C1883" s="25"/>
      <c r="D1883" s="22"/>
      <c r="F1883" s="25"/>
      <c r="G1883" s="22"/>
      <c r="H1883" s="25"/>
      <c r="I1883" s="22"/>
      <c r="J1883" s="25"/>
    </row>
    <row r="1884" ht="15.75" customHeight="1">
      <c r="A1884" s="25"/>
      <c r="B1884" s="22"/>
      <c r="C1884" s="25"/>
      <c r="D1884" s="22"/>
      <c r="F1884" s="25"/>
      <c r="G1884" s="22"/>
      <c r="H1884" s="25"/>
      <c r="I1884" s="22"/>
      <c r="J1884" s="25"/>
    </row>
    <row r="1885" ht="15.75" customHeight="1">
      <c r="A1885" s="25"/>
      <c r="B1885" s="22"/>
      <c r="C1885" s="25"/>
      <c r="D1885" s="22"/>
      <c r="F1885" s="25"/>
      <c r="G1885" s="22"/>
      <c r="H1885" s="25"/>
      <c r="I1885" s="22"/>
      <c r="J1885" s="25"/>
    </row>
    <row r="1886" ht="15.75" customHeight="1">
      <c r="A1886" s="25"/>
      <c r="B1886" s="22"/>
      <c r="C1886" s="25"/>
      <c r="D1886" s="22"/>
      <c r="F1886" s="25"/>
      <c r="G1886" s="22"/>
      <c r="H1886" s="25"/>
      <c r="I1886" s="22"/>
      <c r="J1886" s="25"/>
    </row>
    <row r="1887" ht="15.75" customHeight="1">
      <c r="A1887" s="25"/>
      <c r="B1887" s="22"/>
      <c r="C1887" s="25"/>
      <c r="D1887" s="22"/>
      <c r="F1887" s="25"/>
      <c r="G1887" s="22"/>
      <c r="H1887" s="25"/>
      <c r="I1887" s="22"/>
      <c r="J1887" s="25"/>
    </row>
    <row r="1888" ht="15.75" customHeight="1">
      <c r="A1888" s="25"/>
      <c r="B1888" s="22"/>
      <c r="C1888" s="25"/>
      <c r="D1888" s="22"/>
      <c r="F1888" s="25"/>
      <c r="G1888" s="22"/>
      <c r="H1888" s="25"/>
      <c r="I1888" s="22"/>
      <c r="J1888" s="25"/>
    </row>
    <row r="1889" ht="15.75" customHeight="1">
      <c r="A1889" s="25"/>
      <c r="B1889" s="22"/>
      <c r="C1889" s="25"/>
      <c r="D1889" s="22"/>
      <c r="F1889" s="25"/>
      <c r="G1889" s="22"/>
      <c r="H1889" s="25"/>
      <c r="I1889" s="22"/>
      <c r="J1889" s="25"/>
    </row>
    <row r="1890" ht="15.75" customHeight="1">
      <c r="A1890" s="25"/>
      <c r="B1890" s="22"/>
      <c r="C1890" s="25"/>
      <c r="D1890" s="22"/>
      <c r="F1890" s="25"/>
      <c r="G1890" s="22"/>
      <c r="H1890" s="25"/>
      <c r="I1890" s="22"/>
      <c r="J1890" s="25"/>
    </row>
    <row r="1891" ht="15.75" customHeight="1">
      <c r="A1891" s="25"/>
      <c r="B1891" s="22"/>
      <c r="C1891" s="25"/>
      <c r="D1891" s="22"/>
      <c r="F1891" s="25"/>
      <c r="G1891" s="22"/>
      <c r="H1891" s="25"/>
      <c r="I1891" s="22"/>
      <c r="J1891" s="25"/>
    </row>
    <row r="1892" ht="15.75" customHeight="1">
      <c r="A1892" s="25"/>
      <c r="B1892" s="22"/>
      <c r="C1892" s="25"/>
      <c r="D1892" s="22"/>
      <c r="F1892" s="25"/>
      <c r="G1892" s="22"/>
      <c r="H1892" s="25"/>
      <c r="I1892" s="22"/>
      <c r="J1892" s="25"/>
    </row>
    <row r="1893" ht="15.75" customHeight="1">
      <c r="A1893" s="25"/>
      <c r="B1893" s="22"/>
      <c r="C1893" s="25"/>
      <c r="D1893" s="22"/>
      <c r="F1893" s="25"/>
      <c r="G1893" s="22"/>
      <c r="H1893" s="25"/>
      <c r="I1893" s="22"/>
      <c r="J1893" s="25"/>
    </row>
    <row r="1894" ht="15.75" customHeight="1">
      <c r="A1894" s="25"/>
      <c r="B1894" s="22"/>
      <c r="C1894" s="25"/>
      <c r="D1894" s="22"/>
      <c r="F1894" s="25"/>
      <c r="G1894" s="22"/>
      <c r="H1894" s="25"/>
      <c r="I1894" s="22"/>
      <c r="J1894" s="25"/>
    </row>
    <row r="1895" ht="15.75" customHeight="1">
      <c r="A1895" s="25"/>
      <c r="B1895" s="22"/>
      <c r="C1895" s="25"/>
      <c r="D1895" s="22"/>
      <c r="F1895" s="25"/>
      <c r="G1895" s="22"/>
      <c r="H1895" s="25"/>
      <c r="I1895" s="22"/>
      <c r="J1895" s="25"/>
    </row>
    <row r="1896" ht="15.75" customHeight="1">
      <c r="A1896" s="25"/>
      <c r="B1896" s="22"/>
      <c r="C1896" s="25"/>
      <c r="D1896" s="22"/>
      <c r="F1896" s="25"/>
      <c r="G1896" s="22"/>
      <c r="H1896" s="25"/>
      <c r="I1896" s="22"/>
      <c r="J1896" s="25"/>
    </row>
    <row r="1897" ht="15.75" customHeight="1">
      <c r="A1897" s="25"/>
      <c r="B1897" s="22"/>
      <c r="C1897" s="25"/>
      <c r="D1897" s="22"/>
      <c r="F1897" s="25"/>
      <c r="G1897" s="22"/>
      <c r="H1897" s="25"/>
      <c r="I1897" s="22"/>
      <c r="J1897" s="25"/>
    </row>
    <row r="1898" ht="15.75" customHeight="1">
      <c r="A1898" s="25"/>
      <c r="B1898" s="22"/>
      <c r="C1898" s="25"/>
      <c r="D1898" s="22"/>
      <c r="F1898" s="25"/>
      <c r="G1898" s="22"/>
      <c r="H1898" s="25"/>
      <c r="I1898" s="22"/>
      <c r="J1898" s="25"/>
    </row>
    <row r="1899" ht="15.75" customHeight="1">
      <c r="A1899" s="25"/>
      <c r="B1899" s="22"/>
      <c r="C1899" s="25"/>
      <c r="D1899" s="22"/>
      <c r="F1899" s="25"/>
      <c r="G1899" s="22"/>
      <c r="H1899" s="25"/>
      <c r="I1899" s="22"/>
      <c r="J1899" s="25"/>
    </row>
    <row r="1900" ht="15.75" customHeight="1">
      <c r="A1900" s="25"/>
      <c r="B1900" s="22"/>
      <c r="C1900" s="25"/>
      <c r="D1900" s="22"/>
      <c r="F1900" s="25"/>
      <c r="G1900" s="22"/>
      <c r="H1900" s="25"/>
      <c r="I1900" s="22"/>
      <c r="J1900" s="25"/>
    </row>
    <row r="1901" ht="15.75" customHeight="1">
      <c r="A1901" s="25"/>
      <c r="B1901" s="22"/>
      <c r="C1901" s="25"/>
      <c r="D1901" s="22"/>
      <c r="F1901" s="25"/>
      <c r="G1901" s="22"/>
      <c r="H1901" s="25"/>
      <c r="I1901" s="22"/>
      <c r="J1901" s="25"/>
    </row>
    <row r="1902" ht="15.75" customHeight="1">
      <c r="A1902" s="25"/>
      <c r="B1902" s="22"/>
      <c r="C1902" s="25"/>
      <c r="D1902" s="22"/>
      <c r="F1902" s="25"/>
      <c r="G1902" s="22"/>
      <c r="H1902" s="25"/>
      <c r="I1902" s="22"/>
      <c r="J1902" s="25"/>
    </row>
    <row r="1903" ht="15.75" customHeight="1">
      <c r="A1903" s="25"/>
      <c r="B1903" s="22"/>
      <c r="C1903" s="25"/>
      <c r="D1903" s="22"/>
      <c r="F1903" s="25"/>
      <c r="G1903" s="22"/>
      <c r="H1903" s="25"/>
      <c r="I1903" s="22"/>
      <c r="J1903" s="25"/>
    </row>
    <row r="1904" ht="15.75" customHeight="1">
      <c r="A1904" s="25"/>
      <c r="B1904" s="22"/>
      <c r="C1904" s="25"/>
      <c r="D1904" s="22"/>
      <c r="F1904" s="25"/>
      <c r="G1904" s="22"/>
      <c r="H1904" s="25"/>
      <c r="I1904" s="22"/>
      <c r="J1904" s="25"/>
    </row>
    <row r="1905" ht="15.75" customHeight="1">
      <c r="A1905" s="25"/>
      <c r="B1905" s="22"/>
      <c r="C1905" s="25"/>
      <c r="D1905" s="22"/>
      <c r="F1905" s="25"/>
      <c r="G1905" s="22"/>
      <c r="H1905" s="25"/>
      <c r="I1905" s="22"/>
      <c r="J1905" s="25"/>
    </row>
    <row r="1906" ht="15.75" customHeight="1">
      <c r="A1906" s="25"/>
      <c r="B1906" s="22"/>
      <c r="C1906" s="25"/>
      <c r="D1906" s="22"/>
      <c r="F1906" s="25"/>
      <c r="G1906" s="22"/>
      <c r="H1906" s="25"/>
      <c r="I1906" s="22"/>
      <c r="J1906" s="25"/>
    </row>
    <row r="1907" ht="15.75" customHeight="1">
      <c r="A1907" s="25"/>
      <c r="B1907" s="22"/>
      <c r="C1907" s="25"/>
      <c r="D1907" s="22"/>
      <c r="F1907" s="25"/>
      <c r="G1907" s="22"/>
      <c r="H1907" s="25"/>
      <c r="I1907" s="22"/>
      <c r="J1907" s="25"/>
    </row>
    <row r="1908" ht="15.75" customHeight="1">
      <c r="A1908" s="25"/>
      <c r="B1908" s="22"/>
      <c r="C1908" s="25"/>
      <c r="D1908" s="22"/>
      <c r="F1908" s="25"/>
      <c r="G1908" s="22"/>
      <c r="H1908" s="25"/>
      <c r="I1908" s="22"/>
      <c r="J1908" s="25"/>
    </row>
    <row r="1909" ht="15.75" customHeight="1">
      <c r="A1909" s="25"/>
      <c r="B1909" s="22"/>
      <c r="C1909" s="25"/>
      <c r="D1909" s="22"/>
      <c r="F1909" s="25"/>
      <c r="G1909" s="22"/>
      <c r="H1909" s="25"/>
      <c r="I1909" s="22"/>
      <c r="J1909" s="25"/>
    </row>
    <row r="1910" ht="15.75" customHeight="1">
      <c r="A1910" s="25"/>
      <c r="B1910" s="22"/>
      <c r="C1910" s="25"/>
      <c r="D1910" s="22"/>
      <c r="F1910" s="25"/>
      <c r="G1910" s="22"/>
      <c r="H1910" s="25"/>
      <c r="I1910" s="22"/>
      <c r="J1910" s="25"/>
    </row>
    <row r="1911" ht="15.75" customHeight="1">
      <c r="A1911" s="25"/>
      <c r="B1911" s="22"/>
      <c r="C1911" s="25"/>
      <c r="D1911" s="22"/>
      <c r="F1911" s="25"/>
      <c r="G1911" s="22"/>
      <c r="H1911" s="25"/>
      <c r="I1911" s="22"/>
      <c r="J1911" s="25"/>
    </row>
    <row r="1912" ht="15.75" customHeight="1">
      <c r="A1912" s="25"/>
      <c r="B1912" s="22"/>
      <c r="C1912" s="25"/>
      <c r="D1912" s="22"/>
      <c r="F1912" s="25"/>
      <c r="G1912" s="22"/>
      <c r="H1912" s="25"/>
      <c r="I1912" s="22"/>
      <c r="J1912" s="25"/>
    </row>
    <row r="1913" ht="15.75" customHeight="1">
      <c r="A1913" s="25"/>
      <c r="B1913" s="22"/>
      <c r="C1913" s="25"/>
      <c r="D1913" s="22"/>
      <c r="F1913" s="25"/>
      <c r="G1913" s="22"/>
      <c r="H1913" s="25"/>
      <c r="I1913" s="22"/>
      <c r="J1913" s="25"/>
    </row>
    <row r="1914" ht="15.75" customHeight="1">
      <c r="A1914" s="25"/>
      <c r="B1914" s="22"/>
      <c r="C1914" s="25"/>
      <c r="D1914" s="22"/>
      <c r="F1914" s="25"/>
      <c r="G1914" s="22"/>
      <c r="H1914" s="25"/>
      <c r="I1914" s="22"/>
      <c r="J1914" s="25"/>
    </row>
    <row r="1915" ht="15.75" customHeight="1">
      <c r="A1915" s="25"/>
      <c r="B1915" s="22"/>
      <c r="C1915" s="25"/>
      <c r="D1915" s="22"/>
      <c r="F1915" s="25"/>
      <c r="G1915" s="22"/>
      <c r="H1915" s="25"/>
      <c r="I1915" s="22"/>
      <c r="J1915" s="25"/>
    </row>
    <row r="1916" ht="15.75" customHeight="1">
      <c r="A1916" s="25"/>
      <c r="B1916" s="22"/>
      <c r="C1916" s="25"/>
      <c r="D1916" s="22"/>
      <c r="F1916" s="25"/>
      <c r="G1916" s="22"/>
      <c r="H1916" s="25"/>
      <c r="I1916" s="22"/>
      <c r="J1916" s="25"/>
    </row>
    <row r="1917" ht="15.75" customHeight="1">
      <c r="A1917" s="25"/>
      <c r="B1917" s="22"/>
      <c r="C1917" s="25"/>
      <c r="D1917" s="22"/>
      <c r="F1917" s="25"/>
      <c r="G1917" s="22"/>
      <c r="H1917" s="25"/>
      <c r="I1917" s="22"/>
      <c r="J1917" s="25"/>
    </row>
    <row r="1918" ht="15.75" customHeight="1">
      <c r="A1918" s="25"/>
      <c r="B1918" s="22"/>
      <c r="C1918" s="25"/>
      <c r="D1918" s="22"/>
      <c r="F1918" s="25"/>
      <c r="G1918" s="22"/>
      <c r="H1918" s="25"/>
      <c r="I1918" s="22"/>
      <c r="J1918" s="25"/>
    </row>
    <row r="1919" ht="15.75" customHeight="1">
      <c r="A1919" s="25"/>
      <c r="B1919" s="22"/>
      <c r="C1919" s="25"/>
      <c r="D1919" s="22"/>
      <c r="F1919" s="25"/>
      <c r="G1919" s="22"/>
      <c r="H1919" s="25"/>
      <c r="I1919" s="22"/>
      <c r="J1919" s="25"/>
    </row>
    <row r="1920" ht="15.75" customHeight="1">
      <c r="A1920" s="25"/>
      <c r="B1920" s="22"/>
      <c r="C1920" s="25"/>
      <c r="D1920" s="22"/>
      <c r="F1920" s="25"/>
      <c r="G1920" s="22"/>
      <c r="H1920" s="25"/>
      <c r="I1920" s="22"/>
      <c r="J1920" s="25"/>
    </row>
    <row r="1921" ht="15.75" customHeight="1">
      <c r="A1921" s="25"/>
      <c r="B1921" s="22"/>
      <c r="C1921" s="25"/>
      <c r="D1921" s="22"/>
      <c r="F1921" s="25"/>
      <c r="G1921" s="22"/>
      <c r="H1921" s="25"/>
      <c r="I1921" s="22"/>
      <c r="J1921" s="25"/>
    </row>
    <row r="1922" ht="15.75" customHeight="1">
      <c r="A1922" s="25"/>
      <c r="B1922" s="22"/>
      <c r="C1922" s="25"/>
      <c r="D1922" s="22"/>
      <c r="F1922" s="25"/>
      <c r="G1922" s="22"/>
      <c r="H1922" s="25"/>
      <c r="I1922" s="22"/>
      <c r="J1922" s="25"/>
    </row>
    <row r="1923" ht="15.75" customHeight="1">
      <c r="A1923" s="25"/>
      <c r="B1923" s="22"/>
      <c r="C1923" s="25"/>
      <c r="D1923" s="22"/>
      <c r="F1923" s="25"/>
      <c r="G1923" s="22"/>
      <c r="H1923" s="25"/>
      <c r="I1923" s="22"/>
      <c r="J1923" s="25"/>
    </row>
    <row r="1924" ht="15.75" customHeight="1">
      <c r="A1924" s="25"/>
      <c r="B1924" s="22"/>
      <c r="C1924" s="25"/>
      <c r="D1924" s="22"/>
      <c r="F1924" s="25"/>
      <c r="G1924" s="22"/>
      <c r="H1924" s="25"/>
      <c r="I1924" s="22"/>
      <c r="J1924" s="25"/>
    </row>
    <row r="1925" ht="15.75" customHeight="1">
      <c r="A1925" s="25"/>
      <c r="B1925" s="22"/>
      <c r="C1925" s="25"/>
      <c r="D1925" s="22"/>
      <c r="F1925" s="25"/>
      <c r="G1925" s="22"/>
      <c r="H1925" s="25"/>
      <c r="I1925" s="22"/>
      <c r="J1925" s="25"/>
    </row>
    <row r="1926" ht="15.75" customHeight="1">
      <c r="A1926" s="25"/>
      <c r="B1926" s="22"/>
      <c r="C1926" s="25"/>
      <c r="D1926" s="22"/>
      <c r="F1926" s="25"/>
      <c r="G1926" s="22"/>
      <c r="H1926" s="25"/>
      <c r="I1926" s="22"/>
      <c r="J1926" s="25"/>
    </row>
    <row r="1927" ht="15.75" customHeight="1">
      <c r="A1927" s="25"/>
      <c r="B1927" s="22"/>
      <c r="C1927" s="25"/>
      <c r="D1927" s="22"/>
      <c r="F1927" s="25"/>
      <c r="G1927" s="22"/>
      <c r="H1927" s="25"/>
      <c r="I1927" s="22"/>
      <c r="J1927" s="25"/>
    </row>
    <row r="1928" ht="15.75" customHeight="1">
      <c r="A1928" s="25"/>
      <c r="B1928" s="22"/>
      <c r="C1928" s="25"/>
      <c r="D1928" s="22"/>
      <c r="F1928" s="25"/>
      <c r="G1928" s="22"/>
      <c r="H1928" s="25"/>
      <c r="I1928" s="22"/>
      <c r="J1928" s="25"/>
    </row>
    <row r="1929" ht="15.75" customHeight="1">
      <c r="A1929" s="25"/>
      <c r="B1929" s="22"/>
      <c r="C1929" s="25"/>
      <c r="D1929" s="22"/>
      <c r="F1929" s="25"/>
      <c r="G1929" s="22"/>
      <c r="H1929" s="25"/>
      <c r="I1929" s="22"/>
      <c r="J1929" s="25"/>
    </row>
    <row r="1930" ht="15.75" customHeight="1">
      <c r="A1930" s="25"/>
      <c r="B1930" s="22"/>
      <c r="C1930" s="25"/>
      <c r="D1930" s="22"/>
      <c r="F1930" s="25"/>
      <c r="G1930" s="22"/>
      <c r="H1930" s="25"/>
      <c r="I1930" s="22"/>
      <c r="J1930" s="25"/>
    </row>
    <row r="1931" ht="15.75" customHeight="1">
      <c r="A1931" s="25"/>
      <c r="B1931" s="22"/>
      <c r="C1931" s="25"/>
      <c r="D1931" s="22"/>
      <c r="F1931" s="25"/>
      <c r="G1931" s="22"/>
      <c r="H1931" s="25"/>
      <c r="I1931" s="22"/>
      <c r="J1931" s="25"/>
    </row>
    <row r="1932" ht="15.75" customHeight="1">
      <c r="A1932" s="25"/>
      <c r="B1932" s="22"/>
      <c r="C1932" s="25"/>
      <c r="D1932" s="22"/>
      <c r="F1932" s="25"/>
      <c r="G1932" s="22"/>
      <c r="H1932" s="25"/>
      <c r="I1932" s="22"/>
      <c r="J1932" s="25"/>
    </row>
    <row r="1933" ht="15.75" customHeight="1">
      <c r="A1933" s="25"/>
      <c r="B1933" s="22"/>
      <c r="C1933" s="25"/>
      <c r="D1933" s="22"/>
      <c r="F1933" s="25"/>
      <c r="G1933" s="22"/>
      <c r="H1933" s="25"/>
      <c r="I1933" s="22"/>
      <c r="J1933" s="25"/>
    </row>
    <row r="1934" ht="15.75" customHeight="1">
      <c r="A1934" s="25"/>
      <c r="B1934" s="22"/>
      <c r="C1934" s="25"/>
      <c r="D1934" s="22"/>
      <c r="F1934" s="25"/>
      <c r="G1934" s="22"/>
      <c r="H1934" s="25"/>
      <c r="I1934" s="22"/>
      <c r="J1934" s="25"/>
    </row>
    <row r="1935" ht="15.75" customHeight="1">
      <c r="A1935" s="25"/>
      <c r="B1935" s="22"/>
      <c r="C1935" s="25"/>
      <c r="D1935" s="22"/>
      <c r="F1935" s="25"/>
      <c r="G1935" s="22"/>
      <c r="H1935" s="25"/>
      <c r="I1935" s="22"/>
      <c r="J1935" s="25"/>
    </row>
    <row r="1936" ht="15.75" customHeight="1">
      <c r="A1936" s="25"/>
      <c r="B1936" s="22"/>
      <c r="C1936" s="25"/>
      <c r="D1936" s="22"/>
      <c r="F1936" s="25"/>
      <c r="G1936" s="22"/>
      <c r="H1936" s="25"/>
      <c r="I1936" s="22"/>
      <c r="J1936" s="25"/>
    </row>
    <row r="1937" ht="15.75" customHeight="1">
      <c r="A1937" s="25"/>
      <c r="B1937" s="22"/>
      <c r="C1937" s="25"/>
      <c r="D1937" s="22"/>
      <c r="F1937" s="25"/>
      <c r="G1937" s="22"/>
      <c r="H1937" s="25"/>
      <c r="I1937" s="22"/>
      <c r="J1937" s="25"/>
    </row>
    <row r="1938" ht="15.75" customHeight="1">
      <c r="A1938" s="25"/>
      <c r="B1938" s="22"/>
      <c r="C1938" s="25"/>
      <c r="D1938" s="22"/>
      <c r="F1938" s="25"/>
      <c r="G1938" s="22"/>
      <c r="H1938" s="25"/>
      <c r="I1938" s="22"/>
      <c r="J1938" s="25"/>
    </row>
    <row r="1939" ht="15.75" customHeight="1">
      <c r="A1939" s="25"/>
      <c r="B1939" s="22"/>
      <c r="C1939" s="25"/>
      <c r="D1939" s="22"/>
      <c r="F1939" s="25"/>
      <c r="G1939" s="22"/>
      <c r="H1939" s="25"/>
      <c r="I1939" s="22"/>
      <c r="J1939" s="25"/>
    </row>
    <row r="1940" ht="15.75" customHeight="1">
      <c r="A1940" s="25"/>
      <c r="B1940" s="22"/>
      <c r="C1940" s="25"/>
      <c r="D1940" s="22"/>
      <c r="F1940" s="25"/>
      <c r="G1940" s="22"/>
      <c r="H1940" s="25"/>
      <c r="I1940" s="22"/>
      <c r="J1940" s="25"/>
    </row>
    <row r="1941" ht="15.75" customHeight="1">
      <c r="A1941" s="25"/>
      <c r="B1941" s="22"/>
      <c r="C1941" s="25"/>
      <c r="D1941" s="22"/>
      <c r="F1941" s="25"/>
      <c r="G1941" s="22"/>
      <c r="H1941" s="25"/>
      <c r="I1941" s="22"/>
      <c r="J1941" s="25"/>
    </row>
    <row r="1942" ht="15.75" customHeight="1">
      <c r="A1942" s="25"/>
      <c r="B1942" s="22"/>
      <c r="C1942" s="25"/>
      <c r="D1942" s="22"/>
      <c r="F1942" s="25"/>
      <c r="G1942" s="22"/>
      <c r="H1942" s="25"/>
      <c r="I1942" s="22"/>
      <c r="J1942" s="25"/>
    </row>
    <row r="1943" ht="15.75" customHeight="1">
      <c r="A1943" s="25"/>
      <c r="B1943" s="22"/>
      <c r="C1943" s="25"/>
      <c r="D1943" s="22"/>
      <c r="F1943" s="25"/>
      <c r="G1943" s="22"/>
      <c r="H1943" s="25"/>
      <c r="I1943" s="22"/>
      <c r="J1943" s="25"/>
    </row>
    <row r="1944" ht="15.75" customHeight="1">
      <c r="A1944" s="25"/>
      <c r="B1944" s="22"/>
      <c r="C1944" s="25"/>
      <c r="D1944" s="22"/>
      <c r="F1944" s="25"/>
      <c r="G1944" s="22"/>
      <c r="H1944" s="25"/>
      <c r="I1944" s="22"/>
      <c r="J1944" s="25"/>
    </row>
    <row r="1945" ht="15.75" customHeight="1">
      <c r="A1945" s="25"/>
      <c r="B1945" s="22"/>
      <c r="C1945" s="25"/>
      <c r="D1945" s="22"/>
      <c r="F1945" s="25"/>
      <c r="G1945" s="22"/>
      <c r="H1945" s="25"/>
      <c r="I1945" s="22"/>
      <c r="J1945" s="25"/>
    </row>
    <row r="1946" ht="15.75" customHeight="1">
      <c r="A1946" s="25"/>
      <c r="B1946" s="22"/>
      <c r="C1946" s="25"/>
      <c r="D1946" s="22"/>
      <c r="F1946" s="25"/>
      <c r="G1946" s="22"/>
      <c r="H1946" s="25"/>
      <c r="I1946" s="22"/>
      <c r="J1946" s="25"/>
    </row>
    <row r="1947" ht="15.75" customHeight="1">
      <c r="A1947" s="25"/>
      <c r="B1947" s="22"/>
      <c r="C1947" s="25"/>
      <c r="D1947" s="22"/>
      <c r="F1947" s="25"/>
      <c r="G1947" s="22"/>
      <c r="H1947" s="25"/>
      <c r="I1947" s="22"/>
      <c r="J1947" s="25"/>
    </row>
    <row r="1948" ht="15.75" customHeight="1">
      <c r="A1948" s="25"/>
      <c r="B1948" s="22"/>
      <c r="C1948" s="25"/>
      <c r="D1948" s="22"/>
      <c r="F1948" s="25"/>
      <c r="G1948" s="22"/>
      <c r="H1948" s="25"/>
      <c r="I1948" s="22"/>
      <c r="J1948" s="25"/>
    </row>
    <row r="1949" ht="15.75" customHeight="1">
      <c r="A1949" s="25"/>
      <c r="B1949" s="22"/>
      <c r="C1949" s="25"/>
      <c r="D1949" s="22"/>
      <c r="F1949" s="25"/>
      <c r="G1949" s="22"/>
      <c r="H1949" s="25"/>
      <c r="I1949" s="22"/>
      <c r="J1949" s="25"/>
    </row>
    <row r="1950" ht="15.75" customHeight="1">
      <c r="A1950" s="25"/>
      <c r="B1950" s="22"/>
      <c r="C1950" s="25"/>
      <c r="D1950" s="22"/>
      <c r="F1950" s="25"/>
      <c r="G1950" s="22"/>
      <c r="H1950" s="25"/>
      <c r="I1950" s="22"/>
      <c r="J1950" s="25"/>
    </row>
    <row r="1951" ht="15.75" customHeight="1">
      <c r="A1951" s="25"/>
      <c r="B1951" s="22"/>
      <c r="C1951" s="25"/>
      <c r="D1951" s="22"/>
      <c r="F1951" s="25"/>
      <c r="G1951" s="22"/>
      <c r="H1951" s="25"/>
      <c r="I1951" s="22"/>
      <c r="J1951" s="25"/>
    </row>
    <row r="1952" ht="15.75" customHeight="1">
      <c r="A1952" s="25"/>
      <c r="B1952" s="22"/>
      <c r="C1952" s="25"/>
      <c r="D1952" s="22"/>
      <c r="F1952" s="25"/>
      <c r="G1952" s="22"/>
      <c r="H1952" s="25"/>
      <c r="I1952" s="22"/>
      <c r="J1952" s="25"/>
    </row>
    <row r="1953" ht="15.75" customHeight="1">
      <c r="A1953" s="25"/>
      <c r="B1953" s="22"/>
      <c r="C1953" s="25"/>
      <c r="D1953" s="22"/>
      <c r="F1953" s="25"/>
      <c r="G1953" s="22"/>
      <c r="H1953" s="25"/>
      <c r="I1953" s="22"/>
      <c r="J1953" s="25"/>
    </row>
    <row r="1954" ht="15.75" customHeight="1">
      <c r="A1954" s="25"/>
      <c r="B1954" s="22"/>
      <c r="C1954" s="25"/>
      <c r="D1954" s="22"/>
      <c r="F1954" s="25"/>
      <c r="G1954" s="22"/>
      <c r="H1954" s="25"/>
      <c r="I1954" s="22"/>
      <c r="J1954" s="25"/>
    </row>
    <row r="1955" ht="15.75" customHeight="1">
      <c r="A1955" s="25"/>
      <c r="B1955" s="22"/>
      <c r="C1955" s="25"/>
      <c r="D1955" s="22"/>
      <c r="F1955" s="25"/>
      <c r="G1955" s="22"/>
      <c r="H1955" s="25"/>
      <c r="I1955" s="22"/>
      <c r="J1955" s="25"/>
    </row>
    <row r="1956" ht="15.75" customHeight="1">
      <c r="A1956" s="25"/>
      <c r="B1956" s="22"/>
      <c r="C1956" s="25"/>
      <c r="D1956" s="22"/>
      <c r="F1956" s="25"/>
      <c r="G1956" s="22"/>
      <c r="H1956" s="25"/>
      <c r="I1956" s="22"/>
      <c r="J1956" s="25"/>
    </row>
    <row r="1957" ht="15.75" customHeight="1">
      <c r="A1957" s="25"/>
      <c r="B1957" s="22"/>
      <c r="C1957" s="25"/>
      <c r="D1957" s="22"/>
      <c r="F1957" s="25"/>
      <c r="G1957" s="22"/>
      <c r="H1957" s="25"/>
      <c r="I1957" s="22"/>
      <c r="J1957" s="25"/>
    </row>
    <row r="1958" ht="15.75" customHeight="1">
      <c r="A1958" s="25"/>
      <c r="B1958" s="22"/>
      <c r="C1958" s="25"/>
      <c r="D1958" s="22"/>
      <c r="F1958" s="25"/>
      <c r="G1958" s="22"/>
      <c r="H1958" s="25"/>
      <c r="I1958" s="22"/>
      <c r="J1958" s="25"/>
    </row>
    <row r="1959" ht="15.75" customHeight="1">
      <c r="A1959" s="25"/>
      <c r="B1959" s="22"/>
      <c r="C1959" s="25"/>
      <c r="D1959" s="22"/>
      <c r="F1959" s="25"/>
      <c r="G1959" s="22"/>
      <c r="H1959" s="25"/>
      <c r="I1959" s="22"/>
      <c r="J1959" s="25"/>
    </row>
    <row r="1960" ht="15.75" customHeight="1">
      <c r="A1960" s="25"/>
      <c r="B1960" s="22"/>
      <c r="C1960" s="25"/>
      <c r="D1960" s="22"/>
      <c r="F1960" s="25"/>
      <c r="G1960" s="22"/>
      <c r="H1960" s="25"/>
      <c r="I1960" s="22"/>
      <c r="J1960" s="25"/>
    </row>
    <row r="1961" ht="15.75" customHeight="1">
      <c r="A1961" s="25"/>
      <c r="B1961" s="22"/>
      <c r="C1961" s="25"/>
      <c r="D1961" s="22"/>
      <c r="F1961" s="25"/>
      <c r="G1961" s="22"/>
      <c r="H1961" s="25"/>
      <c r="I1961" s="22"/>
      <c r="J1961" s="25"/>
    </row>
    <row r="1962" ht="15.75" customHeight="1">
      <c r="A1962" s="25"/>
      <c r="B1962" s="22"/>
      <c r="C1962" s="25"/>
      <c r="D1962" s="22"/>
      <c r="F1962" s="25"/>
      <c r="G1962" s="22"/>
      <c r="H1962" s="25"/>
      <c r="I1962" s="22"/>
      <c r="J1962" s="25"/>
    </row>
    <row r="1963" ht="15.75" customHeight="1">
      <c r="A1963" s="25"/>
      <c r="B1963" s="22"/>
      <c r="C1963" s="25"/>
      <c r="D1963" s="22"/>
      <c r="F1963" s="25"/>
      <c r="G1963" s="22"/>
      <c r="H1963" s="25"/>
      <c r="I1963" s="22"/>
      <c r="J1963" s="25"/>
    </row>
    <row r="1964" ht="15.75" customHeight="1">
      <c r="A1964" s="25"/>
      <c r="B1964" s="22"/>
      <c r="C1964" s="25"/>
      <c r="D1964" s="22"/>
      <c r="F1964" s="25"/>
      <c r="G1964" s="22"/>
      <c r="H1964" s="25"/>
      <c r="I1964" s="22"/>
      <c r="J1964" s="25"/>
    </row>
    <row r="1965" ht="15.75" customHeight="1">
      <c r="A1965" s="25"/>
      <c r="B1965" s="22"/>
      <c r="C1965" s="25"/>
      <c r="D1965" s="22"/>
      <c r="F1965" s="25"/>
      <c r="G1965" s="22"/>
      <c r="H1965" s="25"/>
      <c r="I1965" s="22"/>
      <c r="J1965" s="25"/>
    </row>
    <row r="1966" ht="15.75" customHeight="1">
      <c r="A1966" s="25"/>
      <c r="B1966" s="22"/>
      <c r="C1966" s="25"/>
      <c r="D1966" s="22"/>
      <c r="F1966" s="25"/>
      <c r="G1966" s="22"/>
      <c r="H1966" s="25"/>
      <c r="I1966" s="22"/>
      <c r="J1966" s="25"/>
    </row>
    <row r="1967" ht="15.75" customHeight="1">
      <c r="A1967" s="25"/>
      <c r="B1967" s="22"/>
      <c r="C1967" s="25"/>
      <c r="D1967" s="22"/>
      <c r="F1967" s="25"/>
      <c r="G1967" s="22"/>
      <c r="H1967" s="25"/>
      <c r="I1967" s="22"/>
      <c r="J1967" s="25"/>
    </row>
    <row r="1968" ht="15.75" customHeight="1">
      <c r="A1968" s="25"/>
      <c r="B1968" s="22"/>
      <c r="C1968" s="25"/>
      <c r="D1968" s="22"/>
      <c r="F1968" s="25"/>
      <c r="G1968" s="22"/>
      <c r="H1968" s="25"/>
      <c r="I1968" s="22"/>
      <c r="J1968" s="25"/>
    </row>
    <row r="1969" ht="15.75" customHeight="1">
      <c r="A1969" s="25"/>
      <c r="B1969" s="22"/>
      <c r="C1969" s="25"/>
      <c r="D1969" s="22"/>
      <c r="F1969" s="25"/>
      <c r="G1969" s="22"/>
      <c r="H1969" s="25"/>
      <c r="I1969" s="22"/>
      <c r="J1969" s="25"/>
    </row>
    <row r="1970" ht="15.75" customHeight="1">
      <c r="A1970" s="25"/>
      <c r="B1970" s="22"/>
      <c r="C1970" s="25"/>
      <c r="D1970" s="22"/>
      <c r="F1970" s="25"/>
      <c r="G1970" s="22"/>
      <c r="H1970" s="25"/>
      <c r="I1970" s="22"/>
      <c r="J1970" s="25"/>
    </row>
    <row r="1971" ht="15.75" customHeight="1">
      <c r="A1971" s="25"/>
      <c r="B1971" s="22"/>
      <c r="C1971" s="25"/>
      <c r="D1971" s="22"/>
      <c r="F1971" s="25"/>
      <c r="G1971" s="22"/>
      <c r="H1971" s="25"/>
      <c r="I1971" s="22"/>
      <c r="J1971" s="25"/>
    </row>
    <row r="1972" ht="15.75" customHeight="1">
      <c r="A1972" s="25"/>
      <c r="B1972" s="22"/>
      <c r="C1972" s="25"/>
      <c r="D1972" s="22"/>
      <c r="F1972" s="25"/>
      <c r="G1972" s="22"/>
      <c r="H1972" s="25"/>
      <c r="I1972" s="22"/>
      <c r="J1972" s="25"/>
    </row>
    <row r="1973" ht="15.75" customHeight="1">
      <c r="A1973" s="25"/>
      <c r="B1973" s="22"/>
      <c r="C1973" s="25"/>
      <c r="D1973" s="22"/>
      <c r="F1973" s="25"/>
      <c r="G1973" s="22"/>
      <c r="H1973" s="25"/>
      <c r="I1973" s="22"/>
      <c r="J1973" s="25"/>
    </row>
    <row r="1974" ht="15.75" customHeight="1">
      <c r="A1974" s="25"/>
      <c r="B1974" s="22"/>
      <c r="C1974" s="25"/>
      <c r="D1974" s="22"/>
      <c r="F1974" s="25"/>
      <c r="G1974" s="22"/>
      <c r="H1974" s="25"/>
      <c r="I1974" s="22"/>
      <c r="J1974" s="25"/>
    </row>
    <row r="1975" ht="15.75" customHeight="1">
      <c r="A1975" s="25"/>
      <c r="B1975" s="22"/>
      <c r="C1975" s="25"/>
      <c r="D1975" s="22"/>
      <c r="F1975" s="25"/>
      <c r="G1975" s="22"/>
      <c r="H1975" s="25"/>
      <c r="I1975" s="22"/>
      <c r="J1975" s="25"/>
    </row>
    <row r="1976" ht="15.75" customHeight="1">
      <c r="A1976" s="25"/>
      <c r="B1976" s="22"/>
      <c r="C1976" s="25"/>
      <c r="D1976" s="22"/>
      <c r="F1976" s="25"/>
      <c r="G1976" s="22"/>
      <c r="H1976" s="25"/>
      <c r="I1976" s="22"/>
      <c r="J1976" s="25"/>
    </row>
    <row r="1977" ht="15.75" customHeight="1">
      <c r="A1977" s="25"/>
      <c r="B1977" s="22"/>
      <c r="C1977" s="25"/>
      <c r="D1977" s="22"/>
      <c r="F1977" s="25"/>
      <c r="G1977" s="22"/>
      <c r="H1977" s="25"/>
      <c r="I1977" s="22"/>
      <c r="J1977" s="25"/>
    </row>
    <row r="1978" ht="15.75" customHeight="1">
      <c r="A1978" s="25"/>
      <c r="B1978" s="22"/>
      <c r="C1978" s="25"/>
      <c r="D1978" s="22"/>
      <c r="F1978" s="25"/>
      <c r="G1978" s="22"/>
      <c r="H1978" s="25"/>
      <c r="I1978" s="22"/>
      <c r="J1978" s="25"/>
    </row>
    <row r="1979" ht="15.75" customHeight="1">
      <c r="A1979" s="25"/>
      <c r="B1979" s="22"/>
      <c r="C1979" s="25"/>
      <c r="D1979" s="22"/>
      <c r="F1979" s="25"/>
      <c r="G1979" s="22"/>
      <c r="H1979" s="25"/>
      <c r="I1979" s="22"/>
      <c r="J1979" s="25"/>
    </row>
    <row r="1980" ht="15.75" customHeight="1">
      <c r="A1980" s="25"/>
      <c r="B1980" s="22"/>
      <c r="C1980" s="25"/>
      <c r="D1980" s="22"/>
      <c r="F1980" s="25"/>
      <c r="G1980" s="22"/>
      <c r="H1980" s="25"/>
      <c r="I1980" s="22"/>
      <c r="J1980" s="25"/>
    </row>
    <row r="1981" ht="15.75" customHeight="1">
      <c r="A1981" s="25"/>
      <c r="B1981" s="22"/>
      <c r="C1981" s="25"/>
      <c r="D1981" s="22"/>
      <c r="F1981" s="25"/>
      <c r="G1981" s="22"/>
      <c r="H1981" s="25"/>
      <c r="I1981" s="22"/>
      <c r="J1981" s="25"/>
    </row>
    <row r="1982" ht="15.75" customHeight="1">
      <c r="A1982" s="25"/>
      <c r="B1982" s="22"/>
      <c r="C1982" s="25"/>
      <c r="D1982" s="22"/>
      <c r="F1982" s="25"/>
      <c r="G1982" s="22"/>
      <c r="H1982" s="25"/>
      <c r="I1982" s="22"/>
      <c r="J1982" s="25"/>
    </row>
    <row r="1983" ht="15.75" customHeight="1">
      <c r="A1983" s="25"/>
      <c r="B1983" s="22"/>
      <c r="C1983" s="25"/>
      <c r="D1983" s="22"/>
      <c r="F1983" s="25"/>
      <c r="G1983" s="22"/>
      <c r="H1983" s="25"/>
      <c r="I1983" s="22"/>
      <c r="J1983" s="25"/>
    </row>
    <row r="1984" ht="15.75" customHeight="1">
      <c r="A1984" s="25"/>
      <c r="B1984" s="22"/>
      <c r="C1984" s="25"/>
      <c r="D1984" s="22"/>
      <c r="F1984" s="25"/>
      <c r="G1984" s="22"/>
      <c r="H1984" s="25"/>
      <c r="I1984" s="22"/>
      <c r="J1984" s="25"/>
    </row>
    <row r="1985" ht="15.75" customHeight="1">
      <c r="A1985" s="25"/>
      <c r="B1985" s="22"/>
      <c r="C1985" s="25"/>
      <c r="D1985" s="22"/>
      <c r="F1985" s="25"/>
      <c r="G1985" s="22"/>
      <c r="H1985" s="25"/>
      <c r="I1985" s="22"/>
      <c r="J1985" s="25"/>
    </row>
    <row r="1986" ht="15.75" customHeight="1">
      <c r="A1986" s="25"/>
      <c r="B1986" s="22"/>
      <c r="C1986" s="25"/>
      <c r="D1986" s="22"/>
      <c r="F1986" s="25"/>
      <c r="G1986" s="22"/>
      <c r="H1986" s="25"/>
      <c r="I1986" s="22"/>
      <c r="J1986" s="25"/>
    </row>
    <row r="1987" ht="15.75" customHeight="1">
      <c r="A1987" s="25"/>
      <c r="B1987" s="22"/>
      <c r="C1987" s="25"/>
      <c r="D1987" s="22"/>
      <c r="F1987" s="25"/>
      <c r="G1987" s="22"/>
      <c r="H1987" s="25"/>
      <c r="I1987" s="22"/>
      <c r="J1987" s="25"/>
    </row>
    <row r="1988" ht="15.75" customHeight="1">
      <c r="A1988" s="25"/>
      <c r="B1988" s="22"/>
      <c r="C1988" s="25"/>
      <c r="D1988" s="22"/>
      <c r="F1988" s="25"/>
      <c r="G1988" s="22"/>
      <c r="H1988" s="25"/>
      <c r="I1988" s="22"/>
      <c r="J1988" s="25"/>
    </row>
    <row r="1989" ht="15.75" customHeight="1">
      <c r="A1989" s="25"/>
      <c r="B1989" s="22"/>
      <c r="C1989" s="25"/>
      <c r="D1989" s="22"/>
      <c r="F1989" s="25"/>
      <c r="G1989" s="22"/>
      <c r="H1989" s="25"/>
      <c r="I1989" s="22"/>
      <c r="J1989" s="25"/>
    </row>
    <row r="1990" ht="15.75" customHeight="1">
      <c r="A1990" s="25"/>
      <c r="B1990" s="22"/>
      <c r="C1990" s="25"/>
      <c r="D1990" s="22"/>
      <c r="F1990" s="25"/>
      <c r="G1990" s="22"/>
      <c r="H1990" s="25"/>
      <c r="I1990" s="22"/>
      <c r="J1990" s="25"/>
    </row>
    <row r="1991" ht="15.75" customHeight="1">
      <c r="A1991" s="25"/>
      <c r="B1991" s="22"/>
      <c r="C1991" s="25"/>
      <c r="D1991" s="22"/>
      <c r="F1991" s="25"/>
      <c r="G1991" s="22"/>
      <c r="H1991" s="25"/>
      <c r="I1991" s="22"/>
      <c r="J1991" s="25"/>
    </row>
    <row r="1992" ht="15.75" customHeight="1">
      <c r="A1992" s="25"/>
      <c r="B1992" s="22"/>
      <c r="C1992" s="25"/>
      <c r="D1992" s="22"/>
      <c r="F1992" s="25"/>
      <c r="G1992" s="22"/>
      <c r="H1992" s="25"/>
      <c r="I1992" s="22"/>
      <c r="J1992" s="25"/>
    </row>
    <row r="1993" ht="15.75" customHeight="1">
      <c r="A1993" s="25"/>
      <c r="B1993" s="22"/>
      <c r="C1993" s="25"/>
      <c r="D1993" s="22"/>
      <c r="F1993" s="25"/>
      <c r="G1993" s="22"/>
      <c r="H1993" s="25"/>
      <c r="I1993" s="22"/>
      <c r="J1993" s="25"/>
    </row>
    <row r="1994" ht="15.75" customHeight="1">
      <c r="A1994" s="25"/>
      <c r="B1994" s="22"/>
      <c r="C1994" s="25"/>
      <c r="D1994" s="22"/>
      <c r="F1994" s="25"/>
      <c r="G1994" s="22"/>
      <c r="H1994" s="25"/>
      <c r="I1994" s="22"/>
      <c r="J1994" s="25"/>
    </row>
    <row r="1995" ht="15.75" customHeight="1">
      <c r="A1995" s="25"/>
      <c r="B1995" s="22"/>
      <c r="C1995" s="25"/>
      <c r="D1995" s="22"/>
      <c r="F1995" s="25"/>
      <c r="G1995" s="22"/>
      <c r="H1995" s="25"/>
      <c r="I1995" s="22"/>
      <c r="J1995" s="25"/>
    </row>
    <row r="1996" ht="15.75" customHeight="1">
      <c r="A1996" s="25"/>
      <c r="B1996" s="22"/>
      <c r="C1996" s="25"/>
      <c r="D1996" s="22"/>
      <c r="F1996" s="25"/>
      <c r="G1996" s="22"/>
      <c r="H1996" s="25"/>
      <c r="I1996" s="22"/>
      <c r="J1996" s="25"/>
    </row>
    <row r="1997" ht="15.75" customHeight="1">
      <c r="A1997" s="25"/>
      <c r="B1997" s="22"/>
      <c r="C1997" s="25"/>
      <c r="D1997" s="22"/>
      <c r="F1997" s="25"/>
      <c r="G1997" s="22"/>
      <c r="H1997" s="25"/>
      <c r="I1997" s="22"/>
      <c r="J1997" s="25"/>
    </row>
    <row r="1998" ht="15.75" customHeight="1">
      <c r="A1998" s="25"/>
      <c r="B1998" s="22"/>
      <c r="C1998" s="25"/>
      <c r="D1998" s="22"/>
      <c r="F1998" s="25"/>
      <c r="G1998" s="22"/>
      <c r="H1998" s="25"/>
      <c r="I1998" s="22"/>
      <c r="J1998" s="25"/>
    </row>
    <row r="1999" ht="15.75" customHeight="1">
      <c r="A1999" s="25"/>
      <c r="B1999" s="22"/>
      <c r="C1999" s="25"/>
      <c r="D1999" s="22"/>
      <c r="F1999" s="25"/>
      <c r="G1999" s="22"/>
      <c r="H1999" s="25"/>
      <c r="I1999" s="22"/>
      <c r="J1999" s="25"/>
    </row>
    <row r="2000" ht="15.75" customHeight="1">
      <c r="A2000" s="25"/>
      <c r="B2000" s="22"/>
      <c r="C2000" s="25"/>
      <c r="D2000" s="22"/>
      <c r="F2000" s="25"/>
      <c r="G2000" s="22"/>
      <c r="H2000" s="25"/>
      <c r="I2000" s="22"/>
      <c r="J2000" s="25"/>
    </row>
    <row r="2001" ht="15.75" customHeight="1">
      <c r="A2001" s="25"/>
      <c r="B2001" s="22"/>
      <c r="C2001" s="25"/>
      <c r="D2001" s="22"/>
      <c r="F2001" s="25"/>
      <c r="G2001" s="22"/>
      <c r="H2001" s="25"/>
      <c r="I2001" s="22"/>
      <c r="J2001" s="25"/>
    </row>
    <row r="2002" ht="15.75" customHeight="1">
      <c r="A2002" s="25"/>
      <c r="B2002" s="22"/>
      <c r="C2002" s="25"/>
      <c r="D2002" s="22"/>
      <c r="F2002" s="25"/>
      <c r="G2002" s="22"/>
      <c r="H2002" s="25"/>
      <c r="I2002" s="22"/>
      <c r="J2002" s="25"/>
    </row>
    <row r="2003" ht="15.75" customHeight="1">
      <c r="A2003" s="25"/>
      <c r="B2003" s="22"/>
      <c r="C2003" s="25"/>
      <c r="D2003" s="22"/>
      <c r="F2003" s="25"/>
      <c r="G2003" s="22"/>
      <c r="H2003" s="25"/>
      <c r="I2003" s="22"/>
      <c r="J2003" s="25"/>
    </row>
    <row r="2004" ht="15.75" customHeight="1">
      <c r="A2004" s="25"/>
      <c r="B2004" s="22"/>
      <c r="C2004" s="25"/>
      <c r="D2004" s="22"/>
      <c r="F2004" s="25"/>
      <c r="G2004" s="22"/>
      <c r="H2004" s="25"/>
      <c r="I2004" s="22"/>
      <c r="J2004" s="25"/>
    </row>
    <row r="2005" ht="15.75" customHeight="1">
      <c r="A2005" s="25"/>
      <c r="B2005" s="22"/>
      <c r="C2005" s="25"/>
      <c r="D2005" s="22"/>
      <c r="F2005" s="25"/>
      <c r="G2005" s="22"/>
      <c r="H2005" s="25"/>
      <c r="I2005" s="22"/>
      <c r="J2005" s="25"/>
    </row>
    <row r="2006" ht="15.75" customHeight="1">
      <c r="A2006" s="25"/>
      <c r="B2006" s="22"/>
      <c r="C2006" s="25"/>
      <c r="D2006" s="22"/>
      <c r="F2006" s="25"/>
      <c r="G2006" s="22"/>
      <c r="H2006" s="25"/>
      <c r="I2006" s="22"/>
      <c r="J2006" s="25"/>
    </row>
    <row r="2007" ht="15.75" customHeight="1">
      <c r="A2007" s="25"/>
      <c r="B2007" s="22"/>
      <c r="C2007" s="25"/>
      <c r="D2007" s="22"/>
      <c r="F2007" s="25"/>
      <c r="G2007" s="22"/>
      <c r="H2007" s="25"/>
      <c r="I2007" s="22"/>
      <c r="J2007" s="25"/>
    </row>
    <row r="2008" ht="15.75" customHeight="1">
      <c r="A2008" s="25"/>
      <c r="B2008" s="22"/>
      <c r="C2008" s="25"/>
      <c r="D2008" s="22"/>
      <c r="F2008" s="25"/>
      <c r="G2008" s="22"/>
      <c r="H2008" s="25"/>
      <c r="I2008" s="22"/>
      <c r="J2008" s="25"/>
    </row>
    <row r="2009" ht="15.75" customHeight="1">
      <c r="A2009" s="25"/>
      <c r="B2009" s="22"/>
      <c r="C2009" s="25"/>
      <c r="D2009" s="22"/>
      <c r="F2009" s="25"/>
      <c r="G2009" s="22"/>
      <c r="H2009" s="25"/>
      <c r="I2009" s="22"/>
      <c r="J2009" s="25"/>
    </row>
    <row r="2010" ht="15.75" customHeight="1">
      <c r="A2010" s="25"/>
      <c r="B2010" s="22"/>
      <c r="C2010" s="25"/>
      <c r="D2010" s="22"/>
      <c r="F2010" s="25"/>
      <c r="G2010" s="22"/>
      <c r="H2010" s="25"/>
      <c r="I2010" s="22"/>
      <c r="J2010" s="25"/>
    </row>
    <row r="2011" ht="15.75" customHeight="1">
      <c r="A2011" s="25"/>
      <c r="B2011" s="22"/>
      <c r="C2011" s="25"/>
      <c r="D2011" s="22"/>
      <c r="F2011" s="25"/>
      <c r="G2011" s="22"/>
      <c r="H2011" s="25"/>
      <c r="I2011" s="22"/>
      <c r="J2011" s="25"/>
    </row>
    <row r="2012" ht="15.75" customHeight="1">
      <c r="A2012" s="25"/>
      <c r="B2012" s="22"/>
      <c r="C2012" s="25"/>
      <c r="D2012" s="22"/>
      <c r="F2012" s="25"/>
      <c r="G2012" s="22"/>
      <c r="H2012" s="25"/>
      <c r="I2012" s="22"/>
      <c r="J2012" s="25"/>
    </row>
    <row r="2013" ht="15.75" customHeight="1">
      <c r="A2013" s="25"/>
      <c r="B2013" s="22"/>
      <c r="C2013" s="25"/>
      <c r="D2013" s="22"/>
      <c r="F2013" s="25"/>
      <c r="G2013" s="22"/>
      <c r="H2013" s="25"/>
      <c r="I2013" s="22"/>
      <c r="J2013" s="25"/>
    </row>
    <row r="2014" ht="15.75" customHeight="1">
      <c r="A2014" s="25"/>
      <c r="B2014" s="22"/>
      <c r="C2014" s="25"/>
      <c r="D2014" s="22"/>
      <c r="F2014" s="25"/>
      <c r="G2014" s="22"/>
      <c r="H2014" s="25"/>
      <c r="I2014" s="22"/>
      <c r="J2014" s="25"/>
    </row>
    <row r="2015" ht="15.75" customHeight="1">
      <c r="A2015" s="25"/>
      <c r="B2015" s="22"/>
      <c r="C2015" s="25"/>
      <c r="D2015" s="22"/>
      <c r="F2015" s="25"/>
      <c r="G2015" s="22"/>
      <c r="H2015" s="25"/>
      <c r="I2015" s="22"/>
      <c r="J2015" s="25"/>
    </row>
    <row r="2016" ht="15.75" customHeight="1">
      <c r="A2016" s="25"/>
      <c r="B2016" s="22"/>
      <c r="C2016" s="25"/>
      <c r="D2016" s="22"/>
      <c r="F2016" s="25"/>
      <c r="G2016" s="22"/>
      <c r="H2016" s="25"/>
      <c r="I2016" s="22"/>
      <c r="J2016" s="25"/>
    </row>
    <row r="2017" ht="15.75" customHeight="1">
      <c r="A2017" s="25"/>
      <c r="B2017" s="22"/>
      <c r="C2017" s="25"/>
      <c r="D2017" s="22"/>
      <c r="F2017" s="25"/>
      <c r="G2017" s="22"/>
      <c r="H2017" s="25"/>
      <c r="I2017" s="22"/>
      <c r="J2017" s="25"/>
    </row>
    <row r="2018" ht="15.75" customHeight="1">
      <c r="A2018" s="25"/>
      <c r="B2018" s="22"/>
      <c r="C2018" s="25"/>
      <c r="D2018" s="22"/>
      <c r="F2018" s="25"/>
      <c r="G2018" s="22"/>
      <c r="H2018" s="25"/>
      <c r="I2018" s="22"/>
      <c r="J2018" s="25"/>
    </row>
    <row r="2019" ht="15.75" customHeight="1">
      <c r="A2019" s="25"/>
      <c r="B2019" s="22"/>
      <c r="C2019" s="25"/>
      <c r="D2019" s="22"/>
      <c r="F2019" s="25"/>
      <c r="G2019" s="22"/>
      <c r="H2019" s="25"/>
      <c r="I2019" s="22"/>
      <c r="J2019" s="25"/>
    </row>
    <row r="2020" ht="15.75" customHeight="1">
      <c r="A2020" s="25"/>
      <c r="B2020" s="22"/>
      <c r="C2020" s="25"/>
      <c r="D2020" s="22"/>
      <c r="F2020" s="25"/>
      <c r="G2020" s="22"/>
      <c r="H2020" s="25"/>
      <c r="I2020" s="22"/>
      <c r="J2020" s="25"/>
    </row>
    <row r="2021" ht="15.75" customHeight="1">
      <c r="A2021" s="25"/>
      <c r="B2021" s="22"/>
      <c r="C2021" s="25"/>
      <c r="D2021" s="22"/>
      <c r="F2021" s="25"/>
      <c r="G2021" s="22"/>
      <c r="H2021" s="25"/>
      <c r="I2021" s="22"/>
      <c r="J2021" s="25"/>
    </row>
    <row r="2022" ht="15.75" customHeight="1">
      <c r="A2022" s="25"/>
      <c r="B2022" s="22"/>
      <c r="C2022" s="25"/>
      <c r="D2022" s="22"/>
      <c r="F2022" s="25"/>
      <c r="G2022" s="22"/>
      <c r="H2022" s="25"/>
      <c r="I2022" s="22"/>
      <c r="J2022" s="25"/>
    </row>
    <row r="2023" ht="15.75" customHeight="1">
      <c r="A2023" s="25"/>
      <c r="B2023" s="22"/>
      <c r="C2023" s="25"/>
      <c r="D2023" s="22"/>
      <c r="F2023" s="25"/>
      <c r="G2023" s="22"/>
      <c r="H2023" s="25"/>
      <c r="I2023" s="22"/>
      <c r="J2023" s="25"/>
    </row>
    <row r="2024" ht="15.75" customHeight="1">
      <c r="A2024" s="25"/>
      <c r="B2024" s="22"/>
      <c r="C2024" s="25"/>
      <c r="D2024" s="22"/>
      <c r="F2024" s="25"/>
      <c r="G2024" s="22"/>
      <c r="H2024" s="25"/>
      <c r="I2024" s="22"/>
      <c r="J2024" s="25"/>
    </row>
    <row r="2025" ht="15.75" customHeight="1">
      <c r="A2025" s="25"/>
      <c r="B2025" s="22"/>
      <c r="C2025" s="25"/>
      <c r="D2025" s="22"/>
      <c r="F2025" s="25"/>
      <c r="G2025" s="22"/>
      <c r="H2025" s="25"/>
      <c r="I2025" s="22"/>
      <c r="J2025" s="25"/>
    </row>
    <row r="2026" ht="15.75" customHeight="1">
      <c r="A2026" s="25"/>
      <c r="B2026" s="22"/>
      <c r="C2026" s="25"/>
      <c r="D2026" s="22"/>
      <c r="F2026" s="25"/>
      <c r="G2026" s="22"/>
      <c r="H2026" s="25"/>
      <c r="I2026" s="22"/>
      <c r="J2026" s="25"/>
    </row>
    <row r="2027" ht="15.75" customHeight="1">
      <c r="A2027" s="25"/>
      <c r="B2027" s="22"/>
      <c r="C2027" s="25"/>
      <c r="D2027" s="22"/>
      <c r="F2027" s="25"/>
      <c r="G2027" s="22"/>
      <c r="H2027" s="25"/>
      <c r="I2027" s="22"/>
      <c r="J2027" s="25"/>
    </row>
    <row r="2028" ht="15.75" customHeight="1">
      <c r="A2028" s="25"/>
      <c r="B2028" s="22"/>
      <c r="C2028" s="25"/>
      <c r="D2028" s="22"/>
      <c r="F2028" s="25"/>
      <c r="G2028" s="22"/>
      <c r="H2028" s="25"/>
      <c r="I2028" s="22"/>
      <c r="J2028" s="25"/>
    </row>
    <row r="2029" ht="15.75" customHeight="1">
      <c r="A2029" s="25"/>
      <c r="B2029" s="22"/>
      <c r="C2029" s="25"/>
      <c r="D2029" s="22"/>
      <c r="F2029" s="25"/>
      <c r="G2029" s="22"/>
      <c r="H2029" s="25"/>
      <c r="I2029" s="22"/>
      <c r="J2029" s="25"/>
    </row>
    <row r="2030" ht="15.75" customHeight="1">
      <c r="A2030" s="25"/>
      <c r="B2030" s="22"/>
      <c r="C2030" s="25"/>
      <c r="D2030" s="22"/>
      <c r="F2030" s="25"/>
      <c r="G2030" s="22"/>
      <c r="H2030" s="25"/>
      <c r="I2030" s="22"/>
      <c r="J2030" s="25"/>
    </row>
    <row r="2031" ht="15.75" customHeight="1">
      <c r="A2031" s="25"/>
      <c r="B2031" s="22"/>
      <c r="C2031" s="25"/>
      <c r="D2031" s="22"/>
      <c r="F2031" s="25"/>
      <c r="G2031" s="22"/>
      <c r="H2031" s="25"/>
      <c r="I2031" s="22"/>
      <c r="J2031" s="25"/>
    </row>
    <row r="2032" ht="15.75" customHeight="1">
      <c r="A2032" s="25"/>
      <c r="B2032" s="22"/>
      <c r="C2032" s="25"/>
      <c r="D2032" s="22"/>
      <c r="F2032" s="25"/>
      <c r="G2032" s="22"/>
      <c r="H2032" s="25"/>
      <c r="I2032" s="22"/>
      <c r="J2032" s="25"/>
    </row>
    <row r="2033" ht="15.75" customHeight="1">
      <c r="A2033" s="25"/>
      <c r="B2033" s="22"/>
      <c r="C2033" s="25"/>
      <c r="D2033" s="22"/>
      <c r="F2033" s="25"/>
      <c r="G2033" s="22"/>
      <c r="H2033" s="25"/>
      <c r="I2033" s="22"/>
      <c r="J2033" s="25"/>
    </row>
    <row r="2034" ht="15.75" customHeight="1">
      <c r="A2034" s="25"/>
      <c r="B2034" s="22"/>
      <c r="C2034" s="25"/>
      <c r="D2034" s="22"/>
      <c r="F2034" s="25"/>
      <c r="G2034" s="22"/>
      <c r="H2034" s="25"/>
      <c r="I2034" s="22"/>
      <c r="J2034" s="25"/>
    </row>
    <row r="2035" ht="15.75" customHeight="1">
      <c r="A2035" s="25"/>
      <c r="B2035" s="22"/>
      <c r="C2035" s="25"/>
      <c r="D2035" s="22"/>
      <c r="F2035" s="25"/>
      <c r="G2035" s="22"/>
      <c r="H2035" s="25"/>
      <c r="I2035" s="22"/>
      <c r="J2035" s="25"/>
    </row>
    <row r="2036" ht="15.75" customHeight="1">
      <c r="A2036" s="25"/>
      <c r="B2036" s="22"/>
      <c r="C2036" s="25"/>
      <c r="D2036" s="22"/>
      <c r="F2036" s="25"/>
      <c r="G2036" s="22"/>
      <c r="H2036" s="25"/>
      <c r="I2036" s="22"/>
      <c r="J2036" s="25"/>
    </row>
    <row r="2037" ht="15.75" customHeight="1">
      <c r="A2037" s="25"/>
      <c r="B2037" s="22"/>
      <c r="C2037" s="25"/>
      <c r="D2037" s="22"/>
      <c r="F2037" s="25"/>
      <c r="G2037" s="22"/>
      <c r="H2037" s="25"/>
      <c r="I2037" s="22"/>
      <c r="J2037" s="25"/>
    </row>
    <row r="2038" ht="15.75" customHeight="1">
      <c r="A2038" s="25"/>
      <c r="B2038" s="22"/>
      <c r="C2038" s="25"/>
      <c r="D2038" s="22"/>
      <c r="F2038" s="25"/>
      <c r="G2038" s="22"/>
      <c r="H2038" s="25"/>
      <c r="I2038" s="22"/>
      <c r="J2038" s="25"/>
    </row>
    <row r="2039" ht="15.75" customHeight="1">
      <c r="A2039" s="25"/>
      <c r="B2039" s="22"/>
      <c r="C2039" s="25"/>
      <c r="D2039" s="22"/>
      <c r="F2039" s="25"/>
      <c r="G2039" s="22"/>
      <c r="H2039" s="25"/>
      <c r="I2039" s="22"/>
      <c r="J2039" s="25"/>
    </row>
    <row r="2040" ht="15.75" customHeight="1">
      <c r="A2040" s="25"/>
      <c r="B2040" s="22"/>
      <c r="C2040" s="25"/>
      <c r="D2040" s="22"/>
      <c r="F2040" s="25"/>
      <c r="G2040" s="22"/>
      <c r="H2040" s="25"/>
      <c r="I2040" s="22"/>
      <c r="J2040" s="25"/>
    </row>
    <row r="2041" ht="15.75" customHeight="1">
      <c r="A2041" s="25"/>
      <c r="B2041" s="22"/>
      <c r="C2041" s="25"/>
      <c r="D2041" s="22"/>
      <c r="F2041" s="25"/>
      <c r="G2041" s="22"/>
      <c r="H2041" s="25"/>
      <c r="I2041" s="22"/>
      <c r="J2041" s="25"/>
    </row>
    <row r="2042" ht="15.75" customHeight="1">
      <c r="A2042" s="25"/>
      <c r="B2042" s="22"/>
      <c r="C2042" s="25"/>
      <c r="D2042" s="22"/>
      <c r="F2042" s="25"/>
      <c r="G2042" s="22"/>
      <c r="H2042" s="25"/>
      <c r="I2042" s="22"/>
      <c r="J2042" s="25"/>
    </row>
    <row r="2043" ht="15.75" customHeight="1">
      <c r="A2043" s="25"/>
      <c r="B2043" s="22"/>
      <c r="C2043" s="25"/>
      <c r="D2043" s="22"/>
      <c r="F2043" s="25"/>
      <c r="G2043" s="22"/>
      <c r="H2043" s="25"/>
      <c r="I2043" s="22"/>
      <c r="J2043" s="25"/>
    </row>
    <row r="2044" ht="15.75" customHeight="1">
      <c r="A2044" s="25"/>
      <c r="B2044" s="22"/>
      <c r="C2044" s="25"/>
      <c r="D2044" s="22"/>
      <c r="F2044" s="25"/>
      <c r="G2044" s="22"/>
      <c r="H2044" s="25"/>
      <c r="I2044" s="22"/>
      <c r="J2044" s="25"/>
    </row>
    <row r="2045" ht="15.75" customHeight="1">
      <c r="A2045" s="25"/>
      <c r="B2045" s="22"/>
      <c r="C2045" s="25"/>
      <c r="D2045" s="22"/>
      <c r="F2045" s="25"/>
      <c r="G2045" s="22"/>
      <c r="H2045" s="25"/>
      <c r="I2045" s="22"/>
      <c r="J2045" s="25"/>
    </row>
    <row r="2046" ht="15.75" customHeight="1">
      <c r="A2046" s="25"/>
      <c r="B2046" s="22"/>
      <c r="C2046" s="25"/>
      <c r="D2046" s="22"/>
      <c r="F2046" s="25"/>
      <c r="G2046" s="22"/>
      <c r="H2046" s="25"/>
      <c r="I2046" s="22"/>
      <c r="J2046" s="25"/>
    </row>
    <row r="2047" ht="15.75" customHeight="1">
      <c r="A2047" s="25"/>
      <c r="B2047" s="22"/>
      <c r="C2047" s="25"/>
      <c r="D2047" s="22"/>
      <c r="F2047" s="25"/>
      <c r="G2047" s="22"/>
      <c r="H2047" s="25"/>
      <c r="I2047" s="22"/>
      <c r="J2047" s="25"/>
    </row>
    <row r="2048" ht="15.75" customHeight="1">
      <c r="A2048" s="25"/>
      <c r="B2048" s="22"/>
      <c r="C2048" s="25"/>
      <c r="D2048" s="22"/>
      <c r="F2048" s="25"/>
      <c r="G2048" s="22"/>
      <c r="H2048" s="25"/>
      <c r="I2048" s="22"/>
      <c r="J2048" s="25"/>
    </row>
    <row r="2049" ht="15.75" customHeight="1">
      <c r="A2049" s="25"/>
      <c r="B2049" s="22"/>
      <c r="C2049" s="25"/>
      <c r="D2049" s="22"/>
      <c r="F2049" s="25"/>
      <c r="G2049" s="22"/>
      <c r="H2049" s="25"/>
      <c r="I2049" s="22"/>
      <c r="J2049" s="25"/>
    </row>
    <row r="2050" ht="15.75" customHeight="1">
      <c r="A2050" s="25"/>
      <c r="B2050" s="22"/>
      <c r="C2050" s="25"/>
      <c r="D2050" s="22"/>
      <c r="F2050" s="25"/>
      <c r="G2050" s="22"/>
      <c r="H2050" s="25"/>
      <c r="I2050" s="22"/>
      <c r="J2050" s="25"/>
    </row>
    <row r="2051" ht="15.75" customHeight="1">
      <c r="A2051" s="25"/>
      <c r="B2051" s="22"/>
      <c r="C2051" s="25"/>
      <c r="D2051" s="22"/>
      <c r="F2051" s="25"/>
      <c r="G2051" s="22"/>
      <c r="H2051" s="25"/>
      <c r="I2051" s="22"/>
      <c r="J2051" s="25"/>
    </row>
    <row r="2052" ht="15.75" customHeight="1">
      <c r="A2052" s="25"/>
      <c r="B2052" s="22"/>
      <c r="C2052" s="25"/>
      <c r="D2052" s="22"/>
      <c r="F2052" s="25"/>
      <c r="G2052" s="22"/>
      <c r="H2052" s="25"/>
      <c r="I2052" s="22"/>
      <c r="J2052" s="25"/>
    </row>
    <row r="2053" ht="15.75" customHeight="1">
      <c r="A2053" s="25"/>
      <c r="B2053" s="22"/>
      <c r="C2053" s="25"/>
      <c r="D2053" s="22"/>
      <c r="F2053" s="25"/>
      <c r="G2053" s="22"/>
      <c r="H2053" s="25"/>
      <c r="I2053" s="22"/>
      <c r="J2053" s="25"/>
    </row>
    <row r="2054" ht="15.75" customHeight="1">
      <c r="A2054" s="25"/>
      <c r="B2054" s="22"/>
      <c r="C2054" s="25"/>
      <c r="D2054" s="22"/>
      <c r="F2054" s="25"/>
      <c r="G2054" s="22"/>
      <c r="H2054" s="25"/>
      <c r="I2054" s="22"/>
      <c r="J2054" s="25"/>
    </row>
    <row r="2055" ht="15.75" customHeight="1">
      <c r="A2055" s="25"/>
      <c r="B2055" s="22"/>
      <c r="C2055" s="25"/>
      <c r="D2055" s="22"/>
      <c r="F2055" s="25"/>
      <c r="G2055" s="22"/>
      <c r="H2055" s="25"/>
      <c r="I2055" s="22"/>
      <c r="J2055" s="25"/>
    </row>
    <row r="2056" ht="15.75" customHeight="1">
      <c r="A2056" s="25"/>
      <c r="B2056" s="22"/>
      <c r="C2056" s="25"/>
      <c r="D2056" s="22"/>
      <c r="F2056" s="25"/>
      <c r="G2056" s="22"/>
      <c r="H2056" s="25"/>
      <c r="I2056" s="22"/>
      <c r="J2056" s="25"/>
    </row>
    <row r="2057" ht="15.75" customHeight="1">
      <c r="A2057" s="25"/>
      <c r="B2057" s="22"/>
      <c r="C2057" s="25"/>
      <c r="D2057" s="22"/>
      <c r="F2057" s="25"/>
      <c r="G2057" s="22"/>
      <c r="H2057" s="25"/>
      <c r="I2057" s="22"/>
      <c r="J2057" s="25"/>
    </row>
    <row r="2058" ht="15.75" customHeight="1">
      <c r="A2058" s="25"/>
      <c r="B2058" s="22"/>
      <c r="C2058" s="25"/>
      <c r="D2058" s="22"/>
      <c r="F2058" s="25"/>
      <c r="G2058" s="22"/>
      <c r="H2058" s="25"/>
      <c r="I2058" s="22"/>
      <c r="J2058" s="25"/>
    </row>
    <row r="2059" ht="15.75" customHeight="1">
      <c r="A2059" s="25"/>
      <c r="B2059" s="22"/>
      <c r="C2059" s="25"/>
      <c r="D2059" s="22"/>
      <c r="F2059" s="25"/>
      <c r="G2059" s="22"/>
      <c r="H2059" s="25"/>
      <c r="I2059" s="22"/>
      <c r="J2059" s="25"/>
    </row>
    <row r="2060" ht="15.75" customHeight="1">
      <c r="A2060" s="25"/>
      <c r="B2060" s="22"/>
      <c r="C2060" s="25"/>
      <c r="D2060" s="22"/>
      <c r="F2060" s="25"/>
      <c r="G2060" s="22"/>
      <c r="H2060" s="25"/>
      <c r="I2060" s="22"/>
      <c r="J2060" s="25"/>
    </row>
    <row r="2061" ht="15.75" customHeight="1">
      <c r="A2061" s="25"/>
      <c r="B2061" s="22"/>
      <c r="C2061" s="25"/>
      <c r="D2061" s="22"/>
      <c r="F2061" s="25"/>
      <c r="G2061" s="22"/>
      <c r="H2061" s="25"/>
      <c r="I2061" s="22"/>
      <c r="J2061" s="25"/>
    </row>
    <row r="2062" ht="15.75" customHeight="1">
      <c r="A2062" s="25"/>
      <c r="B2062" s="22"/>
      <c r="C2062" s="25"/>
      <c r="D2062" s="22"/>
      <c r="F2062" s="25"/>
      <c r="G2062" s="22"/>
      <c r="H2062" s="25"/>
      <c r="I2062" s="22"/>
      <c r="J2062" s="25"/>
    </row>
    <row r="2063" ht="15.75" customHeight="1">
      <c r="A2063" s="25"/>
      <c r="B2063" s="22"/>
      <c r="C2063" s="25"/>
      <c r="D2063" s="22"/>
      <c r="F2063" s="25"/>
      <c r="G2063" s="22"/>
      <c r="H2063" s="25"/>
      <c r="I2063" s="22"/>
      <c r="J2063" s="25"/>
    </row>
    <row r="2064" ht="15.75" customHeight="1">
      <c r="A2064" s="25"/>
      <c r="B2064" s="22"/>
      <c r="C2064" s="25"/>
      <c r="D2064" s="22"/>
      <c r="F2064" s="25"/>
      <c r="G2064" s="22"/>
      <c r="H2064" s="25"/>
      <c r="I2064" s="22"/>
      <c r="J2064" s="25"/>
    </row>
    <row r="2065" ht="15.75" customHeight="1">
      <c r="A2065" s="25"/>
      <c r="B2065" s="22"/>
      <c r="C2065" s="25"/>
      <c r="D2065" s="22"/>
      <c r="F2065" s="25"/>
      <c r="G2065" s="22"/>
      <c r="H2065" s="25"/>
      <c r="I2065" s="22"/>
      <c r="J2065" s="25"/>
    </row>
    <row r="2066" ht="15.75" customHeight="1">
      <c r="A2066" s="25"/>
      <c r="B2066" s="22"/>
      <c r="C2066" s="25"/>
      <c r="D2066" s="22"/>
      <c r="F2066" s="25"/>
      <c r="G2066" s="22"/>
      <c r="H2066" s="25"/>
      <c r="I2066" s="22"/>
      <c r="J2066" s="25"/>
    </row>
    <row r="2067" ht="15.75" customHeight="1">
      <c r="A2067" s="25"/>
      <c r="B2067" s="22"/>
      <c r="C2067" s="25"/>
      <c r="D2067" s="22"/>
      <c r="F2067" s="25"/>
      <c r="G2067" s="22"/>
      <c r="H2067" s="25"/>
      <c r="I2067" s="22"/>
      <c r="J2067" s="25"/>
    </row>
    <row r="2068" ht="15.75" customHeight="1">
      <c r="A2068" s="25"/>
      <c r="B2068" s="22"/>
      <c r="C2068" s="25"/>
      <c r="D2068" s="22"/>
      <c r="F2068" s="25"/>
      <c r="G2068" s="22"/>
      <c r="H2068" s="25"/>
      <c r="I2068" s="22"/>
      <c r="J2068" s="25"/>
    </row>
    <row r="2069" ht="15.75" customHeight="1">
      <c r="A2069" s="25"/>
      <c r="B2069" s="22"/>
      <c r="C2069" s="25"/>
      <c r="D2069" s="22"/>
      <c r="F2069" s="25"/>
      <c r="G2069" s="22"/>
      <c r="H2069" s="25"/>
      <c r="I2069" s="22"/>
      <c r="J2069" s="25"/>
    </row>
    <row r="2070" ht="15.75" customHeight="1">
      <c r="A2070" s="25"/>
      <c r="B2070" s="22"/>
      <c r="C2070" s="25"/>
      <c r="D2070" s="22"/>
      <c r="F2070" s="25"/>
      <c r="G2070" s="22"/>
      <c r="H2070" s="25"/>
      <c r="I2070" s="22"/>
      <c r="J2070" s="25"/>
    </row>
    <row r="2071" ht="15.75" customHeight="1">
      <c r="A2071" s="25"/>
      <c r="B2071" s="22"/>
      <c r="C2071" s="25"/>
      <c r="D2071" s="22"/>
      <c r="F2071" s="25"/>
      <c r="G2071" s="22"/>
      <c r="H2071" s="25"/>
      <c r="I2071" s="22"/>
      <c r="J2071" s="25"/>
    </row>
    <row r="2072" ht="15.75" customHeight="1">
      <c r="A2072" s="25"/>
      <c r="B2072" s="22"/>
      <c r="C2072" s="25"/>
      <c r="D2072" s="22"/>
      <c r="F2072" s="25"/>
      <c r="G2072" s="22"/>
      <c r="H2072" s="25"/>
      <c r="I2072" s="22"/>
      <c r="J2072" s="25"/>
    </row>
    <row r="2073" ht="15.75" customHeight="1">
      <c r="A2073" s="25"/>
      <c r="B2073" s="22"/>
      <c r="C2073" s="25"/>
      <c r="D2073" s="22"/>
      <c r="F2073" s="25"/>
      <c r="G2073" s="22"/>
      <c r="H2073" s="25"/>
      <c r="I2073" s="22"/>
      <c r="J2073" s="25"/>
    </row>
    <row r="2074" ht="15.75" customHeight="1">
      <c r="A2074" s="25"/>
      <c r="B2074" s="22"/>
      <c r="C2074" s="25"/>
      <c r="D2074" s="22"/>
      <c r="F2074" s="25"/>
      <c r="G2074" s="22"/>
      <c r="H2074" s="25"/>
      <c r="I2074" s="22"/>
      <c r="J2074" s="25"/>
    </row>
    <row r="2075" ht="15.75" customHeight="1">
      <c r="A2075" s="25"/>
      <c r="B2075" s="22"/>
      <c r="C2075" s="25"/>
      <c r="D2075" s="22"/>
      <c r="F2075" s="25"/>
      <c r="G2075" s="22"/>
      <c r="H2075" s="25"/>
      <c r="I2075" s="22"/>
      <c r="J2075" s="25"/>
    </row>
    <row r="2076" ht="15.75" customHeight="1">
      <c r="A2076" s="25"/>
      <c r="B2076" s="22"/>
      <c r="C2076" s="25"/>
      <c r="D2076" s="22"/>
      <c r="F2076" s="25"/>
      <c r="G2076" s="22"/>
      <c r="H2076" s="25"/>
      <c r="I2076" s="22"/>
      <c r="J2076" s="25"/>
    </row>
    <row r="2077" ht="15.75" customHeight="1">
      <c r="A2077" s="25"/>
      <c r="B2077" s="22"/>
      <c r="C2077" s="25"/>
      <c r="D2077" s="22"/>
      <c r="F2077" s="25"/>
      <c r="G2077" s="22"/>
      <c r="H2077" s="25"/>
      <c r="I2077" s="22"/>
      <c r="J2077" s="25"/>
    </row>
    <row r="2078" ht="15.75" customHeight="1">
      <c r="A2078" s="25"/>
      <c r="B2078" s="22"/>
      <c r="C2078" s="25"/>
      <c r="D2078" s="22"/>
      <c r="F2078" s="25"/>
      <c r="G2078" s="22"/>
      <c r="H2078" s="25"/>
      <c r="I2078" s="22"/>
      <c r="J2078" s="25"/>
    </row>
    <row r="2079" ht="15.75" customHeight="1">
      <c r="A2079" s="25"/>
      <c r="B2079" s="22"/>
      <c r="C2079" s="25"/>
      <c r="D2079" s="22"/>
      <c r="F2079" s="25"/>
      <c r="G2079" s="22"/>
      <c r="H2079" s="25"/>
      <c r="I2079" s="22"/>
      <c r="J2079" s="25"/>
    </row>
    <row r="2080" ht="15.75" customHeight="1">
      <c r="A2080" s="25"/>
      <c r="B2080" s="22"/>
      <c r="C2080" s="25"/>
      <c r="D2080" s="22"/>
      <c r="F2080" s="25"/>
      <c r="G2080" s="22"/>
      <c r="H2080" s="25"/>
      <c r="I2080" s="22"/>
      <c r="J2080" s="25"/>
    </row>
    <row r="2081" ht="15.75" customHeight="1">
      <c r="A2081" s="25"/>
      <c r="B2081" s="22"/>
      <c r="C2081" s="25"/>
      <c r="D2081" s="22"/>
      <c r="F2081" s="25"/>
      <c r="G2081" s="22"/>
      <c r="H2081" s="25"/>
      <c r="I2081" s="22"/>
      <c r="J2081" s="25"/>
    </row>
    <row r="2082" ht="15.75" customHeight="1">
      <c r="A2082" s="25"/>
      <c r="B2082" s="22"/>
      <c r="C2082" s="25"/>
      <c r="D2082" s="22"/>
      <c r="F2082" s="25"/>
      <c r="G2082" s="22"/>
      <c r="H2082" s="25"/>
      <c r="I2082" s="22"/>
      <c r="J2082" s="25"/>
    </row>
    <row r="2083" ht="15.75" customHeight="1">
      <c r="A2083" s="25"/>
      <c r="B2083" s="22"/>
      <c r="C2083" s="25"/>
      <c r="D2083" s="22"/>
      <c r="F2083" s="25"/>
      <c r="G2083" s="22"/>
      <c r="H2083" s="25"/>
      <c r="I2083" s="22"/>
      <c r="J2083" s="25"/>
    </row>
    <row r="2084" ht="15.75" customHeight="1">
      <c r="A2084" s="25"/>
      <c r="B2084" s="22"/>
      <c r="C2084" s="25"/>
      <c r="D2084" s="22"/>
      <c r="F2084" s="25"/>
      <c r="G2084" s="22"/>
      <c r="H2084" s="25"/>
      <c r="I2084" s="22"/>
      <c r="J2084" s="25"/>
    </row>
    <row r="2085" ht="15.75" customHeight="1">
      <c r="A2085" s="25"/>
      <c r="B2085" s="22"/>
      <c r="C2085" s="25"/>
      <c r="D2085" s="22"/>
      <c r="F2085" s="25"/>
      <c r="G2085" s="22"/>
      <c r="H2085" s="25"/>
      <c r="I2085" s="22"/>
      <c r="J2085" s="25"/>
    </row>
    <row r="2086" ht="15.75" customHeight="1">
      <c r="A2086" s="25"/>
      <c r="B2086" s="22"/>
      <c r="C2086" s="25"/>
      <c r="D2086" s="22"/>
      <c r="F2086" s="25"/>
      <c r="G2086" s="22"/>
      <c r="H2086" s="25"/>
      <c r="I2086" s="22"/>
      <c r="J2086" s="25"/>
    </row>
    <row r="2087" ht="15.75" customHeight="1">
      <c r="A2087" s="25"/>
      <c r="B2087" s="22"/>
      <c r="C2087" s="25"/>
      <c r="D2087" s="22"/>
      <c r="F2087" s="25"/>
      <c r="G2087" s="22"/>
      <c r="H2087" s="25"/>
      <c r="I2087" s="22"/>
      <c r="J2087" s="25"/>
    </row>
    <row r="2088" ht="15.75" customHeight="1">
      <c r="A2088" s="25"/>
      <c r="B2088" s="22"/>
      <c r="C2088" s="25"/>
      <c r="D2088" s="22"/>
      <c r="F2088" s="25"/>
      <c r="G2088" s="22"/>
      <c r="H2088" s="25"/>
      <c r="I2088" s="22"/>
      <c r="J2088" s="25"/>
    </row>
    <row r="2089" ht="15.75" customHeight="1">
      <c r="A2089" s="25"/>
      <c r="B2089" s="22"/>
      <c r="C2089" s="25"/>
      <c r="D2089" s="22"/>
      <c r="F2089" s="25"/>
      <c r="G2089" s="22"/>
      <c r="H2089" s="25"/>
      <c r="I2089" s="22"/>
      <c r="J2089" s="25"/>
    </row>
    <row r="2090" ht="15.75" customHeight="1">
      <c r="A2090" s="25"/>
      <c r="B2090" s="22"/>
      <c r="C2090" s="25"/>
      <c r="D2090" s="22"/>
      <c r="F2090" s="25"/>
      <c r="G2090" s="22"/>
      <c r="H2090" s="25"/>
      <c r="I2090" s="22"/>
      <c r="J2090" s="25"/>
    </row>
    <row r="2091" ht="15.75" customHeight="1">
      <c r="A2091" s="25"/>
      <c r="B2091" s="22"/>
      <c r="C2091" s="25"/>
      <c r="D2091" s="22"/>
      <c r="F2091" s="25"/>
      <c r="G2091" s="22"/>
      <c r="H2091" s="25"/>
      <c r="I2091" s="22"/>
      <c r="J2091" s="25"/>
    </row>
    <row r="2092" ht="15.75" customHeight="1">
      <c r="A2092" s="25"/>
      <c r="B2092" s="22"/>
      <c r="C2092" s="25"/>
      <c r="D2092" s="22"/>
      <c r="F2092" s="25"/>
      <c r="G2092" s="22"/>
      <c r="H2092" s="25"/>
      <c r="I2092" s="22"/>
      <c r="J2092" s="25"/>
    </row>
    <row r="2093" ht="15.75" customHeight="1">
      <c r="A2093" s="25"/>
      <c r="B2093" s="22"/>
      <c r="C2093" s="25"/>
      <c r="D2093" s="22"/>
      <c r="F2093" s="25"/>
      <c r="G2093" s="22"/>
      <c r="H2093" s="25"/>
      <c r="I2093" s="22"/>
      <c r="J2093" s="25"/>
    </row>
    <row r="2094" ht="15.75" customHeight="1">
      <c r="A2094" s="25"/>
      <c r="B2094" s="22"/>
      <c r="C2094" s="25"/>
      <c r="D2094" s="22"/>
      <c r="F2094" s="25"/>
      <c r="G2094" s="22"/>
      <c r="H2094" s="25"/>
      <c r="I2094" s="22"/>
      <c r="J2094" s="25"/>
    </row>
    <row r="2095" ht="15.75" customHeight="1">
      <c r="A2095" s="25"/>
      <c r="B2095" s="22"/>
      <c r="C2095" s="25"/>
      <c r="D2095" s="22"/>
      <c r="F2095" s="25"/>
      <c r="G2095" s="22"/>
      <c r="H2095" s="25"/>
      <c r="I2095" s="22"/>
      <c r="J2095" s="25"/>
    </row>
    <row r="2096" ht="15.75" customHeight="1">
      <c r="A2096" s="25"/>
      <c r="B2096" s="22"/>
      <c r="C2096" s="25"/>
      <c r="D2096" s="22"/>
      <c r="F2096" s="25"/>
      <c r="G2096" s="22"/>
      <c r="H2096" s="25"/>
      <c r="I2096" s="22"/>
      <c r="J2096" s="25"/>
    </row>
    <row r="2097" ht="15.75" customHeight="1">
      <c r="A2097" s="25"/>
      <c r="B2097" s="22"/>
      <c r="C2097" s="25"/>
      <c r="D2097" s="22"/>
      <c r="F2097" s="25"/>
      <c r="G2097" s="22"/>
      <c r="H2097" s="25"/>
      <c r="I2097" s="22"/>
      <c r="J2097" s="25"/>
    </row>
    <row r="2098" ht="15.75" customHeight="1">
      <c r="A2098" s="25"/>
      <c r="B2098" s="22"/>
      <c r="C2098" s="25"/>
      <c r="D2098" s="22"/>
      <c r="F2098" s="25"/>
      <c r="G2098" s="22"/>
      <c r="H2098" s="25"/>
      <c r="I2098" s="22"/>
      <c r="J2098" s="25"/>
    </row>
    <row r="2099" ht="15.75" customHeight="1">
      <c r="A2099" s="25"/>
      <c r="B2099" s="22"/>
      <c r="C2099" s="25"/>
      <c r="D2099" s="22"/>
      <c r="F2099" s="25"/>
      <c r="G2099" s="22"/>
      <c r="H2099" s="25"/>
      <c r="I2099" s="22"/>
      <c r="J2099" s="25"/>
    </row>
    <row r="2100" ht="15.75" customHeight="1">
      <c r="A2100" s="25"/>
      <c r="B2100" s="22"/>
      <c r="C2100" s="25"/>
      <c r="D2100" s="22"/>
      <c r="F2100" s="25"/>
      <c r="G2100" s="22"/>
      <c r="H2100" s="25"/>
      <c r="I2100" s="22"/>
      <c r="J2100" s="25"/>
    </row>
    <row r="2101" ht="15.75" customHeight="1">
      <c r="A2101" s="25"/>
      <c r="B2101" s="22"/>
      <c r="C2101" s="25"/>
      <c r="D2101" s="22"/>
      <c r="F2101" s="25"/>
      <c r="G2101" s="22"/>
      <c r="H2101" s="25"/>
      <c r="I2101" s="22"/>
      <c r="J2101" s="25"/>
    </row>
    <row r="2102" ht="15.75" customHeight="1">
      <c r="A2102" s="25"/>
      <c r="B2102" s="22"/>
      <c r="C2102" s="25"/>
      <c r="D2102" s="22"/>
      <c r="F2102" s="25"/>
      <c r="G2102" s="22"/>
      <c r="H2102" s="25"/>
      <c r="I2102" s="22"/>
      <c r="J2102" s="25"/>
    </row>
    <row r="2103" ht="15.75" customHeight="1">
      <c r="A2103" s="25"/>
      <c r="B2103" s="22"/>
      <c r="C2103" s="25"/>
      <c r="D2103" s="22"/>
      <c r="F2103" s="25"/>
      <c r="G2103" s="22"/>
      <c r="H2103" s="25"/>
      <c r="I2103" s="22"/>
      <c r="J2103" s="25"/>
    </row>
    <row r="2104" ht="15.75" customHeight="1">
      <c r="A2104" s="25"/>
      <c r="B2104" s="22"/>
      <c r="C2104" s="25"/>
      <c r="D2104" s="22"/>
      <c r="F2104" s="25"/>
      <c r="G2104" s="22"/>
      <c r="H2104" s="25"/>
      <c r="I2104" s="22"/>
      <c r="J2104" s="25"/>
    </row>
    <row r="2105" ht="15.75" customHeight="1">
      <c r="A2105" s="25"/>
      <c r="B2105" s="22"/>
      <c r="C2105" s="25"/>
      <c r="D2105" s="22"/>
      <c r="F2105" s="25"/>
      <c r="G2105" s="22"/>
      <c r="H2105" s="25"/>
      <c r="I2105" s="22"/>
      <c r="J2105" s="25"/>
    </row>
    <row r="2106" ht="15.75" customHeight="1">
      <c r="A2106" s="25"/>
      <c r="B2106" s="22"/>
      <c r="C2106" s="25"/>
      <c r="D2106" s="22"/>
      <c r="F2106" s="25"/>
      <c r="G2106" s="22"/>
      <c r="H2106" s="25"/>
      <c r="I2106" s="22"/>
      <c r="J2106" s="25"/>
    </row>
    <row r="2107" ht="15.75" customHeight="1">
      <c r="A2107" s="25"/>
      <c r="B2107" s="22"/>
      <c r="C2107" s="25"/>
      <c r="D2107" s="22"/>
      <c r="F2107" s="25"/>
      <c r="G2107" s="22"/>
      <c r="H2107" s="25"/>
      <c r="I2107" s="22"/>
      <c r="J2107" s="25"/>
    </row>
    <row r="2108" ht="15.75" customHeight="1">
      <c r="A2108" s="25"/>
      <c r="B2108" s="22"/>
      <c r="C2108" s="25"/>
      <c r="D2108" s="22"/>
      <c r="F2108" s="25"/>
      <c r="G2108" s="22"/>
      <c r="H2108" s="25"/>
      <c r="I2108" s="22"/>
      <c r="J2108" s="25"/>
    </row>
    <row r="2109" ht="15.75" customHeight="1">
      <c r="A2109" s="25"/>
      <c r="B2109" s="22"/>
      <c r="C2109" s="25"/>
      <c r="D2109" s="22"/>
      <c r="F2109" s="25"/>
      <c r="G2109" s="22"/>
      <c r="H2109" s="25"/>
      <c r="I2109" s="22"/>
      <c r="J2109" s="25"/>
    </row>
    <row r="2110" ht="15.75" customHeight="1">
      <c r="A2110" s="25"/>
      <c r="B2110" s="22"/>
      <c r="C2110" s="25"/>
      <c r="D2110" s="22"/>
      <c r="F2110" s="25"/>
      <c r="G2110" s="22"/>
      <c r="H2110" s="25"/>
      <c r="I2110" s="22"/>
      <c r="J2110" s="25"/>
    </row>
    <row r="2111" ht="15.75" customHeight="1">
      <c r="A2111" s="25"/>
      <c r="B2111" s="22"/>
      <c r="C2111" s="25"/>
      <c r="D2111" s="22"/>
      <c r="F2111" s="25"/>
      <c r="G2111" s="22"/>
      <c r="H2111" s="25"/>
      <c r="I2111" s="22"/>
      <c r="J2111" s="25"/>
    </row>
    <row r="2112" ht="15.75" customHeight="1">
      <c r="A2112" s="25"/>
      <c r="B2112" s="22"/>
      <c r="C2112" s="25"/>
      <c r="D2112" s="22"/>
      <c r="F2112" s="25"/>
      <c r="G2112" s="22"/>
      <c r="H2112" s="25"/>
      <c r="I2112" s="22"/>
      <c r="J2112" s="25"/>
    </row>
    <row r="2113" ht="15.75" customHeight="1">
      <c r="A2113" s="25"/>
      <c r="B2113" s="22"/>
      <c r="C2113" s="25"/>
      <c r="D2113" s="22"/>
      <c r="F2113" s="25"/>
      <c r="G2113" s="22"/>
      <c r="H2113" s="25"/>
      <c r="I2113" s="22"/>
      <c r="J2113" s="25"/>
    </row>
    <row r="2114" ht="15.75" customHeight="1">
      <c r="A2114" s="25"/>
      <c r="B2114" s="22"/>
      <c r="C2114" s="25"/>
      <c r="D2114" s="22"/>
      <c r="F2114" s="25"/>
      <c r="G2114" s="22"/>
      <c r="H2114" s="25"/>
      <c r="I2114" s="22"/>
      <c r="J2114" s="25"/>
    </row>
    <row r="2115" ht="15.75" customHeight="1">
      <c r="A2115" s="25"/>
      <c r="B2115" s="22"/>
      <c r="C2115" s="25"/>
      <c r="D2115" s="22"/>
      <c r="F2115" s="25"/>
      <c r="G2115" s="22"/>
      <c r="H2115" s="25"/>
      <c r="I2115" s="22"/>
      <c r="J2115" s="25"/>
    </row>
    <row r="2116" ht="15.75" customHeight="1">
      <c r="A2116" s="25"/>
      <c r="B2116" s="22"/>
      <c r="C2116" s="25"/>
      <c r="D2116" s="22"/>
      <c r="F2116" s="25"/>
      <c r="G2116" s="22"/>
      <c r="H2116" s="25"/>
      <c r="I2116" s="22"/>
      <c r="J2116" s="25"/>
    </row>
    <row r="2117" ht="15.75" customHeight="1">
      <c r="A2117" s="25"/>
      <c r="B2117" s="22"/>
      <c r="C2117" s="25"/>
      <c r="D2117" s="22"/>
      <c r="F2117" s="25"/>
      <c r="G2117" s="22"/>
      <c r="H2117" s="25"/>
      <c r="I2117" s="22"/>
      <c r="J2117" s="25"/>
    </row>
    <row r="2118" ht="15.75" customHeight="1">
      <c r="A2118" s="25"/>
      <c r="B2118" s="22"/>
      <c r="C2118" s="25"/>
      <c r="D2118" s="22"/>
      <c r="F2118" s="25"/>
      <c r="G2118" s="22"/>
      <c r="H2118" s="25"/>
      <c r="I2118" s="22"/>
      <c r="J2118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</cols>
  <sheetData>
    <row r="1" ht="15.75" customHeight="1">
      <c r="B1" s="22" t="s">
        <v>92</v>
      </c>
      <c r="D1" s="22" t="s">
        <v>93</v>
      </c>
      <c r="E1" s="22">
        <v>2018.0</v>
      </c>
      <c r="F1" s="22">
        <v>6.0</v>
      </c>
      <c r="G1" s="22">
        <v>8.0</v>
      </c>
      <c r="I1" s="22" t="s">
        <v>94</v>
      </c>
      <c r="J1" s="22" t="s">
        <v>95</v>
      </c>
    </row>
    <row r="2" ht="15.75" customHeight="1">
      <c r="B2" s="22" t="s">
        <v>96</v>
      </c>
      <c r="D2" s="22"/>
      <c r="G2" s="22"/>
      <c r="H2" s="14"/>
      <c r="I2" s="22"/>
      <c r="J2" s="22"/>
    </row>
    <row r="3" ht="15.75" customHeight="1">
      <c r="B3" s="22" t="s">
        <v>97</v>
      </c>
      <c r="D3" s="22" t="s">
        <v>98</v>
      </c>
      <c r="F3" s="22" t="s">
        <v>99</v>
      </c>
      <c r="H3" s="22" t="s">
        <v>100</v>
      </c>
      <c r="J3" s="22" t="s">
        <v>101</v>
      </c>
    </row>
    <row r="4" ht="15.75" customHeight="1">
      <c r="A4" s="22" t="str">
        <f>IFERROR(__xludf.DUMMYFUNCTION("GOOGLEFINANCE(B$3, ""open"", DATE($E$1, $F$1, $G$1), TODAY(), $J$1)"),"Loading...")</f>
        <v>Loading...</v>
      </c>
      <c r="B4" s="22"/>
      <c r="C4" s="22" t="str">
        <f>IFERROR(__xludf.DUMMYFUNCTION("GOOGLEFINANCE(D$3, ""open"", DATE($E$1, $F$1, $G$1), TODAY(), $J$1)"),"Loading...")</f>
        <v>Loading...</v>
      </c>
      <c r="D4" s="22"/>
      <c r="E4" s="22" t="str">
        <f>IFERROR(__xludf.DUMMYFUNCTION("GOOGLEFINANCE(F$3, ""open"", DATE($E$1, $F$1, $G$1), TODAY(), $J$1)"),"Loading...")</f>
        <v>Loading...</v>
      </c>
      <c r="F4" s="22"/>
      <c r="G4" s="22" t="str">
        <f>IFERROR(__xludf.DUMMYFUNCTION("GOOGLEFINANCE(H$3, ""open"", DATE($E$1, $F$1, $G$1), TODAY(), $J$1)"),"Loading...")</f>
        <v>Loading...</v>
      </c>
      <c r="H4" s="22"/>
      <c r="I4" s="22" t="str">
        <f>IFERROR(__xludf.DUMMYFUNCTION("GOOGLEFINANCE(J$3, ""open"", DATE($E$1, $F$1, $G$1), TODAY(), $J$1)"),"Loading...")</f>
        <v>Loading...</v>
      </c>
      <c r="J4" s="22"/>
    </row>
    <row r="5" ht="15.75" customHeight="1">
      <c r="A5" s="25"/>
      <c r="B5" s="22"/>
      <c r="C5" s="25"/>
      <c r="D5" s="22"/>
      <c r="E5" s="25"/>
      <c r="F5" s="22"/>
      <c r="G5" s="25"/>
      <c r="H5" s="22"/>
      <c r="I5" s="25"/>
      <c r="J5" s="22"/>
    </row>
    <row r="6" ht="15.75" customHeight="1">
      <c r="A6" s="25"/>
      <c r="B6" s="22"/>
      <c r="C6" s="25"/>
      <c r="D6" s="22"/>
      <c r="E6" s="25"/>
      <c r="F6" s="22"/>
      <c r="G6" s="25"/>
      <c r="H6" s="22"/>
      <c r="I6" s="25"/>
      <c r="J6" s="22"/>
    </row>
    <row r="7" ht="15.75" customHeight="1">
      <c r="A7" s="25"/>
      <c r="B7" s="22"/>
      <c r="C7" s="25"/>
      <c r="D7" s="22"/>
      <c r="E7" s="25"/>
      <c r="F7" s="22"/>
      <c r="G7" s="25"/>
      <c r="H7" s="22"/>
      <c r="I7" s="25"/>
      <c r="J7" s="22"/>
    </row>
    <row r="8" ht="15.75" customHeight="1">
      <c r="A8" s="25"/>
      <c r="B8" s="22"/>
      <c r="C8" s="25"/>
      <c r="D8" s="22"/>
      <c r="E8" s="25"/>
      <c r="F8" s="22"/>
      <c r="G8" s="25"/>
      <c r="H8" s="22"/>
      <c r="I8" s="25"/>
      <c r="J8" s="22"/>
    </row>
    <row r="9" ht="15.75" customHeight="1">
      <c r="A9" s="25"/>
      <c r="B9" s="22"/>
      <c r="C9" s="25"/>
      <c r="D9" s="22"/>
      <c r="E9" s="25"/>
      <c r="F9" s="22"/>
      <c r="G9" s="25"/>
      <c r="H9" s="22"/>
      <c r="I9" s="25"/>
      <c r="J9" s="22"/>
    </row>
    <row r="10" ht="15.75" customHeight="1">
      <c r="A10" s="25"/>
      <c r="B10" s="22"/>
      <c r="C10" s="25"/>
      <c r="D10" s="22"/>
      <c r="E10" s="25"/>
      <c r="F10" s="22"/>
      <c r="G10" s="25"/>
      <c r="H10" s="22"/>
      <c r="I10" s="25"/>
      <c r="J10" s="22"/>
    </row>
    <row r="11" ht="15.75" customHeight="1">
      <c r="A11" s="25"/>
      <c r="B11" s="22"/>
      <c r="C11" s="25"/>
      <c r="D11" s="22"/>
      <c r="E11" s="25"/>
      <c r="F11" s="22"/>
      <c r="G11" s="25"/>
      <c r="H11" s="22"/>
      <c r="I11" s="25"/>
      <c r="J11" s="22"/>
    </row>
    <row r="12" ht="15.75" customHeight="1">
      <c r="A12" s="25"/>
      <c r="B12" s="22"/>
      <c r="C12" s="25"/>
      <c r="D12" s="22"/>
      <c r="E12" s="25"/>
      <c r="F12" s="22"/>
      <c r="G12" s="25"/>
      <c r="H12" s="22"/>
      <c r="I12" s="25"/>
      <c r="J12" s="22"/>
    </row>
    <row r="13" ht="15.75" customHeight="1">
      <c r="A13" s="25"/>
      <c r="B13" s="22"/>
      <c r="C13" s="25"/>
      <c r="D13" s="22"/>
      <c r="E13" s="25"/>
      <c r="F13" s="22"/>
      <c r="G13" s="25"/>
      <c r="H13" s="22"/>
      <c r="I13" s="25"/>
      <c r="J13" s="22"/>
    </row>
    <row r="14" ht="15.75" customHeight="1">
      <c r="A14" s="25"/>
      <c r="B14" s="22"/>
      <c r="C14" s="25"/>
      <c r="D14" s="22"/>
      <c r="E14" s="25"/>
      <c r="F14" s="22"/>
      <c r="G14" s="25"/>
      <c r="H14" s="22"/>
      <c r="I14" s="25"/>
      <c r="J14" s="22"/>
    </row>
    <row r="15" ht="15.75" customHeight="1">
      <c r="A15" s="25"/>
      <c r="B15" s="22"/>
      <c r="C15" s="25"/>
      <c r="D15" s="22"/>
      <c r="E15" s="25"/>
      <c r="F15" s="22"/>
      <c r="G15" s="25"/>
      <c r="H15" s="22"/>
      <c r="I15" s="25"/>
      <c r="J15" s="22"/>
    </row>
    <row r="16" ht="15.75" customHeight="1">
      <c r="A16" s="25"/>
      <c r="B16" s="22"/>
      <c r="C16" s="25"/>
      <c r="D16" s="22"/>
      <c r="E16" s="25"/>
      <c r="F16" s="22"/>
      <c r="G16" s="25"/>
      <c r="H16" s="22"/>
      <c r="I16" s="25"/>
      <c r="J16" s="22"/>
    </row>
    <row r="17" ht="15.75" customHeight="1">
      <c r="A17" s="25"/>
      <c r="B17" s="22"/>
      <c r="C17" s="25"/>
      <c r="D17" s="22"/>
      <c r="E17" s="25"/>
      <c r="F17" s="22"/>
      <c r="G17" s="25"/>
      <c r="H17" s="22"/>
      <c r="I17" s="25"/>
      <c r="J17" s="22"/>
    </row>
    <row r="18" ht="15.75" customHeight="1">
      <c r="A18" s="25"/>
      <c r="B18" s="22"/>
      <c r="C18" s="25"/>
      <c r="D18" s="22"/>
      <c r="E18" s="25"/>
      <c r="F18" s="22"/>
      <c r="G18" s="25"/>
      <c r="H18" s="22"/>
      <c r="I18" s="25"/>
      <c r="J18" s="22"/>
    </row>
    <row r="19" ht="15.75" customHeight="1">
      <c r="A19" s="25"/>
      <c r="B19" s="22"/>
      <c r="C19" s="25"/>
      <c r="D19" s="22"/>
      <c r="E19" s="25"/>
      <c r="F19" s="22"/>
      <c r="G19" s="25"/>
      <c r="H19" s="22"/>
      <c r="I19" s="25"/>
      <c r="J19" s="22"/>
    </row>
    <row r="20" ht="15.75" customHeight="1">
      <c r="A20" s="25"/>
      <c r="B20" s="22"/>
      <c r="C20" s="25"/>
      <c r="D20" s="22"/>
      <c r="E20" s="25"/>
      <c r="F20" s="22"/>
      <c r="G20" s="25"/>
      <c r="H20" s="22"/>
      <c r="I20" s="25"/>
      <c r="J20" s="22"/>
    </row>
    <row r="21" ht="15.75" customHeight="1">
      <c r="A21" s="25"/>
      <c r="B21" s="22"/>
      <c r="C21" s="25"/>
      <c r="D21" s="22"/>
      <c r="E21" s="25"/>
      <c r="F21" s="22"/>
      <c r="G21" s="25"/>
      <c r="H21" s="22"/>
      <c r="I21" s="25"/>
      <c r="J21" s="22"/>
    </row>
    <row r="22" ht="15.75" customHeight="1">
      <c r="A22" s="25"/>
      <c r="B22" s="22"/>
      <c r="C22" s="25"/>
      <c r="D22" s="22"/>
      <c r="E22" s="25"/>
      <c r="F22" s="22"/>
      <c r="G22" s="25"/>
      <c r="H22" s="22"/>
      <c r="I22" s="25"/>
      <c r="J22" s="22"/>
    </row>
    <row r="23" ht="15.75" customHeight="1">
      <c r="A23" s="25"/>
      <c r="B23" s="22"/>
      <c r="C23" s="25"/>
      <c r="D23" s="22"/>
      <c r="E23" s="25"/>
      <c r="F23" s="22"/>
      <c r="G23" s="25"/>
      <c r="H23" s="22"/>
      <c r="I23" s="25"/>
      <c r="J23" s="22"/>
    </row>
    <row r="24" ht="15.75" customHeight="1">
      <c r="A24" s="25"/>
      <c r="B24" s="22"/>
      <c r="C24" s="25"/>
      <c r="D24" s="22"/>
      <c r="E24" s="25"/>
      <c r="F24" s="22"/>
      <c r="G24" s="25"/>
      <c r="H24" s="22"/>
      <c r="I24" s="25"/>
      <c r="J24" s="22"/>
    </row>
    <row r="25" ht="15.75" customHeight="1">
      <c r="A25" s="25"/>
      <c r="B25" s="22"/>
      <c r="C25" s="25"/>
      <c r="D25" s="22"/>
      <c r="E25" s="25"/>
      <c r="F25" s="22"/>
      <c r="G25" s="25"/>
      <c r="H25" s="22"/>
      <c r="I25" s="25"/>
      <c r="J25" s="22"/>
    </row>
    <row r="26" ht="15.75" customHeight="1">
      <c r="A26" s="25"/>
      <c r="B26" s="22"/>
      <c r="C26" s="25"/>
      <c r="D26" s="22"/>
      <c r="E26" s="25"/>
      <c r="F26" s="22"/>
      <c r="G26" s="25"/>
      <c r="H26" s="22"/>
      <c r="I26" s="25"/>
      <c r="J26" s="22"/>
    </row>
    <row r="27" ht="15.75" customHeight="1">
      <c r="A27" s="25"/>
      <c r="B27" s="22"/>
      <c r="C27" s="25"/>
      <c r="D27" s="22"/>
      <c r="E27" s="25"/>
      <c r="F27" s="22"/>
      <c r="G27" s="25"/>
      <c r="H27" s="22"/>
      <c r="I27" s="25"/>
      <c r="J27" s="22"/>
    </row>
    <row r="28" ht="15.75" customHeight="1">
      <c r="A28" s="25"/>
      <c r="B28" s="22"/>
      <c r="C28" s="25"/>
      <c r="D28" s="22"/>
      <c r="E28" s="25"/>
      <c r="F28" s="22"/>
      <c r="G28" s="25"/>
      <c r="H28" s="22"/>
      <c r="I28" s="25"/>
      <c r="J28" s="22"/>
    </row>
    <row r="29" ht="15.75" customHeight="1">
      <c r="A29" s="25"/>
      <c r="B29" s="22"/>
      <c r="C29" s="25"/>
      <c r="D29" s="22"/>
      <c r="E29" s="25"/>
      <c r="F29" s="22"/>
      <c r="G29" s="25"/>
      <c r="H29" s="22"/>
      <c r="I29" s="25"/>
      <c r="J29" s="22"/>
    </row>
    <row r="30" ht="15.75" customHeight="1">
      <c r="A30" s="25"/>
      <c r="B30" s="22"/>
      <c r="C30" s="25"/>
      <c r="D30" s="22"/>
      <c r="E30" s="25"/>
      <c r="F30" s="22"/>
      <c r="G30" s="25"/>
      <c r="H30" s="22"/>
      <c r="I30" s="25"/>
      <c r="J30" s="22"/>
    </row>
    <row r="31" ht="15.75" customHeight="1">
      <c r="A31" s="25"/>
      <c r="B31" s="22"/>
      <c r="C31" s="25"/>
      <c r="D31" s="22"/>
      <c r="E31" s="25"/>
      <c r="F31" s="22"/>
      <c r="G31" s="25"/>
      <c r="H31" s="22"/>
      <c r="I31" s="25"/>
      <c r="J31" s="22"/>
    </row>
    <row r="32" ht="15.75" customHeight="1">
      <c r="A32" s="25"/>
      <c r="B32" s="22"/>
      <c r="C32" s="25"/>
      <c r="D32" s="22"/>
      <c r="E32" s="25"/>
      <c r="F32" s="22"/>
      <c r="G32" s="25"/>
      <c r="H32" s="22"/>
      <c r="I32" s="25"/>
      <c r="J32" s="22"/>
    </row>
    <row r="33" ht="15.75" customHeight="1">
      <c r="A33" s="25"/>
      <c r="B33" s="22"/>
      <c r="C33" s="25"/>
      <c r="D33" s="22"/>
      <c r="E33" s="25"/>
      <c r="F33" s="22"/>
      <c r="G33" s="25"/>
      <c r="H33" s="22"/>
      <c r="I33" s="25"/>
      <c r="J33" s="22"/>
    </row>
    <row r="34" ht="15.75" customHeight="1">
      <c r="A34" s="25"/>
      <c r="B34" s="22"/>
      <c r="C34" s="25"/>
      <c r="D34" s="22"/>
      <c r="E34" s="25"/>
      <c r="F34" s="22"/>
      <c r="G34" s="25"/>
      <c r="H34" s="22"/>
      <c r="I34" s="25"/>
      <c r="J34" s="22"/>
    </row>
    <row r="35" ht="15.75" customHeight="1">
      <c r="A35" s="25"/>
      <c r="B35" s="22"/>
      <c r="C35" s="25"/>
      <c r="D35" s="22"/>
      <c r="E35" s="25"/>
      <c r="F35" s="22"/>
      <c r="G35" s="25"/>
      <c r="H35" s="22"/>
      <c r="I35" s="25"/>
      <c r="J35" s="22"/>
    </row>
    <row r="36" ht="15.75" customHeight="1">
      <c r="A36" s="25"/>
      <c r="B36" s="22"/>
      <c r="C36" s="25"/>
      <c r="D36" s="22"/>
      <c r="E36" s="25"/>
      <c r="F36" s="22"/>
      <c r="G36" s="25"/>
      <c r="H36" s="22"/>
      <c r="I36" s="25"/>
      <c r="J36" s="22"/>
    </row>
    <row r="37" ht="15.75" customHeight="1">
      <c r="A37" s="25"/>
      <c r="B37" s="22"/>
      <c r="C37" s="25"/>
      <c r="D37" s="22"/>
      <c r="E37" s="25"/>
      <c r="F37" s="22"/>
      <c r="G37" s="25"/>
      <c r="H37" s="22"/>
      <c r="I37" s="25"/>
      <c r="J37" s="22"/>
    </row>
    <row r="38" ht="15.75" customHeight="1">
      <c r="A38" s="25"/>
      <c r="B38" s="22"/>
      <c r="C38" s="25"/>
      <c r="D38" s="22"/>
      <c r="E38" s="25"/>
      <c r="F38" s="22"/>
      <c r="G38" s="25"/>
      <c r="H38" s="22"/>
      <c r="I38" s="25"/>
      <c r="J38" s="22"/>
    </row>
    <row r="39" ht="15.75" customHeight="1">
      <c r="A39" s="25"/>
      <c r="B39" s="22"/>
      <c r="C39" s="25"/>
      <c r="D39" s="22"/>
      <c r="E39" s="25"/>
      <c r="F39" s="22"/>
      <c r="G39" s="25"/>
      <c r="H39" s="22"/>
      <c r="I39" s="25"/>
      <c r="J39" s="22"/>
    </row>
    <row r="40" ht="15.75" customHeight="1">
      <c r="A40" s="25"/>
      <c r="B40" s="22"/>
      <c r="C40" s="25"/>
      <c r="D40" s="22"/>
      <c r="E40" s="25"/>
      <c r="F40" s="22"/>
      <c r="G40" s="25"/>
      <c r="H40" s="22"/>
      <c r="I40" s="25"/>
      <c r="J40" s="22"/>
    </row>
    <row r="41" ht="15.75" customHeight="1">
      <c r="A41" s="25"/>
      <c r="B41" s="22"/>
      <c r="C41" s="25"/>
      <c r="D41" s="22"/>
      <c r="E41" s="25"/>
      <c r="F41" s="22"/>
      <c r="G41" s="25"/>
      <c r="H41" s="22"/>
      <c r="I41" s="25"/>
      <c r="J41" s="22"/>
    </row>
    <row r="42" ht="15.75" customHeight="1">
      <c r="A42" s="25"/>
      <c r="B42" s="22"/>
      <c r="C42" s="25"/>
      <c r="D42" s="22"/>
      <c r="E42" s="25"/>
      <c r="F42" s="22"/>
      <c r="G42" s="25"/>
      <c r="H42" s="22"/>
      <c r="I42" s="25"/>
      <c r="J42" s="22"/>
    </row>
    <row r="43" ht="15.75" customHeight="1">
      <c r="A43" s="25"/>
      <c r="B43" s="22"/>
      <c r="C43" s="25"/>
      <c r="D43" s="22"/>
      <c r="E43" s="25"/>
      <c r="F43" s="22"/>
      <c r="G43" s="25"/>
      <c r="H43" s="22"/>
      <c r="I43" s="25"/>
      <c r="J43" s="22"/>
    </row>
    <row r="44" ht="15.75" customHeight="1">
      <c r="A44" s="25"/>
      <c r="B44" s="22"/>
      <c r="C44" s="25"/>
      <c r="D44" s="22"/>
      <c r="E44" s="25"/>
      <c r="F44" s="22"/>
      <c r="G44" s="25"/>
      <c r="H44" s="22"/>
      <c r="I44" s="25"/>
      <c r="J44" s="22"/>
    </row>
    <row r="45" ht="15.75" customHeight="1">
      <c r="A45" s="25"/>
      <c r="B45" s="22"/>
      <c r="C45" s="25"/>
      <c r="D45" s="22"/>
      <c r="E45" s="25"/>
      <c r="F45" s="22"/>
      <c r="G45" s="25"/>
      <c r="H45" s="22"/>
      <c r="I45" s="25"/>
      <c r="J45" s="22"/>
    </row>
    <row r="46" ht="15.75" customHeight="1">
      <c r="A46" s="25"/>
      <c r="B46" s="22"/>
      <c r="C46" s="25"/>
      <c r="D46" s="22"/>
      <c r="E46" s="25"/>
      <c r="F46" s="22"/>
      <c r="G46" s="25"/>
      <c r="H46" s="22"/>
      <c r="I46" s="25"/>
      <c r="J46" s="22"/>
    </row>
    <row r="47" ht="15.75" customHeight="1">
      <c r="A47" s="25"/>
      <c r="B47" s="22"/>
      <c r="C47" s="25"/>
      <c r="D47" s="22"/>
      <c r="E47" s="25"/>
      <c r="F47" s="22"/>
      <c r="G47" s="25"/>
      <c r="H47" s="22"/>
      <c r="I47" s="25"/>
      <c r="J47" s="22"/>
    </row>
    <row r="48" ht="15.75" customHeight="1">
      <c r="A48" s="25"/>
      <c r="B48" s="22"/>
      <c r="C48" s="25"/>
      <c r="D48" s="22"/>
      <c r="E48" s="25"/>
      <c r="F48" s="22"/>
      <c r="G48" s="25"/>
      <c r="H48" s="22"/>
      <c r="I48" s="25"/>
      <c r="J48" s="22"/>
    </row>
    <row r="49" ht="15.75" customHeight="1">
      <c r="A49" s="25"/>
      <c r="B49" s="22"/>
      <c r="C49" s="25"/>
      <c r="D49" s="22"/>
      <c r="E49" s="25"/>
      <c r="F49" s="22"/>
      <c r="G49" s="25"/>
      <c r="H49" s="22"/>
      <c r="I49" s="25"/>
      <c r="J49" s="22"/>
    </row>
    <row r="50" ht="15.75" customHeight="1">
      <c r="A50" s="25"/>
      <c r="B50" s="22"/>
      <c r="C50" s="25"/>
      <c r="D50" s="22"/>
      <c r="E50" s="25"/>
      <c r="F50" s="22"/>
      <c r="G50" s="25"/>
      <c r="H50" s="22"/>
      <c r="I50" s="25"/>
      <c r="J50" s="22"/>
    </row>
    <row r="51" ht="15.75" customHeight="1">
      <c r="A51" s="25"/>
      <c r="B51" s="22"/>
      <c r="C51" s="25"/>
      <c r="D51" s="22"/>
      <c r="E51" s="25"/>
      <c r="F51" s="22"/>
      <c r="G51" s="25"/>
      <c r="H51" s="22"/>
      <c r="I51" s="25"/>
      <c r="J51" s="22"/>
    </row>
    <row r="52" ht="15.75" customHeight="1">
      <c r="A52" s="25"/>
      <c r="B52" s="22"/>
      <c r="C52" s="25"/>
      <c r="D52" s="22"/>
      <c r="E52" s="25"/>
      <c r="F52" s="22"/>
      <c r="G52" s="25"/>
      <c r="H52" s="22"/>
      <c r="I52" s="25"/>
      <c r="J52" s="22"/>
    </row>
    <row r="53" ht="15.75" customHeight="1">
      <c r="A53" s="25"/>
      <c r="B53" s="22"/>
      <c r="C53" s="25"/>
      <c r="D53" s="22"/>
      <c r="E53" s="25"/>
      <c r="F53" s="22"/>
      <c r="G53" s="25"/>
      <c r="H53" s="22"/>
      <c r="I53" s="25"/>
      <c r="J53" s="22"/>
    </row>
    <row r="54" ht="15.75" customHeight="1">
      <c r="A54" s="25"/>
      <c r="B54" s="22"/>
      <c r="C54" s="25"/>
      <c r="D54" s="22"/>
      <c r="E54" s="25"/>
      <c r="F54" s="22"/>
      <c r="G54" s="25"/>
      <c r="H54" s="22"/>
      <c r="I54" s="25"/>
      <c r="J54" s="22"/>
    </row>
    <row r="55" ht="15.75" customHeight="1">
      <c r="A55" s="25"/>
      <c r="B55" s="22"/>
      <c r="C55" s="25"/>
      <c r="D55" s="22"/>
      <c r="E55" s="25"/>
      <c r="F55" s="22"/>
      <c r="G55" s="25"/>
      <c r="H55" s="22"/>
      <c r="I55" s="25"/>
      <c r="J55" s="22"/>
    </row>
    <row r="56" ht="15.75" customHeight="1">
      <c r="A56" s="25"/>
      <c r="B56" s="22"/>
      <c r="C56" s="25"/>
      <c r="D56" s="22"/>
      <c r="E56" s="25"/>
      <c r="F56" s="22"/>
      <c r="G56" s="25"/>
      <c r="H56" s="22"/>
      <c r="I56" s="25"/>
      <c r="J56" s="22"/>
    </row>
    <row r="57" ht="15.75" customHeight="1">
      <c r="A57" s="25"/>
      <c r="B57" s="22"/>
      <c r="C57" s="25"/>
      <c r="D57" s="22"/>
      <c r="E57" s="25"/>
      <c r="F57" s="22"/>
      <c r="G57" s="25"/>
      <c r="H57" s="22"/>
      <c r="I57" s="25"/>
      <c r="J57" s="22"/>
    </row>
    <row r="58" ht="15.75" customHeight="1">
      <c r="A58" s="25"/>
      <c r="B58" s="22"/>
      <c r="C58" s="25"/>
      <c r="D58" s="22"/>
      <c r="E58" s="25"/>
      <c r="F58" s="22"/>
      <c r="G58" s="25"/>
      <c r="H58" s="22"/>
      <c r="I58" s="25"/>
      <c r="J58" s="22"/>
    </row>
    <row r="59" ht="15.75" customHeight="1">
      <c r="A59" s="25"/>
      <c r="B59" s="22"/>
      <c r="C59" s="25"/>
      <c r="D59" s="22"/>
      <c r="E59" s="25"/>
      <c r="F59" s="22"/>
      <c r="G59" s="25"/>
      <c r="H59" s="22"/>
      <c r="I59" s="25"/>
      <c r="J59" s="22"/>
    </row>
    <row r="60" ht="15.75" customHeight="1">
      <c r="A60" s="25"/>
      <c r="B60" s="22"/>
      <c r="C60" s="25"/>
      <c r="D60" s="22"/>
      <c r="E60" s="25"/>
      <c r="F60" s="22"/>
      <c r="G60" s="25"/>
      <c r="H60" s="22"/>
      <c r="I60" s="25"/>
      <c r="J60" s="22"/>
    </row>
    <row r="61" ht="15.75" customHeight="1">
      <c r="A61" s="25"/>
      <c r="B61" s="22"/>
      <c r="C61" s="25"/>
      <c r="D61" s="22"/>
      <c r="E61" s="25"/>
      <c r="F61" s="22"/>
      <c r="G61" s="25"/>
      <c r="H61" s="22"/>
      <c r="I61" s="25"/>
      <c r="J61" s="22"/>
    </row>
    <row r="62" ht="15.75" customHeight="1">
      <c r="A62" s="25"/>
      <c r="B62" s="22"/>
      <c r="C62" s="25"/>
      <c r="D62" s="22"/>
      <c r="E62" s="25"/>
      <c r="F62" s="22"/>
      <c r="G62" s="25"/>
      <c r="H62" s="22"/>
      <c r="I62" s="25"/>
      <c r="J62" s="22"/>
    </row>
    <row r="63" ht="15.75" customHeight="1">
      <c r="A63" s="25"/>
      <c r="B63" s="22"/>
      <c r="C63" s="25"/>
      <c r="D63" s="22"/>
      <c r="E63" s="25"/>
      <c r="F63" s="22"/>
      <c r="G63" s="25"/>
      <c r="H63" s="22"/>
      <c r="I63" s="25"/>
      <c r="J63" s="22"/>
    </row>
    <row r="64" ht="15.75" customHeight="1">
      <c r="A64" s="25"/>
      <c r="B64" s="22"/>
      <c r="C64" s="25"/>
      <c r="D64" s="22"/>
      <c r="E64" s="25"/>
      <c r="F64" s="22"/>
      <c r="G64" s="25"/>
      <c r="H64" s="22"/>
      <c r="I64" s="25"/>
      <c r="J64" s="22"/>
    </row>
    <row r="65" ht="15.75" customHeight="1">
      <c r="A65" s="25"/>
      <c r="B65" s="22"/>
      <c r="C65" s="25"/>
      <c r="D65" s="22"/>
      <c r="E65" s="25"/>
      <c r="F65" s="22"/>
      <c r="G65" s="25"/>
      <c r="H65" s="22"/>
      <c r="I65" s="25"/>
      <c r="J65" s="22"/>
    </row>
    <row r="66" ht="15.75" customHeight="1">
      <c r="A66" s="25"/>
      <c r="B66" s="22"/>
      <c r="C66" s="25"/>
      <c r="D66" s="22"/>
      <c r="E66" s="25"/>
      <c r="F66" s="22"/>
      <c r="G66" s="25"/>
      <c r="H66" s="22"/>
      <c r="I66" s="25"/>
      <c r="J66" s="22"/>
    </row>
    <row r="67" ht="15.75" customHeight="1">
      <c r="A67" s="25"/>
      <c r="B67" s="22"/>
      <c r="C67" s="25"/>
      <c r="D67" s="22"/>
      <c r="E67" s="25"/>
      <c r="F67" s="22"/>
      <c r="G67" s="25"/>
      <c r="H67" s="22"/>
      <c r="I67" s="25"/>
      <c r="J67" s="22"/>
    </row>
    <row r="68" ht="15.75" customHeight="1">
      <c r="A68" s="25"/>
      <c r="B68" s="22"/>
      <c r="C68" s="25"/>
      <c r="D68" s="22"/>
      <c r="E68" s="25"/>
      <c r="F68" s="22"/>
      <c r="G68" s="25"/>
      <c r="H68" s="22"/>
      <c r="I68" s="25"/>
      <c r="J68" s="22"/>
    </row>
    <row r="69" ht="15.75" customHeight="1">
      <c r="A69" s="25"/>
      <c r="B69" s="22"/>
      <c r="C69" s="25"/>
      <c r="D69" s="22"/>
      <c r="E69" s="25"/>
      <c r="F69" s="22"/>
      <c r="G69" s="25"/>
      <c r="H69" s="22"/>
      <c r="I69" s="25"/>
      <c r="J69" s="22"/>
    </row>
    <row r="70" ht="15.75" customHeight="1">
      <c r="A70" s="25"/>
      <c r="B70" s="22"/>
      <c r="C70" s="25"/>
      <c r="D70" s="22"/>
      <c r="E70" s="25"/>
      <c r="F70" s="22"/>
      <c r="G70" s="25"/>
      <c r="H70" s="22"/>
      <c r="I70" s="25"/>
      <c r="J70" s="22"/>
    </row>
    <row r="71" ht="15.75" customHeight="1">
      <c r="A71" s="25"/>
      <c r="B71" s="22"/>
      <c r="C71" s="25"/>
      <c r="D71" s="22"/>
      <c r="E71" s="25"/>
      <c r="F71" s="22"/>
      <c r="G71" s="25"/>
      <c r="H71" s="22"/>
      <c r="I71" s="25"/>
      <c r="J71" s="22"/>
    </row>
    <row r="72" ht="15.75" customHeight="1">
      <c r="A72" s="25"/>
      <c r="B72" s="22"/>
      <c r="C72" s="25"/>
      <c r="D72" s="22"/>
      <c r="E72" s="25"/>
      <c r="F72" s="22"/>
      <c r="G72" s="25"/>
      <c r="H72" s="22"/>
      <c r="I72" s="25"/>
      <c r="J72" s="22"/>
    </row>
    <row r="73" ht="15.75" customHeight="1">
      <c r="A73" s="25"/>
      <c r="B73" s="22"/>
      <c r="C73" s="25"/>
      <c r="D73" s="22"/>
      <c r="E73" s="25"/>
      <c r="F73" s="22"/>
      <c r="G73" s="25"/>
      <c r="H73" s="22"/>
      <c r="I73" s="25"/>
      <c r="J73" s="22"/>
    </row>
    <row r="74" ht="15.75" customHeight="1">
      <c r="A74" s="25"/>
      <c r="B74" s="22"/>
      <c r="C74" s="25"/>
      <c r="D74" s="22"/>
      <c r="E74" s="25"/>
      <c r="F74" s="22"/>
      <c r="G74" s="25"/>
      <c r="H74" s="22"/>
      <c r="I74" s="25"/>
      <c r="J74" s="22"/>
    </row>
    <row r="75" ht="15.75" customHeight="1">
      <c r="A75" s="25"/>
      <c r="B75" s="22"/>
      <c r="C75" s="25"/>
      <c r="D75" s="22"/>
      <c r="E75" s="25"/>
      <c r="F75" s="22"/>
      <c r="G75" s="25"/>
      <c r="H75" s="22"/>
      <c r="I75" s="25"/>
      <c r="J75" s="22"/>
    </row>
    <row r="76" ht="15.75" customHeight="1">
      <c r="A76" s="25"/>
      <c r="B76" s="22"/>
      <c r="C76" s="25"/>
      <c r="D76" s="22"/>
      <c r="E76" s="25"/>
      <c r="F76" s="22"/>
      <c r="G76" s="25"/>
      <c r="H76" s="22"/>
      <c r="I76" s="25"/>
      <c r="J76" s="22"/>
    </row>
    <row r="77" ht="15.75" customHeight="1">
      <c r="A77" s="25"/>
      <c r="B77" s="22"/>
      <c r="C77" s="25"/>
      <c r="D77" s="22"/>
      <c r="E77" s="25"/>
      <c r="F77" s="22"/>
      <c r="G77" s="25"/>
      <c r="H77" s="22"/>
      <c r="I77" s="25"/>
      <c r="J77" s="22"/>
    </row>
    <row r="78" ht="15.75" customHeight="1">
      <c r="A78" s="25"/>
      <c r="B78" s="22"/>
      <c r="C78" s="25"/>
      <c r="D78" s="22"/>
      <c r="E78" s="25"/>
      <c r="F78" s="22"/>
      <c r="G78" s="25"/>
      <c r="H78" s="22"/>
      <c r="I78" s="25"/>
      <c r="J78" s="22"/>
    </row>
    <row r="79" ht="15.75" customHeight="1">
      <c r="A79" s="25"/>
      <c r="B79" s="22"/>
      <c r="C79" s="25"/>
      <c r="D79" s="22"/>
      <c r="E79" s="25"/>
      <c r="F79" s="22"/>
      <c r="G79" s="25"/>
      <c r="H79" s="22"/>
      <c r="I79" s="25"/>
      <c r="J79" s="22"/>
    </row>
    <row r="80" ht="15.75" customHeight="1">
      <c r="A80" s="25"/>
      <c r="B80" s="22"/>
      <c r="C80" s="25"/>
      <c r="D80" s="22"/>
      <c r="E80" s="25"/>
      <c r="F80" s="22"/>
      <c r="G80" s="25"/>
      <c r="H80" s="22"/>
      <c r="I80" s="25"/>
      <c r="J80" s="22"/>
    </row>
    <row r="81" ht="15.75" customHeight="1">
      <c r="A81" s="25"/>
      <c r="B81" s="22"/>
      <c r="C81" s="25"/>
      <c r="D81" s="22"/>
      <c r="E81" s="25"/>
      <c r="F81" s="22"/>
      <c r="G81" s="25"/>
      <c r="H81" s="22"/>
      <c r="I81" s="25"/>
      <c r="J81" s="22"/>
    </row>
    <row r="82" ht="15.75" customHeight="1">
      <c r="A82" s="25"/>
      <c r="B82" s="22"/>
      <c r="C82" s="25"/>
      <c r="D82" s="22"/>
      <c r="E82" s="25"/>
      <c r="F82" s="22"/>
      <c r="G82" s="25"/>
      <c r="H82" s="22"/>
      <c r="I82" s="25"/>
      <c r="J82" s="22"/>
    </row>
    <row r="83" ht="15.75" customHeight="1">
      <c r="A83" s="25"/>
      <c r="B83" s="22"/>
      <c r="C83" s="25"/>
      <c r="D83" s="22"/>
      <c r="E83" s="25"/>
      <c r="F83" s="22"/>
      <c r="G83" s="25"/>
      <c r="H83" s="22"/>
      <c r="I83" s="25"/>
      <c r="J83" s="22"/>
    </row>
    <row r="84" ht="15.75" customHeight="1">
      <c r="A84" s="25"/>
      <c r="B84" s="22"/>
      <c r="C84" s="25"/>
      <c r="D84" s="22"/>
      <c r="E84" s="25"/>
      <c r="F84" s="22"/>
      <c r="G84" s="25"/>
      <c r="H84" s="22"/>
      <c r="I84" s="25"/>
      <c r="J84" s="22"/>
    </row>
    <row r="85" ht="15.75" customHeight="1">
      <c r="A85" s="25"/>
      <c r="B85" s="22"/>
      <c r="C85" s="25"/>
      <c r="D85" s="22"/>
      <c r="E85" s="25"/>
      <c r="F85" s="22"/>
      <c r="G85" s="25"/>
      <c r="H85" s="22"/>
      <c r="I85" s="25"/>
      <c r="J85" s="22"/>
    </row>
    <row r="86" ht="15.75" customHeight="1">
      <c r="A86" s="25"/>
      <c r="B86" s="22"/>
      <c r="C86" s="25"/>
      <c r="D86" s="22"/>
      <c r="E86" s="25"/>
      <c r="F86" s="22"/>
      <c r="G86" s="25"/>
      <c r="H86" s="22"/>
      <c r="I86" s="25"/>
      <c r="J86" s="22"/>
    </row>
    <row r="87" ht="15.75" customHeight="1">
      <c r="A87" s="25"/>
      <c r="B87" s="22"/>
      <c r="C87" s="25"/>
      <c r="D87" s="22"/>
      <c r="E87" s="25"/>
      <c r="F87" s="22"/>
      <c r="G87" s="25"/>
      <c r="H87" s="22"/>
      <c r="I87" s="25"/>
      <c r="J87" s="22"/>
    </row>
    <row r="88" ht="15.75" customHeight="1">
      <c r="A88" s="25"/>
      <c r="B88" s="22"/>
      <c r="C88" s="25"/>
      <c r="D88" s="22"/>
      <c r="E88" s="25"/>
      <c r="F88" s="22"/>
      <c r="G88" s="25"/>
      <c r="H88" s="22"/>
      <c r="I88" s="25"/>
      <c r="J88" s="22"/>
    </row>
    <row r="89" ht="15.75" customHeight="1">
      <c r="A89" s="25"/>
      <c r="B89" s="22"/>
      <c r="C89" s="25"/>
      <c r="D89" s="22"/>
      <c r="E89" s="25"/>
      <c r="F89" s="22"/>
      <c r="G89" s="25"/>
      <c r="H89" s="22"/>
      <c r="I89" s="25"/>
      <c r="J89" s="22"/>
    </row>
    <row r="90" ht="15.75" customHeight="1">
      <c r="A90" s="25"/>
      <c r="B90" s="22"/>
      <c r="C90" s="25"/>
      <c r="D90" s="22"/>
      <c r="E90" s="25"/>
      <c r="F90" s="22"/>
      <c r="G90" s="25"/>
      <c r="H90" s="22"/>
      <c r="I90" s="25"/>
      <c r="J90" s="22"/>
    </row>
    <row r="91" ht="15.75" customHeight="1">
      <c r="A91" s="25"/>
      <c r="B91" s="22"/>
      <c r="C91" s="25"/>
      <c r="D91" s="22"/>
      <c r="E91" s="25"/>
      <c r="F91" s="22"/>
      <c r="G91" s="25"/>
      <c r="H91" s="22"/>
      <c r="I91" s="25"/>
      <c r="J91" s="22"/>
    </row>
    <row r="92" ht="15.75" customHeight="1">
      <c r="A92" s="25"/>
      <c r="B92" s="22"/>
      <c r="C92" s="25"/>
      <c r="D92" s="22"/>
      <c r="E92" s="25"/>
      <c r="F92" s="22"/>
      <c r="G92" s="25"/>
      <c r="H92" s="22"/>
      <c r="I92" s="25"/>
      <c r="J92" s="22"/>
    </row>
    <row r="93" ht="15.75" customHeight="1">
      <c r="A93" s="25"/>
      <c r="B93" s="22"/>
      <c r="C93" s="25"/>
      <c r="D93" s="22"/>
      <c r="E93" s="25"/>
      <c r="F93" s="22"/>
      <c r="G93" s="25"/>
      <c r="H93" s="22"/>
      <c r="I93" s="25"/>
      <c r="J93" s="22"/>
    </row>
    <row r="94" ht="15.75" customHeight="1">
      <c r="A94" s="25"/>
      <c r="B94" s="22"/>
      <c r="C94" s="25"/>
      <c r="D94" s="22"/>
      <c r="E94" s="25"/>
      <c r="F94" s="22"/>
      <c r="G94" s="25"/>
      <c r="H94" s="22"/>
      <c r="I94" s="25"/>
      <c r="J94" s="22"/>
    </row>
    <row r="95" ht="15.75" customHeight="1">
      <c r="A95" s="25"/>
      <c r="B95" s="22"/>
      <c r="C95" s="25"/>
      <c r="D95" s="22"/>
      <c r="E95" s="25"/>
      <c r="F95" s="22"/>
      <c r="G95" s="25"/>
      <c r="H95" s="22"/>
      <c r="I95" s="25"/>
      <c r="J95" s="22"/>
    </row>
    <row r="96" ht="15.75" customHeight="1">
      <c r="A96" s="25"/>
      <c r="B96" s="22"/>
      <c r="C96" s="25"/>
      <c r="D96" s="22"/>
      <c r="E96" s="25"/>
      <c r="F96" s="22"/>
      <c r="G96" s="25"/>
      <c r="H96" s="22"/>
      <c r="I96" s="25"/>
      <c r="J96" s="22"/>
    </row>
    <row r="97" ht="15.75" customHeight="1">
      <c r="A97" s="25"/>
      <c r="B97" s="22"/>
      <c r="C97" s="25"/>
      <c r="D97" s="22"/>
      <c r="E97" s="25"/>
      <c r="F97" s="22"/>
      <c r="G97" s="25"/>
      <c r="H97" s="22"/>
      <c r="I97" s="25"/>
      <c r="J97" s="22"/>
    </row>
    <row r="98" ht="15.75" customHeight="1">
      <c r="A98" s="25"/>
      <c r="B98" s="22"/>
      <c r="C98" s="25"/>
      <c r="D98" s="22"/>
      <c r="E98" s="25"/>
      <c r="F98" s="22"/>
      <c r="G98" s="25"/>
      <c r="H98" s="22"/>
      <c r="I98" s="25"/>
      <c r="J98" s="22"/>
    </row>
    <row r="99" ht="15.75" customHeight="1">
      <c r="A99" s="25"/>
      <c r="B99" s="22"/>
      <c r="C99" s="25"/>
      <c r="D99" s="22"/>
      <c r="E99" s="25"/>
      <c r="F99" s="22"/>
      <c r="G99" s="25"/>
      <c r="H99" s="22"/>
      <c r="I99" s="25"/>
      <c r="J99" s="22"/>
    </row>
    <row r="100" ht="15.75" customHeight="1">
      <c r="A100" s="25"/>
      <c r="B100" s="22"/>
      <c r="C100" s="25"/>
      <c r="D100" s="22"/>
      <c r="E100" s="25"/>
      <c r="F100" s="22"/>
      <c r="G100" s="25"/>
      <c r="H100" s="22"/>
      <c r="I100" s="25"/>
      <c r="J100" s="22"/>
    </row>
    <row r="101" ht="15.75" customHeight="1">
      <c r="A101" s="25"/>
      <c r="B101" s="22"/>
      <c r="C101" s="25"/>
      <c r="D101" s="22"/>
      <c r="E101" s="25"/>
      <c r="F101" s="22"/>
      <c r="G101" s="25"/>
      <c r="H101" s="22"/>
      <c r="I101" s="25"/>
      <c r="J101" s="22"/>
    </row>
    <row r="102" ht="15.75" customHeight="1">
      <c r="A102" s="25"/>
      <c r="B102" s="22"/>
      <c r="C102" s="25"/>
      <c r="D102" s="22"/>
      <c r="E102" s="25"/>
      <c r="F102" s="22"/>
      <c r="G102" s="25"/>
      <c r="H102" s="22"/>
      <c r="I102" s="25"/>
      <c r="J102" s="22"/>
    </row>
    <row r="103" ht="15.75" customHeight="1">
      <c r="A103" s="25"/>
      <c r="B103" s="22"/>
      <c r="C103" s="25"/>
      <c r="D103" s="22"/>
      <c r="E103" s="25"/>
      <c r="F103" s="22"/>
      <c r="G103" s="25"/>
      <c r="H103" s="22"/>
      <c r="I103" s="25"/>
      <c r="J103" s="22"/>
    </row>
    <row r="104" ht="15.75" customHeight="1">
      <c r="A104" s="25"/>
      <c r="B104" s="22"/>
      <c r="C104" s="25"/>
      <c r="D104" s="22"/>
      <c r="E104" s="25"/>
      <c r="F104" s="22"/>
      <c r="G104" s="25"/>
      <c r="H104" s="22"/>
      <c r="I104" s="25"/>
      <c r="J104" s="22"/>
    </row>
    <row r="105" ht="15.75" customHeight="1">
      <c r="A105" s="25"/>
      <c r="B105" s="22"/>
      <c r="C105" s="25"/>
      <c r="D105" s="22"/>
      <c r="E105" s="25"/>
      <c r="F105" s="22"/>
      <c r="G105" s="25"/>
      <c r="H105" s="22"/>
      <c r="I105" s="25"/>
      <c r="J105" s="22"/>
    </row>
    <row r="106" ht="15.75" customHeight="1">
      <c r="A106" s="25"/>
      <c r="B106" s="22"/>
      <c r="C106" s="25"/>
      <c r="D106" s="22"/>
      <c r="E106" s="25"/>
      <c r="F106" s="22"/>
      <c r="G106" s="25"/>
      <c r="H106" s="22"/>
      <c r="I106" s="25"/>
      <c r="J106" s="22"/>
    </row>
    <row r="107" ht="15.75" customHeight="1">
      <c r="A107" s="25"/>
      <c r="B107" s="22"/>
      <c r="C107" s="25"/>
      <c r="D107" s="22"/>
      <c r="E107" s="25"/>
      <c r="F107" s="22"/>
      <c r="G107" s="25"/>
      <c r="H107" s="22"/>
      <c r="I107" s="25"/>
      <c r="J107" s="22"/>
    </row>
    <row r="108" ht="15.75" customHeight="1">
      <c r="A108" s="25"/>
      <c r="B108" s="22"/>
      <c r="C108" s="25"/>
      <c r="D108" s="22"/>
      <c r="E108" s="25"/>
      <c r="F108" s="22"/>
      <c r="G108" s="25"/>
      <c r="H108" s="22"/>
      <c r="I108" s="25"/>
      <c r="J108" s="22"/>
    </row>
    <row r="109" ht="15.75" customHeight="1">
      <c r="A109" s="25"/>
      <c r="B109" s="22"/>
      <c r="C109" s="25"/>
      <c r="D109" s="22"/>
      <c r="E109" s="25"/>
      <c r="F109" s="22"/>
      <c r="G109" s="25"/>
      <c r="H109" s="22"/>
      <c r="I109" s="25"/>
      <c r="J109" s="22"/>
    </row>
    <row r="110" ht="15.75" customHeight="1">
      <c r="A110" s="25"/>
      <c r="B110" s="22"/>
      <c r="C110" s="25"/>
      <c r="D110" s="22"/>
      <c r="E110" s="25"/>
      <c r="F110" s="22"/>
      <c r="G110" s="25"/>
      <c r="H110" s="22"/>
      <c r="I110" s="25"/>
      <c r="J110" s="22"/>
    </row>
    <row r="111" ht="15.75" customHeight="1">
      <c r="A111" s="25"/>
      <c r="B111" s="22"/>
      <c r="C111" s="25"/>
      <c r="D111" s="22"/>
      <c r="E111" s="25"/>
      <c r="F111" s="22"/>
      <c r="G111" s="25"/>
      <c r="H111" s="22"/>
      <c r="I111" s="25"/>
      <c r="J111" s="22"/>
    </row>
    <row r="112" ht="15.75" customHeight="1">
      <c r="A112" s="25"/>
      <c r="B112" s="22"/>
      <c r="C112" s="25"/>
      <c r="D112" s="22"/>
      <c r="E112" s="25"/>
      <c r="F112" s="22"/>
      <c r="G112" s="25"/>
      <c r="H112" s="22"/>
      <c r="I112" s="25"/>
      <c r="J112" s="22"/>
    </row>
    <row r="113" ht="15.75" customHeight="1">
      <c r="A113" s="25"/>
      <c r="B113" s="22"/>
      <c r="C113" s="25"/>
      <c r="D113" s="22"/>
      <c r="E113" s="25"/>
      <c r="F113" s="22"/>
      <c r="G113" s="25"/>
      <c r="H113" s="22"/>
      <c r="I113" s="25"/>
      <c r="J113" s="22"/>
    </row>
    <row r="114" ht="15.75" customHeight="1">
      <c r="A114" s="25"/>
      <c r="B114" s="22"/>
      <c r="C114" s="25"/>
      <c r="D114" s="22"/>
      <c r="E114" s="25"/>
      <c r="F114" s="22"/>
      <c r="G114" s="25"/>
      <c r="H114" s="22"/>
      <c r="I114" s="25"/>
      <c r="J114" s="22"/>
    </row>
    <row r="115" ht="15.75" customHeight="1">
      <c r="A115" s="25"/>
      <c r="B115" s="22"/>
      <c r="C115" s="25"/>
      <c r="D115" s="22"/>
      <c r="E115" s="25"/>
      <c r="F115" s="22"/>
      <c r="G115" s="25"/>
      <c r="H115" s="22"/>
      <c r="I115" s="25"/>
      <c r="J115" s="22"/>
    </row>
    <row r="116" ht="15.75" customHeight="1">
      <c r="A116" s="25"/>
      <c r="B116" s="22"/>
      <c r="C116" s="25"/>
      <c r="D116" s="22"/>
      <c r="E116" s="25"/>
      <c r="F116" s="22"/>
      <c r="G116" s="25"/>
      <c r="H116" s="22"/>
      <c r="I116" s="25"/>
      <c r="J116" s="22"/>
    </row>
    <row r="117" ht="15.75" customHeight="1">
      <c r="A117" s="25"/>
      <c r="B117" s="22"/>
      <c r="C117" s="25"/>
      <c r="D117" s="22"/>
      <c r="E117" s="25"/>
      <c r="F117" s="22"/>
      <c r="G117" s="25"/>
      <c r="H117" s="22"/>
      <c r="I117" s="25"/>
      <c r="J117" s="22"/>
    </row>
    <row r="118" ht="15.75" customHeight="1">
      <c r="A118" s="25"/>
      <c r="B118" s="22"/>
      <c r="C118" s="25"/>
      <c r="D118" s="22"/>
      <c r="E118" s="25"/>
      <c r="F118" s="22"/>
      <c r="G118" s="25"/>
      <c r="H118" s="22"/>
      <c r="I118" s="25"/>
      <c r="J118" s="22"/>
    </row>
    <row r="119" ht="15.75" customHeight="1">
      <c r="A119" s="25"/>
      <c r="B119" s="22"/>
      <c r="C119" s="25"/>
      <c r="D119" s="22"/>
      <c r="E119" s="25"/>
      <c r="F119" s="22"/>
      <c r="G119" s="25"/>
      <c r="H119" s="22"/>
      <c r="I119" s="25"/>
      <c r="J119" s="22"/>
    </row>
    <row r="120" ht="15.75" customHeight="1">
      <c r="A120" s="25"/>
      <c r="B120" s="22"/>
      <c r="C120" s="25"/>
      <c r="D120" s="22"/>
      <c r="E120" s="25"/>
      <c r="F120" s="22"/>
      <c r="G120" s="25"/>
      <c r="H120" s="22"/>
      <c r="I120" s="25"/>
      <c r="J120" s="22"/>
    </row>
    <row r="121" ht="15.75" customHeight="1">
      <c r="A121" s="25"/>
      <c r="B121" s="22"/>
      <c r="C121" s="25"/>
      <c r="D121" s="22"/>
      <c r="E121" s="25"/>
      <c r="F121" s="22"/>
      <c r="G121" s="25"/>
      <c r="H121" s="22"/>
      <c r="I121" s="25"/>
      <c r="J121" s="22"/>
    </row>
    <row r="122" ht="15.75" customHeight="1">
      <c r="A122" s="25"/>
      <c r="B122" s="22"/>
      <c r="C122" s="25"/>
      <c r="D122" s="22"/>
      <c r="E122" s="25"/>
      <c r="F122" s="22"/>
      <c r="G122" s="25"/>
      <c r="H122" s="22"/>
      <c r="I122" s="25"/>
      <c r="J122" s="22"/>
    </row>
    <row r="123" ht="15.75" customHeight="1">
      <c r="A123" s="25"/>
      <c r="B123" s="22"/>
      <c r="C123" s="25"/>
      <c r="D123" s="22"/>
      <c r="E123" s="25"/>
      <c r="F123" s="22"/>
      <c r="G123" s="25"/>
      <c r="H123" s="22"/>
      <c r="I123" s="25"/>
      <c r="J123" s="22"/>
    </row>
    <row r="124" ht="15.75" customHeight="1">
      <c r="A124" s="25"/>
      <c r="B124" s="22"/>
      <c r="C124" s="25"/>
      <c r="D124" s="22"/>
      <c r="E124" s="25"/>
      <c r="F124" s="22"/>
      <c r="G124" s="25"/>
      <c r="H124" s="22"/>
      <c r="I124" s="25"/>
      <c r="J124" s="22"/>
    </row>
    <row r="125" ht="15.75" customHeight="1">
      <c r="A125" s="25"/>
      <c r="B125" s="22"/>
      <c r="C125" s="25"/>
      <c r="D125" s="22"/>
      <c r="E125" s="25"/>
      <c r="F125" s="22"/>
      <c r="G125" s="25"/>
      <c r="H125" s="22"/>
      <c r="I125" s="25"/>
      <c r="J125" s="22"/>
    </row>
    <row r="126" ht="15.75" customHeight="1">
      <c r="A126" s="25"/>
      <c r="B126" s="22"/>
      <c r="C126" s="25"/>
      <c r="D126" s="22"/>
      <c r="E126" s="25"/>
      <c r="F126" s="22"/>
      <c r="G126" s="25"/>
      <c r="H126" s="22"/>
      <c r="I126" s="25"/>
      <c r="J126" s="22"/>
    </row>
    <row r="127" ht="15.75" customHeight="1">
      <c r="A127" s="25"/>
      <c r="B127" s="22"/>
      <c r="C127" s="25"/>
      <c r="D127" s="22"/>
      <c r="E127" s="25"/>
      <c r="F127" s="22"/>
      <c r="G127" s="25"/>
      <c r="H127" s="22"/>
      <c r="I127" s="25"/>
      <c r="J127" s="22"/>
    </row>
    <row r="128" ht="15.75" customHeight="1">
      <c r="A128" s="25"/>
      <c r="B128" s="22"/>
      <c r="C128" s="25"/>
      <c r="D128" s="22"/>
      <c r="E128" s="25"/>
      <c r="F128" s="22"/>
      <c r="G128" s="25"/>
      <c r="H128" s="22"/>
      <c r="I128" s="25"/>
      <c r="J128" s="22"/>
    </row>
    <row r="129" ht="15.75" customHeight="1">
      <c r="A129" s="25"/>
      <c r="B129" s="22"/>
      <c r="C129" s="25"/>
      <c r="D129" s="22"/>
      <c r="E129" s="25"/>
      <c r="F129" s="22"/>
      <c r="G129" s="25"/>
      <c r="H129" s="22"/>
      <c r="I129" s="25"/>
      <c r="J129" s="22"/>
    </row>
    <row r="130" ht="15.75" customHeight="1">
      <c r="A130" s="25"/>
      <c r="B130" s="22"/>
      <c r="C130" s="25"/>
      <c r="D130" s="22"/>
      <c r="E130" s="25"/>
      <c r="F130" s="22"/>
      <c r="G130" s="25"/>
      <c r="H130" s="22"/>
      <c r="I130" s="25"/>
      <c r="J130" s="22"/>
    </row>
    <row r="131" ht="15.75" customHeight="1">
      <c r="A131" s="25"/>
      <c r="B131" s="22"/>
      <c r="C131" s="25"/>
      <c r="D131" s="22"/>
      <c r="E131" s="25"/>
      <c r="F131" s="22"/>
      <c r="G131" s="25"/>
      <c r="H131" s="22"/>
      <c r="I131" s="25"/>
      <c r="J131" s="22"/>
    </row>
    <row r="132" ht="15.75" customHeight="1">
      <c r="A132" s="25"/>
      <c r="B132" s="22"/>
      <c r="C132" s="25"/>
      <c r="D132" s="22"/>
      <c r="E132" s="25"/>
      <c r="F132" s="22"/>
      <c r="G132" s="25"/>
      <c r="H132" s="22"/>
      <c r="I132" s="25"/>
      <c r="J132" s="22"/>
    </row>
    <row r="133" ht="15.75" customHeight="1">
      <c r="A133" s="25"/>
      <c r="B133" s="22"/>
      <c r="C133" s="25"/>
      <c r="D133" s="22"/>
      <c r="E133" s="25"/>
      <c r="F133" s="22"/>
      <c r="G133" s="25"/>
      <c r="H133" s="22"/>
      <c r="I133" s="25"/>
      <c r="J133" s="22"/>
    </row>
    <row r="134" ht="15.75" customHeight="1">
      <c r="A134" s="25"/>
      <c r="B134" s="22"/>
      <c r="C134" s="25"/>
      <c r="D134" s="22"/>
      <c r="E134" s="25"/>
      <c r="F134" s="22"/>
      <c r="G134" s="25"/>
      <c r="H134" s="22"/>
      <c r="I134" s="25"/>
      <c r="J134" s="22"/>
    </row>
    <row r="135" ht="15.75" customHeight="1">
      <c r="A135" s="25"/>
      <c r="B135" s="22"/>
      <c r="C135" s="25"/>
      <c r="D135" s="22"/>
      <c r="E135" s="25"/>
      <c r="F135" s="22"/>
      <c r="G135" s="25"/>
      <c r="H135" s="22"/>
      <c r="I135" s="25"/>
      <c r="J135" s="22"/>
    </row>
    <row r="136" ht="15.75" customHeight="1">
      <c r="A136" s="25"/>
      <c r="B136" s="22"/>
      <c r="C136" s="25"/>
      <c r="D136" s="22"/>
      <c r="E136" s="25"/>
      <c r="F136" s="22"/>
      <c r="G136" s="25"/>
      <c r="H136" s="22"/>
      <c r="I136" s="25"/>
      <c r="J136" s="22"/>
    </row>
    <row r="137" ht="15.75" customHeight="1">
      <c r="A137" s="25"/>
      <c r="B137" s="22"/>
      <c r="C137" s="25"/>
      <c r="D137" s="22"/>
      <c r="E137" s="25"/>
      <c r="F137" s="22"/>
      <c r="G137" s="25"/>
      <c r="H137" s="22"/>
      <c r="I137" s="25"/>
      <c r="J137" s="22"/>
    </row>
    <row r="138" ht="15.75" customHeight="1">
      <c r="A138" s="25"/>
      <c r="B138" s="22"/>
      <c r="C138" s="25"/>
      <c r="D138" s="22"/>
      <c r="E138" s="25"/>
      <c r="F138" s="22"/>
      <c r="G138" s="25"/>
      <c r="H138" s="22"/>
      <c r="I138" s="25"/>
      <c r="J138" s="22"/>
    </row>
    <row r="139" ht="15.75" customHeight="1">
      <c r="A139" s="25"/>
      <c r="B139" s="22"/>
      <c r="C139" s="25"/>
      <c r="D139" s="22"/>
      <c r="E139" s="25"/>
      <c r="F139" s="22"/>
      <c r="G139" s="25"/>
      <c r="H139" s="22"/>
      <c r="I139" s="25"/>
      <c r="J139" s="22"/>
    </row>
    <row r="140" ht="15.75" customHeight="1">
      <c r="A140" s="25"/>
      <c r="B140" s="22"/>
      <c r="C140" s="25"/>
      <c r="D140" s="22"/>
      <c r="E140" s="25"/>
      <c r="F140" s="22"/>
      <c r="G140" s="25"/>
      <c r="H140" s="22"/>
      <c r="I140" s="25"/>
      <c r="J140" s="22"/>
    </row>
    <row r="141" ht="15.75" customHeight="1">
      <c r="A141" s="25"/>
      <c r="B141" s="22"/>
      <c r="C141" s="25"/>
      <c r="D141" s="22"/>
      <c r="E141" s="25"/>
      <c r="F141" s="22"/>
      <c r="G141" s="25"/>
      <c r="H141" s="22"/>
      <c r="I141" s="25"/>
      <c r="J141" s="22"/>
    </row>
    <row r="142" ht="15.75" customHeight="1">
      <c r="A142" s="25"/>
      <c r="B142" s="22"/>
      <c r="C142" s="25"/>
      <c r="D142" s="22"/>
      <c r="E142" s="25"/>
      <c r="F142" s="22"/>
      <c r="G142" s="25"/>
      <c r="H142" s="22"/>
      <c r="I142" s="25"/>
      <c r="J142" s="22"/>
    </row>
    <row r="143" ht="15.75" customHeight="1">
      <c r="A143" s="25"/>
      <c r="B143" s="22"/>
      <c r="C143" s="25"/>
      <c r="D143" s="22"/>
      <c r="E143" s="25"/>
      <c r="F143" s="22"/>
      <c r="G143" s="25"/>
      <c r="H143" s="22"/>
      <c r="I143" s="25"/>
      <c r="J143" s="22"/>
    </row>
    <row r="144" ht="15.75" customHeight="1">
      <c r="A144" s="25"/>
      <c r="B144" s="22"/>
      <c r="C144" s="25"/>
      <c r="D144" s="22"/>
      <c r="E144" s="25"/>
      <c r="F144" s="22"/>
      <c r="G144" s="25"/>
      <c r="H144" s="22"/>
      <c r="I144" s="25"/>
      <c r="J144" s="22"/>
    </row>
    <row r="145" ht="15.75" customHeight="1">
      <c r="A145" s="25"/>
      <c r="B145" s="22"/>
      <c r="C145" s="25"/>
      <c r="D145" s="22"/>
      <c r="E145" s="25"/>
      <c r="F145" s="22"/>
      <c r="G145" s="25"/>
      <c r="H145" s="22"/>
      <c r="I145" s="25"/>
      <c r="J145" s="22"/>
    </row>
    <row r="146" ht="15.75" customHeight="1">
      <c r="A146" s="25"/>
      <c r="B146" s="22"/>
      <c r="C146" s="25"/>
      <c r="D146" s="22"/>
      <c r="E146" s="25"/>
      <c r="F146" s="22"/>
      <c r="G146" s="25"/>
      <c r="H146" s="22"/>
      <c r="I146" s="25"/>
      <c r="J146" s="22"/>
    </row>
    <row r="147" ht="15.75" customHeight="1">
      <c r="A147" s="25"/>
      <c r="B147" s="22"/>
      <c r="C147" s="25"/>
      <c r="D147" s="22"/>
      <c r="E147" s="25"/>
      <c r="F147" s="22"/>
      <c r="G147" s="25"/>
      <c r="H147" s="22"/>
      <c r="I147" s="25"/>
      <c r="J147" s="22"/>
    </row>
    <row r="148" ht="15.75" customHeight="1">
      <c r="A148" s="25"/>
      <c r="B148" s="22"/>
      <c r="C148" s="25"/>
      <c r="D148" s="22"/>
      <c r="E148" s="25"/>
      <c r="F148" s="22"/>
      <c r="G148" s="25"/>
      <c r="H148" s="22"/>
      <c r="I148" s="25"/>
      <c r="J148" s="22"/>
    </row>
    <row r="149" ht="15.75" customHeight="1">
      <c r="A149" s="25"/>
      <c r="B149" s="22"/>
      <c r="C149" s="25"/>
      <c r="D149" s="22"/>
      <c r="E149" s="25"/>
      <c r="F149" s="22"/>
      <c r="G149" s="25"/>
      <c r="H149" s="22"/>
      <c r="I149" s="25"/>
      <c r="J149" s="22"/>
    </row>
    <row r="150" ht="15.75" customHeight="1">
      <c r="A150" s="25"/>
      <c r="B150" s="22"/>
      <c r="C150" s="25"/>
      <c r="D150" s="22"/>
      <c r="E150" s="25"/>
      <c r="F150" s="22"/>
      <c r="G150" s="25"/>
      <c r="H150" s="22"/>
      <c r="I150" s="25"/>
      <c r="J150" s="22"/>
    </row>
    <row r="151" ht="15.75" customHeight="1">
      <c r="A151" s="25"/>
      <c r="B151" s="22"/>
      <c r="C151" s="25"/>
      <c r="D151" s="22"/>
      <c r="E151" s="25"/>
      <c r="F151" s="22"/>
      <c r="G151" s="25"/>
      <c r="H151" s="22"/>
      <c r="I151" s="25"/>
      <c r="J151" s="22"/>
    </row>
    <row r="152" ht="15.75" customHeight="1">
      <c r="A152" s="25"/>
      <c r="B152" s="22"/>
      <c r="C152" s="25"/>
      <c r="D152" s="22"/>
      <c r="E152" s="25"/>
      <c r="F152" s="22"/>
      <c r="G152" s="25"/>
      <c r="H152" s="22"/>
      <c r="I152" s="25"/>
      <c r="J152" s="22"/>
    </row>
    <row r="153" ht="15.75" customHeight="1">
      <c r="A153" s="25"/>
      <c r="B153" s="22"/>
      <c r="C153" s="25"/>
      <c r="D153" s="22"/>
      <c r="E153" s="25"/>
      <c r="F153" s="22"/>
      <c r="G153" s="25"/>
      <c r="H153" s="22"/>
      <c r="I153" s="25"/>
      <c r="J153" s="22"/>
    </row>
    <row r="154" ht="15.75" customHeight="1">
      <c r="A154" s="25"/>
      <c r="B154" s="22"/>
      <c r="C154" s="25"/>
      <c r="D154" s="22"/>
      <c r="E154" s="25"/>
      <c r="F154" s="22"/>
      <c r="G154" s="25"/>
      <c r="H154" s="22"/>
      <c r="I154" s="25"/>
      <c r="J154" s="22"/>
    </row>
    <row r="155" ht="15.75" customHeight="1">
      <c r="A155" s="25"/>
      <c r="B155" s="22"/>
      <c r="C155" s="25"/>
      <c r="D155" s="22"/>
      <c r="E155" s="25"/>
      <c r="F155" s="22"/>
      <c r="G155" s="25"/>
      <c r="H155" s="22"/>
      <c r="I155" s="25"/>
      <c r="J155" s="22"/>
    </row>
    <row r="156" ht="15.75" customHeight="1">
      <c r="A156" s="25"/>
      <c r="B156" s="22"/>
      <c r="C156" s="25"/>
      <c r="D156" s="22"/>
      <c r="E156" s="25"/>
      <c r="F156" s="22"/>
      <c r="G156" s="25"/>
      <c r="H156" s="22"/>
      <c r="I156" s="25"/>
      <c r="J156" s="22"/>
    </row>
    <row r="157" ht="15.75" customHeight="1">
      <c r="A157" s="25"/>
      <c r="B157" s="22"/>
      <c r="C157" s="25"/>
      <c r="D157" s="22"/>
      <c r="E157" s="25"/>
      <c r="F157" s="22"/>
      <c r="G157" s="25"/>
      <c r="H157" s="22"/>
      <c r="I157" s="25"/>
      <c r="J157" s="22"/>
    </row>
    <row r="158" ht="15.75" customHeight="1">
      <c r="A158" s="25"/>
      <c r="B158" s="22"/>
      <c r="C158" s="25"/>
      <c r="D158" s="22"/>
      <c r="E158" s="25"/>
      <c r="F158" s="22"/>
      <c r="G158" s="25"/>
      <c r="H158" s="22"/>
      <c r="I158" s="25"/>
      <c r="J158" s="22"/>
    </row>
    <row r="159" ht="15.75" customHeight="1">
      <c r="A159" s="25"/>
      <c r="B159" s="22"/>
      <c r="C159" s="25"/>
      <c r="D159" s="22"/>
      <c r="E159" s="25"/>
      <c r="F159" s="22"/>
      <c r="G159" s="25"/>
      <c r="H159" s="22"/>
      <c r="I159" s="25"/>
      <c r="J159" s="22"/>
    </row>
    <row r="160" ht="15.75" customHeight="1">
      <c r="A160" s="25"/>
      <c r="B160" s="22"/>
      <c r="C160" s="25"/>
      <c r="D160" s="22"/>
      <c r="E160" s="25"/>
      <c r="F160" s="22"/>
      <c r="G160" s="25"/>
      <c r="H160" s="22"/>
      <c r="I160" s="25"/>
      <c r="J160" s="22"/>
    </row>
    <row r="161" ht="15.75" customHeight="1">
      <c r="A161" s="25"/>
      <c r="B161" s="22"/>
      <c r="C161" s="25"/>
      <c r="D161" s="22"/>
      <c r="E161" s="25"/>
      <c r="F161" s="22"/>
      <c r="G161" s="25"/>
      <c r="H161" s="22"/>
      <c r="I161" s="25"/>
      <c r="J161" s="22"/>
    </row>
    <row r="162" ht="15.75" customHeight="1">
      <c r="A162" s="25"/>
      <c r="B162" s="22"/>
      <c r="C162" s="25"/>
      <c r="D162" s="22"/>
      <c r="E162" s="25"/>
      <c r="F162" s="22"/>
      <c r="G162" s="25"/>
      <c r="H162" s="22"/>
      <c r="I162" s="25"/>
      <c r="J162" s="22"/>
    </row>
    <row r="163" ht="15.75" customHeight="1">
      <c r="A163" s="25"/>
      <c r="B163" s="22"/>
      <c r="C163" s="25"/>
      <c r="D163" s="22"/>
      <c r="E163" s="25"/>
      <c r="F163" s="22"/>
      <c r="G163" s="25"/>
      <c r="H163" s="22"/>
      <c r="I163" s="25"/>
      <c r="J163" s="22"/>
    </row>
    <row r="164" ht="15.75" customHeight="1">
      <c r="A164" s="25"/>
      <c r="B164" s="22"/>
      <c r="C164" s="25"/>
      <c r="D164" s="22"/>
      <c r="E164" s="25"/>
      <c r="F164" s="22"/>
      <c r="G164" s="25"/>
      <c r="H164" s="22"/>
      <c r="I164" s="25"/>
      <c r="J164" s="22"/>
    </row>
    <row r="165" ht="15.75" customHeight="1">
      <c r="A165" s="25"/>
      <c r="B165" s="22"/>
      <c r="C165" s="25"/>
      <c r="D165" s="22"/>
      <c r="E165" s="25"/>
      <c r="F165" s="22"/>
      <c r="G165" s="25"/>
      <c r="H165" s="22"/>
      <c r="I165" s="25"/>
      <c r="J165" s="22"/>
    </row>
    <row r="166" ht="15.75" customHeight="1">
      <c r="A166" s="25"/>
      <c r="B166" s="22"/>
      <c r="C166" s="25"/>
      <c r="D166" s="22"/>
      <c r="E166" s="25"/>
      <c r="F166" s="22"/>
      <c r="G166" s="25"/>
      <c r="H166" s="22"/>
      <c r="I166" s="25"/>
      <c r="J166" s="22"/>
    </row>
    <row r="167" ht="15.75" customHeight="1">
      <c r="A167" s="25"/>
      <c r="B167" s="22"/>
      <c r="C167" s="25"/>
      <c r="D167" s="22"/>
      <c r="E167" s="25"/>
      <c r="F167" s="22"/>
      <c r="G167" s="25"/>
      <c r="H167" s="22"/>
      <c r="I167" s="25"/>
      <c r="J167" s="22"/>
    </row>
    <row r="168" ht="15.75" customHeight="1">
      <c r="A168" s="25"/>
      <c r="B168" s="22"/>
      <c r="C168" s="25"/>
      <c r="D168" s="22"/>
      <c r="E168" s="25"/>
      <c r="F168" s="22"/>
      <c r="G168" s="25"/>
      <c r="H168" s="22"/>
      <c r="I168" s="25"/>
      <c r="J168" s="22"/>
    </row>
    <row r="169" ht="15.75" customHeight="1">
      <c r="A169" s="25"/>
      <c r="B169" s="22"/>
      <c r="C169" s="25"/>
      <c r="D169" s="22"/>
      <c r="E169" s="25"/>
      <c r="F169" s="22"/>
      <c r="G169" s="25"/>
      <c r="H169" s="22"/>
      <c r="I169" s="25"/>
      <c r="J169" s="22"/>
    </row>
    <row r="170" ht="15.75" customHeight="1">
      <c r="A170" s="25"/>
      <c r="B170" s="22"/>
      <c r="C170" s="25"/>
      <c r="D170" s="22"/>
      <c r="E170" s="25"/>
      <c r="F170" s="22"/>
      <c r="G170" s="25"/>
      <c r="H170" s="22"/>
      <c r="I170" s="25"/>
      <c r="J170" s="22"/>
    </row>
    <row r="171" ht="15.75" customHeight="1">
      <c r="A171" s="25"/>
      <c r="B171" s="22"/>
      <c r="C171" s="25"/>
      <c r="D171" s="22"/>
      <c r="E171" s="25"/>
      <c r="F171" s="22"/>
      <c r="G171" s="25"/>
      <c r="H171" s="22"/>
      <c r="I171" s="25"/>
      <c r="J171" s="22"/>
    </row>
    <row r="172" ht="15.75" customHeight="1">
      <c r="A172" s="25"/>
      <c r="B172" s="22"/>
      <c r="C172" s="25"/>
      <c r="D172" s="22"/>
      <c r="E172" s="25"/>
      <c r="F172" s="22"/>
      <c r="G172" s="25"/>
      <c r="H172" s="22"/>
      <c r="I172" s="25"/>
      <c r="J172" s="22"/>
    </row>
    <row r="173" ht="15.75" customHeight="1">
      <c r="A173" s="25"/>
      <c r="B173" s="22"/>
      <c r="C173" s="25"/>
      <c r="D173" s="22"/>
      <c r="E173" s="25"/>
      <c r="F173" s="22"/>
      <c r="G173" s="25"/>
      <c r="H173" s="22"/>
      <c r="I173" s="25"/>
      <c r="J173" s="22"/>
    </row>
    <row r="174" ht="15.75" customHeight="1">
      <c r="A174" s="25"/>
      <c r="B174" s="22"/>
      <c r="C174" s="25"/>
      <c r="D174" s="22"/>
      <c r="E174" s="25"/>
      <c r="F174" s="22"/>
      <c r="G174" s="25"/>
      <c r="H174" s="22"/>
      <c r="I174" s="25"/>
      <c r="J174" s="22"/>
    </row>
    <row r="175" ht="15.75" customHeight="1">
      <c r="A175" s="25"/>
      <c r="B175" s="22"/>
      <c r="C175" s="25"/>
      <c r="D175" s="22"/>
      <c r="E175" s="25"/>
      <c r="F175" s="22"/>
      <c r="G175" s="25"/>
      <c r="H175" s="22"/>
      <c r="I175" s="25"/>
      <c r="J175" s="22"/>
    </row>
    <row r="176" ht="15.75" customHeight="1">
      <c r="A176" s="25"/>
      <c r="B176" s="22"/>
      <c r="C176" s="25"/>
      <c r="D176" s="22"/>
      <c r="E176" s="25"/>
      <c r="F176" s="22"/>
      <c r="G176" s="25"/>
      <c r="H176" s="22"/>
      <c r="I176" s="25"/>
      <c r="J176" s="22"/>
    </row>
    <row r="177" ht="15.75" customHeight="1">
      <c r="A177" s="25"/>
      <c r="B177" s="22"/>
      <c r="C177" s="25"/>
      <c r="D177" s="22"/>
      <c r="E177" s="25"/>
      <c r="F177" s="22"/>
      <c r="G177" s="25"/>
      <c r="H177" s="22"/>
      <c r="I177" s="25"/>
      <c r="J177" s="22"/>
    </row>
    <row r="178" ht="15.75" customHeight="1">
      <c r="A178" s="25"/>
      <c r="B178" s="22"/>
      <c r="C178" s="25"/>
      <c r="D178" s="22"/>
      <c r="E178" s="25"/>
      <c r="F178" s="22"/>
      <c r="G178" s="25"/>
      <c r="H178" s="22"/>
      <c r="I178" s="25"/>
      <c r="J178" s="22"/>
    </row>
    <row r="179" ht="15.75" customHeight="1">
      <c r="A179" s="25"/>
      <c r="B179" s="22"/>
      <c r="C179" s="25"/>
      <c r="D179" s="22"/>
      <c r="E179" s="25"/>
      <c r="F179" s="22"/>
      <c r="G179" s="25"/>
      <c r="H179" s="22"/>
      <c r="I179" s="25"/>
      <c r="J179" s="22"/>
    </row>
    <row r="180" ht="15.75" customHeight="1">
      <c r="A180" s="25"/>
      <c r="B180" s="22"/>
      <c r="C180" s="25"/>
      <c r="D180" s="22"/>
      <c r="E180" s="25"/>
      <c r="F180" s="22"/>
      <c r="G180" s="25"/>
      <c r="H180" s="22"/>
      <c r="I180" s="25"/>
      <c r="J180" s="22"/>
    </row>
    <row r="181" ht="15.75" customHeight="1">
      <c r="A181" s="25"/>
      <c r="B181" s="22"/>
      <c r="C181" s="25"/>
      <c r="D181" s="22"/>
      <c r="E181" s="25"/>
      <c r="F181" s="22"/>
      <c r="G181" s="25"/>
      <c r="H181" s="22"/>
      <c r="I181" s="25"/>
      <c r="J181" s="22"/>
    </row>
    <row r="182" ht="15.75" customHeight="1">
      <c r="A182" s="25"/>
      <c r="B182" s="22"/>
      <c r="C182" s="25"/>
      <c r="D182" s="22"/>
      <c r="E182" s="25"/>
      <c r="F182" s="22"/>
      <c r="G182" s="25"/>
      <c r="H182" s="22"/>
      <c r="I182" s="25"/>
      <c r="J182" s="22"/>
    </row>
    <row r="183" ht="15.75" customHeight="1">
      <c r="A183" s="25"/>
      <c r="B183" s="22"/>
      <c r="C183" s="25"/>
      <c r="D183" s="22"/>
      <c r="E183" s="25"/>
      <c r="F183" s="22"/>
      <c r="G183" s="25"/>
      <c r="H183" s="22"/>
      <c r="I183" s="25"/>
      <c r="J183" s="22"/>
    </row>
    <row r="184" ht="15.75" customHeight="1">
      <c r="A184" s="25"/>
      <c r="B184" s="22"/>
      <c r="C184" s="25"/>
      <c r="D184" s="22"/>
      <c r="E184" s="25"/>
      <c r="F184" s="22"/>
      <c r="G184" s="25"/>
      <c r="H184" s="22"/>
      <c r="I184" s="25"/>
      <c r="J184" s="22"/>
    </row>
    <row r="185" ht="15.75" customHeight="1">
      <c r="A185" s="25"/>
      <c r="B185" s="22"/>
      <c r="C185" s="25"/>
      <c r="D185" s="22"/>
      <c r="E185" s="25"/>
      <c r="F185" s="22"/>
      <c r="G185" s="25"/>
      <c r="H185" s="22"/>
      <c r="I185" s="25"/>
      <c r="J185" s="22"/>
    </row>
    <row r="186" ht="15.75" customHeight="1">
      <c r="A186" s="25"/>
      <c r="B186" s="22"/>
      <c r="C186" s="25"/>
      <c r="D186" s="22"/>
      <c r="E186" s="25"/>
      <c r="F186" s="22"/>
      <c r="G186" s="25"/>
      <c r="H186" s="22"/>
      <c r="I186" s="25"/>
      <c r="J186" s="22"/>
    </row>
    <row r="187" ht="15.75" customHeight="1">
      <c r="A187" s="25"/>
      <c r="B187" s="22"/>
      <c r="C187" s="25"/>
      <c r="D187" s="22"/>
      <c r="E187" s="25"/>
      <c r="F187" s="22"/>
      <c r="G187" s="25"/>
      <c r="H187" s="22"/>
      <c r="I187" s="25"/>
      <c r="J187" s="22"/>
    </row>
    <row r="188" ht="15.75" customHeight="1">
      <c r="A188" s="25"/>
      <c r="B188" s="22"/>
      <c r="C188" s="25"/>
      <c r="D188" s="22"/>
      <c r="E188" s="25"/>
      <c r="F188" s="22"/>
      <c r="G188" s="25"/>
      <c r="H188" s="22"/>
      <c r="I188" s="25"/>
      <c r="J188" s="22"/>
    </row>
    <row r="189" ht="15.75" customHeight="1">
      <c r="A189" s="25"/>
      <c r="B189" s="22"/>
      <c r="C189" s="25"/>
      <c r="D189" s="22"/>
      <c r="E189" s="25"/>
      <c r="F189" s="22"/>
      <c r="G189" s="25"/>
      <c r="H189" s="22"/>
      <c r="I189" s="25"/>
      <c r="J189" s="22"/>
    </row>
    <row r="190" ht="15.75" customHeight="1">
      <c r="A190" s="25"/>
      <c r="B190" s="22"/>
      <c r="C190" s="25"/>
      <c r="D190" s="22"/>
      <c r="E190" s="25"/>
      <c r="F190" s="22"/>
      <c r="G190" s="25"/>
      <c r="H190" s="22"/>
      <c r="I190" s="25"/>
      <c r="J190" s="22"/>
    </row>
    <row r="191" ht="15.75" customHeight="1">
      <c r="A191" s="25"/>
      <c r="B191" s="22"/>
      <c r="C191" s="25"/>
      <c r="D191" s="22"/>
      <c r="E191" s="25"/>
      <c r="F191" s="22"/>
      <c r="G191" s="25"/>
      <c r="H191" s="22"/>
      <c r="I191" s="25"/>
      <c r="J191" s="22"/>
    </row>
    <row r="192" ht="15.75" customHeight="1">
      <c r="A192" s="25"/>
      <c r="B192" s="22"/>
      <c r="C192" s="25"/>
      <c r="D192" s="22"/>
      <c r="E192" s="25"/>
      <c r="F192" s="22"/>
      <c r="G192" s="25"/>
      <c r="H192" s="22"/>
      <c r="I192" s="25"/>
      <c r="J192" s="22"/>
    </row>
    <row r="193" ht="15.75" customHeight="1">
      <c r="A193" s="25"/>
      <c r="B193" s="22"/>
      <c r="C193" s="25"/>
      <c r="D193" s="22"/>
      <c r="E193" s="25"/>
      <c r="F193" s="22"/>
      <c r="G193" s="25"/>
      <c r="H193" s="22"/>
      <c r="I193" s="25"/>
      <c r="J193" s="22"/>
    </row>
    <row r="194" ht="15.75" customHeight="1">
      <c r="A194" s="25"/>
      <c r="B194" s="22"/>
      <c r="C194" s="25"/>
      <c r="D194" s="22"/>
      <c r="E194" s="25"/>
      <c r="F194" s="22"/>
      <c r="G194" s="25"/>
      <c r="H194" s="22"/>
      <c r="I194" s="25"/>
      <c r="J194" s="22"/>
    </row>
    <row r="195" ht="15.75" customHeight="1">
      <c r="A195" s="25"/>
      <c r="B195" s="22"/>
      <c r="C195" s="25"/>
      <c r="D195" s="22"/>
      <c r="E195" s="25"/>
      <c r="F195" s="22"/>
      <c r="G195" s="25"/>
      <c r="H195" s="22"/>
      <c r="I195" s="25"/>
      <c r="J195" s="22"/>
    </row>
    <row r="196" ht="15.75" customHeight="1">
      <c r="A196" s="25"/>
      <c r="B196" s="22"/>
      <c r="C196" s="25"/>
      <c r="D196" s="22"/>
      <c r="E196" s="25"/>
      <c r="F196" s="22"/>
      <c r="G196" s="25"/>
      <c r="H196" s="22"/>
      <c r="I196" s="25"/>
      <c r="J196" s="22"/>
    </row>
    <row r="197" ht="15.75" customHeight="1">
      <c r="A197" s="25"/>
      <c r="B197" s="22"/>
      <c r="C197" s="25"/>
      <c r="D197" s="22"/>
      <c r="E197" s="25"/>
      <c r="F197" s="22"/>
      <c r="G197" s="25"/>
      <c r="H197" s="22"/>
      <c r="I197" s="25"/>
      <c r="J197" s="22"/>
    </row>
    <row r="198" ht="15.75" customHeight="1">
      <c r="A198" s="25"/>
      <c r="B198" s="22"/>
      <c r="C198" s="25"/>
      <c r="D198" s="22"/>
      <c r="E198" s="25"/>
      <c r="F198" s="22"/>
      <c r="G198" s="25"/>
      <c r="H198" s="22"/>
      <c r="I198" s="25"/>
      <c r="J198" s="22"/>
    </row>
    <row r="199" ht="15.75" customHeight="1">
      <c r="A199" s="25"/>
      <c r="B199" s="22"/>
      <c r="C199" s="25"/>
      <c r="D199" s="22"/>
      <c r="E199" s="25"/>
      <c r="F199" s="22"/>
      <c r="G199" s="25"/>
      <c r="H199" s="22"/>
      <c r="I199" s="25"/>
      <c r="J199" s="22"/>
    </row>
    <row r="200" ht="15.75" customHeight="1">
      <c r="A200" s="25"/>
      <c r="B200" s="22"/>
      <c r="C200" s="25"/>
      <c r="D200" s="22"/>
      <c r="E200" s="25"/>
      <c r="F200" s="22"/>
      <c r="G200" s="25"/>
      <c r="H200" s="22"/>
      <c r="I200" s="25"/>
      <c r="J200" s="22"/>
    </row>
    <row r="201" ht="15.75" customHeight="1">
      <c r="A201" s="25"/>
      <c r="B201" s="22"/>
      <c r="C201" s="25"/>
      <c r="D201" s="22"/>
      <c r="E201" s="25"/>
      <c r="F201" s="22"/>
      <c r="G201" s="25"/>
      <c r="H201" s="22"/>
      <c r="I201" s="25"/>
      <c r="J201" s="22"/>
    </row>
    <row r="202" ht="15.75" customHeight="1">
      <c r="A202" s="25"/>
      <c r="B202" s="22"/>
      <c r="C202" s="25"/>
      <c r="D202" s="22"/>
      <c r="E202" s="25"/>
      <c r="F202" s="22"/>
      <c r="G202" s="25"/>
      <c r="H202" s="22"/>
      <c r="I202" s="25"/>
      <c r="J202" s="22"/>
    </row>
    <row r="203" ht="15.75" customHeight="1">
      <c r="A203" s="25"/>
      <c r="B203" s="22"/>
      <c r="C203" s="25"/>
      <c r="D203" s="22"/>
      <c r="E203" s="25"/>
      <c r="F203" s="22"/>
      <c r="G203" s="25"/>
      <c r="H203" s="22"/>
      <c r="I203" s="25"/>
      <c r="J203" s="22"/>
    </row>
    <row r="204" ht="15.75" customHeight="1">
      <c r="A204" s="25"/>
      <c r="B204" s="22"/>
      <c r="C204" s="25"/>
      <c r="D204" s="22"/>
      <c r="E204" s="25"/>
      <c r="F204" s="22"/>
      <c r="G204" s="25"/>
      <c r="H204" s="22"/>
      <c r="I204" s="25"/>
      <c r="J204" s="22"/>
    </row>
    <row r="205" ht="15.75" customHeight="1">
      <c r="A205" s="25"/>
      <c r="B205" s="22"/>
      <c r="C205" s="25"/>
      <c r="D205" s="22"/>
      <c r="E205" s="25"/>
      <c r="F205" s="22"/>
      <c r="G205" s="25"/>
      <c r="H205" s="22"/>
      <c r="I205" s="25"/>
      <c r="J205" s="22"/>
    </row>
    <row r="206" ht="15.75" customHeight="1">
      <c r="A206" s="25"/>
      <c r="B206" s="22"/>
      <c r="C206" s="25"/>
      <c r="D206" s="22"/>
      <c r="E206" s="25"/>
      <c r="F206" s="22"/>
      <c r="G206" s="25"/>
      <c r="H206" s="22"/>
      <c r="I206" s="25"/>
      <c r="J206" s="22"/>
    </row>
    <row r="207" ht="15.75" customHeight="1">
      <c r="A207" s="25"/>
      <c r="B207" s="22"/>
      <c r="C207" s="25"/>
      <c r="D207" s="22"/>
      <c r="E207" s="25"/>
      <c r="F207" s="22"/>
      <c r="G207" s="25"/>
      <c r="H207" s="22"/>
      <c r="I207" s="25"/>
      <c r="J207" s="22"/>
    </row>
    <row r="208" ht="15.75" customHeight="1">
      <c r="A208" s="25"/>
      <c r="B208" s="22"/>
      <c r="C208" s="25"/>
      <c r="D208" s="22"/>
      <c r="E208" s="25"/>
      <c r="F208" s="22"/>
      <c r="G208" s="25"/>
      <c r="H208" s="22"/>
      <c r="I208" s="25"/>
      <c r="J208" s="22"/>
    </row>
    <row r="209" ht="15.75" customHeight="1">
      <c r="A209" s="25"/>
      <c r="B209" s="22"/>
      <c r="C209" s="25"/>
      <c r="D209" s="22"/>
      <c r="E209" s="25"/>
      <c r="F209" s="22"/>
      <c r="G209" s="25"/>
      <c r="H209" s="22"/>
      <c r="I209" s="25"/>
      <c r="J209" s="22"/>
    </row>
    <row r="210" ht="15.75" customHeight="1">
      <c r="A210" s="25"/>
      <c r="B210" s="22"/>
      <c r="C210" s="25"/>
      <c r="D210" s="22"/>
      <c r="E210" s="25"/>
      <c r="F210" s="22"/>
      <c r="G210" s="25"/>
      <c r="H210" s="22"/>
      <c r="I210" s="25"/>
      <c r="J210" s="22"/>
    </row>
    <row r="211" ht="15.75" customHeight="1">
      <c r="A211" s="25"/>
      <c r="B211" s="22"/>
      <c r="C211" s="25"/>
      <c r="D211" s="22"/>
      <c r="E211" s="25"/>
      <c r="F211" s="22"/>
      <c r="G211" s="25"/>
      <c r="H211" s="22"/>
      <c r="I211" s="25"/>
      <c r="J211" s="22"/>
    </row>
    <row r="212" ht="15.75" customHeight="1">
      <c r="A212" s="25"/>
      <c r="B212" s="22"/>
      <c r="C212" s="25"/>
      <c r="D212" s="22"/>
      <c r="E212" s="25"/>
      <c r="F212" s="22"/>
      <c r="G212" s="25"/>
      <c r="H212" s="22"/>
      <c r="I212" s="25"/>
      <c r="J212" s="22"/>
    </row>
    <row r="213" ht="15.75" customHeight="1">
      <c r="A213" s="25"/>
      <c r="B213" s="22"/>
      <c r="C213" s="25"/>
      <c r="D213" s="22"/>
      <c r="E213" s="25"/>
      <c r="F213" s="22"/>
      <c r="G213" s="25"/>
      <c r="H213" s="22"/>
      <c r="I213" s="25"/>
      <c r="J213" s="22"/>
    </row>
    <row r="214" ht="15.75" customHeight="1">
      <c r="A214" s="25"/>
      <c r="B214" s="22"/>
      <c r="C214" s="25"/>
      <c r="D214" s="22"/>
      <c r="E214" s="25"/>
      <c r="F214" s="22"/>
      <c r="G214" s="25"/>
      <c r="H214" s="22"/>
      <c r="I214" s="25"/>
      <c r="J214" s="22"/>
    </row>
    <row r="215" ht="15.75" customHeight="1">
      <c r="A215" s="25"/>
      <c r="B215" s="22"/>
      <c r="C215" s="25"/>
      <c r="D215" s="22"/>
      <c r="E215" s="25"/>
      <c r="F215" s="22"/>
      <c r="G215" s="25"/>
      <c r="H215" s="22"/>
      <c r="I215" s="25"/>
      <c r="J215" s="22"/>
    </row>
    <row r="216" ht="15.75" customHeight="1">
      <c r="A216" s="25"/>
      <c r="B216" s="22"/>
      <c r="C216" s="25"/>
      <c r="D216" s="22"/>
      <c r="E216" s="25"/>
      <c r="F216" s="22"/>
      <c r="G216" s="25"/>
      <c r="H216" s="22"/>
      <c r="I216" s="25"/>
      <c r="J216" s="22"/>
    </row>
    <row r="217" ht="15.75" customHeight="1">
      <c r="A217" s="25"/>
      <c r="B217" s="22"/>
      <c r="C217" s="25"/>
      <c r="D217" s="22"/>
      <c r="E217" s="25"/>
      <c r="F217" s="22"/>
      <c r="G217" s="25"/>
      <c r="H217" s="22"/>
      <c r="I217" s="25"/>
      <c r="J217" s="22"/>
    </row>
    <row r="218" ht="15.75" customHeight="1">
      <c r="A218" s="25"/>
      <c r="B218" s="22"/>
      <c r="C218" s="25"/>
      <c r="D218" s="22"/>
      <c r="E218" s="25"/>
      <c r="F218" s="22"/>
      <c r="G218" s="25"/>
      <c r="H218" s="22"/>
      <c r="I218" s="25"/>
      <c r="J218" s="22"/>
    </row>
    <row r="219" ht="15.75" customHeight="1">
      <c r="A219" s="25"/>
      <c r="B219" s="22"/>
      <c r="C219" s="25"/>
      <c r="D219" s="22"/>
      <c r="E219" s="25"/>
      <c r="F219" s="22"/>
      <c r="G219" s="25"/>
      <c r="H219" s="22"/>
      <c r="I219" s="25"/>
      <c r="J219" s="22"/>
    </row>
    <row r="220" ht="15.75" customHeight="1">
      <c r="A220" s="25"/>
      <c r="B220" s="22"/>
      <c r="C220" s="25"/>
      <c r="D220" s="22"/>
      <c r="E220" s="25"/>
      <c r="F220" s="22"/>
      <c r="G220" s="25"/>
      <c r="H220" s="22"/>
      <c r="I220" s="25"/>
      <c r="J220" s="22"/>
    </row>
    <row r="221" ht="15.75" customHeight="1">
      <c r="A221" s="25"/>
      <c r="B221" s="22"/>
      <c r="C221" s="25"/>
      <c r="D221" s="22"/>
      <c r="E221" s="25"/>
      <c r="F221" s="22"/>
      <c r="G221" s="25"/>
      <c r="H221" s="22"/>
      <c r="I221" s="25"/>
      <c r="J221" s="22"/>
    </row>
    <row r="222" ht="15.75" customHeight="1">
      <c r="A222" s="25"/>
      <c r="B222" s="22"/>
      <c r="C222" s="25"/>
      <c r="D222" s="22"/>
      <c r="E222" s="25"/>
      <c r="F222" s="22"/>
      <c r="G222" s="25"/>
      <c r="H222" s="22"/>
      <c r="I222" s="25"/>
      <c r="J222" s="22"/>
    </row>
    <row r="223" ht="15.75" customHeight="1">
      <c r="A223" s="25"/>
      <c r="B223" s="22"/>
      <c r="C223" s="25"/>
      <c r="D223" s="22"/>
      <c r="E223" s="25"/>
      <c r="F223" s="22"/>
      <c r="G223" s="25"/>
      <c r="H223" s="22"/>
      <c r="I223" s="25"/>
      <c r="J223" s="22"/>
    </row>
    <row r="224" ht="15.75" customHeight="1">
      <c r="A224" s="25"/>
      <c r="B224" s="22"/>
      <c r="C224" s="25"/>
      <c r="D224" s="22"/>
      <c r="E224" s="25"/>
      <c r="F224" s="22"/>
      <c r="G224" s="25"/>
      <c r="H224" s="22"/>
      <c r="I224" s="25"/>
      <c r="J224" s="22"/>
    </row>
    <row r="225" ht="15.75" customHeight="1">
      <c r="A225" s="25"/>
      <c r="B225" s="22"/>
      <c r="C225" s="25"/>
      <c r="D225" s="22"/>
      <c r="E225" s="25"/>
      <c r="F225" s="22"/>
      <c r="G225" s="25"/>
      <c r="H225" s="22"/>
      <c r="I225" s="25"/>
      <c r="J225" s="22"/>
    </row>
    <row r="226" ht="15.75" customHeight="1">
      <c r="A226" s="25"/>
      <c r="B226" s="22"/>
      <c r="C226" s="25"/>
      <c r="D226" s="22"/>
      <c r="E226" s="25"/>
      <c r="F226" s="22"/>
      <c r="G226" s="25"/>
      <c r="H226" s="22"/>
      <c r="I226" s="25"/>
      <c r="J226" s="22"/>
    </row>
    <row r="227" ht="15.75" customHeight="1">
      <c r="A227" s="25"/>
      <c r="B227" s="22"/>
      <c r="C227" s="25"/>
      <c r="D227" s="22"/>
      <c r="E227" s="25"/>
      <c r="F227" s="22"/>
      <c r="G227" s="25"/>
      <c r="H227" s="22"/>
      <c r="I227" s="25"/>
      <c r="J227" s="22"/>
    </row>
    <row r="228" ht="15.75" customHeight="1">
      <c r="A228" s="25"/>
      <c r="B228" s="22"/>
      <c r="C228" s="25"/>
      <c r="D228" s="22"/>
      <c r="E228" s="25"/>
      <c r="F228" s="22"/>
      <c r="G228" s="25"/>
      <c r="H228" s="22"/>
      <c r="I228" s="25"/>
      <c r="J228" s="22"/>
    </row>
    <row r="229" ht="15.75" customHeight="1">
      <c r="A229" s="25"/>
      <c r="B229" s="22"/>
      <c r="C229" s="25"/>
      <c r="D229" s="22"/>
      <c r="E229" s="25"/>
      <c r="F229" s="22"/>
      <c r="G229" s="25"/>
      <c r="H229" s="22"/>
      <c r="I229" s="25"/>
      <c r="J229" s="22"/>
    </row>
    <row r="230" ht="15.75" customHeight="1">
      <c r="A230" s="25"/>
      <c r="B230" s="22"/>
      <c r="C230" s="25"/>
      <c r="D230" s="22"/>
      <c r="E230" s="25"/>
      <c r="F230" s="22"/>
      <c r="G230" s="25"/>
      <c r="H230" s="22"/>
      <c r="I230" s="25"/>
      <c r="J230" s="22"/>
    </row>
    <row r="231" ht="15.75" customHeight="1">
      <c r="A231" s="25"/>
      <c r="B231" s="22"/>
      <c r="C231" s="25"/>
      <c r="D231" s="22"/>
      <c r="E231" s="25"/>
      <c r="F231" s="22"/>
      <c r="G231" s="25"/>
      <c r="H231" s="22"/>
      <c r="I231" s="25"/>
      <c r="J231" s="22"/>
    </row>
    <row r="232" ht="15.75" customHeight="1">
      <c r="A232" s="25"/>
      <c r="B232" s="22"/>
      <c r="C232" s="25"/>
      <c r="D232" s="22"/>
      <c r="E232" s="25"/>
      <c r="F232" s="22"/>
      <c r="G232" s="25"/>
      <c r="H232" s="22"/>
      <c r="I232" s="25"/>
      <c r="J232" s="22"/>
    </row>
    <row r="233" ht="15.75" customHeight="1">
      <c r="A233" s="25"/>
      <c r="B233" s="22"/>
      <c r="C233" s="25"/>
      <c r="D233" s="22"/>
      <c r="E233" s="25"/>
      <c r="F233" s="22"/>
      <c r="G233" s="25"/>
      <c r="H233" s="22"/>
      <c r="I233" s="25"/>
      <c r="J233" s="22"/>
    </row>
    <row r="234" ht="15.75" customHeight="1">
      <c r="A234" s="25"/>
      <c r="B234" s="22"/>
      <c r="C234" s="25"/>
      <c r="D234" s="22"/>
      <c r="E234" s="25"/>
      <c r="F234" s="22"/>
      <c r="G234" s="25"/>
      <c r="H234" s="22"/>
      <c r="I234" s="25"/>
      <c r="J234" s="22"/>
    </row>
    <row r="235" ht="15.75" customHeight="1">
      <c r="A235" s="25"/>
      <c r="B235" s="22"/>
      <c r="C235" s="25"/>
      <c r="D235" s="22"/>
      <c r="E235" s="25"/>
      <c r="F235" s="22"/>
      <c r="G235" s="25"/>
      <c r="H235" s="22"/>
      <c r="I235" s="25"/>
      <c r="J235" s="22"/>
    </row>
    <row r="236" ht="15.75" customHeight="1">
      <c r="A236" s="25"/>
      <c r="B236" s="22"/>
      <c r="C236" s="25"/>
      <c r="D236" s="22"/>
      <c r="E236" s="25"/>
      <c r="F236" s="22"/>
      <c r="G236" s="25"/>
      <c r="H236" s="22"/>
      <c r="I236" s="25"/>
      <c r="J236" s="22"/>
    </row>
    <row r="237" ht="15.75" customHeight="1">
      <c r="A237" s="25"/>
      <c r="B237" s="22"/>
      <c r="C237" s="25"/>
      <c r="D237" s="22"/>
      <c r="E237" s="25"/>
      <c r="F237" s="22"/>
      <c r="G237" s="25"/>
      <c r="H237" s="22"/>
      <c r="I237" s="25"/>
      <c r="J237" s="22"/>
    </row>
    <row r="238" ht="15.75" customHeight="1">
      <c r="A238" s="25"/>
      <c r="B238" s="22"/>
      <c r="C238" s="25"/>
      <c r="D238" s="22"/>
      <c r="E238" s="25"/>
      <c r="F238" s="22"/>
      <c r="G238" s="25"/>
      <c r="H238" s="22"/>
      <c r="I238" s="25"/>
      <c r="J238" s="22"/>
    </row>
    <row r="239" ht="15.75" customHeight="1">
      <c r="A239" s="25"/>
      <c r="B239" s="22"/>
      <c r="C239" s="25"/>
      <c r="D239" s="22"/>
      <c r="E239" s="25"/>
      <c r="F239" s="22"/>
      <c r="G239" s="25"/>
      <c r="H239" s="22"/>
      <c r="I239" s="25"/>
      <c r="J239" s="22"/>
    </row>
    <row r="240" ht="15.75" customHeight="1">
      <c r="A240" s="25"/>
      <c r="B240" s="22"/>
      <c r="C240" s="25"/>
      <c r="D240" s="22"/>
      <c r="E240" s="25"/>
      <c r="F240" s="22"/>
      <c r="G240" s="25"/>
      <c r="H240" s="22"/>
      <c r="I240" s="25"/>
      <c r="J240" s="22"/>
    </row>
    <row r="241" ht="15.75" customHeight="1">
      <c r="A241" s="25"/>
      <c r="B241" s="22"/>
      <c r="C241" s="25"/>
      <c r="D241" s="22"/>
      <c r="E241" s="25"/>
      <c r="F241" s="22"/>
      <c r="G241" s="25"/>
      <c r="H241" s="22"/>
      <c r="I241" s="25"/>
      <c r="J241" s="22"/>
    </row>
    <row r="242" ht="15.75" customHeight="1">
      <c r="A242" s="25"/>
      <c r="B242" s="22"/>
      <c r="C242" s="25"/>
      <c r="D242" s="22"/>
      <c r="E242" s="25"/>
      <c r="F242" s="22"/>
      <c r="G242" s="25"/>
      <c r="H242" s="22"/>
      <c r="I242" s="25"/>
      <c r="J242" s="22"/>
    </row>
    <row r="243" ht="15.75" customHeight="1">
      <c r="A243" s="25"/>
      <c r="B243" s="22"/>
      <c r="C243" s="25"/>
      <c r="D243" s="22"/>
      <c r="E243" s="25"/>
      <c r="F243" s="22"/>
      <c r="G243" s="25"/>
      <c r="H243" s="22"/>
      <c r="I243" s="25"/>
      <c r="J243" s="22"/>
    </row>
    <row r="244" ht="15.75" customHeight="1">
      <c r="A244" s="25"/>
      <c r="B244" s="22"/>
      <c r="C244" s="25"/>
      <c r="D244" s="22"/>
      <c r="E244" s="25"/>
      <c r="F244" s="22"/>
      <c r="G244" s="25"/>
      <c r="H244" s="22"/>
      <c r="I244" s="25"/>
      <c r="J244" s="22"/>
    </row>
    <row r="245" ht="15.75" customHeight="1">
      <c r="A245" s="25"/>
      <c r="B245" s="22"/>
      <c r="C245" s="25"/>
      <c r="D245" s="22"/>
      <c r="E245" s="25"/>
      <c r="F245" s="22"/>
      <c r="G245" s="25"/>
      <c r="H245" s="22"/>
      <c r="I245" s="25"/>
      <c r="J245" s="22"/>
    </row>
    <row r="246" ht="15.75" customHeight="1">
      <c r="A246" s="25"/>
      <c r="B246" s="22"/>
      <c r="C246" s="25"/>
      <c r="D246" s="22"/>
      <c r="E246" s="25"/>
      <c r="F246" s="22"/>
      <c r="G246" s="25"/>
      <c r="H246" s="22"/>
      <c r="I246" s="25"/>
      <c r="J246" s="22"/>
    </row>
    <row r="247" ht="15.75" customHeight="1">
      <c r="A247" s="25"/>
      <c r="B247" s="22"/>
      <c r="C247" s="25"/>
      <c r="D247" s="22"/>
      <c r="E247" s="25"/>
      <c r="F247" s="22"/>
      <c r="G247" s="25"/>
      <c r="H247" s="22"/>
      <c r="I247" s="25"/>
      <c r="J247" s="22"/>
    </row>
    <row r="248" ht="15.75" customHeight="1">
      <c r="A248" s="25"/>
      <c r="B248" s="22"/>
      <c r="C248" s="25"/>
      <c r="D248" s="22"/>
      <c r="E248" s="25"/>
      <c r="F248" s="22"/>
      <c r="G248" s="25"/>
      <c r="H248" s="22"/>
      <c r="I248" s="25"/>
      <c r="J248" s="22"/>
    </row>
    <row r="249" ht="15.75" customHeight="1">
      <c r="A249" s="25"/>
      <c r="B249" s="22"/>
      <c r="C249" s="25"/>
      <c r="D249" s="22"/>
      <c r="E249" s="25"/>
      <c r="F249" s="22"/>
      <c r="G249" s="25"/>
      <c r="H249" s="22"/>
      <c r="I249" s="25"/>
      <c r="J249" s="22"/>
    </row>
    <row r="250" ht="15.75" customHeight="1">
      <c r="A250" s="25"/>
      <c r="B250" s="22"/>
      <c r="C250" s="25"/>
      <c r="D250" s="22"/>
      <c r="E250" s="25"/>
      <c r="F250" s="22"/>
      <c r="G250" s="25"/>
      <c r="H250" s="22"/>
      <c r="I250" s="25"/>
      <c r="J250" s="22"/>
    </row>
    <row r="251" ht="15.75" customHeight="1">
      <c r="A251" s="25"/>
      <c r="B251" s="22"/>
      <c r="C251" s="25"/>
      <c r="D251" s="22"/>
      <c r="E251" s="25"/>
      <c r="F251" s="22"/>
      <c r="G251" s="25"/>
      <c r="H251" s="22"/>
      <c r="I251" s="25"/>
      <c r="J251" s="22"/>
    </row>
    <row r="252" ht="15.75" customHeight="1">
      <c r="A252" s="25"/>
      <c r="B252" s="22"/>
      <c r="C252" s="25"/>
      <c r="D252" s="22"/>
      <c r="E252" s="25"/>
      <c r="F252" s="22"/>
      <c r="G252" s="25"/>
      <c r="H252" s="22"/>
      <c r="I252" s="25"/>
      <c r="J252" s="22"/>
    </row>
    <row r="253" ht="15.75" customHeight="1">
      <c r="A253" s="25"/>
      <c r="B253" s="22"/>
      <c r="C253" s="25"/>
      <c r="D253" s="22"/>
      <c r="E253" s="25"/>
      <c r="F253" s="22"/>
      <c r="G253" s="25"/>
      <c r="H253" s="22"/>
      <c r="I253" s="25"/>
      <c r="J253" s="22"/>
    </row>
    <row r="254" ht="15.75" customHeight="1">
      <c r="A254" s="25"/>
      <c r="B254" s="22"/>
      <c r="C254" s="25"/>
      <c r="D254" s="22"/>
      <c r="E254" s="25"/>
      <c r="F254" s="22"/>
      <c r="G254" s="25"/>
      <c r="H254" s="22"/>
      <c r="I254" s="25"/>
      <c r="J254" s="22"/>
    </row>
    <row r="255" ht="15.75" customHeight="1">
      <c r="A255" s="25"/>
      <c r="B255" s="22"/>
      <c r="C255" s="25"/>
      <c r="D255" s="22"/>
      <c r="E255" s="25"/>
      <c r="F255" s="22"/>
      <c r="G255" s="25"/>
      <c r="H255" s="22"/>
      <c r="I255" s="25"/>
      <c r="J255" s="22"/>
    </row>
    <row r="256" ht="15.75" customHeight="1">
      <c r="A256" s="25"/>
      <c r="B256" s="22"/>
      <c r="C256" s="25"/>
      <c r="D256" s="22"/>
      <c r="E256" s="25"/>
      <c r="F256" s="22"/>
      <c r="G256" s="25"/>
      <c r="H256" s="22"/>
      <c r="I256" s="25"/>
      <c r="J256" s="22"/>
    </row>
    <row r="257" ht="15.75" customHeight="1">
      <c r="A257" s="25"/>
      <c r="B257" s="22"/>
      <c r="C257" s="25"/>
      <c r="D257" s="22"/>
      <c r="E257" s="25"/>
      <c r="F257" s="22"/>
      <c r="G257" s="25"/>
      <c r="H257" s="22"/>
      <c r="I257" s="25"/>
      <c r="J257" s="22"/>
    </row>
    <row r="258" ht="15.75" customHeight="1">
      <c r="A258" s="25"/>
      <c r="B258" s="22"/>
      <c r="C258" s="25"/>
      <c r="D258" s="22"/>
      <c r="E258" s="25"/>
      <c r="F258" s="22"/>
      <c r="G258" s="25"/>
      <c r="H258" s="22"/>
      <c r="I258" s="25"/>
      <c r="J258" s="22"/>
    </row>
    <row r="259" ht="15.75" customHeight="1">
      <c r="A259" s="25"/>
      <c r="B259" s="22"/>
      <c r="C259" s="25"/>
      <c r="D259" s="22"/>
      <c r="E259" s="25"/>
      <c r="F259" s="22"/>
      <c r="G259" s="25"/>
      <c r="H259" s="22"/>
      <c r="I259" s="25"/>
      <c r="J259" s="22"/>
    </row>
    <row r="260" ht="15.75" customHeight="1">
      <c r="A260" s="25"/>
      <c r="B260" s="22"/>
      <c r="C260" s="25"/>
      <c r="D260" s="22"/>
      <c r="E260" s="25"/>
      <c r="F260" s="22"/>
      <c r="G260" s="25"/>
      <c r="H260" s="22"/>
      <c r="I260" s="25"/>
      <c r="J260" s="22"/>
    </row>
    <row r="261" ht="15.75" customHeight="1">
      <c r="A261" s="25"/>
      <c r="B261" s="22"/>
      <c r="C261" s="25"/>
      <c r="D261" s="22"/>
      <c r="E261" s="25"/>
      <c r="F261" s="22"/>
      <c r="G261" s="25"/>
      <c r="H261" s="22"/>
      <c r="I261" s="25"/>
      <c r="J261" s="22"/>
    </row>
    <row r="262" ht="15.75" customHeight="1">
      <c r="A262" s="25"/>
      <c r="B262" s="22"/>
      <c r="C262" s="25"/>
      <c r="D262" s="22"/>
      <c r="E262" s="25"/>
      <c r="F262" s="22"/>
      <c r="G262" s="25"/>
      <c r="H262" s="22"/>
      <c r="I262" s="25"/>
      <c r="J262" s="22"/>
    </row>
    <row r="263" ht="15.75" customHeight="1">
      <c r="A263" s="25"/>
      <c r="B263" s="22"/>
      <c r="C263" s="25"/>
      <c r="D263" s="22"/>
      <c r="E263" s="25"/>
      <c r="F263" s="22"/>
      <c r="G263" s="25"/>
      <c r="H263" s="22"/>
      <c r="I263" s="25"/>
      <c r="J263" s="22"/>
    </row>
    <row r="264" ht="15.75" customHeight="1">
      <c r="A264" s="25"/>
      <c r="B264" s="22"/>
      <c r="C264" s="25"/>
      <c r="D264" s="22"/>
      <c r="E264" s="25"/>
      <c r="F264" s="22"/>
      <c r="G264" s="25"/>
      <c r="H264" s="22"/>
      <c r="I264" s="25"/>
      <c r="J264" s="22"/>
    </row>
    <row r="265" ht="15.75" customHeight="1">
      <c r="A265" s="25"/>
      <c r="B265" s="22"/>
      <c r="C265" s="25"/>
      <c r="D265" s="22"/>
      <c r="E265" s="25"/>
      <c r="F265" s="22"/>
      <c r="G265" s="25"/>
      <c r="H265" s="22"/>
      <c r="I265" s="25"/>
      <c r="J265" s="22"/>
    </row>
    <row r="266" ht="15.75" customHeight="1">
      <c r="A266" s="25"/>
      <c r="B266" s="22"/>
      <c r="C266" s="25"/>
      <c r="D266" s="22"/>
      <c r="E266" s="25"/>
      <c r="F266" s="22"/>
      <c r="G266" s="25"/>
      <c r="H266" s="22"/>
      <c r="I266" s="25"/>
      <c r="J266" s="22"/>
    </row>
    <row r="267" ht="15.75" customHeight="1">
      <c r="A267" s="25"/>
      <c r="B267" s="22"/>
      <c r="C267" s="25"/>
      <c r="D267" s="22"/>
      <c r="E267" s="25"/>
      <c r="F267" s="22"/>
      <c r="G267" s="25"/>
      <c r="H267" s="22"/>
      <c r="I267" s="25"/>
      <c r="J267" s="22"/>
    </row>
    <row r="268" ht="15.75" customHeight="1">
      <c r="A268" s="25"/>
      <c r="B268" s="22"/>
      <c r="C268" s="25"/>
      <c r="D268" s="22"/>
      <c r="E268" s="25"/>
      <c r="F268" s="22"/>
      <c r="G268" s="25"/>
      <c r="H268" s="22"/>
      <c r="I268" s="25"/>
      <c r="J268" s="22"/>
    </row>
    <row r="269" ht="15.75" customHeight="1">
      <c r="A269" s="25"/>
      <c r="B269" s="22"/>
      <c r="C269" s="25"/>
      <c r="D269" s="22"/>
      <c r="E269" s="25"/>
      <c r="F269" s="22"/>
      <c r="G269" s="25"/>
      <c r="H269" s="22"/>
      <c r="I269" s="25"/>
      <c r="J269" s="22"/>
    </row>
    <row r="270" ht="15.75" customHeight="1">
      <c r="A270" s="25"/>
      <c r="B270" s="22"/>
      <c r="C270" s="25"/>
      <c r="D270" s="22"/>
      <c r="E270" s="25"/>
      <c r="F270" s="22"/>
      <c r="G270" s="25"/>
      <c r="H270" s="22"/>
      <c r="I270" s="25"/>
      <c r="J270" s="22"/>
    </row>
    <row r="271" ht="15.75" customHeight="1">
      <c r="A271" s="25"/>
      <c r="B271" s="22"/>
      <c r="C271" s="25"/>
      <c r="D271" s="22"/>
      <c r="E271" s="25"/>
      <c r="F271" s="22"/>
      <c r="G271" s="25"/>
      <c r="H271" s="22"/>
      <c r="I271" s="25"/>
      <c r="J271" s="22"/>
    </row>
    <row r="272" ht="15.75" customHeight="1">
      <c r="A272" s="25"/>
      <c r="B272" s="22"/>
      <c r="C272" s="25"/>
      <c r="D272" s="22"/>
      <c r="E272" s="25"/>
      <c r="F272" s="22"/>
      <c r="G272" s="25"/>
      <c r="H272" s="22"/>
      <c r="I272" s="25"/>
      <c r="J272" s="22"/>
    </row>
    <row r="273" ht="15.75" customHeight="1">
      <c r="A273" s="25"/>
      <c r="B273" s="22"/>
      <c r="C273" s="25"/>
      <c r="D273" s="22"/>
      <c r="E273" s="25"/>
      <c r="F273" s="22"/>
      <c r="G273" s="25"/>
      <c r="H273" s="22"/>
      <c r="I273" s="25"/>
      <c r="J273" s="22"/>
    </row>
    <row r="274" ht="15.75" customHeight="1">
      <c r="A274" s="25"/>
      <c r="B274" s="22"/>
      <c r="C274" s="25"/>
      <c r="D274" s="22"/>
      <c r="E274" s="25"/>
      <c r="F274" s="22"/>
      <c r="G274" s="25"/>
      <c r="H274" s="22"/>
      <c r="I274" s="25"/>
      <c r="J274" s="22"/>
    </row>
    <row r="275" ht="15.75" customHeight="1">
      <c r="A275" s="25"/>
      <c r="B275" s="22"/>
      <c r="C275" s="25"/>
      <c r="D275" s="22"/>
      <c r="E275" s="25"/>
      <c r="F275" s="22"/>
      <c r="G275" s="25"/>
      <c r="H275" s="22"/>
      <c r="I275" s="25"/>
      <c r="J275" s="22"/>
    </row>
    <row r="276" ht="15.75" customHeight="1">
      <c r="A276" s="25"/>
      <c r="B276" s="22"/>
      <c r="C276" s="25"/>
      <c r="D276" s="22"/>
      <c r="E276" s="25"/>
      <c r="F276" s="22"/>
      <c r="G276" s="25"/>
      <c r="H276" s="22"/>
      <c r="I276" s="25"/>
      <c r="J276" s="22"/>
    </row>
    <row r="277" ht="15.75" customHeight="1">
      <c r="A277" s="25"/>
      <c r="B277" s="22"/>
      <c r="C277" s="25"/>
      <c r="D277" s="22"/>
      <c r="E277" s="25"/>
      <c r="F277" s="22"/>
      <c r="G277" s="25"/>
      <c r="H277" s="22"/>
      <c r="I277" s="25"/>
      <c r="J277" s="22"/>
    </row>
    <row r="278" ht="15.75" customHeight="1">
      <c r="A278" s="25"/>
      <c r="B278" s="22"/>
      <c r="C278" s="25"/>
      <c r="D278" s="22"/>
      <c r="E278" s="25"/>
      <c r="F278" s="22"/>
      <c r="G278" s="25"/>
      <c r="H278" s="22"/>
      <c r="I278" s="25"/>
      <c r="J278" s="22"/>
    </row>
    <row r="279" ht="15.75" customHeight="1">
      <c r="A279" s="25"/>
      <c r="B279" s="22"/>
      <c r="C279" s="25"/>
      <c r="D279" s="22"/>
      <c r="E279" s="25"/>
      <c r="F279" s="22"/>
      <c r="G279" s="25"/>
      <c r="H279" s="22"/>
      <c r="I279" s="25"/>
      <c r="J279" s="22"/>
    </row>
    <row r="280" ht="15.75" customHeight="1">
      <c r="A280" s="25"/>
      <c r="B280" s="22"/>
      <c r="C280" s="25"/>
      <c r="D280" s="22"/>
      <c r="E280" s="25"/>
      <c r="F280" s="22"/>
      <c r="G280" s="25"/>
      <c r="H280" s="22"/>
      <c r="I280" s="25"/>
      <c r="J280" s="22"/>
    </row>
    <row r="281" ht="15.75" customHeight="1">
      <c r="A281" s="25"/>
      <c r="B281" s="22"/>
      <c r="C281" s="25"/>
      <c r="D281" s="22"/>
      <c r="E281" s="25"/>
      <c r="F281" s="22"/>
      <c r="G281" s="25"/>
      <c r="H281" s="22"/>
      <c r="I281" s="25"/>
      <c r="J281" s="22"/>
    </row>
    <row r="282" ht="15.75" customHeight="1">
      <c r="A282" s="25"/>
      <c r="B282" s="22"/>
      <c r="C282" s="25"/>
      <c r="D282" s="22"/>
      <c r="E282" s="25"/>
      <c r="F282" s="22"/>
      <c r="G282" s="25"/>
      <c r="H282" s="22"/>
      <c r="I282" s="25"/>
      <c r="J282" s="22"/>
    </row>
    <row r="283" ht="15.75" customHeight="1">
      <c r="A283" s="25"/>
      <c r="B283" s="22"/>
      <c r="C283" s="25"/>
      <c r="D283" s="22"/>
      <c r="E283" s="25"/>
      <c r="F283" s="22"/>
      <c r="G283" s="25"/>
      <c r="H283" s="22"/>
      <c r="I283" s="25"/>
      <c r="J283" s="22"/>
    </row>
    <row r="284" ht="15.75" customHeight="1">
      <c r="A284" s="25"/>
      <c r="B284" s="22"/>
      <c r="C284" s="25"/>
      <c r="D284" s="22"/>
      <c r="E284" s="25"/>
      <c r="F284" s="22"/>
      <c r="G284" s="25"/>
      <c r="H284" s="22"/>
      <c r="I284" s="25"/>
      <c r="J284" s="22"/>
    </row>
    <row r="285" ht="15.75" customHeight="1">
      <c r="A285" s="25"/>
      <c r="B285" s="22"/>
      <c r="C285" s="25"/>
      <c r="D285" s="22"/>
      <c r="E285" s="25"/>
      <c r="F285" s="22"/>
      <c r="G285" s="25"/>
      <c r="H285" s="22"/>
      <c r="I285" s="25"/>
      <c r="J285" s="22"/>
    </row>
    <row r="286" ht="15.75" customHeight="1">
      <c r="A286" s="25"/>
      <c r="B286" s="22"/>
      <c r="C286" s="25"/>
      <c r="D286" s="22"/>
      <c r="E286" s="25"/>
      <c r="F286" s="22"/>
      <c r="G286" s="25"/>
      <c r="H286" s="22"/>
      <c r="I286" s="25"/>
      <c r="J286" s="22"/>
    </row>
    <row r="287" ht="15.75" customHeight="1">
      <c r="A287" s="25"/>
      <c r="B287" s="22"/>
      <c r="C287" s="25"/>
      <c r="D287" s="22"/>
      <c r="E287" s="25"/>
      <c r="F287" s="22"/>
      <c r="G287" s="25"/>
      <c r="H287" s="22"/>
      <c r="I287" s="25"/>
      <c r="J287" s="22"/>
    </row>
    <row r="288" ht="15.75" customHeight="1">
      <c r="A288" s="25"/>
      <c r="B288" s="22"/>
      <c r="C288" s="25"/>
      <c r="D288" s="22"/>
      <c r="E288" s="25"/>
      <c r="F288" s="22"/>
      <c r="G288" s="25"/>
      <c r="H288" s="22"/>
      <c r="I288" s="25"/>
      <c r="J288" s="22"/>
    </row>
    <row r="289" ht="15.75" customHeight="1">
      <c r="A289" s="25"/>
      <c r="B289" s="22"/>
      <c r="C289" s="25"/>
      <c r="D289" s="22"/>
      <c r="E289" s="25"/>
      <c r="F289" s="22"/>
      <c r="G289" s="25"/>
      <c r="H289" s="22"/>
      <c r="I289" s="25"/>
      <c r="J289" s="22"/>
    </row>
    <row r="290" ht="15.75" customHeight="1">
      <c r="A290" s="25"/>
      <c r="B290" s="22"/>
      <c r="C290" s="25"/>
      <c r="D290" s="22"/>
      <c r="E290" s="25"/>
      <c r="F290" s="22"/>
      <c r="G290" s="25"/>
      <c r="H290" s="22"/>
      <c r="I290" s="25"/>
      <c r="J290" s="22"/>
    </row>
    <row r="291" ht="15.75" customHeight="1">
      <c r="A291" s="25"/>
      <c r="B291" s="22"/>
      <c r="C291" s="25"/>
      <c r="D291" s="22"/>
      <c r="E291" s="25"/>
      <c r="F291" s="22"/>
      <c r="G291" s="25"/>
      <c r="H291" s="22"/>
      <c r="I291" s="25"/>
      <c r="J291" s="22"/>
    </row>
    <row r="292" ht="15.75" customHeight="1">
      <c r="A292" s="25"/>
      <c r="B292" s="22"/>
      <c r="C292" s="25"/>
      <c r="D292" s="22"/>
      <c r="E292" s="25"/>
      <c r="F292" s="22"/>
      <c r="G292" s="25"/>
      <c r="H292" s="22"/>
      <c r="I292" s="25"/>
      <c r="J292" s="22"/>
    </row>
    <row r="293" ht="15.75" customHeight="1">
      <c r="A293" s="25"/>
      <c r="B293" s="22"/>
      <c r="C293" s="25"/>
      <c r="D293" s="22"/>
      <c r="E293" s="25"/>
      <c r="F293" s="22"/>
      <c r="G293" s="25"/>
      <c r="H293" s="22"/>
      <c r="I293" s="25"/>
      <c r="J293" s="22"/>
    </row>
    <row r="294" ht="15.75" customHeight="1">
      <c r="A294" s="25"/>
      <c r="B294" s="22"/>
      <c r="C294" s="25"/>
      <c r="D294" s="22"/>
      <c r="E294" s="25"/>
      <c r="F294" s="22"/>
      <c r="G294" s="25"/>
      <c r="H294" s="22"/>
      <c r="I294" s="25"/>
      <c r="J294" s="22"/>
    </row>
    <row r="295" ht="15.75" customHeight="1">
      <c r="A295" s="25"/>
      <c r="B295" s="22"/>
      <c r="C295" s="25"/>
      <c r="D295" s="22"/>
      <c r="E295" s="25"/>
      <c r="F295" s="22"/>
      <c r="G295" s="25"/>
      <c r="H295" s="22"/>
      <c r="I295" s="25"/>
      <c r="J295" s="22"/>
    </row>
    <row r="296" ht="15.75" customHeight="1">
      <c r="A296" s="25"/>
      <c r="B296" s="22"/>
      <c r="C296" s="25"/>
      <c r="D296" s="22"/>
      <c r="E296" s="25"/>
      <c r="F296" s="22"/>
      <c r="G296" s="25"/>
      <c r="H296" s="22"/>
      <c r="I296" s="25"/>
      <c r="J296" s="22"/>
    </row>
    <row r="297" ht="15.75" customHeight="1">
      <c r="A297" s="25"/>
      <c r="B297" s="22"/>
      <c r="C297" s="25"/>
      <c r="D297" s="22"/>
      <c r="E297" s="25"/>
      <c r="F297" s="22"/>
      <c r="G297" s="25"/>
      <c r="H297" s="22"/>
      <c r="I297" s="25"/>
      <c r="J297" s="22"/>
    </row>
    <row r="298" ht="15.75" customHeight="1">
      <c r="A298" s="25"/>
      <c r="B298" s="22"/>
      <c r="C298" s="25"/>
      <c r="D298" s="22"/>
      <c r="E298" s="25"/>
      <c r="F298" s="22"/>
      <c r="G298" s="25"/>
      <c r="H298" s="22"/>
      <c r="I298" s="25"/>
      <c r="J298" s="22"/>
    </row>
    <row r="299" ht="15.75" customHeight="1">
      <c r="A299" s="25"/>
      <c r="B299" s="22"/>
      <c r="C299" s="25"/>
      <c r="D299" s="22"/>
      <c r="E299" s="25"/>
      <c r="F299" s="22"/>
      <c r="G299" s="25"/>
      <c r="H299" s="22"/>
      <c r="I299" s="25"/>
      <c r="J299" s="22"/>
    </row>
    <row r="300" ht="15.75" customHeight="1">
      <c r="A300" s="25"/>
      <c r="B300" s="22"/>
      <c r="C300" s="25"/>
      <c r="D300" s="22"/>
      <c r="E300" s="25"/>
      <c r="F300" s="22"/>
      <c r="G300" s="25"/>
      <c r="H300" s="22"/>
      <c r="I300" s="25"/>
      <c r="J300" s="22"/>
    </row>
    <row r="301" ht="15.75" customHeight="1">
      <c r="A301" s="25"/>
      <c r="B301" s="22"/>
      <c r="C301" s="25"/>
      <c r="D301" s="22"/>
      <c r="E301" s="25"/>
      <c r="F301" s="22"/>
      <c r="G301" s="25"/>
      <c r="H301" s="22"/>
      <c r="I301" s="25"/>
      <c r="J301" s="22"/>
    </row>
    <row r="302" ht="15.75" customHeight="1">
      <c r="A302" s="25"/>
      <c r="B302" s="22"/>
      <c r="C302" s="25"/>
      <c r="D302" s="22"/>
      <c r="E302" s="25"/>
      <c r="F302" s="22"/>
      <c r="G302" s="25"/>
      <c r="H302" s="22"/>
      <c r="I302" s="25"/>
      <c r="J302" s="22"/>
    </row>
    <row r="303" ht="15.75" customHeight="1">
      <c r="A303" s="25"/>
      <c r="B303" s="22"/>
      <c r="C303" s="25"/>
      <c r="D303" s="22"/>
      <c r="E303" s="25"/>
      <c r="F303" s="22"/>
      <c r="G303" s="25"/>
      <c r="H303" s="22"/>
      <c r="I303" s="25"/>
      <c r="J303" s="22"/>
    </row>
    <row r="304" ht="15.75" customHeight="1">
      <c r="A304" s="25"/>
      <c r="B304" s="22"/>
      <c r="C304" s="25"/>
      <c r="D304" s="22"/>
      <c r="E304" s="25"/>
      <c r="F304" s="22"/>
      <c r="G304" s="25"/>
      <c r="H304" s="22"/>
      <c r="I304" s="25"/>
      <c r="J304" s="22"/>
    </row>
    <row r="305" ht="15.75" customHeight="1">
      <c r="A305" s="25"/>
      <c r="B305" s="22"/>
      <c r="C305" s="25"/>
      <c r="D305" s="22"/>
      <c r="E305" s="25"/>
      <c r="F305" s="22"/>
      <c r="G305" s="25"/>
      <c r="H305" s="22"/>
      <c r="I305" s="25"/>
      <c r="J305" s="22"/>
    </row>
    <row r="306" ht="15.75" customHeight="1">
      <c r="A306" s="25"/>
      <c r="B306" s="22"/>
      <c r="C306" s="25"/>
      <c r="D306" s="22"/>
      <c r="E306" s="25"/>
      <c r="F306" s="22"/>
      <c r="G306" s="25"/>
      <c r="H306" s="22"/>
      <c r="I306" s="25"/>
      <c r="J306" s="22"/>
    </row>
    <row r="307" ht="15.75" customHeight="1">
      <c r="A307" s="25"/>
      <c r="B307" s="22"/>
      <c r="C307" s="25"/>
      <c r="D307" s="22"/>
      <c r="E307" s="25"/>
      <c r="F307" s="22"/>
      <c r="G307" s="25"/>
      <c r="H307" s="22"/>
      <c r="I307" s="25"/>
      <c r="J307" s="22"/>
    </row>
    <row r="308" ht="15.75" customHeight="1">
      <c r="A308" s="25"/>
      <c r="B308" s="22"/>
      <c r="C308" s="25"/>
      <c r="D308" s="22"/>
      <c r="E308" s="25"/>
      <c r="F308" s="22"/>
      <c r="G308" s="25"/>
      <c r="H308" s="22"/>
      <c r="I308" s="25"/>
      <c r="J308" s="22"/>
    </row>
    <row r="309" ht="15.75" customHeight="1">
      <c r="A309" s="25"/>
      <c r="B309" s="22"/>
      <c r="C309" s="25"/>
      <c r="D309" s="22"/>
      <c r="E309" s="25"/>
      <c r="F309" s="22"/>
      <c r="G309" s="25"/>
      <c r="H309" s="22"/>
      <c r="I309" s="25"/>
      <c r="J309" s="22"/>
    </row>
    <row r="310" ht="15.75" customHeight="1">
      <c r="A310" s="25"/>
      <c r="B310" s="22"/>
      <c r="C310" s="25"/>
      <c r="D310" s="22"/>
      <c r="E310" s="25"/>
      <c r="F310" s="22"/>
      <c r="G310" s="25"/>
      <c r="H310" s="22"/>
      <c r="I310" s="25"/>
      <c r="J310" s="22"/>
    </row>
    <row r="311" ht="15.75" customHeight="1">
      <c r="A311" s="25"/>
      <c r="B311" s="22"/>
      <c r="C311" s="25"/>
      <c r="D311" s="22"/>
      <c r="E311" s="25"/>
      <c r="F311" s="22"/>
      <c r="G311" s="25"/>
      <c r="H311" s="22"/>
      <c r="I311" s="25"/>
      <c r="J311" s="22"/>
    </row>
    <row r="312" ht="15.75" customHeight="1">
      <c r="A312" s="25"/>
      <c r="B312" s="22"/>
      <c r="C312" s="25"/>
      <c r="D312" s="22"/>
      <c r="E312" s="25"/>
      <c r="F312" s="22"/>
      <c r="G312" s="25"/>
      <c r="H312" s="22"/>
      <c r="I312" s="25"/>
      <c r="J312" s="22"/>
    </row>
    <row r="313" ht="15.75" customHeight="1">
      <c r="A313" s="25"/>
      <c r="B313" s="22"/>
      <c r="C313" s="25"/>
      <c r="D313" s="22"/>
      <c r="E313" s="25"/>
      <c r="F313" s="22"/>
      <c r="G313" s="25"/>
      <c r="H313" s="22"/>
      <c r="I313" s="25"/>
      <c r="J313" s="22"/>
    </row>
    <row r="314" ht="15.75" customHeight="1">
      <c r="A314" s="25"/>
      <c r="B314" s="22"/>
      <c r="C314" s="25"/>
      <c r="D314" s="22"/>
      <c r="E314" s="25"/>
      <c r="F314" s="22"/>
      <c r="G314" s="25"/>
      <c r="H314" s="22"/>
      <c r="I314" s="25"/>
      <c r="J314" s="22"/>
    </row>
    <row r="315" ht="15.75" customHeight="1">
      <c r="A315" s="25"/>
      <c r="B315" s="22"/>
      <c r="C315" s="25"/>
      <c r="D315" s="22"/>
      <c r="E315" s="25"/>
      <c r="F315" s="22"/>
      <c r="G315" s="25"/>
      <c r="H315" s="22"/>
      <c r="I315" s="25"/>
      <c r="J315" s="22"/>
    </row>
    <row r="316" ht="15.75" customHeight="1">
      <c r="A316" s="25"/>
      <c r="B316" s="22"/>
      <c r="C316" s="25"/>
      <c r="D316" s="22"/>
      <c r="E316" s="25"/>
      <c r="F316" s="22"/>
      <c r="G316" s="25"/>
      <c r="H316" s="22"/>
      <c r="I316" s="25"/>
      <c r="J316" s="22"/>
    </row>
    <row r="317" ht="15.75" customHeight="1">
      <c r="A317" s="25"/>
      <c r="B317" s="22"/>
      <c r="C317" s="25"/>
      <c r="D317" s="22"/>
      <c r="E317" s="25"/>
      <c r="F317" s="22"/>
      <c r="G317" s="25"/>
      <c r="H317" s="22"/>
      <c r="I317" s="25"/>
      <c r="J317" s="22"/>
    </row>
    <row r="318" ht="15.75" customHeight="1">
      <c r="A318" s="25"/>
      <c r="B318" s="22"/>
      <c r="C318" s="25"/>
      <c r="D318" s="22"/>
      <c r="E318" s="25"/>
      <c r="F318" s="22"/>
      <c r="G318" s="25"/>
      <c r="H318" s="22"/>
      <c r="I318" s="25"/>
      <c r="J318" s="22"/>
    </row>
    <row r="319" ht="15.75" customHeight="1">
      <c r="A319" s="25"/>
      <c r="B319" s="22"/>
      <c r="C319" s="25"/>
      <c r="D319" s="22"/>
      <c r="E319" s="25"/>
      <c r="F319" s="22"/>
      <c r="G319" s="25"/>
      <c r="H319" s="22"/>
      <c r="I319" s="25"/>
      <c r="J319" s="22"/>
    </row>
    <row r="320" ht="15.75" customHeight="1">
      <c r="A320" s="25"/>
      <c r="B320" s="22"/>
      <c r="C320" s="25"/>
      <c r="D320" s="22"/>
      <c r="E320" s="25"/>
      <c r="F320" s="22"/>
      <c r="G320" s="25"/>
      <c r="H320" s="22"/>
      <c r="I320" s="25"/>
      <c r="J320" s="22"/>
    </row>
    <row r="321" ht="15.75" customHeight="1">
      <c r="A321" s="25"/>
      <c r="B321" s="22"/>
      <c r="C321" s="25"/>
      <c r="D321" s="22"/>
      <c r="E321" s="25"/>
      <c r="F321" s="22"/>
      <c r="G321" s="25"/>
      <c r="H321" s="22"/>
      <c r="I321" s="25"/>
      <c r="J321" s="22"/>
    </row>
    <row r="322" ht="15.75" customHeight="1">
      <c r="A322" s="25"/>
      <c r="B322" s="22"/>
      <c r="C322" s="25"/>
      <c r="D322" s="22"/>
      <c r="E322" s="25"/>
      <c r="F322" s="22"/>
      <c r="G322" s="25"/>
      <c r="H322" s="22"/>
      <c r="I322" s="25"/>
      <c r="J322" s="22"/>
    </row>
    <row r="323" ht="15.75" customHeight="1">
      <c r="A323" s="25"/>
      <c r="B323" s="22"/>
      <c r="C323" s="25"/>
      <c r="D323" s="22"/>
      <c r="E323" s="25"/>
      <c r="F323" s="22"/>
      <c r="G323" s="25"/>
      <c r="H323" s="22"/>
      <c r="I323" s="25"/>
      <c r="J323" s="22"/>
    </row>
    <row r="324" ht="15.75" customHeight="1">
      <c r="A324" s="25"/>
      <c r="B324" s="22"/>
      <c r="C324" s="25"/>
      <c r="D324" s="22"/>
      <c r="E324" s="25"/>
      <c r="F324" s="22"/>
      <c r="G324" s="25"/>
      <c r="H324" s="22"/>
      <c r="I324" s="25"/>
      <c r="J324" s="22"/>
    </row>
    <row r="325" ht="15.75" customHeight="1">
      <c r="A325" s="25"/>
      <c r="B325" s="22"/>
      <c r="C325" s="25"/>
      <c r="D325" s="22"/>
      <c r="E325" s="25"/>
      <c r="F325" s="22"/>
      <c r="G325" s="25"/>
      <c r="H325" s="22"/>
      <c r="I325" s="25"/>
      <c r="J325" s="22"/>
    </row>
    <row r="326" ht="15.75" customHeight="1">
      <c r="A326" s="25"/>
      <c r="B326" s="22"/>
      <c r="C326" s="25"/>
      <c r="D326" s="22"/>
      <c r="E326" s="25"/>
      <c r="F326" s="22"/>
      <c r="G326" s="25"/>
      <c r="H326" s="22"/>
      <c r="I326" s="25"/>
      <c r="J326" s="22"/>
    </row>
    <row r="327" ht="15.75" customHeight="1">
      <c r="A327" s="25"/>
      <c r="B327" s="22"/>
      <c r="C327" s="25"/>
      <c r="D327" s="22"/>
      <c r="E327" s="25"/>
      <c r="F327" s="22"/>
      <c r="G327" s="25"/>
      <c r="H327" s="22"/>
      <c r="I327" s="25"/>
      <c r="J327" s="22"/>
    </row>
    <row r="328" ht="15.75" customHeight="1">
      <c r="A328" s="25"/>
      <c r="B328" s="22"/>
      <c r="C328" s="25"/>
      <c r="D328" s="22"/>
      <c r="E328" s="25"/>
      <c r="F328" s="22"/>
      <c r="G328" s="25"/>
      <c r="H328" s="22"/>
      <c r="I328" s="25"/>
      <c r="J328" s="22"/>
    </row>
    <row r="329" ht="15.75" customHeight="1">
      <c r="A329" s="25"/>
      <c r="B329" s="22"/>
      <c r="C329" s="25"/>
      <c r="D329" s="22"/>
      <c r="E329" s="25"/>
      <c r="F329" s="22"/>
      <c r="G329" s="25"/>
      <c r="H329" s="22"/>
      <c r="I329" s="25"/>
      <c r="J329" s="22"/>
    </row>
    <row r="330" ht="15.75" customHeight="1">
      <c r="A330" s="25"/>
      <c r="B330" s="22"/>
      <c r="C330" s="25"/>
      <c r="D330" s="22"/>
      <c r="E330" s="25"/>
      <c r="F330" s="22"/>
      <c r="G330" s="25"/>
      <c r="H330" s="22"/>
      <c r="I330" s="25"/>
      <c r="J330" s="22"/>
    </row>
    <row r="331" ht="15.75" customHeight="1">
      <c r="A331" s="25"/>
      <c r="B331" s="22"/>
      <c r="C331" s="25"/>
      <c r="D331" s="22"/>
      <c r="E331" s="25"/>
      <c r="F331" s="22"/>
      <c r="G331" s="25"/>
      <c r="H331" s="22"/>
      <c r="I331" s="25"/>
      <c r="J331" s="22"/>
    </row>
    <row r="332" ht="15.75" customHeight="1">
      <c r="A332" s="25"/>
      <c r="B332" s="22"/>
      <c r="C332" s="25"/>
      <c r="D332" s="22"/>
      <c r="E332" s="25"/>
      <c r="F332" s="22"/>
      <c r="G332" s="25"/>
      <c r="H332" s="22"/>
      <c r="I332" s="25"/>
      <c r="J332" s="22"/>
    </row>
    <row r="333" ht="15.75" customHeight="1">
      <c r="A333" s="25"/>
      <c r="B333" s="22"/>
      <c r="C333" s="25"/>
      <c r="D333" s="22"/>
      <c r="E333" s="25"/>
      <c r="F333" s="22"/>
      <c r="G333" s="25"/>
      <c r="H333" s="22"/>
      <c r="I333" s="25"/>
      <c r="J333" s="22"/>
    </row>
    <row r="334" ht="15.75" customHeight="1">
      <c r="A334" s="25"/>
      <c r="B334" s="22"/>
      <c r="C334" s="25"/>
      <c r="D334" s="22"/>
      <c r="E334" s="25"/>
      <c r="F334" s="22"/>
      <c r="G334" s="25"/>
      <c r="H334" s="22"/>
      <c r="I334" s="25"/>
      <c r="J334" s="22"/>
    </row>
    <row r="335" ht="15.75" customHeight="1">
      <c r="A335" s="25"/>
      <c r="B335" s="22"/>
      <c r="C335" s="25"/>
      <c r="D335" s="22"/>
      <c r="E335" s="25"/>
      <c r="F335" s="22"/>
      <c r="G335" s="25"/>
      <c r="H335" s="22"/>
      <c r="I335" s="25"/>
      <c r="J335" s="22"/>
    </row>
    <row r="336" ht="15.75" customHeight="1">
      <c r="A336" s="25"/>
      <c r="B336" s="22"/>
      <c r="C336" s="25"/>
      <c r="D336" s="22"/>
      <c r="E336" s="25"/>
      <c r="F336" s="22"/>
      <c r="G336" s="25"/>
      <c r="H336" s="22"/>
      <c r="I336" s="25"/>
      <c r="J336" s="22"/>
    </row>
    <row r="337" ht="15.75" customHeight="1">
      <c r="A337" s="25"/>
      <c r="B337" s="22"/>
      <c r="C337" s="25"/>
      <c r="D337" s="22"/>
      <c r="E337" s="25"/>
      <c r="F337" s="22"/>
      <c r="G337" s="25"/>
      <c r="H337" s="22"/>
      <c r="I337" s="25"/>
      <c r="J337" s="22"/>
    </row>
    <row r="338" ht="15.75" customHeight="1">
      <c r="A338" s="25"/>
      <c r="B338" s="22"/>
      <c r="C338" s="25"/>
      <c r="D338" s="22"/>
      <c r="E338" s="25"/>
      <c r="F338" s="22"/>
      <c r="G338" s="25"/>
      <c r="H338" s="22"/>
      <c r="I338" s="25"/>
      <c r="J338" s="22"/>
    </row>
    <row r="339" ht="15.75" customHeight="1">
      <c r="A339" s="25"/>
      <c r="B339" s="22"/>
      <c r="C339" s="25"/>
      <c r="D339" s="22"/>
      <c r="E339" s="25"/>
      <c r="F339" s="22"/>
      <c r="G339" s="25"/>
      <c r="H339" s="22"/>
      <c r="I339" s="25"/>
      <c r="J339" s="22"/>
    </row>
    <row r="340" ht="15.75" customHeight="1">
      <c r="A340" s="25"/>
      <c r="B340" s="22"/>
      <c r="C340" s="25"/>
      <c r="D340" s="22"/>
      <c r="E340" s="25"/>
      <c r="F340" s="22"/>
      <c r="G340" s="25"/>
      <c r="H340" s="22"/>
      <c r="I340" s="25"/>
      <c r="J340" s="22"/>
    </row>
    <row r="341" ht="15.75" customHeight="1">
      <c r="A341" s="25"/>
      <c r="B341" s="22"/>
      <c r="C341" s="25"/>
      <c r="D341" s="22"/>
      <c r="E341" s="25"/>
      <c r="F341" s="22"/>
      <c r="G341" s="25"/>
      <c r="H341" s="22"/>
      <c r="I341" s="25"/>
      <c r="J341" s="22"/>
    </row>
    <row r="342" ht="15.75" customHeight="1">
      <c r="A342" s="25"/>
      <c r="B342" s="22"/>
      <c r="C342" s="25"/>
      <c r="D342" s="22"/>
      <c r="E342" s="25"/>
      <c r="F342" s="22"/>
      <c r="G342" s="25"/>
      <c r="H342" s="22"/>
      <c r="I342" s="25"/>
      <c r="J342" s="22"/>
    </row>
    <row r="343" ht="15.75" customHeight="1">
      <c r="A343" s="25"/>
      <c r="B343" s="22"/>
      <c r="C343" s="25"/>
      <c r="D343" s="22"/>
      <c r="E343" s="25"/>
      <c r="F343" s="22"/>
      <c r="G343" s="25"/>
      <c r="H343" s="22"/>
      <c r="I343" s="25"/>
      <c r="J343" s="22"/>
    </row>
    <row r="344" ht="15.75" customHeight="1">
      <c r="A344" s="25"/>
      <c r="B344" s="22"/>
      <c r="C344" s="25"/>
      <c r="D344" s="22"/>
      <c r="E344" s="25"/>
      <c r="F344" s="22"/>
      <c r="G344" s="25"/>
      <c r="H344" s="22"/>
      <c r="I344" s="25"/>
      <c r="J344" s="22"/>
    </row>
    <row r="345" ht="15.75" customHeight="1">
      <c r="A345" s="25"/>
      <c r="B345" s="22"/>
      <c r="C345" s="25"/>
      <c r="D345" s="22"/>
      <c r="E345" s="25"/>
      <c r="F345" s="22"/>
      <c r="G345" s="25"/>
      <c r="H345" s="22"/>
      <c r="I345" s="25"/>
      <c r="J345" s="22"/>
    </row>
    <row r="346" ht="15.75" customHeight="1">
      <c r="A346" s="25"/>
      <c r="B346" s="22"/>
      <c r="C346" s="25"/>
      <c r="D346" s="22"/>
      <c r="E346" s="25"/>
      <c r="F346" s="22"/>
      <c r="G346" s="25"/>
      <c r="H346" s="22"/>
      <c r="I346" s="25"/>
      <c r="J346" s="22"/>
    </row>
    <row r="347" ht="15.75" customHeight="1">
      <c r="A347" s="25"/>
      <c r="B347" s="22"/>
      <c r="C347" s="25"/>
      <c r="D347" s="22"/>
      <c r="E347" s="25"/>
      <c r="F347" s="22"/>
      <c r="G347" s="25"/>
      <c r="H347" s="22"/>
      <c r="I347" s="25"/>
      <c r="J347" s="22"/>
    </row>
    <row r="348" ht="15.75" customHeight="1">
      <c r="A348" s="25"/>
      <c r="B348" s="22"/>
      <c r="C348" s="25"/>
      <c r="D348" s="22"/>
      <c r="E348" s="25"/>
      <c r="F348" s="22"/>
      <c r="G348" s="25"/>
      <c r="H348" s="22"/>
      <c r="I348" s="25"/>
      <c r="J348" s="22"/>
    </row>
    <row r="349" ht="15.75" customHeight="1">
      <c r="A349" s="25"/>
      <c r="B349" s="22"/>
      <c r="C349" s="25"/>
      <c r="D349" s="22"/>
      <c r="E349" s="25"/>
      <c r="F349" s="22"/>
      <c r="G349" s="25"/>
      <c r="H349" s="22"/>
      <c r="I349" s="25"/>
      <c r="J349" s="22"/>
    </row>
    <row r="350" ht="15.75" customHeight="1">
      <c r="A350" s="25"/>
      <c r="B350" s="22"/>
      <c r="C350" s="25"/>
      <c r="D350" s="22"/>
      <c r="E350" s="25"/>
      <c r="F350" s="22"/>
      <c r="G350" s="25"/>
      <c r="H350" s="22"/>
      <c r="I350" s="25"/>
      <c r="J350" s="22"/>
    </row>
    <row r="351" ht="15.75" customHeight="1">
      <c r="A351" s="25"/>
      <c r="B351" s="22"/>
      <c r="C351" s="25"/>
      <c r="D351" s="22"/>
      <c r="E351" s="25"/>
      <c r="F351" s="22"/>
      <c r="G351" s="25"/>
      <c r="H351" s="22"/>
      <c r="I351" s="25"/>
      <c r="J351" s="22"/>
    </row>
    <row r="352" ht="15.75" customHeight="1">
      <c r="A352" s="25"/>
      <c r="B352" s="22"/>
      <c r="C352" s="25"/>
      <c r="D352" s="22"/>
      <c r="E352" s="25"/>
      <c r="F352" s="22"/>
      <c r="G352" s="25"/>
      <c r="H352" s="22"/>
      <c r="I352" s="25"/>
      <c r="J352" s="22"/>
    </row>
    <row r="353" ht="15.75" customHeight="1">
      <c r="A353" s="25"/>
      <c r="B353" s="22"/>
      <c r="C353" s="25"/>
      <c r="D353" s="22"/>
      <c r="E353" s="25"/>
      <c r="F353" s="22"/>
      <c r="G353" s="25"/>
      <c r="H353" s="22"/>
      <c r="I353" s="25"/>
      <c r="J353" s="22"/>
    </row>
    <row r="354" ht="15.75" customHeight="1">
      <c r="A354" s="25"/>
      <c r="B354" s="22"/>
      <c r="C354" s="25"/>
      <c r="D354" s="22"/>
      <c r="E354" s="25"/>
      <c r="F354" s="22"/>
      <c r="G354" s="25"/>
      <c r="H354" s="22"/>
      <c r="I354" s="25"/>
      <c r="J354" s="22"/>
    </row>
    <row r="355" ht="15.75" customHeight="1">
      <c r="A355" s="25"/>
      <c r="B355" s="22"/>
      <c r="C355" s="25"/>
      <c r="D355" s="22"/>
      <c r="E355" s="25"/>
      <c r="F355" s="22"/>
      <c r="G355" s="25"/>
      <c r="H355" s="22"/>
      <c r="I355" s="25"/>
      <c r="J355" s="22"/>
    </row>
    <row r="356" ht="15.75" customHeight="1">
      <c r="A356" s="25"/>
      <c r="B356" s="22"/>
      <c r="C356" s="25"/>
      <c r="D356" s="22"/>
      <c r="E356" s="25"/>
      <c r="F356" s="22"/>
      <c r="G356" s="25"/>
      <c r="H356" s="22"/>
      <c r="I356" s="25"/>
      <c r="J356" s="22"/>
    </row>
    <row r="357" ht="15.75" customHeight="1">
      <c r="A357" s="25"/>
      <c r="B357" s="22"/>
      <c r="C357" s="25"/>
      <c r="D357" s="22"/>
      <c r="E357" s="25"/>
      <c r="F357" s="22"/>
      <c r="G357" s="25"/>
      <c r="H357" s="22"/>
      <c r="I357" s="25"/>
      <c r="J357" s="22"/>
    </row>
    <row r="358" ht="15.75" customHeight="1">
      <c r="A358" s="25"/>
      <c r="B358" s="22"/>
      <c r="C358" s="25"/>
      <c r="D358" s="22"/>
      <c r="E358" s="25"/>
      <c r="F358" s="22"/>
      <c r="G358" s="25"/>
      <c r="H358" s="22"/>
      <c r="I358" s="25"/>
      <c r="J358" s="22"/>
    </row>
    <row r="359" ht="15.75" customHeight="1">
      <c r="A359" s="25"/>
      <c r="B359" s="22"/>
      <c r="C359" s="25"/>
      <c r="D359" s="22"/>
      <c r="E359" s="25"/>
      <c r="F359" s="22"/>
      <c r="G359" s="25"/>
      <c r="H359" s="22"/>
      <c r="I359" s="25"/>
      <c r="J359" s="22"/>
    </row>
    <row r="360" ht="15.75" customHeight="1">
      <c r="A360" s="25"/>
      <c r="B360" s="22"/>
      <c r="C360" s="25"/>
      <c r="D360" s="22"/>
      <c r="E360" s="25"/>
      <c r="F360" s="22"/>
      <c r="G360" s="25"/>
      <c r="H360" s="22"/>
      <c r="I360" s="25"/>
      <c r="J360" s="22"/>
    </row>
    <row r="361" ht="15.75" customHeight="1">
      <c r="A361" s="25"/>
      <c r="B361" s="22"/>
      <c r="C361" s="25"/>
      <c r="D361" s="22"/>
      <c r="E361" s="25"/>
      <c r="F361" s="22"/>
      <c r="G361" s="25"/>
      <c r="H361" s="22"/>
      <c r="I361" s="25"/>
      <c r="J361" s="22"/>
    </row>
    <row r="362" ht="15.75" customHeight="1">
      <c r="A362" s="25"/>
      <c r="B362" s="22"/>
      <c r="C362" s="25"/>
      <c r="D362" s="22"/>
      <c r="E362" s="25"/>
      <c r="F362" s="22"/>
      <c r="G362" s="25"/>
      <c r="H362" s="22"/>
      <c r="I362" s="25"/>
      <c r="J362" s="22"/>
    </row>
    <row r="363" ht="15.75" customHeight="1">
      <c r="A363" s="25"/>
      <c r="B363" s="22"/>
      <c r="C363" s="25"/>
      <c r="D363" s="22"/>
      <c r="E363" s="25"/>
      <c r="F363" s="22"/>
      <c r="G363" s="25"/>
      <c r="H363" s="22"/>
      <c r="I363" s="25"/>
      <c r="J363" s="22"/>
    </row>
    <row r="364" ht="15.75" customHeight="1">
      <c r="A364" s="25"/>
      <c r="B364" s="22"/>
      <c r="C364" s="25"/>
      <c r="D364" s="22"/>
      <c r="E364" s="25"/>
      <c r="F364" s="22"/>
      <c r="G364" s="25"/>
      <c r="H364" s="22"/>
      <c r="I364" s="25"/>
      <c r="J364" s="22"/>
    </row>
    <row r="365" ht="15.75" customHeight="1">
      <c r="A365" s="25"/>
      <c r="B365" s="22"/>
      <c r="C365" s="25"/>
      <c r="D365" s="22"/>
      <c r="E365" s="25"/>
      <c r="F365" s="22"/>
      <c r="G365" s="25"/>
      <c r="H365" s="22"/>
      <c r="I365" s="25"/>
      <c r="J365" s="22"/>
    </row>
    <row r="366" ht="15.75" customHeight="1">
      <c r="A366" s="25"/>
      <c r="B366" s="22"/>
      <c r="C366" s="25"/>
      <c r="D366" s="22"/>
      <c r="E366" s="25"/>
      <c r="F366" s="22"/>
      <c r="G366" s="25"/>
      <c r="H366" s="22"/>
      <c r="I366" s="25"/>
      <c r="J366" s="22"/>
    </row>
    <row r="367" ht="15.75" customHeight="1">
      <c r="A367" s="25"/>
      <c r="B367" s="22"/>
      <c r="C367" s="25"/>
      <c r="D367" s="22"/>
      <c r="E367" s="25"/>
      <c r="F367" s="22"/>
      <c r="G367" s="25"/>
      <c r="H367" s="22"/>
      <c r="I367" s="25"/>
      <c r="J367" s="22"/>
    </row>
    <row r="368" ht="15.75" customHeight="1">
      <c r="A368" s="25"/>
      <c r="B368" s="22"/>
      <c r="C368" s="25"/>
      <c r="D368" s="22"/>
      <c r="E368" s="25"/>
      <c r="F368" s="22"/>
      <c r="G368" s="25"/>
      <c r="H368" s="22"/>
      <c r="I368" s="25"/>
      <c r="J368" s="22"/>
    </row>
    <row r="369" ht="15.75" customHeight="1">
      <c r="A369" s="25"/>
      <c r="B369" s="22"/>
      <c r="C369" s="25"/>
      <c r="D369" s="22"/>
      <c r="E369" s="25"/>
      <c r="F369" s="22"/>
      <c r="G369" s="25"/>
      <c r="H369" s="22"/>
      <c r="I369" s="25"/>
      <c r="J369" s="22"/>
    </row>
    <row r="370" ht="15.75" customHeight="1">
      <c r="A370" s="25"/>
      <c r="B370" s="22"/>
      <c r="C370" s="25"/>
      <c r="D370" s="22"/>
      <c r="E370" s="25"/>
      <c r="F370" s="22"/>
      <c r="G370" s="25"/>
      <c r="H370" s="22"/>
      <c r="I370" s="25"/>
      <c r="J370" s="22"/>
    </row>
    <row r="371" ht="15.75" customHeight="1">
      <c r="A371" s="25"/>
      <c r="B371" s="22"/>
      <c r="C371" s="25"/>
      <c r="D371" s="22"/>
      <c r="E371" s="25"/>
      <c r="F371" s="22"/>
      <c r="G371" s="25"/>
      <c r="H371" s="22"/>
      <c r="I371" s="25"/>
      <c r="J371" s="22"/>
    </row>
    <row r="372" ht="15.75" customHeight="1">
      <c r="A372" s="25"/>
      <c r="B372" s="22"/>
      <c r="C372" s="25"/>
      <c r="D372" s="22"/>
      <c r="E372" s="25"/>
      <c r="F372" s="22"/>
      <c r="G372" s="25"/>
      <c r="H372" s="22"/>
      <c r="I372" s="25"/>
      <c r="J372" s="22"/>
    </row>
    <row r="373" ht="15.75" customHeight="1">
      <c r="A373" s="25"/>
      <c r="B373" s="22"/>
      <c r="C373" s="25"/>
      <c r="D373" s="22"/>
      <c r="E373" s="25"/>
      <c r="F373" s="22"/>
      <c r="G373" s="25"/>
      <c r="H373" s="22"/>
      <c r="I373" s="25"/>
      <c r="J373" s="22"/>
    </row>
    <row r="374" ht="15.75" customHeight="1">
      <c r="A374" s="25"/>
      <c r="B374" s="22"/>
      <c r="C374" s="25"/>
      <c r="D374" s="22"/>
      <c r="E374" s="25"/>
      <c r="F374" s="22"/>
      <c r="G374" s="25"/>
      <c r="H374" s="22"/>
      <c r="I374" s="25"/>
      <c r="J374" s="22"/>
    </row>
    <row r="375" ht="15.75" customHeight="1">
      <c r="A375" s="25"/>
      <c r="B375" s="22"/>
      <c r="C375" s="25"/>
      <c r="D375" s="22"/>
      <c r="E375" s="25"/>
      <c r="F375" s="22"/>
      <c r="G375" s="25"/>
      <c r="H375" s="22"/>
      <c r="I375" s="25"/>
      <c r="J375" s="22"/>
    </row>
    <row r="376" ht="15.75" customHeight="1">
      <c r="A376" s="25"/>
      <c r="B376" s="22"/>
      <c r="C376" s="25"/>
      <c r="D376" s="22"/>
      <c r="E376" s="25"/>
      <c r="F376" s="22"/>
      <c r="G376" s="25"/>
      <c r="H376" s="22"/>
      <c r="I376" s="25"/>
      <c r="J376" s="22"/>
    </row>
    <row r="377" ht="15.75" customHeight="1">
      <c r="A377" s="25"/>
      <c r="B377" s="22"/>
      <c r="C377" s="25"/>
      <c r="D377" s="22"/>
      <c r="E377" s="25"/>
      <c r="F377" s="22"/>
      <c r="G377" s="25"/>
      <c r="H377" s="22"/>
      <c r="I377" s="25"/>
      <c r="J377" s="22"/>
    </row>
    <row r="378" ht="15.75" customHeight="1">
      <c r="A378" s="25"/>
      <c r="B378" s="22"/>
      <c r="C378" s="25"/>
      <c r="D378" s="22"/>
      <c r="E378" s="25"/>
      <c r="F378" s="22"/>
      <c r="G378" s="25"/>
      <c r="H378" s="22"/>
      <c r="I378" s="25"/>
      <c r="J378" s="22"/>
    </row>
    <row r="379" ht="15.75" customHeight="1">
      <c r="A379" s="25"/>
      <c r="B379" s="22"/>
      <c r="C379" s="25"/>
      <c r="D379" s="22"/>
      <c r="E379" s="25"/>
      <c r="F379" s="22"/>
      <c r="G379" s="25"/>
      <c r="H379" s="22"/>
      <c r="I379" s="25"/>
      <c r="J379" s="22"/>
    </row>
    <row r="380" ht="15.75" customHeight="1">
      <c r="A380" s="25"/>
      <c r="B380" s="22"/>
      <c r="C380" s="25"/>
      <c r="D380" s="22"/>
      <c r="E380" s="25"/>
      <c r="F380" s="22"/>
      <c r="G380" s="25"/>
      <c r="H380" s="22"/>
      <c r="I380" s="25"/>
      <c r="J380" s="22"/>
    </row>
    <row r="381" ht="15.75" customHeight="1">
      <c r="A381" s="25"/>
      <c r="B381" s="22"/>
      <c r="C381" s="25"/>
      <c r="D381" s="22"/>
      <c r="E381" s="25"/>
      <c r="F381" s="22"/>
      <c r="G381" s="25"/>
      <c r="H381" s="22"/>
      <c r="I381" s="25"/>
      <c r="J381" s="22"/>
    </row>
    <row r="382" ht="15.75" customHeight="1">
      <c r="A382" s="25"/>
      <c r="B382" s="22"/>
      <c r="C382" s="25"/>
      <c r="D382" s="22"/>
      <c r="E382" s="25"/>
      <c r="F382" s="22"/>
      <c r="G382" s="25"/>
      <c r="H382" s="22"/>
      <c r="I382" s="25"/>
      <c r="J382" s="22"/>
    </row>
    <row r="383" ht="15.75" customHeight="1">
      <c r="A383" s="25"/>
      <c r="B383" s="22"/>
      <c r="C383" s="25"/>
      <c r="D383" s="22"/>
      <c r="E383" s="25"/>
      <c r="F383" s="22"/>
      <c r="G383" s="25"/>
      <c r="H383" s="22"/>
      <c r="I383" s="25"/>
      <c r="J383" s="22"/>
    </row>
    <row r="384" ht="15.75" customHeight="1">
      <c r="A384" s="25"/>
      <c r="B384" s="22"/>
      <c r="C384" s="25"/>
      <c r="D384" s="22"/>
      <c r="E384" s="25"/>
      <c r="F384" s="22"/>
      <c r="G384" s="25"/>
      <c r="H384" s="22"/>
      <c r="I384" s="25"/>
      <c r="J384" s="22"/>
    </row>
    <row r="385" ht="15.75" customHeight="1">
      <c r="A385" s="25"/>
      <c r="B385" s="22"/>
      <c r="C385" s="25"/>
      <c r="D385" s="22"/>
      <c r="E385" s="25"/>
      <c r="F385" s="22"/>
      <c r="G385" s="25"/>
      <c r="H385" s="22"/>
      <c r="I385" s="25"/>
      <c r="J385" s="22"/>
    </row>
    <row r="386" ht="15.75" customHeight="1">
      <c r="A386" s="25"/>
      <c r="B386" s="22"/>
      <c r="C386" s="25"/>
      <c r="D386" s="22"/>
      <c r="E386" s="25"/>
      <c r="F386" s="22"/>
      <c r="G386" s="25"/>
      <c r="H386" s="22"/>
      <c r="I386" s="25"/>
      <c r="J386" s="22"/>
    </row>
    <row r="387" ht="15.75" customHeight="1">
      <c r="A387" s="25"/>
      <c r="B387" s="22"/>
      <c r="C387" s="25"/>
      <c r="D387" s="22"/>
      <c r="E387" s="25"/>
      <c r="F387" s="22"/>
      <c r="G387" s="25"/>
      <c r="H387" s="22"/>
      <c r="I387" s="25"/>
      <c r="J387" s="22"/>
    </row>
    <row r="388" ht="15.75" customHeight="1">
      <c r="A388" s="25"/>
      <c r="B388" s="22"/>
      <c r="C388" s="25"/>
      <c r="D388" s="22"/>
      <c r="E388" s="25"/>
      <c r="F388" s="22"/>
      <c r="G388" s="25"/>
      <c r="H388" s="22"/>
      <c r="I388" s="25"/>
      <c r="J388" s="22"/>
    </row>
    <row r="389" ht="15.75" customHeight="1">
      <c r="A389" s="25"/>
      <c r="B389" s="22"/>
      <c r="C389" s="25"/>
      <c r="D389" s="22"/>
      <c r="E389" s="25"/>
      <c r="F389" s="22"/>
      <c r="G389" s="25"/>
      <c r="H389" s="22"/>
      <c r="I389" s="25"/>
      <c r="J389" s="22"/>
    </row>
    <row r="390" ht="15.75" customHeight="1">
      <c r="A390" s="25"/>
      <c r="B390" s="22"/>
      <c r="C390" s="25"/>
      <c r="D390" s="22"/>
      <c r="E390" s="25"/>
      <c r="F390" s="22"/>
      <c r="G390" s="25"/>
      <c r="H390" s="22"/>
      <c r="I390" s="25"/>
      <c r="J390" s="22"/>
    </row>
    <row r="391" ht="15.75" customHeight="1">
      <c r="A391" s="25"/>
      <c r="B391" s="22"/>
      <c r="C391" s="25"/>
      <c r="D391" s="22"/>
      <c r="E391" s="25"/>
      <c r="F391" s="22"/>
      <c r="G391" s="25"/>
      <c r="H391" s="22"/>
      <c r="I391" s="25"/>
      <c r="J391" s="22"/>
    </row>
    <row r="392" ht="15.75" customHeight="1">
      <c r="A392" s="25"/>
      <c r="B392" s="22"/>
      <c r="C392" s="25"/>
      <c r="D392" s="22"/>
      <c r="E392" s="25"/>
      <c r="F392" s="22"/>
      <c r="G392" s="25"/>
      <c r="H392" s="22"/>
      <c r="I392" s="25"/>
      <c r="J392" s="22"/>
    </row>
    <row r="393" ht="15.75" customHeight="1">
      <c r="A393" s="25"/>
      <c r="B393" s="22"/>
      <c r="C393" s="25"/>
      <c r="D393" s="22"/>
      <c r="E393" s="25"/>
      <c r="F393" s="22"/>
      <c r="G393" s="25"/>
      <c r="H393" s="22"/>
      <c r="I393" s="25"/>
      <c r="J393" s="22"/>
    </row>
    <row r="394" ht="15.75" customHeight="1">
      <c r="A394" s="25"/>
      <c r="B394" s="22"/>
      <c r="C394" s="25"/>
      <c r="D394" s="22"/>
      <c r="E394" s="25"/>
      <c r="F394" s="22"/>
      <c r="G394" s="25"/>
      <c r="H394" s="22"/>
      <c r="I394" s="25"/>
      <c r="J394" s="22"/>
    </row>
    <row r="395" ht="15.75" customHeight="1">
      <c r="A395" s="25"/>
      <c r="B395" s="22"/>
      <c r="C395" s="25"/>
      <c r="D395" s="22"/>
      <c r="E395" s="25"/>
      <c r="F395" s="22"/>
      <c r="G395" s="25"/>
      <c r="H395" s="22"/>
      <c r="I395" s="25"/>
      <c r="J395" s="22"/>
    </row>
    <row r="396" ht="15.75" customHeight="1">
      <c r="A396" s="25"/>
      <c r="B396" s="22"/>
      <c r="C396" s="25"/>
      <c r="D396" s="22"/>
      <c r="E396" s="25"/>
      <c r="F396" s="22"/>
      <c r="G396" s="25"/>
      <c r="H396" s="22"/>
      <c r="I396" s="25"/>
      <c r="J396" s="22"/>
    </row>
    <row r="397" ht="15.75" customHeight="1">
      <c r="A397" s="25"/>
      <c r="B397" s="22"/>
      <c r="C397" s="25"/>
      <c r="D397" s="22"/>
      <c r="E397" s="25"/>
      <c r="F397" s="22"/>
      <c r="G397" s="25"/>
      <c r="H397" s="22"/>
      <c r="I397" s="25"/>
      <c r="J397" s="22"/>
    </row>
    <row r="398" ht="15.75" customHeight="1">
      <c r="A398" s="25"/>
      <c r="B398" s="22"/>
      <c r="C398" s="25"/>
      <c r="D398" s="22"/>
      <c r="E398" s="25"/>
      <c r="F398" s="22"/>
      <c r="G398" s="25"/>
      <c r="H398" s="22"/>
      <c r="I398" s="25"/>
      <c r="J398" s="22"/>
    </row>
    <row r="399" ht="15.75" customHeight="1">
      <c r="A399" s="25"/>
      <c r="B399" s="22"/>
      <c r="C399" s="25"/>
      <c r="D399" s="22"/>
      <c r="E399" s="25"/>
      <c r="F399" s="22"/>
      <c r="G399" s="25"/>
      <c r="H399" s="22"/>
      <c r="I399" s="25"/>
      <c r="J399" s="22"/>
    </row>
    <row r="400" ht="15.75" customHeight="1">
      <c r="A400" s="25"/>
      <c r="B400" s="22"/>
      <c r="C400" s="25"/>
      <c r="D400" s="22"/>
      <c r="E400" s="25"/>
      <c r="F400" s="22"/>
      <c r="G400" s="25"/>
      <c r="H400" s="22"/>
      <c r="I400" s="25"/>
      <c r="J400" s="22"/>
    </row>
    <row r="401" ht="15.75" customHeight="1">
      <c r="A401" s="25"/>
      <c r="B401" s="22"/>
      <c r="C401" s="25"/>
      <c r="D401" s="22"/>
      <c r="E401" s="25"/>
      <c r="F401" s="22"/>
      <c r="G401" s="25"/>
      <c r="H401" s="22"/>
      <c r="I401" s="25"/>
      <c r="J401" s="22"/>
    </row>
    <row r="402" ht="15.75" customHeight="1">
      <c r="A402" s="25"/>
      <c r="B402" s="22"/>
      <c r="C402" s="25"/>
      <c r="D402" s="22"/>
      <c r="E402" s="25"/>
      <c r="F402" s="22"/>
      <c r="G402" s="25"/>
      <c r="H402" s="22"/>
      <c r="I402" s="25"/>
      <c r="J402" s="22"/>
    </row>
    <row r="403" ht="15.75" customHeight="1">
      <c r="A403" s="25"/>
      <c r="B403" s="22"/>
      <c r="C403" s="25"/>
      <c r="D403" s="22"/>
      <c r="E403" s="25"/>
      <c r="F403" s="22"/>
      <c r="G403" s="25"/>
      <c r="H403" s="22"/>
      <c r="I403" s="25"/>
      <c r="J403" s="22"/>
    </row>
    <row r="404" ht="15.75" customHeight="1">
      <c r="A404" s="25"/>
      <c r="B404" s="22"/>
      <c r="C404" s="25"/>
      <c r="D404" s="22"/>
      <c r="E404" s="25"/>
      <c r="F404" s="22"/>
      <c r="G404" s="25"/>
      <c r="H404" s="22"/>
      <c r="I404" s="25"/>
      <c r="J404" s="22"/>
    </row>
    <row r="405" ht="15.75" customHeight="1">
      <c r="A405" s="25"/>
      <c r="B405" s="22"/>
      <c r="C405" s="25"/>
      <c r="D405" s="22"/>
      <c r="E405" s="25"/>
      <c r="F405" s="22"/>
      <c r="G405" s="25"/>
      <c r="H405" s="22"/>
      <c r="I405" s="25"/>
      <c r="J405" s="22"/>
    </row>
    <row r="406" ht="15.75" customHeight="1">
      <c r="A406" s="25"/>
      <c r="B406" s="22"/>
      <c r="C406" s="25"/>
      <c r="D406" s="22"/>
      <c r="E406" s="25"/>
      <c r="F406" s="22"/>
      <c r="G406" s="25"/>
      <c r="H406" s="22"/>
      <c r="I406" s="25"/>
      <c r="J406" s="22"/>
    </row>
    <row r="407" ht="15.75" customHeight="1">
      <c r="A407" s="25"/>
      <c r="B407" s="22"/>
      <c r="C407" s="25"/>
      <c r="D407" s="22"/>
      <c r="E407" s="25"/>
      <c r="F407" s="22"/>
      <c r="G407" s="25"/>
      <c r="H407" s="22"/>
      <c r="I407" s="25"/>
      <c r="J407" s="22"/>
    </row>
    <row r="408" ht="15.75" customHeight="1">
      <c r="A408" s="25"/>
      <c r="B408" s="22"/>
      <c r="C408" s="25"/>
      <c r="D408" s="22"/>
      <c r="E408" s="25"/>
      <c r="F408" s="22"/>
      <c r="G408" s="25"/>
      <c r="H408" s="22"/>
      <c r="I408" s="25"/>
      <c r="J408" s="22"/>
    </row>
    <row r="409" ht="15.75" customHeight="1">
      <c r="A409" s="25"/>
      <c r="B409" s="22"/>
      <c r="C409" s="25"/>
      <c r="D409" s="22"/>
      <c r="E409" s="25"/>
      <c r="F409" s="22"/>
      <c r="G409" s="25"/>
      <c r="H409" s="22"/>
      <c r="I409" s="25"/>
      <c r="J409" s="22"/>
    </row>
    <row r="410" ht="15.75" customHeight="1">
      <c r="A410" s="25"/>
      <c r="B410" s="22"/>
      <c r="C410" s="25"/>
      <c r="D410" s="22"/>
      <c r="E410" s="25"/>
      <c r="F410" s="22"/>
      <c r="G410" s="25"/>
      <c r="H410" s="22"/>
      <c r="I410" s="25"/>
      <c r="J410" s="22"/>
    </row>
    <row r="411" ht="15.75" customHeight="1">
      <c r="A411" s="25"/>
      <c r="B411" s="22"/>
      <c r="C411" s="25"/>
      <c r="D411" s="22"/>
      <c r="E411" s="25"/>
      <c r="F411" s="22"/>
      <c r="G411" s="25"/>
      <c r="H411" s="22"/>
      <c r="I411" s="25"/>
      <c r="J411" s="22"/>
    </row>
    <row r="412" ht="15.75" customHeight="1">
      <c r="A412" s="25"/>
      <c r="B412" s="22"/>
      <c r="C412" s="25"/>
      <c r="D412" s="22"/>
      <c r="E412" s="25"/>
      <c r="F412" s="22"/>
      <c r="G412" s="25"/>
      <c r="H412" s="22"/>
      <c r="I412" s="25"/>
      <c r="J412" s="22"/>
    </row>
    <row r="413" ht="15.75" customHeight="1">
      <c r="A413" s="25"/>
      <c r="B413" s="22"/>
      <c r="C413" s="25"/>
      <c r="D413" s="22"/>
      <c r="E413" s="25"/>
      <c r="F413" s="22"/>
      <c r="G413" s="25"/>
      <c r="H413" s="22"/>
      <c r="I413" s="25"/>
      <c r="J413" s="22"/>
    </row>
    <row r="414" ht="15.75" customHeight="1">
      <c r="A414" s="25"/>
      <c r="B414" s="22"/>
      <c r="C414" s="25"/>
      <c r="D414" s="22"/>
      <c r="E414" s="25"/>
      <c r="F414" s="22"/>
      <c r="G414" s="25"/>
      <c r="H414" s="22"/>
      <c r="I414" s="25"/>
      <c r="J414" s="22"/>
    </row>
    <row r="415" ht="15.75" customHeight="1">
      <c r="A415" s="25"/>
      <c r="B415" s="22"/>
      <c r="C415" s="25"/>
      <c r="D415" s="22"/>
      <c r="E415" s="25"/>
      <c r="F415" s="22"/>
      <c r="G415" s="25"/>
      <c r="H415" s="22"/>
      <c r="I415" s="25"/>
      <c r="J415" s="22"/>
    </row>
    <row r="416" ht="15.75" customHeight="1">
      <c r="A416" s="25"/>
      <c r="B416" s="22"/>
      <c r="C416" s="25"/>
      <c r="D416" s="22"/>
      <c r="E416" s="25"/>
      <c r="F416" s="22"/>
      <c r="G416" s="25"/>
      <c r="H416" s="22"/>
      <c r="I416" s="25"/>
      <c r="J416" s="22"/>
    </row>
    <row r="417" ht="15.75" customHeight="1">
      <c r="A417" s="25"/>
      <c r="B417" s="22"/>
      <c r="C417" s="25"/>
      <c r="D417" s="22"/>
      <c r="E417" s="25"/>
      <c r="F417" s="22"/>
      <c r="G417" s="25"/>
      <c r="H417" s="22"/>
      <c r="I417" s="25"/>
      <c r="J417" s="22"/>
    </row>
    <row r="418" ht="15.75" customHeight="1">
      <c r="A418" s="25"/>
      <c r="B418" s="22"/>
      <c r="C418" s="25"/>
      <c r="D418" s="22"/>
      <c r="E418" s="25"/>
      <c r="F418" s="22"/>
      <c r="G418" s="25"/>
      <c r="H418" s="22"/>
      <c r="I418" s="25"/>
      <c r="J418" s="22"/>
    </row>
    <row r="419" ht="15.75" customHeight="1">
      <c r="A419" s="25"/>
      <c r="B419" s="22"/>
      <c r="C419" s="25"/>
      <c r="D419" s="22"/>
      <c r="E419" s="25"/>
      <c r="F419" s="22"/>
      <c r="G419" s="25"/>
      <c r="H419" s="22"/>
      <c r="I419" s="25"/>
      <c r="J419" s="22"/>
    </row>
    <row r="420" ht="15.75" customHeight="1">
      <c r="A420" s="25"/>
      <c r="B420" s="22"/>
      <c r="C420" s="25"/>
      <c r="D420" s="22"/>
      <c r="E420" s="25"/>
      <c r="F420" s="22"/>
      <c r="G420" s="25"/>
      <c r="H420" s="22"/>
      <c r="I420" s="25"/>
      <c r="J420" s="22"/>
    </row>
    <row r="421" ht="15.75" customHeight="1">
      <c r="A421" s="25"/>
      <c r="B421" s="22"/>
      <c r="C421" s="25"/>
      <c r="D421" s="22"/>
      <c r="E421" s="25"/>
      <c r="F421" s="22"/>
      <c r="G421" s="25"/>
      <c r="H421" s="22"/>
      <c r="I421" s="25"/>
      <c r="J421" s="22"/>
    </row>
    <row r="422" ht="15.75" customHeight="1">
      <c r="A422" s="25"/>
      <c r="B422" s="22"/>
      <c r="C422" s="25"/>
      <c r="D422" s="22"/>
      <c r="E422" s="25"/>
      <c r="F422" s="22"/>
      <c r="G422" s="25"/>
      <c r="H422" s="22"/>
      <c r="I422" s="25"/>
      <c r="J422" s="22"/>
    </row>
    <row r="423" ht="15.75" customHeight="1">
      <c r="A423" s="25"/>
      <c r="B423" s="22"/>
      <c r="C423" s="25"/>
      <c r="D423" s="22"/>
      <c r="E423" s="25"/>
      <c r="F423" s="22"/>
      <c r="G423" s="25"/>
      <c r="H423" s="22"/>
      <c r="I423" s="25"/>
      <c r="J423" s="22"/>
    </row>
    <row r="424" ht="15.75" customHeight="1">
      <c r="A424" s="25"/>
      <c r="B424" s="22"/>
      <c r="C424" s="25"/>
      <c r="D424" s="22"/>
      <c r="E424" s="25"/>
      <c r="F424" s="22"/>
      <c r="G424" s="25"/>
      <c r="H424" s="22"/>
      <c r="I424" s="25"/>
      <c r="J424" s="22"/>
    </row>
    <row r="425" ht="15.75" customHeight="1">
      <c r="A425" s="25"/>
      <c r="B425" s="22"/>
      <c r="C425" s="25"/>
      <c r="D425" s="22"/>
      <c r="E425" s="25"/>
      <c r="F425" s="22"/>
      <c r="G425" s="25"/>
      <c r="H425" s="22"/>
      <c r="I425" s="25"/>
      <c r="J425" s="22"/>
    </row>
    <row r="426" ht="15.75" customHeight="1">
      <c r="A426" s="25"/>
      <c r="B426" s="22"/>
      <c r="C426" s="25"/>
      <c r="D426" s="22"/>
      <c r="E426" s="25"/>
      <c r="F426" s="22"/>
      <c r="G426" s="25"/>
      <c r="H426" s="22"/>
      <c r="I426" s="25"/>
      <c r="J426" s="22"/>
    </row>
    <row r="427" ht="15.75" customHeight="1">
      <c r="A427" s="25"/>
      <c r="B427" s="22"/>
      <c r="C427" s="25"/>
      <c r="D427" s="22"/>
      <c r="E427" s="25"/>
      <c r="F427" s="22"/>
      <c r="G427" s="25"/>
      <c r="H427" s="22"/>
      <c r="I427" s="25"/>
      <c r="J427" s="22"/>
    </row>
    <row r="428" ht="15.75" customHeight="1">
      <c r="A428" s="25"/>
      <c r="B428" s="22"/>
      <c r="C428" s="25"/>
      <c r="D428" s="22"/>
      <c r="E428" s="25"/>
      <c r="F428" s="22"/>
      <c r="G428" s="25"/>
      <c r="H428" s="22"/>
      <c r="I428" s="25"/>
      <c r="J428" s="22"/>
    </row>
    <row r="429" ht="15.75" customHeight="1">
      <c r="A429" s="25"/>
      <c r="B429" s="22"/>
      <c r="C429" s="25"/>
      <c r="D429" s="22"/>
      <c r="E429" s="25"/>
      <c r="F429" s="22"/>
      <c r="G429" s="25"/>
      <c r="H429" s="22"/>
      <c r="I429" s="25"/>
      <c r="J429" s="22"/>
    </row>
    <row r="430" ht="15.75" customHeight="1">
      <c r="A430" s="25"/>
      <c r="B430" s="22"/>
      <c r="C430" s="25"/>
      <c r="D430" s="22"/>
      <c r="E430" s="25"/>
      <c r="F430" s="22"/>
      <c r="G430" s="25"/>
      <c r="H430" s="22"/>
      <c r="I430" s="25"/>
      <c r="J430" s="22"/>
    </row>
    <row r="431" ht="15.75" customHeight="1">
      <c r="A431" s="25"/>
      <c r="B431" s="22"/>
      <c r="C431" s="25"/>
      <c r="D431" s="22"/>
      <c r="E431" s="25"/>
      <c r="F431" s="22"/>
      <c r="G431" s="25"/>
      <c r="H431" s="22"/>
      <c r="I431" s="25"/>
      <c r="J431" s="22"/>
    </row>
    <row r="432" ht="15.75" customHeight="1">
      <c r="A432" s="25"/>
      <c r="B432" s="22"/>
      <c r="C432" s="25"/>
      <c r="D432" s="22"/>
      <c r="E432" s="25"/>
      <c r="F432" s="22"/>
      <c r="G432" s="25"/>
      <c r="H432" s="22"/>
      <c r="I432" s="25"/>
      <c r="J432" s="22"/>
    </row>
    <row r="433" ht="15.75" customHeight="1">
      <c r="A433" s="25"/>
      <c r="B433" s="22"/>
      <c r="C433" s="25"/>
      <c r="D433" s="22"/>
      <c r="E433" s="25"/>
      <c r="F433" s="22"/>
      <c r="G433" s="25"/>
      <c r="H433" s="22"/>
      <c r="I433" s="25"/>
      <c r="J433" s="22"/>
    </row>
    <row r="434" ht="15.75" customHeight="1">
      <c r="A434" s="25"/>
      <c r="B434" s="22"/>
      <c r="C434" s="25"/>
      <c r="D434" s="22"/>
      <c r="E434" s="25"/>
      <c r="F434" s="22"/>
      <c r="G434" s="25"/>
      <c r="H434" s="22"/>
      <c r="I434" s="25"/>
      <c r="J434" s="22"/>
    </row>
    <row r="435" ht="15.75" customHeight="1">
      <c r="A435" s="25"/>
      <c r="B435" s="22"/>
      <c r="C435" s="25"/>
      <c r="D435" s="22"/>
      <c r="E435" s="25"/>
      <c r="F435" s="22"/>
      <c r="G435" s="25"/>
      <c r="H435" s="22"/>
      <c r="I435" s="25"/>
      <c r="J435" s="22"/>
    </row>
    <row r="436" ht="15.75" customHeight="1">
      <c r="A436" s="25"/>
      <c r="B436" s="22"/>
      <c r="C436" s="25"/>
      <c r="D436" s="22"/>
      <c r="E436" s="25"/>
      <c r="F436" s="22"/>
      <c r="G436" s="25"/>
      <c r="H436" s="22"/>
      <c r="I436" s="25"/>
      <c r="J436" s="22"/>
    </row>
    <row r="437" ht="15.75" customHeight="1">
      <c r="A437" s="25"/>
      <c r="B437" s="22"/>
      <c r="C437" s="25"/>
      <c r="D437" s="22"/>
      <c r="E437" s="25"/>
      <c r="F437" s="22"/>
      <c r="G437" s="25"/>
      <c r="H437" s="22"/>
      <c r="I437" s="25"/>
      <c r="J437" s="22"/>
    </row>
    <row r="438" ht="15.75" customHeight="1">
      <c r="A438" s="25"/>
      <c r="B438" s="22"/>
      <c r="C438" s="25"/>
      <c r="D438" s="22"/>
      <c r="E438" s="25"/>
      <c r="F438" s="22"/>
      <c r="G438" s="25"/>
      <c r="H438" s="22"/>
      <c r="I438" s="25"/>
      <c r="J438" s="22"/>
    </row>
    <row r="439" ht="15.75" customHeight="1">
      <c r="A439" s="25"/>
      <c r="B439" s="22"/>
      <c r="C439" s="25"/>
      <c r="D439" s="22"/>
      <c r="E439" s="25"/>
      <c r="F439" s="22"/>
      <c r="G439" s="25"/>
      <c r="H439" s="22"/>
      <c r="I439" s="25"/>
      <c r="J439" s="22"/>
    </row>
    <row r="440" ht="15.75" customHeight="1">
      <c r="A440" s="25"/>
      <c r="B440" s="22"/>
      <c r="C440" s="25"/>
      <c r="D440" s="22"/>
      <c r="E440" s="25"/>
      <c r="F440" s="22"/>
      <c r="G440" s="25"/>
      <c r="H440" s="22"/>
      <c r="I440" s="25"/>
      <c r="J440" s="22"/>
    </row>
    <row r="441" ht="15.75" customHeight="1">
      <c r="A441" s="25"/>
      <c r="B441" s="22"/>
      <c r="C441" s="25"/>
      <c r="D441" s="22"/>
      <c r="E441" s="25"/>
      <c r="F441" s="22"/>
      <c r="G441" s="25"/>
      <c r="H441" s="22"/>
      <c r="I441" s="25"/>
      <c r="J441" s="22"/>
    </row>
    <row r="442" ht="15.75" customHeight="1">
      <c r="A442" s="25"/>
      <c r="B442" s="22"/>
      <c r="C442" s="25"/>
      <c r="D442" s="22"/>
      <c r="E442" s="25"/>
      <c r="F442" s="22"/>
      <c r="G442" s="25"/>
      <c r="H442" s="22"/>
      <c r="I442" s="25"/>
      <c r="J442" s="22"/>
    </row>
    <row r="443" ht="15.75" customHeight="1">
      <c r="A443" s="25"/>
      <c r="B443" s="22"/>
      <c r="C443" s="25"/>
      <c r="D443" s="22"/>
      <c r="E443" s="25"/>
      <c r="F443" s="22"/>
      <c r="G443" s="25"/>
      <c r="H443" s="22"/>
      <c r="I443" s="25"/>
      <c r="J443" s="22"/>
    </row>
    <row r="444" ht="15.75" customHeight="1">
      <c r="A444" s="25"/>
      <c r="B444" s="22"/>
      <c r="C444" s="25"/>
      <c r="D444" s="22"/>
      <c r="E444" s="25"/>
      <c r="F444" s="22"/>
      <c r="G444" s="25"/>
      <c r="H444" s="22"/>
      <c r="I444" s="25"/>
      <c r="J444" s="22"/>
    </row>
    <row r="445" ht="15.75" customHeight="1">
      <c r="A445" s="25"/>
      <c r="B445" s="22"/>
      <c r="C445" s="25"/>
      <c r="D445" s="22"/>
      <c r="E445" s="25"/>
      <c r="F445" s="22"/>
      <c r="G445" s="25"/>
      <c r="H445" s="22"/>
      <c r="I445" s="25"/>
      <c r="J445" s="22"/>
    </row>
    <row r="446" ht="15.75" customHeight="1">
      <c r="A446" s="25"/>
      <c r="B446" s="22"/>
      <c r="C446" s="25"/>
      <c r="D446" s="22"/>
      <c r="E446" s="25"/>
      <c r="F446" s="22"/>
      <c r="G446" s="25"/>
      <c r="H446" s="22"/>
      <c r="I446" s="25"/>
      <c r="J446" s="22"/>
    </row>
    <row r="447" ht="15.75" customHeight="1">
      <c r="A447" s="25"/>
      <c r="B447" s="22"/>
      <c r="C447" s="25"/>
      <c r="D447" s="22"/>
      <c r="E447" s="25"/>
      <c r="F447" s="22"/>
      <c r="G447" s="25"/>
      <c r="H447" s="22"/>
      <c r="I447" s="25"/>
      <c r="J447" s="22"/>
    </row>
    <row r="448" ht="15.75" customHeight="1">
      <c r="A448" s="25"/>
      <c r="B448" s="22"/>
      <c r="C448" s="25"/>
      <c r="D448" s="22"/>
      <c r="E448" s="25"/>
      <c r="F448" s="22"/>
      <c r="G448" s="25"/>
      <c r="H448" s="22"/>
      <c r="I448" s="25"/>
      <c r="J448" s="22"/>
    </row>
    <row r="449" ht="15.75" customHeight="1">
      <c r="A449" s="25"/>
      <c r="B449" s="22"/>
      <c r="C449" s="25"/>
      <c r="D449" s="22"/>
      <c r="E449" s="25"/>
      <c r="F449" s="22"/>
      <c r="G449" s="25"/>
      <c r="H449" s="22"/>
      <c r="I449" s="25"/>
      <c r="J449" s="22"/>
    </row>
    <row r="450" ht="15.75" customHeight="1">
      <c r="A450" s="25"/>
      <c r="B450" s="22"/>
      <c r="C450" s="25"/>
      <c r="D450" s="22"/>
      <c r="E450" s="25"/>
      <c r="F450" s="22"/>
      <c r="G450" s="25"/>
      <c r="H450" s="22"/>
      <c r="I450" s="25"/>
      <c r="J450" s="22"/>
    </row>
    <row r="451" ht="15.75" customHeight="1">
      <c r="A451" s="25"/>
      <c r="B451" s="22"/>
      <c r="C451" s="25"/>
      <c r="D451" s="22"/>
      <c r="E451" s="25"/>
      <c r="F451" s="22"/>
      <c r="G451" s="25"/>
      <c r="H451" s="22"/>
      <c r="I451" s="25"/>
      <c r="J451" s="22"/>
    </row>
    <row r="452" ht="15.75" customHeight="1">
      <c r="A452" s="25"/>
      <c r="B452" s="22"/>
      <c r="C452" s="25"/>
      <c r="D452" s="22"/>
      <c r="E452" s="25"/>
      <c r="F452" s="22"/>
      <c r="G452" s="25"/>
      <c r="H452" s="22"/>
      <c r="I452" s="25"/>
      <c r="J452" s="22"/>
    </row>
    <row r="453" ht="15.75" customHeight="1">
      <c r="A453" s="25"/>
      <c r="B453" s="22"/>
      <c r="C453" s="25"/>
      <c r="D453" s="22"/>
      <c r="E453" s="25"/>
      <c r="F453" s="22"/>
      <c r="G453" s="25"/>
      <c r="H453" s="22"/>
      <c r="I453" s="25"/>
      <c r="J453" s="22"/>
    </row>
    <row r="454" ht="15.75" customHeight="1">
      <c r="A454" s="25"/>
      <c r="B454" s="22"/>
      <c r="C454" s="25"/>
      <c r="D454" s="22"/>
      <c r="E454" s="25"/>
      <c r="F454" s="22"/>
      <c r="G454" s="25"/>
      <c r="H454" s="22"/>
      <c r="I454" s="25"/>
      <c r="J454" s="22"/>
    </row>
    <row r="455" ht="15.75" customHeight="1">
      <c r="A455" s="25"/>
      <c r="B455" s="22"/>
      <c r="C455" s="25"/>
      <c r="D455" s="22"/>
      <c r="E455" s="25"/>
      <c r="F455" s="22"/>
      <c r="G455" s="25"/>
      <c r="H455" s="22"/>
      <c r="I455" s="25"/>
      <c r="J455" s="22"/>
    </row>
    <row r="456" ht="15.75" customHeight="1">
      <c r="A456" s="25"/>
      <c r="B456" s="22"/>
      <c r="C456" s="25"/>
      <c r="D456" s="22"/>
      <c r="E456" s="25"/>
      <c r="F456" s="22"/>
      <c r="G456" s="25"/>
      <c r="H456" s="22"/>
      <c r="I456" s="25"/>
      <c r="J456" s="22"/>
    </row>
    <row r="457" ht="15.75" customHeight="1">
      <c r="A457" s="25"/>
      <c r="B457" s="22"/>
      <c r="C457" s="25"/>
      <c r="D457" s="22"/>
      <c r="E457" s="25"/>
      <c r="F457" s="22"/>
      <c r="G457" s="25"/>
      <c r="H457" s="22"/>
      <c r="I457" s="25"/>
      <c r="J457" s="22"/>
    </row>
    <row r="458" ht="15.75" customHeight="1">
      <c r="A458" s="25"/>
      <c r="B458" s="22"/>
      <c r="C458" s="25"/>
      <c r="D458" s="22"/>
      <c r="E458" s="25"/>
      <c r="F458" s="22"/>
      <c r="G458" s="25"/>
      <c r="H458" s="22"/>
      <c r="I458" s="25"/>
      <c r="J458" s="22"/>
    </row>
    <row r="459" ht="15.75" customHeight="1">
      <c r="A459" s="25"/>
      <c r="B459" s="22"/>
      <c r="C459" s="25"/>
      <c r="D459" s="22"/>
      <c r="E459" s="25"/>
      <c r="F459" s="22"/>
      <c r="G459" s="25"/>
      <c r="H459" s="22"/>
      <c r="I459" s="25"/>
      <c r="J459" s="22"/>
    </row>
    <row r="460" ht="15.75" customHeight="1">
      <c r="A460" s="25"/>
      <c r="B460" s="22"/>
      <c r="C460" s="25"/>
      <c r="D460" s="22"/>
      <c r="E460" s="25"/>
      <c r="F460" s="22"/>
      <c r="G460" s="25"/>
      <c r="H460" s="22"/>
      <c r="I460" s="25"/>
      <c r="J460" s="22"/>
    </row>
    <row r="461" ht="15.75" customHeight="1">
      <c r="A461" s="25"/>
      <c r="B461" s="22"/>
      <c r="C461" s="25"/>
      <c r="D461" s="22"/>
      <c r="E461" s="25"/>
      <c r="F461" s="22"/>
      <c r="G461" s="25"/>
      <c r="H461" s="22"/>
      <c r="I461" s="25"/>
      <c r="J461" s="22"/>
    </row>
    <row r="462" ht="15.75" customHeight="1">
      <c r="A462" s="25"/>
      <c r="B462" s="22"/>
      <c r="C462" s="25"/>
      <c r="D462" s="22"/>
      <c r="E462" s="25"/>
      <c r="F462" s="22"/>
      <c r="G462" s="25"/>
      <c r="H462" s="22"/>
      <c r="I462" s="25"/>
      <c r="J462" s="22"/>
    </row>
    <row r="463" ht="15.75" customHeight="1">
      <c r="A463" s="25"/>
      <c r="B463" s="22"/>
      <c r="C463" s="25"/>
      <c r="D463" s="22"/>
      <c r="E463" s="25"/>
      <c r="F463" s="22"/>
      <c r="G463" s="25"/>
      <c r="H463" s="22"/>
      <c r="I463" s="25"/>
      <c r="J463" s="22"/>
    </row>
    <row r="464" ht="15.75" customHeight="1">
      <c r="A464" s="25"/>
      <c r="B464" s="22"/>
      <c r="C464" s="25"/>
      <c r="D464" s="22"/>
      <c r="E464" s="25"/>
      <c r="F464" s="22"/>
      <c r="G464" s="25"/>
      <c r="H464" s="22"/>
      <c r="I464" s="25"/>
      <c r="J464" s="22"/>
    </row>
    <row r="465" ht="15.75" customHeight="1">
      <c r="A465" s="25"/>
      <c r="B465" s="22"/>
      <c r="C465" s="25"/>
      <c r="D465" s="22"/>
      <c r="E465" s="25"/>
      <c r="F465" s="22"/>
      <c r="G465" s="25"/>
      <c r="H465" s="22"/>
      <c r="I465" s="25"/>
      <c r="J465" s="22"/>
    </row>
    <row r="466" ht="15.75" customHeight="1">
      <c r="A466" s="25"/>
      <c r="B466" s="22"/>
      <c r="C466" s="25"/>
      <c r="D466" s="22"/>
      <c r="E466" s="25"/>
      <c r="F466" s="22"/>
      <c r="G466" s="25"/>
      <c r="H466" s="22"/>
      <c r="I466" s="25"/>
      <c r="J466" s="22"/>
    </row>
    <row r="467" ht="15.75" customHeight="1">
      <c r="A467" s="25"/>
      <c r="B467" s="22"/>
      <c r="C467" s="25"/>
      <c r="D467" s="22"/>
      <c r="E467" s="25"/>
      <c r="F467" s="22"/>
      <c r="G467" s="25"/>
      <c r="H467" s="22"/>
      <c r="I467" s="25"/>
      <c r="J467" s="22"/>
    </row>
    <row r="468" ht="15.75" customHeight="1">
      <c r="A468" s="25"/>
      <c r="B468" s="22"/>
      <c r="C468" s="25"/>
      <c r="D468" s="22"/>
      <c r="E468" s="25"/>
      <c r="F468" s="22"/>
      <c r="G468" s="25"/>
      <c r="H468" s="22"/>
      <c r="I468" s="25"/>
      <c r="J468" s="22"/>
    </row>
    <row r="469" ht="15.75" customHeight="1">
      <c r="A469" s="25"/>
      <c r="B469" s="22"/>
      <c r="C469" s="25"/>
      <c r="D469" s="22"/>
      <c r="E469" s="25"/>
      <c r="F469" s="22"/>
      <c r="G469" s="25"/>
      <c r="H469" s="22"/>
      <c r="I469" s="25"/>
      <c r="J469" s="22"/>
    </row>
    <row r="470" ht="15.75" customHeight="1">
      <c r="A470" s="25"/>
      <c r="B470" s="22"/>
      <c r="C470" s="25"/>
      <c r="D470" s="22"/>
      <c r="E470" s="25"/>
      <c r="F470" s="22"/>
      <c r="G470" s="25"/>
      <c r="H470" s="22"/>
      <c r="I470" s="25"/>
      <c r="J470" s="22"/>
    </row>
    <row r="471" ht="15.75" customHeight="1">
      <c r="A471" s="25"/>
      <c r="B471" s="22"/>
      <c r="C471" s="25"/>
      <c r="D471" s="22"/>
      <c r="E471" s="25"/>
      <c r="F471" s="22"/>
      <c r="G471" s="25"/>
      <c r="H471" s="22"/>
      <c r="I471" s="25"/>
      <c r="J471" s="22"/>
    </row>
    <row r="472" ht="15.75" customHeight="1">
      <c r="A472" s="25"/>
      <c r="B472" s="22"/>
      <c r="C472" s="25"/>
      <c r="D472" s="22"/>
      <c r="E472" s="25"/>
      <c r="F472" s="22"/>
      <c r="G472" s="25"/>
      <c r="H472" s="22"/>
      <c r="I472" s="25"/>
      <c r="J472" s="22"/>
    </row>
    <row r="473" ht="15.75" customHeight="1">
      <c r="A473" s="25"/>
      <c r="B473" s="22"/>
      <c r="C473" s="25"/>
      <c r="D473" s="22"/>
      <c r="E473" s="25"/>
      <c r="F473" s="22"/>
      <c r="G473" s="25"/>
      <c r="H473" s="22"/>
      <c r="I473" s="25"/>
      <c r="J473" s="22"/>
    </row>
    <row r="474" ht="15.75" customHeight="1">
      <c r="A474" s="25"/>
      <c r="B474" s="22"/>
      <c r="C474" s="25"/>
      <c r="D474" s="22"/>
      <c r="E474" s="25"/>
      <c r="F474" s="22"/>
      <c r="G474" s="25"/>
      <c r="H474" s="22"/>
      <c r="I474" s="25"/>
      <c r="J474" s="22"/>
    </row>
    <row r="475" ht="15.75" customHeight="1">
      <c r="A475" s="25"/>
      <c r="B475" s="22"/>
      <c r="C475" s="25"/>
      <c r="D475" s="22"/>
      <c r="E475" s="25"/>
      <c r="F475" s="22"/>
      <c r="G475" s="25"/>
      <c r="H475" s="22"/>
      <c r="I475" s="25"/>
      <c r="J475" s="22"/>
    </row>
    <row r="476" ht="15.75" customHeight="1">
      <c r="A476" s="25"/>
      <c r="B476" s="22"/>
      <c r="C476" s="25"/>
      <c r="D476" s="22"/>
      <c r="E476" s="25"/>
      <c r="F476" s="22"/>
      <c r="G476" s="25"/>
      <c r="H476" s="22"/>
      <c r="I476" s="25"/>
      <c r="J476" s="22"/>
    </row>
    <row r="477" ht="15.75" customHeight="1">
      <c r="A477" s="25"/>
      <c r="B477" s="22"/>
      <c r="C477" s="25"/>
      <c r="D477" s="22"/>
      <c r="E477" s="25"/>
      <c r="F477" s="22"/>
      <c r="G477" s="25"/>
      <c r="H477" s="22"/>
      <c r="I477" s="25"/>
      <c r="J477" s="22"/>
    </row>
    <row r="478" ht="15.75" customHeight="1">
      <c r="A478" s="25"/>
      <c r="B478" s="22"/>
      <c r="C478" s="25"/>
      <c r="D478" s="22"/>
      <c r="E478" s="25"/>
      <c r="F478" s="22"/>
      <c r="G478" s="25"/>
      <c r="H478" s="22"/>
      <c r="I478" s="25"/>
      <c r="J478" s="22"/>
    </row>
    <row r="479" ht="15.75" customHeight="1">
      <c r="A479" s="25"/>
      <c r="B479" s="22"/>
      <c r="C479" s="25"/>
      <c r="D479" s="22"/>
      <c r="E479" s="25"/>
      <c r="F479" s="22"/>
      <c r="G479" s="25"/>
      <c r="H479" s="22"/>
      <c r="I479" s="25"/>
      <c r="J479" s="22"/>
    </row>
    <row r="480" ht="15.75" customHeight="1">
      <c r="A480" s="25"/>
      <c r="B480" s="22"/>
      <c r="C480" s="25"/>
      <c r="D480" s="22"/>
      <c r="E480" s="25"/>
      <c r="F480" s="22"/>
      <c r="G480" s="25"/>
      <c r="H480" s="22"/>
      <c r="I480" s="25"/>
      <c r="J480" s="22"/>
    </row>
    <row r="481" ht="15.75" customHeight="1">
      <c r="A481" s="25"/>
      <c r="B481" s="22"/>
      <c r="C481" s="25"/>
      <c r="D481" s="22"/>
      <c r="E481" s="25"/>
      <c r="F481" s="22"/>
      <c r="G481" s="25"/>
      <c r="H481" s="22"/>
      <c r="I481" s="25"/>
      <c r="J481" s="22"/>
    </row>
    <row r="482" ht="15.75" customHeight="1">
      <c r="A482" s="25"/>
      <c r="B482" s="22"/>
      <c r="C482" s="25"/>
      <c r="D482" s="22"/>
      <c r="E482" s="25"/>
      <c r="F482" s="22"/>
      <c r="G482" s="25"/>
      <c r="H482" s="22"/>
      <c r="I482" s="25"/>
      <c r="J482" s="22"/>
    </row>
    <row r="483" ht="15.75" customHeight="1">
      <c r="A483" s="25"/>
      <c r="B483" s="22"/>
      <c r="C483" s="25"/>
      <c r="D483" s="22"/>
      <c r="E483" s="25"/>
      <c r="F483" s="22"/>
      <c r="G483" s="25"/>
      <c r="H483" s="22"/>
      <c r="I483" s="25"/>
      <c r="J483" s="22"/>
    </row>
    <row r="484" ht="15.75" customHeight="1">
      <c r="A484" s="25"/>
      <c r="B484" s="22"/>
      <c r="C484" s="25"/>
      <c r="D484" s="22"/>
      <c r="E484" s="25"/>
      <c r="F484" s="22"/>
      <c r="G484" s="25"/>
      <c r="H484" s="22"/>
      <c r="I484" s="25"/>
      <c r="J484" s="22"/>
    </row>
    <row r="485" ht="15.75" customHeight="1">
      <c r="A485" s="25"/>
      <c r="B485" s="22"/>
      <c r="C485" s="25"/>
      <c r="D485" s="22"/>
      <c r="E485" s="25"/>
      <c r="F485" s="22"/>
      <c r="G485" s="25"/>
      <c r="H485" s="22"/>
      <c r="I485" s="25"/>
      <c r="J485" s="22"/>
    </row>
    <row r="486" ht="15.75" customHeight="1">
      <c r="A486" s="25"/>
      <c r="B486" s="22"/>
      <c r="C486" s="25"/>
      <c r="D486" s="22"/>
      <c r="E486" s="25"/>
      <c r="F486" s="22"/>
      <c r="G486" s="25"/>
      <c r="H486" s="22"/>
      <c r="I486" s="25"/>
      <c r="J486" s="22"/>
    </row>
    <row r="487" ht="15.75" customHeight="1">
      <c r="A487" s="25"/>
      <c r="B487" s="22"/>
      <c r="C487" s="25"/>
      <c r="D487" s="22"/>
      <c r="E487" s="25"/>
      <c r="F487" s="22"/>
      <c r="G487" s="25"/>
      <c r="H487" s="22"/>
      <c r="I487" s="25"/>
      <c r="J487" s="22"/>
    </row>
    <row r="488" ht="15.75" customHeight="1">
      <c r="A488" s="25"/>
      <c r="B488" s="22"/>
      <c r="C488" s="25"/>
      <c r="D488" s="22"/>
      <c r="E488" s="25"/>
      <c r="F488" s="22"/>
      <c r="G488" s="25"/>
      <c r="H488" s="22"/>
      <c r="I488" s="25"/>
      <c r="J488" s="22"/>
    </row>
    <row r="489" ht="15.75" customHeight="1">
      <c r="A489" s="25"/>
      <c r="B489" s="22"/>
      <c r="C489" s="25"/>
      <c r="D489" s="22"/>
      <c r="E489" s="25"/>
      <c r="F489" s="22"/>
      <c r="G489" s="25"/>
      <c r="H489" s="22"/>
      <c r="I489" s="25"/>
      <c r="J489" s="22"/>
    </row>
    <row r="490" ht="15.75" customHeight="1">
      <c r="A490" s="25"/>
      <c r="B490" s="22"/>
      <c r="C490" s="25"/>
      <c r="D490" s="22"/>
      <c r="E490" s="25"/>
      <c r="F490" s="22"/>
      <c r="G490" s="25"/>
      <c r="H490" s="22"/>
      <c r="I490" s="25"/>
      <c r="J490" s="22"/>
    </row>
    <row r="491" ht="15.75" customHeight="1">
      <c r="A491" s="25"/>
      <c r="B491" s="22"/>
      <c r="C491" s="25"/>
      <c r="D491" s="22"/>
      <c r="E491" s="25"/>
      <c r="F491" s="22"/>
      <c r="G491" s="25"/>
      <c r="H491" s="22"/>
      <c r="I491" s="25"/>
      <c r="J491" s="22"/>
    </row>
    <row r="492" ht="15.75" customHeight="1">
      <c r="A492" s="25"/>
      <c r="B492" s="22"/>
      <c r="C492" s="25"/>
      <c r="D492" s="22"/>
      <c r="E492" s="25"/>
      <c r="F492" s="22"/>
      <c r="G492" s="25"/>
      <c r="H492" s="22"/>
      <c r="I492" s="25"/>
      <c r="J492" s="22"/>
    </row>
    <row r="493" ht="15.75" customHeight="1">
      <c r="A493" s="25"/>
      <c r="B493" s="22"/>
      <c r="C493" s="25"/>
      <c r="D493" s="22"/>
      <c r="E493" s="25"/>
      <c r="F493" s="22"/>
      <c r="G493" s="25"/>
      <c r="H493" s="22"/>
      <c r="I493" s="25"/>
      <c r="J493" s="22"/>
    </row>
    <row r="494" ht="15.75" customHeight="1">
      <c r="A494" s="25"/>
      <c r="B494" s="22"/>
      <c r="C494" s="25"/>
      <c r="D494" s="22"/>
      <c r="E494" s="25"/>
      <c r="F494" s="22"/>
      <c r="G494" s="25"/>
      <c r="H494" s="22"/>
      <c r="I494" s="25"/>
      <c r="J494" s="22"/>
    </row>
    <row r="495" ht="15.75" customHeight="1">
      <c r="A495" s="25"/>
      <c r="B495" s="22"/>
      <c r="C495" s="25"/>
      <c r="D495" s="22"/>
      <c r="E495" s="25"/>
      <c r="F495" s="22"/>
      <c r="G495" s="25"/>
      <c r="H495" s="22"/>
      <c r="I495" s="25"/>
      <c r="J495" s="22"/>
    </row>
    <row r="496" ht="15.75" customHeight="1">
      <c r="A496" s="25"/>
      <c r="B496" s="22"/>
      <c r="C496" s="25"/>
      <c r="D496" s="22"/>
      <c r="E496" s="25"/>
      <c r="F496" s="22"/>
      <c r="G496" s="25"/>
      <c r="H496" s="22"/>
      <c r="I496" s="25"/>
      <c r="J496" s="22"/>
    </row>
    <row r="497" ht="15.75" customHeight="1">
      <c r="A497" s="25"/>
      <c r="B497" s="22"/>
      <c r="C497" s="25"/>
      <c r="D497" s="22"/>
      <c r="E497" s="25"/>
      <c r="F497" s="22"/>
      <c r="G497" s="25"/>
      <c r="H497" s="22"/>
      <c r="I497" s="25"/>
      <c r="J497" s="22"/>
    </row>
    <row r="498" ht="15.75" customHeight="1">
      <c r="A498" s="25"/>
      <c r="B498" s="22"/>
      <c r="C498" s="25"/>
      <c r="D498" s="22"/>
      <c r="E498" s="25"/>
      <c r="F498" s="22"/>
      <c r="G498" s="25"/>
      <c r="H498" s="22"/>
      <c r="I498" s="25"/>
      <c r="J498" s="22"/>
    </row>
    <row r="499" ht="15.75" customHeight="1">
      <c r="A499" s="25"/>
      <c r="B499" s="22"/>
      <c r="C499" s="25"/>
      <c r="D499" s="22"/>
      <c r="E499" s="25"/>
      <c r="F499" s="22"/>
      <c r="G499" s="25"/>
      <c r="H499" s="22"/>
      <c r="I499" s="25"/>
      <c r="J499" s="22"/>
    </row>
    <row r="500" ht="15.75" customHeight="1">
      <c r="A500" s="25"/>
      <c r="B500" s="22"/>
      <c r="C500" s="25"/>
      <c r="D500" s="22"/>
      <c r="E500" s="25"/>
      <c r="F500" s="22"/>
      <c r="G500" s="25"/>
      <c r="H500" s="22"/>
      <c r="I500" s="25"/>
      <c r="J500" s="22"/>
    </row>
    <row r="501" ht="15.75" customHeight="1">
      <c r="A501" s="25"/>
      <c r="B501" s="22"/>
      <c r="C501" s="25"/>
      <c r="D501" s="22"/>
      <c r="E501" s="25"/>
      <c r="F501" s="22"/>
      <c r="G501" s="25"/>
      <c r="H501" s="22"/>
      <c r="I501" s="25"/>
      <c r="J501" s="22"/>
    </row>
    <row r="502" ht="15.75" customHeight="1">
      <c r="A502" s="25"/>
      <c r="B502" s="22"/>
      <c r="C502" s="25"/>
      <c r="D502" s="22"/>
      <c r="E502" s="25"/>
      <c r="F502" s="22"/>
      <c r="G502" s="25"/>
      <c r="H502" s="22"/>
      <c r="I502" s="25"/>
      <c r="J502" s="22"/>
    </row>
    <row r="503" ht="15.75" customHeight="1">
      <c r="A503" s="25"/>
      <c r="B503" s="22"/>
      <c r="C503" s="25"/>
      <c r="D503" s="22"/>
      <c r="E503" s="25"/>
      <c r="F503" s="22"/>
      <c r="G503" s="25"/>
      <c r="H503" s="22"/>
      <c r="I503" s="25"/>
      <c r="J503" s="22"/>
    </row>
    <row r="504" ht="15.75" customHeight="1">
      <c r="A504" s="25"/>
      <c r="B504" s="22"/>
      <c r="C504" s="25"/>
      <c r="D504" s="22"/>
      <c r="E504" s="25"/>
      <c r="F504" s="22"/>
      <c r="G504" s="25"/>
      <c r="H504" s="22"/>
      <c r="I504" s="25"/>
      <c r="J504" s="22"/>
    </row>
    <row r="505" ht="15.75" customHeight="1">
      <c r="A505" s="25"/>
      <c r="B505" s="22"/>
      <c r="C505" s="25"/>
      <c r="D505" s="22"/>
      <c r="E505" s="25"/>
      <c r="F505" s="22"/>
      <c r="G505" s="25"/>
      <c r="H505" s="22"/>
      <c r="I505" s="25"/>
      <c r="J505" s="22"/>
    </row>
    <row r="506" ht="15.75" customHeight="1">
      <c r="A506" s="25"/>
      <c r="B506" s="22"/>
      <c r="C506" s="25"/>
      <c r="D506" s="22"/>
      <c r="E506" s="25"/>
      <c r="F506" s="22"/>
      <c r="G506" s="25"/>
      <c r="H506" s="22"/>
      <c r="I506" s="25"/>
      <c r="J506" s="22"/>
    </row>
    <row r="507" ht="15.75" customHeight="1">
      <c r="A507" s="25"/>
      <c r="B507" s="22"/>
      <c r="C507" s="25"/>
      <c r="D507" s="22"/>
      <c r="E507" s="25"/>
      <c r="F507" s="22"/>
      <c r="G507" s="25"/>
      <c r="H507" s="22"/>
      <c r="I507" s="25"/>
      <c r="J507" s="22"/>
    </row>
    <row r="508" ht="15.75" customHeight="1">
      <c r="A508" s="25"/>
      <c r="B508" s="22"/>
      <c r="C508" s="25"/>
      <c r="D508" s="22"/>
      <c r="E508" s="25"/>
      <c r="F508" s="22"/>
      <c r="G508" s="25"/>
      <c r="H508" s="22"/>
      <c r="I508" s="25"/>
      <c r="J508" s="22"/>
    </row>
    <row r="509" ht="15.75" customHeight="1">
      <c r="A509" s="25"/>
      <c r="B509" s="22"/>
      <c r="C509" s="25"/>
      <c r="D509" s="22"/>
      <c r="E509" s="25"/>
      <c r="F509" s="22"/>
      <c r="G509" s="25"/>
      <c r="H509" s="22"/>
      <c r="I509" s="25"/>
      <c r="J509" s="22"/>
    </row>
    <row r="510" ht="15.75" customHeight="1">
      <c r="A510" s="25"/>
      <c r="B510" s="22"/>
      <c r="C510" s="25"/>
      <c r="D510" s="22"/>
      <c r="E510" s="25"/>
      <c r="F510" s="22"/>
      <c r="G510" s="25"/>
      <c r="H510" s="22"/>
      <c r="I510" s="25"/>
      <c r="J510" s="22"/>
    </row>
    <row r="511" ht="15.75" customHeight="1">
      <c r="A511" s="25"/>
      <c r="B511" s="22"/>
      <c r="C511" s="25"/>
      <c r="D511" s="22"/>
      <c r="E511" s="25"/>
      <c r="F511" s="22"/>
      <c r="G511" s="25"/>
      <c r="H511" s="22"/>
      <c r="I511" s="25"/>
      <c r="J511" s="22"/>
    </row>
    <row r="512" ht="15.75" customHeight="1">
      <c r="A512" s="25"/>
      <c r="B512" s="22"/>
      <c r="C512" s="25"/>
      <c r="D512" s="22"/>
      <c r="E512" s="25"/>
      <c r="F512" s="22"/>
      <c r="G512" s="25"/>
      <c r="H512" s="22"/>
      <c r="I512" s="25"/>
      <c r="J512" s="22"/>
    </row>
    <row r="513" ht="15.75" customHeight="1">
      <c r="A513" s="25"/>
      <c r="B513" s="22"/>
      <c r="C513" s="25"/>
      <c r="D513" s="22"/>
      <c r="E513" s="25"/>
      <c r="F513" s="22"/>
      <c r="G513" s="25"/>
      <c r="H513" s="22"/>
      <c r="I513" s="25"/>
      <c r="J513" s="22"/>
    </row>
    <row r="514" ht="15.75" customHeight="1">
      <c r="A514" s="25"/>
      <c r="B514" s="22"/>
      <c r="C514" s="25"/>
      <c r="D514" s="22"/>
      <c r="E514" s="25"/>
      <c r="F514" s="22"/>
      <c r="G514" s="25"/>
      <c r="H514" s="22"/>
      <c r="I514" s="25"/>
      <c r="J514" s="22"/>
    </row>
    <row r="515" ht="15.75" customHeight="1">
      <c r="A515" s="25"/>
      <c r="B515" s="22"/>
      <c r="C515" s="25"/>
      <c r="D515" s="22"/>
      <c r="E515" s="25"/>
      <c r="F515" s="22"/>
      <c r="G515" s="25"/>
      <c r="H515" s="22"/>
      <c r="I515" s="25"/>
      <c r="J515" s="22"/>
    </row>
    <row r="516" ht="15.75" customHeight="1">
      <c r="A516" s="25"/>
      <c r="B516" s="22"/>
      <c r="C516" s="25"/>
      <c r="D516" s="22"/>
      <c r="E516" s="25"/>
      <c r="F516" s="22"/>
      <c r="G516" s="25"/>
      <c r="H516" s="22"/>
      <c r="I516" s="25"/>
      <c r="J516" s="22"/>
    </row>
    <row r="517" ht="15.75" customHeight="1">
      <c r="A517" s="25"/>
      <c r="B517" s="22"/>
      <c r="C517" s="25"/>
      <c r="D517" s="22"/>
      <c r="E517" s="25"/>
      <c r="F517" s="22"/>
      <c r="G517" s="25"/>
      <c r="H517" s="22"/>
      <c r="I517" s="25"/>
      <c r="J517" s="22"/>
    </row>
    <row r="518" ht="15.75" customHeight="1">
      <c r="A518" s="25"/>
      <c r="B518" s="22"/>
      <c r="C518" s="25"/>
      <c r="D518" s="22"/>
      <c r="E518" s="25"/>
      <c r="F518" s="22"/>
      <c r="G518" s="25"/>
      <c r="H518" s="22"/>
      <c r="I518" s="25"/>
      <c r="J518" s="22"/>
    </row>
    <row r="519" ht="15.75" customHeight="1">
      <c r="A519" s="25"/>
      <c r="B519" s="22"/>
      <c r="C519" s="25"/>
      <c r="D519" s="22"/>
      <c r="E519" s="25"/>
      <c r="F519" s="22"/>
      <c r="G519" s="25"/>
      <c r="H519" s="22"/>
      <c r="I519" s="25"/>
      <c r="J519" s="22"/>
    </row>
    <row r="520" ht="15.75" customHeight="1">
      <c r="A520" s="25"/>
      <c r="B520" s="22"/>
      <c r="C520" s="25"/>
      <c r="D520" s="22"/>
      <c r="E520" s="25"/>
      <c r="F520" s="22"/>
      <c r="G520" s="25"/>
      <c r="H520" s="22"/>
      <c r="I520" s="25"/>
      <c r="J520" s="22"/>
    </row>
    <row r="521" ht="15.75" customHeight="1">
      <c r="A521" s="25"/>
      <c r="B521" s="22"/>
      <c r="C521" s="25"/>
      <c r="D521" s="22"/>
      <c r="E521" s="25"/>
      <c r="F521" s="22"/>
      <c r="G521" s="25"/>
      <c r="H521" s="22"/>
      <c r="I521" s="25"/>
      <c r="J521" s="22"/>
    </row>
    <row r="522" ht="15.75" customHeight="1">
      <c r="A522" s="25"/>
      <c r="B522" s="22"/>
      <c r="C522" s="25"/>
      <c r="D522" s="22"/>
      <c r="E522" s="25"/>
      <c r="F522" s="22"/>
      <c r="G522" s="25"/>
      <c r="H522" s="22"/>
      <c r="I522" s="25"/>
      <c r="J522" s="22"/>
    </row>
    <row r="523" ht="15.75" customHeight="1">
      <c r="A523" s="25"/>
      <c r="B523" s="22"/>
      <c r="C523" s="25"/>
      <c r="D523" s="22"/>
      <c r="E523" s="25"/>
      <c r="F523" s="22"/>
      <c r="G523" s="25"/>
      <c r="H523" s="22"/>
      <c r="I523" s="25"/>
      <c r="J523" s="22"/>
    </row>
    <row r="524" ht="15.75" customHeight="1">
      <c r="A524" s="25"/>
      <c r="B524" s="22"/>
      <c r="C524" s="25"/>
      <c r="D524" s="22"/>
      <c r="E524" s="25"/>
      <c r="F524" s="22"/>
      <c r="G524" s="25"/>
      <c r="H524" s="22"/>
      <c r="I524" s="25"/>
      <c r="J524" s="22"/>
    </row>
    <row r="525" ht="15.75" customHeight="1">
      <c r="A525" s="25"/>
      <c r="B525" s="22"/>
      <c r="C525" s="25"/>
      <c r="D525" s="22"/>
      <c r="E525" s="25"/>
      <c r="F525" s="22"/>
      <c r="G525" s="25"/>
      <c r="H525" s="22"/>
      <c r="I525" s="25"/>
      <c r="J525" s="22"/>
    </row>
    <row r="526" ht="15.75" customHeight="1">
      <c r="A526" s="25"/>
      <c r="B526" s="22"/>
      <c r="C526" s="25"/>
      <c r="D526" s="22"/>
      <c r="E526" s="25"/>
      <c r="F526" s="22"/>
      <c r="G526" s="25"/>
      <c r="H526" s="22"/>
      <c r="I526" s="25"/>
      <c r="J526" s="22"/>
    </row>
    <row r="527" ht="15.75" customHeight="1">
      <c r="A527" s="25"/>
      <c r="B527" s="22"/>
      <c r="C527" s="25"/>
      <c r="D527" s="22"/>
      <c r="E527" s="25"/>
      <c r="F527" s="22"/>
      <c r="G527" s="25"/>
      <c r="H527" s="22"/>
      <c r="I527" s="25"/>
      <c r="J527" s="22"/>
    </row>
    <row r="528" ht="15.75" customHeight="1">
      <c r="A528" s="25"/>
      <c r="B528" s="22"/>
      <c r="C528" s="25"/>
      <c r="D528" s="22"/>
      <c r="E528" s="25"/>
      <c r="F528" s="22"/>
      <c r="G528" s="25"/>
      <c r="H528" s="22"/>
      <c r="I528" s="25"/>
      <c r="J528" s="22"/>
    </row>
    <row r="529" ht="15.75" customHeight="1">
      <c r="A529" s="25"/>
      <c r="B529" s="22"/>
      <c r="C529" s="25"/>
      <c r="D529" s="22"/>
      <c r="E529" s="25"/>
      <c r="F529" s="22"/>
      <c r="G529" s="25"/>
      <c r="H529" s="22"/>
      <c r="I529" s="25"/>
      <c r="J529" s="22"/>
    </row>
    <row r="530" ht="15.75" customHeight="1">
      <c r="A530" s="25"/>
      <c r="B530" s="22"/>
      <c r="C530" s="25"/>
      <c r="D530" s="22"/>
      <c r="E530" s="25"/>
      <c r="F530" s="22"/>
      <c r="G530" s="25"/>
      <c r="H530" s="22"/>
      <c r="I530" s="25"/>
      <c r="J530" s="22"/>
    </row>
    <row r="531" ht="15.75" customHeight="1">
      <c r="A531" s="25"/>
      <c r="B531" s="22"/>
      <c r="C531" s="25"/>
      <c r="D531" s="22"/>
      <c r="E531" s="25"/>
      <c r="F531" s="22"/>
      <c r="G531" s="25"/>
      <c r="H531" s="22"/>
      <c r="I531" s="25"/>
      <c r="J531" s="22"/>
    </row>
    <row r="532" ht="15.75" customHeight="1">
      <c r="A532" s="25"/>
      <c r="B532" s="22"/>
      <c r="C532" s="25"/>
      <c r="D532" s="22"/>
      <c r="E532" s="25"/>
      <c r="F532" s="22"/>
      <c r="G532" s="25"/>
      <c r="H532" s="22"/>
      <c r="I532" s="25"/>
      <c r="J532" s="22"/>
    </row>
    <row r="533" ht="15.75" customHeight="1">
      <c r="A533" s="25"/>
      <c r="B533" s="22"/>
      <c r="C533" s="25"/>
      <c r="D533" s="22"/>
      <c r="E533" s="25"/>
      <c r="F533" s="22"/>
      <c r="G533" s="25"/>
      <c r="H533" s="22"/>
      <c r="I533" s="25"/>
      <c r="J533" s="22"/>
    </row>
    <row r="534" ht="15.75" customHeight="1">
      <c r="A534" s="25"/>
      <c r="B534" s="22"/>
      <c r="C534" s="25"/>
      <c r="D534" s="22"/>
      <c r="E534" s="25"/>
      <c r="F534" s="22"/>
      <c r="G534" s="25"/>
      <c r="H534" s="22"/>
      <c r="I534" s="25"/>
      <c r="J534" s="22"/>
    </row>
    <row r="535" ht="15.75" customHeight="1">
      <c r="A535" s="25"/>
      <c r="B535" s="22"/>
      <c r="C535" s="25"/>
      <c r="D535" s="22"/>
      <c r="E535" s="25"/>
      <c r="F535" s="22"/>
      <c r="G535" s="25"/>
      <c r="H535" s="22"/>
      <c r="I535" s="25"/>
      <c r="J535" s="22"/>
    </row>
    <row r="536" ht="15.75" customHeight="1">
      <c r="A536" s="25"/>
      <c r="B536" s="22"/>
      <c r="C536" s="25"/>
      <c r="D536" s="22"/>
      <c r="E536" s="25"/>
      <c r="F536" s="22"/>
      <c r="G536" s="25"/>
      <c r="H536" s="22"/>
      <c r="I536" s="25"/>
      <c r="J536" s="22"/>
    </row>
    <row r="537" ht="15.75" customHeight="1">
      <c r="A537" s="25"/>
      <c r="B537" s="22"/>
      <c r="C537" s="25"/>
      <c r="D537" s="22"/>
      <c r="E537" s="25"/>
      <c r="F537" s="22"/>
      <c r="G537" s="25"/>
      <c r="H537" s="22"/>
      <c r="I537" s="25"/>
      <c r="J537" s="22"/>
    </row>
    <row r="538" ht="15.75" customHeight="1">
      <c r="A538" s="25"/>
      <c r="B538" s="22"/>
      <c r="C538" s="25"/>
      <c r="D538" s="22"/>
      <c r="E538" s="25"/>
      <c r="F538" s="22"/>
      <c r="G538" s="25"/>
      <c r="H538" s="22"/>
      <c r="I538" s="25"/>
      <c r="J538" s="22"/>
    </row>
    <row r="539" ht="15.75" customHeight="1">
      <c r="A539" s="25"/>
      <c r="B539" s="22"/>
      <c r="C539" s="25"/>
      <c r="D539" s="22"/>
      <c r="E539" s="25"/>
      <c r="F539" s="22"/>
      <c r="G539" s="25"/>
      <c r="H539" s="22"/>
      <c r="I539" s="25"/>
      <c r="J539" s="22"/>
    </row>
    <row r="540" ht="15.75" customHeight="1">
      <c r="A540" s="25"/>
      <c r="B540" s="22"/>
      <c r="C540" s="25"/>
      <c r="D540" s="22"/>
      <c r="E540" s="25"/>
      <c r="F540" s="22"/>
      <c r="G540" s="25"/>
      <c r="H540" s="22"/>
      <c r="I540" s="25"/>
      <c r="J540" s="22"/>
    </row>
    <row r="541" ht="15.75" customHeight="1">
      <c r="A541" s="25"/>
      <c r="B541" s="22"/>
      <c r="C541" s="25"/>
      <c r="D541" s="22"/>
      <c r="E541" s="25"/>
      <c r="F541" s="22"/>
      <c r="G541" s="25"/>
      <c r="H541" s="22"/>
      <c r="I541" s="25"/>
      <c r="J541" s="22"/>
    </row>
    <row r="542" ht="15.75" customHeight="1">
      <c r="A542" s="25"/>
      <c r="B542" s="22"/>
      <c r="C542" s="25"/>
      <c r="D542" s="22"/>
      <c r="E542" s="25"/>
      <c r="F542" s="22"/>
      <c r="G542" s="25"/>
      <c r="H542" s="22"/>
      <c r="I542" s="25"/>
      <c r="J542" s="22"/>
    </row>
    <row r="543" ht="15.75" customHeight="1">
      <c r="A543" s="25"/>
      <c r="B543" s="22"/>
      <c r="C543" s="25"/>
      <c r="D543" s="22"/>
      <c r="E543" s="25"/>
      <c r="F543" s="22"/>
      <c r="G543" s="25"/>
      <c r="H543" s="22"/>
      <c r="I543" s="25"/>
      <c r="J543" s="22"/>
    </row>
    <row r="544" ht="15.75" customHeight="1">
      <c r="A544" s="25"/>
      <c r="B544" s="22"/>
      <c r="C544" s="25"/>
      <c r="D544" s="22"/>
      <c r="E544" s="25"/>
      <c r="F544" s="22"/>
      <c r="G544" s="25"/>
      <c r="H544" s="22"/>
      <c r="I544" s="25"/>
      <c r="J544" s="22"/>
    </row>
    <row r="545" ht="15.75" customHeight="1">
      <c r="A545" s="25"/>
      <c r="B545" s="22"/>
      <c r="C545" s="25"/>
      <c r="D545" s="22"/>
      <c r="E545" s="25"/>
      <c r="F545" s="22"/>
      <c r="G545" s="25"/>
      <c r="H545" s="22"/>
      <c r="I545" s="25"/>
      <c r="J545" s="22"/>
    </row>
    <row r="546" ht="15.75" customHeight="1">
      <c r="A546" s="25"/>
      <c r="B546" s="22"/>
      <c r="C546" s="25"/>
      <c r="D546" s="22"/>
      <c r="E546" s="25"/>
      <c r="F546" s="22"/>
      <c r="G546" s="25"/>
      <c r="H546" s="22"/>
      <c r="I546" s="25"/>
      <c r="J546" s="22"/>
    </row>
    <row r="547" ht="15.75" customHeight="1">
      <c r="A547" s="25"/>
      <c r="B547" s="22"/>
      <c r="C547" s="25"/>
      <c r="D547" s="22"/>
      <c r="E547" s="25"/>
      <c r="F547" s="22"/>
      <c r="G547" s="25"/>
      <c r="H547" s="22"/>
      <c r="I547" s="25"/>
      <c r="J547" s="22"/>
    </row>
    <row r="548" ht="15.75" customHeight="1">
      <c r="A548" s="25"/>
      <c r="B548" s="22"/>
      <c r="C548" s="25"/>
      <c r="D548" s="22"/>
      <c r="E548" s="25"/>
      <c r="F548" s="22"/>
      <c r="G548" s="25"/>
      <c r="H548" s="22"/>
      <c r="I548" s="25"/>
      <c r="J548" s="22"/>
    </row>
    <row r="549" ht="15.75" customHeight="1">
      <c r="A549" s="25"/>
      <c r="B549" s="22"/>
      <c r="C549" s="25"/>
      <c r="D549" s="22"/>
      <c r="E549" s="25"/>
      <c r="F549" s="22"/>
      <c r="G549" s="25"/>
      <c r="H549" s="22"/>
      <c r="I549" s="25"/>
      <c r="J549" s="22"/>
    </row>
    <row r="550" ht="15.75" customHeight="1">
      <c r="A550" s="25"/>
      <c r="B550" s="22"/>
      <c r="C550" s="25"/>
      <c r="D550" s="22"/>
      <c r="E550" s="25"/>
      <c r="F550" s="22"/>
      <c r="G550" s="25"/>
      <c r="H550" s="22"/>
      <c r="I550" s="25"/>
      <c r="J550" s="22"/>
    </row>
    <row r="551" ht="15.75" customHeight="1">
      <c r="A551" s="25"/>
      <c r="B551" s="22"/>
      <c r="C551" s="25"/>
      <c r="D551" s="22"/>
      <c r="E551" s="25"/>
      <c r="F551" s="22"/>
      <c r="G551" s="25"/>
      <c r="H551" s="22"/>
      <c r="I551" s="25"/>
      <c r="J551" s="22"/>
    </row>
    <row r="552" ht="15.75" customHeight="1">
      <c r="A552" s="25"/>
      <c r="B552" s="22"/>
      <c r="C552" s="25"/>
      <c r="D552" s="22"/>
      <c r="E552" s="25"/>
      <c r="F552" s="22"/>
      <c r="G552" s="25"/>
      <c r="H552" s="22"/>
      <c r="I552" s="25"/>
      <c r="J552" s="22"/>
    </row>
    <row r="553" ht="15.75" customHeight="1">
      <c r="A553" s="25"/>
      <c r="B553" s="22"/>
      <c r="C553" s="25"/>
      <c r="D553" s="22"/>
      <c r="E553" s="25"/>
      <c r="F553" s="22"/>
      <c r="G553" s="25"/>
      <c r="H553" s="22"/>
      <c r="I553" s="25"/>
      <c r="J553" s="22"/>
    </row>
    <row r="554" ht="15.75" customHeight="1">
      <c r="A554" s="25"/>
      <c r="B554" s="22"/>
      <c r="C554" s="25"/>
      <c r="D554" s="22"/>
      <c r="E554" s="25"/>
      <c r="F554" s="22"/>
      <c r="G554" s="25"/>
      <c r="H554" s="22"/>
      <c r="I554" s="25"/>
      <c r="J554" s="22"/>
    </row>
    <row r="555" ht="15.75" customHeight="1">
      <c r="A555" s="25"/>
      <c r="B555" s="22"/>
      <c r="C555" s="25"/>
      <c r="D555" s="22"/>
      <c r="E555" s="25"/>
      <c r="F555" s="22"/>
      <c r="G555" s="25"/>
      <c r="H555" s="22"/>
      <c r="I555" s="25"/>
      <c r="J555" s="22"/>
    </row>
    <row r="556" ht="15.75" customHeight="1">
      <c r="A556" s="25"/>
      <c r="B556" s="22"/>
      <c r="C556" s="25"/>
      <c r="D556" s="22"/>
      <c r="E556" s="25"/>
      <c r="F556" s="22"/>
      <c r="G556" s="25"/>
      <c r="H556" s="22"/>
      <c r="I556" s="25"/>
      <c r="J556" s="22"/>
    </row>
    <row r="557" ht="15.75" customHeight="1">
      <c r="A557" s="25"/>
      <c r="B557" s="22"/>
      <c r="C557" s="25"/>
      <c r="D557" s="22"/>
      <c r="E557" s="25"/>
      <c r="F557" s="22"/>
      <c r="G557" s="25"/>
      <c r="H557" s="22"/>
      <c r="I557" s="25"/>
      <c r="J557" s="22"/>
    </row>
    <row r="558" ht="15.75" customHeight="1">
      <c r="A558" s="25"/>
      <c r="B558" s="22"/>
      <c r="C558" s="25"/>
      <c r="D558" s="22"/>
      <c r="E558" s="25"/>
      <c r="F558" s="22"/>
      <c r="G558" s="25"/>
      <c r="H558" s="22"/>
      <c r="I558" s="25"/>
      <c r="J558" s="22"/>
    </row>
    <row r="559" ht="15.75" customHeight="1">
      <c r="A559" s="25"/>
      <c r="B559" s="22"/>
      <c r="C559" s="25"/>
      <c r="D559" s="22"/>
      <c r="E559" s="25"/>
      <c r="F559" s="22"/>
      <c r="G559" s="25"/>
      <c r="H559" s="22"/>
      <c r="I559" s="25"/>
      <c r="J559" s="22"/>
    </row>
    <row r="560" ht="15.75" customHeight="1">
      <c r="A560" s="25"/>
      <c r="B560" s="22"/>
      <c r="C560" s="25"/>
      <c r="D560" s="22"/>
      <c r="E560" s="25"/>
      <c r="F560" s="22"/>
      <c r="G560" s="25"/>
      <c r="H560" s="22"/>
      <c r="I560" s="25"/>
      <c r="J560" s="22"/>
    </row>
    <row r="561" ht="15.75" customHeight="1">
      <c r="A561" s="25"/>
      <c r="B561" s="22"/>
      <c r="C561" s="25"/>
      <c r="D561" s="22"/>
      <c r="E561" s="25"/>
      <c r="F561" s="22"/>
      <c r="G561" s="25"/>
      <c r="H561" s="22"/>
      <c r="I561" s="25"/>
      <c r="J561" s="22"/>
    </row>
    <row r="562" ht="15.75" customHeight="1">
      <c r="A562" s="25"/>
      <c r="B562" s="22"/>
      <c r="C562" s="25"/>
      <c r="D562" s="22"/>
      <c r="E562" s="25"/>
      <c r="F562" s="22"/>
      <c r="G562" s="25"/>
      <c r="H562" s="22"/>
      <c r="I562" s="25"/>
      <c r="J562" s="22"/>
    </row>
    <row r="563" ht="15.75" customHeight="1">
      <c r="A563" s="25"/>
      <c r="B563" s="22"/>
      <c r="C563" s="25"/>
      <c r="D563" s="22"/>
      <c r="E563" s="25"/>
      <c r="F563" s="22"/>
      <c r="G563" s="25"/>
      <c r="H563" s="22"/>
      <c r="I563" s="25"/>
      <c r="J563" s="22"/>
    </row>
    <row r="564" ht="15.75" customHeight="1">
      <c r="A564" s="25"/>
      <c r="B564" s="22"/>
      <c r="C564" s="25"/>
      <c r="D564" s="22"/>
      <c r="E564" s="25"/>
      <c r="F564" s="22"/>
      <c r="G564" s="25"/>
      <c r="H564" s="22"/>
      <c r="I564" s="25"/>
      <c r="J564" s="22"/>
    </row>
    <row r="565" ht="15.75" customHeight="1">
      <c r="A565" s="25"/>
      <c r="B565" s="22"/>
      <c r="C565" s="25"/>
      <c r="D565" s="22"/>
      <c r="E565" s="25"/>
      <c r="F565" s="22"/>
      <c r="G565" s="25"/>
      <c r="H565" s="22"/>
      <c r="I565" s="25"/>
      <c r="J565" s="22"/>
    </row>
    <row r="566" ht="15.75" customHeight="1">
      <c r="A566" s="25"/>
      <c r="B566" s="22"/>
      <c r="C566" s="25"/>
      <c r="D566" s="22"/>
      <c r="E566" s="25"/>
      <c r="F566" s="22"/>
      <c r="G566" s="25"/>
      <c r="H566" s="22"/>
      <c r="I566" s="25"/>
      <c r="J566" s="22"/>
    </row>
    <row r="567" ht="15.75" customHeight="1">
      <c r="A567" s="25"/>
      <c r="B567" s="22"/>
      <c r="C567" s="25"/>
      <c r="D567" s="22"/>
      <c r="E567" s="25"/>
      <c r="F567" s="22"/>
      <c r="G567" s="25"/>
      <c r="H567" s="22"/>
      <c r="I567" s="25"/>
      <c r="J567" s="22"/>
    </row>
    <row r="568" ht="15.75" customHeight="1">
      <c r="A568" s="25"/>
      <c r="B568" s="22"/>
      <c r="C568" s="25"/>
      <c r="D568" s="22"/>
      <c r="E568" s="25"/>
      <c r="F568" s="22"/>
      <c r="G568" s="25"/>
      <c r="H568" s="22"/>
      <c r="I568" s="25"/>
      <c r="J568" s="22"/>
    </row>
    <row r="569" ht="15.75" customHeight="1">
      <c r="A569" s="25"/>
      <c r="B569" s="22"/>
      <c r="C569" s="25"/>
      <c r="D569" s="22"/>
      <c r="E569" s="25"/>
      <c r="F569" s="22"/>
      <c r="G569" s="25"/>
      <c r="H569" s="22"/>
      <c r="I569" s="25"/>
      <c r="J569" s="22"/>
    </row>
    <row r="570" ht="15.75" customHeight="1">
      <c r="A570" s="25"/>
      <c r="B570" s="22"/>
      <c r="C570" s="25"/>
      <c r="D570" s="22"/>
      <c r="E570" s="25"/>
      <c r="F570" s="22"/>
      <c r="G570" s="25"/>
      <c r="H570" s="22"/>
      <c r="I570" s="25"/>
      <c r="J570" s="22"/>
    </row>
    <row r="571" ht="15.75" customHeight="1">
      <c r="A571" s="25"/>
      <c r="B571" s="22"/>
      <c r="C571" s="25"/>
      <c r="D571" s="22"/>
      <c r="E571" s="25"/>
      <c r="F571" s="22"/>
      <c r="G571" s="25"/>
      <c r="H571" s="22"/>
      <c r="I571" s="25"/>
      <c r="J571" s="22"/>
    </row>
    <row r="572" ht="15.75" customHeight="1">
      <c r="A572" s="25"/>
      <c r="B572" s="22"/>
      <c r="C572" s="25"/>
      <c r="D572" s="22"/>
      <c r="E572" s="25"/>
      <c r="F572" s="22"/>
      <c r="G572" s="25"/>
      <c r="H572" s="22"/>
      <c r="I572" s="25"/>
      <c r="J572" s="22"/>
    </row>
    <row r="573" ht="15.75" customHeight="1">
      <c r="A573" s="25"/>
      <c r="B573" s="22"/>
      <c r="C573" s="25"/>
      <c r="D573" s="22"/>
      <c r="E573" s="25"/>
      <c r="F573" s="22"/>
      <c r="G573" s="25"/>
      <c r="H573" s="22"/>
      <c r="I573" s="25"/>
      <c r="J573" s="22"/>
    </row>
    <row r="574" ht="15.75" customHeight="1">
      <c r="A574" s="25"/>
      <c r="B574" s="22"/>
      <c r="C574" s="25"/>
      <c r="D574" s="22"/>
      <c r="E574" s="25"/>
      <c r="F574" s="22"/>
      <c r="G574" s="25"/>
      <c r="H574" s="22"/>
      <c r="I574" s="25"/>
      <c r="J574" s="22"/>
    </row>
    <row r="575" ht="15.75" customHeight="1">
      <c r="A575" s="25"/>
      <c r="B575" s="22"/>
      <c r="C575" s="25"/>
      <c r="D575" s="22"/>
      <c r="E575" s="25"/>
      <c r="F575" s="22"/>
      <c r="G575" s="25"/>
      <c r="H575" s="22"/>
      <c r="I575" s="25"/>
      <c r="J575" s="22"/>
    </row>
    <row r="576" ht="15.75" customHeight="1">
      <c r="A576" s="25"/>
      <c r="B576" s="22"/>
      <c r="C576" s="25"/>
      <c r="D576" s="22"/>
      <c r="E576" s="25"/>
      <c r="F576" s="22"/>
      <c r="G576" s="25"/>
      <c r="H576" s="22"/>
      <c r="I576" s="25"/>
      <c r="J576" s="22"/>
    </row>
    <row r="577" ht="15.75" customHeight="1">
      <c r="A577" s="25"/>
      <c r="B577" s="22"/>
      <c r="C577" s="25"/>
      <c r="D577" s="22"/>
      <c r="E577" s="25"/>
      <c r="F577" s="22"/>
      <c r="G577" s="25"/>
      <c r="H577" s="22"/>
      <c r="I577" s="25"/>
      <c r="J577" s="22"/>
    </row>
    <row r="578" ht="15.75" customHeight="1">
      <c r="A578" s="25"/>
      <c r="B578" s="22"/>
      <c r="C578" s="25"/>
      <c r="D578" s="22"/>
      <c r="E578" s="25"/>
      <c r="F578" s="22"/>
      <c r="G578" s="25"/>
      <c r="H578" s="22"/>
      <c r="I578" s="25"/>
      <c r="J578" s="22"/>
    </row>
    <row r="579" ht="15.75" customHeight="1">
      <c r="A579" s="25"/>
      <c r="B579" s="22"/>
      <c r="C579" s="25"/>
      <c r="D579" s="22"/>
      <c r="E579" s="25"/>
      <c r="F579" s="22"/>
      <c r="G579" s="25"/>
      <c r="H579" s="22"/>
      <c r="I579" s="25"/>
      <c r="J579" s="22"/>
    </row>
    <row r="580" ht="15.75" customHeight="1">
      <c r="A580" s="25"/>
      <c r="B580" s="22"/>
      <c r="C580" s="25"/>
      <c r="D580" s="22"/>
      <c r="E580" s="25"/>
      <c r="F580" s="22"/>
      <c r="G580" s="25"/>
      <c r="H580" s="22"/>
      <c r="I580" s="25"/>
      <c r="J580" s="22"/>
    </row>
    <row r="581" ht="15.75" customHeight="1">
      <c r="A581" s="25"/>
      <c r="B581" s="22"/>
      <c r="C581" s="25"/>
      <c r="D581" s="22"/>
      <c r="E581" s="25"/>
      <c r="F581" s="22"/>
      <c r="G581" s="25"/>
      <c r="H581" s="22"/>
      <c r="I581" s="25"/>
      <c r="J581" s="22"/>
    </row>
    <row r="582" ht="15.75" customHeight="1">
      <c r="A582" s="25"/>
      <c r="B582" s="22"/>
      <c r="C582" s="25"/>
      <c r="D582" s="22"/>
      <c r="E582" s="25"/>
      <c r="F582" s="22"/>
      <c r="G582" s="25"/>
      <c r="H582" s="22"/>
      <c r="I582" s="25"/>
      <c r="J582" s="22"/>
    </row>
    <row r="583" ht="15.75" customHeight="1">
      <c r="A583" s="25"/>
      <c r="B583" s="22"/>
      <c r="C583" s="25"/>
      <c r="D583" s="22"/>
      <c r="E583" s="25"/>
      <c r="F583" s="22"/>
      <c r="G583" s="25"/>
      <c r="H583" s="22"/>
      <c r="I583" s="25"/>
      <c r="J583" s="22"/>
    </row>
    <row r="584" ht="15.75" customHeight="1">
      <c r="A584" s="25"/>
      <c r="B584" s="22"/>
      <c r="C584" s="25"/>
      <c r="D584" s="22"/>
      <c r="E584" s="25"/>
      <c r="F584" s="22"/>
      <c r="G584" s="25"/>
      <c r="H584" s="22"/>
      <c r="I584" s="25"/>
      <c r="J584" s="22"/>
    </row>
    <row r="585" ht="15.75" customHeight="1">
      <c r="A585" s="25"/>
      <c r="B585" s="22"/>
      <c r="C585" s="25"/>
      <c r="D585" s="22"/>
      <c r="E585" s="25"/>
      <c r="F585" s="22"/>
      <c r="G585" s="25"/>
      <c r="H585" s="22"/>
      <c r="I585" s="25"/>
      <c r="J585" s="22"/>
    </row>
    <row r="586" ht="15.75" customHeight="1">
      <c r="A586" s="25"/>
      <c r="B586" s="22"/>
      <c r="C586" s="25"/>
      <c r="D586" s="22"/>
      <c r="E586" s="25"/>
      <c r="F586" s="22"/>
      <c r="G586" s="25"/>
      <c r="H586" s="22"/>
      <c r="I586" s="25"/>
      <c r="J586" s="22"/>
    </row>
    <row r="587" ht="15.75" customHeight="1">
      <c r="A587" s="25"/>
      <c r="B587" s="22"/>
      <c r="C587" s="25"/>
      <c r="D587" s="22"/>
      <c r="E587" s="25"/>
      <c r="F587" s="22"/>
      <c r="G587" s="25"/>
      <c r="H587" s="22"/>
      <c r="I587" s="25"/>
      <c r="J587" s="22"/>
    </row>
    <row r="588" ht="15.75" customHeight="1">
      <c r="A588" s="25"/>
      <c r="B588" s="22"/>
      <c r="C588" s="25"/>
      <c r="D588" s="22"/>
      <c r="E588" s="25"/>
      <c r="F588" s="22"/>
      <c r="G588" s="25"/>
      <c r="H588" s="22"/>
      <c r="I588" s="25"/>
      <c r="J588" s="22"/>
    </row>
    <row r="589" ht="15.75" customHeight="1">
      <c r="A589" s="25"/>
      <c r="B589" s="22"/>
      <c r="C589" s="25"/>
      <c r="D589" s="22"/>
      <c r="E589" s="25"/>
      <c r="F589" s="22"/>
      <c r="G589" s="25"/>
      <c r="H589" s="22"/>
      <c r="I589" s="25"/>
      <c r="J589" s="22"/>
    </row>
    <row r="590" ht="15.75" customHeight="1">
      <c r="A590" s="25"/>
      <c r="B590" s="22"/>
      <c r="C590" s="25"/>
      <c r="D590" s="22"/>
      <c r="E590" s="25"/>
      <c r="F590" s="22"/>
      <c r="G590" s="25"/>
      <c r="H590" s="22"/>
      <c r="I590" s="25"/>
      <c r="J590" s="22"/>
    </row>
    <row r="591" ht="15.75" customHeight="1">
      <c r="A591" s="25"/>
      <c r="B591" s="22"/>
      <c r="C591" s="25"/>
      <c r="D591" s="22"/>
      <c r="E591" s="25"/>
      <c r="F591" s="22"/>
      <c r="G591" s="25"/>
      <c r="H591" s="22"/>
      <c r="I591" s="25"/>
      <c r="J591" s="22"/>
    </row>
    <row r="592" ht="15.75" customHeight="1">
      <c r="A592" s="25"/>
      <c r="B592" s="22"/>
      <c r="C592" s="25"/>
      <c r="D592" s="22"/>
      <c r="E592" s="25"/>
      <c r="F592" s="22"/>
      <c r="G592" s="25"/>
      <c r="H592" s="22"/>
      <c r="I592" s="25"/>
      <c r="J592" s="22"/>
    </row>
    <row r="593" ht="15.75" customHeight="1">
      <c r="A593" s="25"/>
      <c r="B593" s="22"/>
      <c r="C593" s="25"/>
      <c r="D593" s="22"/>
      <c r="E593" s="25"/>
      <c r="F593" s="22"/>
      <c r="G593" s="25"/>
      <c r="H593" s="22"/>
      <c r="I593" s="25"/>
      <c r="J593" s="22"/>
    </row>
    <row r="594" ht="15.75" customHeight="1">
      <c r="A594" s="25"/>
      <c r="B594" s="22"/>
      <c r="C594" s="25"/>
      <c r="D594" s="22"/>
      <c r="E594" s="25"/>
      <c r="F594" s="22"/>
      <c r="G594" s="25"/>
      <c r="H594" s="22"/>
      <c r="I594" s="25"/>
      <c r="J594" s="22"/>
    </row>
    <row r="595" ht="15.75" customHeight="1">
      <c r="A595" s="25"/>
      <c r="B595" s="22"/>
      <c r="C595" s="25"/>
      <c r="D595" s="22"/>
      <c r="E595" s="25"/>
      <c r="F595" s="22"/>
      <c r="G595" s="25"/>
      <c r="H595" s="22"/>
      <c r="I595" s="25"/>
      <c r="J595" s="22"/>
    </row>
    <row r="596" ht="15.75" customHeight="1">
      <c r="A596" s="25"/>
      <c r="B596" s="22"/>
      <c r="C596" s="25"/>
      <c r="D596" s="22"/>
      <c r="E596" s="25"/>
      <c r="F596" s="22"/>
      <c r="G596" s="25"/>
      <c r="H596" s="22"/>
      <c r="I596" s="25"/>
      <c r="J596" s="22"/>
    </row>
    <row r="597" ht="15.75" customHeight="1">
      <c r="A597" s="25"/>
      <c r="B597" s="22"/>
      <c r="C597" s="25"/>
      <c r="D597" s="22"/>
      <c r="E597" s="25"/>
      <c r="F597" s="22"/>
      <c r="G597" s="25"/>
      <c r="H597" s="22"/>
      <c r="I597" s="25"/>
      <c r="J597" s="22"/>
    </row>
    <row r="598" ht="15.75" customHeight="1">
      <c r="A598" s="25"/>
      <c r="B598" s="22"/>
      <c r="C598" s="25"/>
      <c r="D598" s="22"/>
      <c r="E598" s="25"/>
      <c r="F598" s="22"/>
      <c r="G598" s="25"/>
      <c r="H598" s="22"/>
      <c r="I598" s="25"/>
      <c r="J598" s="22"/>
    </row>
    <row r="599" ht="15.75" customHeight="1">
      <c r="A599" s="25"/>
      <c r="B599" s="22"/>
      <c r="C599" s="25"/>
      <c r="D599" s="22"/>
      <c r="E599" s="25"/>
      <c r="F599" s="22"/>
      <c r="G599" s="25"/>
      <c r="H599" s="22"/>
      <c r="I599" s="25"/>
      <c r="J599" s="22"/>
    </row>
    <row r="600" ht="15.75" customHeight="1">
      <c r="A600" s="25"/>
      <c r="B600" s="22"/>
      <c r="C600" s="25"/>
      <c r="D600" s="22"/>
      <c r="E600" s="25"/>
      <c r="F600" s="22"/>
      <c r="G600" s="25"/>
      <c r="H600" s="22"/>
      <c r="I600" s="25"/>
      <c r="J600" s="22"/>
    </row>
    <row r="601" ht="15.75" customHeight="1">
      <c r="A601" s="25"/>
      <c r="B601" s="22"/>
      <c r="C601" s="25"/>
      <c r="D601" s="22"/>
      <c r="E601" s="25"/>
      <c r="F601" s="22"/>
      <c r="G601" s="25"/>
      <c r="H601" s="22"/>
      <c r="I601" s="25"/>
      <c r="J601" s="22"/>
    </row>
    <row r="602" ht="15.75" customHeight="1">
      <c r="A602" s="25"/>
      <c r="B602" s="22"/>
      <c r="C602" s="25"/>
      <c r="D602" s="22"/>
      <c r="E602" s="25"/>
      <c r="F602" s="22"/>
      <c r="G602" s="25"/>
      <c r="H602" s="22"/>
      <c r="I602" s="25"/>
      <c r="J602" s="22"/>
    </row>
    <row r="603" ht="15.75" customHeight="1">
      <c r="A603" s="25"/>
      <c r="B603" s="22"/>
      <c r="C603" s="25"/>
      <c r="D603" s="22"/>
      <c r="E603" s="25"/>
      <c r="F603" s="22"/>
      <c r="G603" s="25"/>
      <c r="H603" s="22"/>
      <c r="I603" s="25"/>
      <c r="J603" s="22"/>
    </row>
    <row r="604" ht="15.75" customHeight="1">
      <c r="A604" s="25"/>
      <c r="B604" s="22"/>
      <c r="C604" s="25"/>
      <c r="D604" s="22"/>
      <c r="E604" s="25"/>
      <c r="F604" s="22"/>
      <c r="G604" s="25"/>
      <c r="H604" s="22"/>
      <c r="I604" s="25"/>
      <c r="J604" s="22"/>
    </row>
    <row r="605" ht="15.75" customHeight="1">
      <c r="A605" s="25"/>
      <c r="B605" s="22"/>
      <c r="C605" s="25"/>
      <c r="D605" s="22"/>
      <c r="E605" s="25"/>
      <c r="F605" s="22"/>
      <c r="G605" s="25"/>
      <c r="H605" s="22"/>
      <c r="I605" s="25"/>
      <c r="J605" s="22"/>
    </row>
    <row r="606" ht="15.75" customHeight="1">
      <c r="A606" s="25"/>
      <c r="B606" s="22"/>
      <c r="C606" s="25"/>
      <c r="D606" s="22"/>
      <c r="E606" s="25"/>
      <c r="F606" s="22"/>
      <c r="G606" s="25"/>
      <c r="H606" s="22"/>
      <c r="I606" s="25"/>
      <c r="J606" s="22"/>
    </row>
    <row r="607" ht="15.75" customHeight="1">
      <c r="A607" s="25"/>
      <c r="B607" s="22"/>
      <c r="C607" s="25"/>
      <c r="D607" s="22"/>
      <c r="E607" s="25"/>
      <c r="F607" s="22"/>
      <c r="G607" s="25"/>
      <c r="H607" s="22"/>
      <c r="I607" s="25"/>
      <c r="J607" s="22"/>
    </row>
    <row r="608" ht="15.75" customHeight="1">
      <c r="A608" s="25"/>
      <c r="B608" s="22"/>
      <c r="C608" s="25"/>
      <c r="D608" s="22"/>
      <c r="E608" s="25"/>
      <c r="F608" s="22"/>
      <c r="G608" s="25"/>
      <c r="H608" s="22"/>
      <c r="I608" s="25"/>
      <c r="J608" s="22"/>
    </row>
    <row r="609" ht="15.75" customHeight="1">
      <c r="A609" s="25"/>
      <c r="B609" s="22"/>
      <c r="C609" s="25"/>
      <c r="D609" s="22"/>
      <c r="E609" s="25"/>
      <c r="F609" s="22"/>
      <c r="G609" s="25"/>
      <c r="H609" s="22"/>
      <c r="I609" s="25"/>
      <c r="J609" s="22"/>
    </row>
    <row r="610" ht="15.75" customHeight="1">
      <c r="A610" s="25"/>
      <c r="B610" s="22"/>
      <c r="C610" s="25"/>
      <c r="D610" s="22"/>
      <c r="E610" s="25"/>
      <c r="F610" s="22"/>
      <c r="G610" s="25"/>
      <c r="H610" s="22"/>
      <c r="I610" s="25"/>
      <c r="J610" s="22"/>
    </row>
    <row r="611" ht="15.75" customHeight="1">
      <c r="A611" s="25"/>
      <c r="B611" s="22"/>
      <c r="C611" s="25"/>
      <c r="D611" s="22"/>
      <c r="E611" s="25"/>
      <c r="F611" s="22"/>
      <c r="G611" s="25"/>
      <c r="H611" s="22"/>
      <c r="I611" s="25"/>
      <c r="J611" s="22"/>
    </row>
    <row r="612" ht="15.75" customHeight="1">
      <c r="A612" s="25"/>
      <c r="B612" s="22"/>
      <c r="C612" s="25"/>
      <c r="D612" s="22"/>
      <c r="E612" s="25"/>
      <c r="F612" s="22"/>
      <c r="G612" s="25"/>
      <c r="H612" s="22"/>
      <c r="I612" s="25"/>
      <c r="J612" s="22"/>
    </row>
    <row r="613" ht="15.75" customHeight="1">
      <c r="A613" s="25"/>
      <c r="B613" s="22"/>
      <c r="C613" s="25"/>
      <c r="D613" s="22"/>
      <c r="E613" s="25"/>
      <c r="F613" s="22"/>
      <c r="G613" s="25"/>
      <c r="H613" s="22"/>
      <c r="I613" s="25"/>
      <c r="J613" s="22"/>
    </row>
    <row r="614" ht="15.75" customHeight="1">
      <c r="A614" s="25"/>
      <c r="B614" s="22"/>
      <c r="C614" s="25"/>
      <c r="D614" s="22"/>
      <c r="E614" s="25"/>
      <c r="F614" s="22"/>
      <c r="G614" s="25"/>
      <c r="H614" s="22"/>
      <c r="I614" s="25"/>
      <c r="J614" s="22"/>
    </row>
    <row r="615" ht="15.75" customHeight="1">
      <c r="A615" s="25"/>
      <c r="B615" s="22"/>
      <c r="C615" s="25"/>
      <c r="D615" s="22"/>
      <c r="E615" s="25"/>
      <c r="F615" s="22"/>
      <c r="G615" s="25"/>
      <c r="H615" s="22"/>
      <c r="I615" s="25"/>
      <c r="J615" s="22"/>
    </row>
    <row r="616" ht="15.75" customHeight="1">
      <c r="A616" s="25"/>
      <c r="B616" s="22"/>
      <c r="C616" s="25"/>
      <c r="D616" s="22"/>
      <c r="E616" s="25"/>
      <c r="F616" s="22"/>
      <c r="G616" s="25"/>
      <c r="H616" s="22"/>
      <c r="I616" s="25"/>
      <c r="J616" s="22"/>
    </row>
    <row r="617" ht="15.75" customHeight="1">
      <c r="A617" s="25"/>
      <c r="B617" s="22"/>
      <c r="C617" s="25"/>
      <c r="D617" s="22"/>
      <c r="E617" s="25"/>
      <c r="F617" s="22"/>
      <c r="G617" s="25"/>
      <c r="H617" s="22"/>
      <c r="I617" s="25"/>
      <c r="J617" s="22"/>
    </row>
    <row r="618" ht="15.75" customHeight="1">
      <c r="A618" s="25"/>
      <c r="B618" s="22"/>
      <c r="C618" s="25"/>
      <c r="D618" s="22"/>
      <c r="E618" s="25"/>
      <c r="F618" s="22"/>
      <c r="G618" s="25"/>
      <c r="H618" s="22"/>
      <c r="I618" s="25"/>
      <c r="J618" s="22"/>
    </row>
    <row r="619" ht="15.75" customHeight="1">
      <c r="A619" s="25"/>
      <c r="B619" s="22"/>
      <c r="C619" s="25"/>
      <c r="D619" s="22"/>
      <c r="E619" s="25"/>
      <c r="F619" s="22"/>
      <c r="G619" s="25"/>
      <c r="H619" s="22"/>
      <c r="I619" s="25"/>
      <c r="J619" s="22"/>
    </row>
    <row r="620" ht="15.75" customHeight="1">
      <c r="A620" s="25"/>
      <c r="B620" s="22"/>
      <c r="C620" s="25"/>
      <c r="D620" s="22"/>
      <c r="E620" s="25"/>
      <c r="F620" s="22"/>
      <c r="G620" s="25"/>
      <c r="H620" s="22"/>
      <c r="I620" s="25"/>
      <c r="J620" s="22"/>
    </row>
    <row r="621" ht="15.75" customHeight="1">
      <c r="A621" s="25"/>
      <c r="B621" s="22"/>
      <c r="C621" s="25"/>
      <c r="D621" s="22"/>
      <c r="E621" s="25"/>
      <c r="F621" s="22"/>
      <c r="G621" s="25"/>
      <c r="H621" s="22"/>
      <c r="I621" s="25"/>
      <c r="J621" s="22"/>
    </row>
    <row r="622" ht="15.75" customHeight="1">
      <c r="A622" s="25"/>
      <c r="B622" s="22"/>
      <c r="C622" s="25"/>
      <c r="D622" s="22"/>
      <c r="E622" s="25"/>
      <c r="F622" s="22"/>
      <c r="G622" s="25"/>
      <c r="H622" s="22"/>
      <c r="I622" s="25"/>
      <c r="J622" s="22"/>
    </row>
    <row r="623" ht="15.75" customHeight="1">
      <c r="A623" s="25"/>
      <c r="B623" s="22"/>
      <c r="C623" s="25"/>
      <c r="D623" s="22"/>
      <c r="E623" s="25"/>
      <c r="F623" s="22"/>
      <c r="G623" s="25"/>
      <c r="H623" s="22"/>
      <c r="I623" s="25"/>
      <c r="J623" s="22"/>
    </row>
    <row r="624" ht="15.75" customHeight="1">
      <c r="A624" s="25"/>
      <c r="B624" s="22"/>
      <c r="C624" s="25"/>
      <c r="D624" s="22"/>
      <c r="E624" s="25"/>
      <c r="F624" s="22"/>
      <c r="G624" s="25"/>
      <c r="H624" s="22"/>
      <c r="I624" s="25"/>
      <c r="J624" s="22"/>
    </row>
    <row r="625" ht="15.75" customHeight="1">
      <c r="A625" s="25"/>
      <c r="B625" s="22"/>
      <c r="C625" s="25"/>
      <c r="D625" s="22"/>
      <c r="E625" s="25"/>
      <c r="F625" s="22"/>
      <c r="G625" s="25"/>
      <c r="H625" s="22"/>
      <c r="I625" s="25"/>
      <c r="J625" s="22"/>
    </row>
    <row r="626" ht="15.75" customHeight="1">
      <c r="A626" s="25"/>
      <c r="B626" s="22"/>
      <c r="C626" s="25"/>
      <c r="D626" s="22"/>
      <c r="E626" s="25"/>
      <c r="F626" s="22"/>
      <c r="G626" s="25"/>
      <c r="H626" s="22"/>
      <c r="I626" s="25"/>
      <c r="J626" s="22"/>
    </row>
    <row r="627" ht="15.75" customHeight="1">
      <c r="A627" s="25"/>
      <c r="B627" s="22"/>
      <c r="C627" s="25"/>
      <c r="D627" s="22"/>
      <c r="E627" s="25"/>
      <c r="F627" s="22"/>
      <c r="G627" s="25"/>
      <c r="H627" s="22"/>
      <c r="I627" s="25"/>
      <c r="J627" s="22"/>
    </row>
    <row r="628" ht="15.75" customHeight="1">
      <c r="A628" s="25"/>
      <c r="B628" s="22"/>
      <c r="C628" s="25"/>
      <c r="D628" s="22"/>
      <c r="E628" s="25"/>
      <c r="F628" s="22"/>
      <c r="G628" s="25"/>
      <c r="H628" s="22"/>
      <c r="I628" s="25"/>
      <c r="J628" s="22"/>
    </row>
    <row r="629" ht="15.75" customHeight="1">
      <c r="A629" s="25"/>
      <c r="B629" s="22"/>
      <c r="C629" s="25"/>
      <c r="D629" s="22"/>
      <c r="E629" s="25"/>
      <c r="F629" s="22"/>
      <c r="G629" s="25"/>
      <c r="H629" s="22"/>
      <c r="I629" s="25"/>
      <c r="J629" s="22"/>
    </row>
    <row r="630" ht="15.75" customHeight="1">
      <c r="A630" s="25"/>
      <c r="B630" s="22"/>
      <c r="C630" s="25"/>
      <c r="D630" s="22"/>
      <c r="E630" s="25"/>
      <c r="F630" s="22"/>
      <c r="G630" s="25"/>
      <c r="H630" s="22"/>
      <c r="I630" s="25"/>
      <c r="J630" s="22"/>
    </row>
    <row r="631" ht="15.75" customHeight="1">
      <c r="A631" s="25"/>
      <c r="B631" s="22"/>
      <c r="C631" s="25"/>
      <c r="D631" s="22"/>
      <c r="E631" s="25"/>
      <c r="F631" s="22"/>
      <c r="G631" s="25"/>
      <c r="H631" s="22"/>
      <c r="I631" s="25"/>
      <c r="J631" s="22"/>
    </row>
    <row r="632" ht="15.75" customHeight="1">
      <c r="A632" s="25"/>
      <c r="B632" s="22"/>
      <c r="C632" s="25"/>
      <c r="D632" s="22"/>
      <c r="E632" s="25"/>
      <c r="F632" s="22"/>
      <c r="G632" s="25"/>
      <c r="H632" s="22"/>
      <c r="I632" s="25"/>
      <c r="J632" s="22"/>
    </row>
    <row r="633" ht="15.75" customHeight="1">
      <c r="A633" s="25"/>
      <c r="B633" s="22"/>
      <c r="C633" s="25"/>
      <c r="D633" s="22"/>
      <c r="E633" s="25"/>
      <c r="F633" s="22"/>
      <c r="G633" s="25"/>
      <c r="H633" s="22"/>
      <c r="I633" s="25"/>
      <c r="J633" s="22"/>
    </row>
    <row r="634" ht="15.75" customHeight="1">
      <c r="A634" s="25"/>
      <c r="B634" s="22"/>
      <c r="C634" s="25"/>
      <c r="D634" s="22"/>
      <c r="E634" s="25"/>
      <c r="F634" s="22"/>
      <c r="G634" s="25"/>
      <c r="H634" s="22"/>
      <c r="I634" s="25"/>
      <c r="J634" s="22"/>
    </row>
    <row r="635" ht="15.75" customHeight="1">
      <c r="A635" s="25"/>
      <c r="B635" s="22"/>
      <c r="C635" s="25"/>
      <c r="D635" s="22"/>
      <c r="E635" s="25"/>
      <c r="F635" s="22"/>
      <c r="G635" s="25"/>
      <c r="H635" s="22"/>
      <c r="I635" s="25"/>
      <c r="J635" s="22"/>
    </row>
    <row r="636" ht="15.75" customHeight="1">
      <c r="A636" s="25"/>
      <c r="B636" s="22"/>
      <c r="C636" s="25"/>
      <c r="D636" s="22"/>
      <c r="E636" s="25"/>
      <c r="F636" s="22"/>
      <c r="G636" s="25"/>
      <c r="H636" s="22"/>
      <c r="I636" s="25"/>
      <c r="J636" s="22"/>
    </row>
    <row r="637" ht="15.75" customHeight="1">
      <c r="A637" s="25"/>
      <c r="B637" s="22"/>
      <c r="C637" s="25"/>
      <c r="D637" s="22"/>
      <c r="E637" s="25"/>
      <c r="F637" s="22"/>
      <c r="G637" s="25"/>
      <c r="H637" s="22"/>
      <c r="I637" s="25"/>
      <c r="J637" s="22"/>
    </row>
    <row r="638" ht="15.75" customHeight="1">
      <c r="A638" s="25"/>
      <c r="B638" s="22"/>
      <c r="C638" s="25"/>
      <c r="D638" s="22"/>
      <c r="E638" s="25"/>
      <c r="F638" s="22"/>
      <c r="G638" s="25"/>
      <c r="H638" s="22"/>
      <c r="I638" s="25"/>
      <c r="J638" s="22"/>
    </row>
    <row r="639" ht="15.75" customHeight="1">
      <c r="A639" s="25"/>
      <c r="B639" s="22"/>
      <c r="C639" s="25"/>
      <c r="D639" s="22"/>
      <c r="E639" s="25"/>
      <c r="F639" s="22"/>
      <c r="G639" s="25"/>
      <c r="H639" s="22"/>
      <c r="I639" s="25"/>
      <c r="J639" s="22"/>
    </row>
    <row r="640" ht="15.75" customHeight="1">
      <c r="A640" s="25"/>
      <c r="B640" s="22"/>
      <c r="C640" s="25"/>
      <c r="D640" s="22"/>
      <c r="E640" s="25"/>
      <c r="F640" s="22"/>
      <c r="G640" s="25"/>
      <c r="H640" s="22"/>
      <c r="I640" s="25"/>
      <c r="J640" s="22"/>
    </row>
    <row r="641" ht="15.75" customHeight="1">
      <c r="A641" s="25"/>
      <c r="B641" s="22"/>
      <c r="C641" s="25"/>
      <c r="D641" s="22"/>
      <c r="E641" s="25"/>
      <c r="F641" s="22"/>
      <c r="G641" s="25"/>
      <c r="H641" s="22"/>
      <c r="I641" s="25"/>
      <c r="J641" s="22"/>
    </row>
    <row r="642" ht="15.75" customHeight="1">
      <c r="A642" s="25"/>
      <c r="B642" s="22"/>
      <c r="C642" s="25"/>
      <c r="D642" s="22"/>
      <c r="E642" s="25"/>
      <c r="F642" s="22"/>
      <c r="G642" s="25"/>
      <c r="H642" s="22"/>
      <c r="I642" s="25"/>
      <c r="J642" s="22"/>
    </row>
    <row r="643" ht="15.75" customHeight="1">
      <c r="A643" s="25"/>
      <c r="B643" s="22"/>
      <c r="C643" s="25"/>
      <c r="D643" s="22"/>
      <c r="E643" s="25"/>
      <c r="F643" s="22"/>
      <c r="G643" s="25"/>
      <c r="H643" s="22"/>
      <c r="I643" s="25"/>
      <c r="J643" s="22"/>
    </row>
    <row r="644" ht="15.75" customHeight="1">
      <c r="A644" s="25"/>
      <c r="B644" s="22"/>
      <c r="C644" s="25"/>
      <c r="D644" s="22"/>
      <c r="E644" s="25"/>
      <c r="F644" s="22"/>
      <c r="G644" s="25"/>
      <c r="H644" s="22"/>
      <c r="I644" s="25"/>
      <c r="J644" s="22"/>
    </row>
    <row r="645" ht="15.75" customHeight="1">
      <c r="A645" s="25"/>
      <c r="B645" s="22"/>
      <c r="C645" s="25"/>
      <c r="D645" s="22"/>
      <c r="E645" s="25"/>
      <c r="F645" s="22"/>
      <c r="G645" s="25"/>
      <c r="H645" s="22"/>
      <c r="I645" s="25"/>
      <c r="J645" s="22"/>
    </row>
    <row r="646" ht="15.75" customHeight="1">
      <c r="A646" s="25"/>
      <c r="B646" s="22"/>
      <c r="C646" s="25"/>
      <c r="D646" s="22"/>
      <c r="E646" s="25"/>
      <c r="F646" s="22"/>
      <c r="G646" s="25"/>
      <c r="H646" s="22"/>
      <c r="I646" s="25"/>
      <c r="J646" s="22"/>
    </row>
    <row r="647" ht="15.75" customHeight="1">
      <c r="A647" s="25"/>
      <c r="B647" s="22"/>
      <c r="C647" s="25"/>
      <c r="D647" s="22"/>
      <c r="E647" s="25"/>
      <c r="F647" s="22"/>
      <c r="G647" s="25"/>
      <c r="H647" s="22"/>
      <c r="I647" s="25"/>
      <c r="J647" s="22"/>
    </row>
    <row r="648" ht="15.75" customHeight="1">
      <c r="A648" s="25"/>
      <c r="B648" s="22"/>
      <c r="C648" s="25"/>
      <c r="D648" s="22"/>
      <c r="E648" s="25"/>
      <c r="F648" s="22"/>
      <c r="G648" s="25"/>
      <c r="H648" s="22"/>
      <c r="I648" s="25"/>
      <c r="J648" s="22"/>
    </row>
    <row r="649" ht="15.75" customHeight="1">
      <c r="A649" s="25"/>
      <c r="B649" s="22"/>
      <c r="C649" s="25"/>
      <c r="D649" s="22"/>
      <c r="E649" s="25"/>
      <c r="F649" s="22"/>
      <c r="G649" s="25"/>
      <c r="H649" s="22"/>
      <c r="I649" s="25"/>
      <c r="J649" s="22"/>
    </row>
    <row r="650" ht="15.75" customHeight="1">
      <c r="A650" s="25"/>
      <c r="B650" s="22"/>
      <c r="C650" s="25"/>
      <c r="D650" s="22"/>
      <c r="E650" s="25"/>
      <c r="F650" s="22"/>
      <c r="G650" s="25"/>
      <c r="H650" s="22"/>
      <c r="I650" s="25"/>
      <c r="J650" s="22"/>
    </row>
    <row r="651" ht="15.75" customHeight="1">
      <c r="A651" s="25"/>
      <c r="B651" s="22"/>
      <c r="C651" s="25"/>
      <c r="D651" s="22"/>
      <c r="E651" s="25"/>
      <c r="F651" s="22"/>
      <c r="G651" s="25"/>
      <c r="H651" s="22"/>
      <c r="I651" s="25"/>
      <c r="J651" s="22"/>
    </row>
    <row r="652" ht="15.75" customHeight="1">
      <c r="A652" s="25"/>
      <c r="B652" s="22"/>
      <c r="C652" s="25"/>
      <c r="D652" s="22"/>
      <c r="E652" s="25"/>
      <c r="F652" s="22"/>
      <c r="G652" s="25"/>
      <c r="H652" s="22"/>
      <c r="I652" s="25"/>
      <c r="J652" s="22"/>
    </row>
    <row r="653" ht="15.75" customHeight="1">
      <c r="A653" s="25"/>
      <c r="B653" s="22"/>
      <c r="C653" s="25"/>
      <c r="D653" s="22"/>
      <c r="E653" s="25"/>
      <c r="F653" s="22"/>
      <c r="G653" s="25"/>
      <c r="H653" s="22"/>
      <c r="I653" s="25"/>
      <c r="J653" s="22"/>
    </row>
    <row r="654" ht="15.75" customHeight="1">
      <c r="A654" s="25"/>
      <c r="B654" s="22"/>
      <c r="C654" s="25"/>
      <c r="D654" s="22"/>
      <c r="E654" s="25"/>
      <c r="F654" s="22"/>
      <c r="G654" s="25"/>
      <c r="H654" s="22"/>
      <c r="I654" s="25"/>
      <c r="J654" s="22"/>
    </row>
    <row r="655" ht="15.75" customHeight="1">
      <c r="A655" s="25"/>
      <c r="B655" s="22"/>
      <c r="C655" s="25"/>
      <c r="D655" s="22"/>
      <c r="E655" s="25"/>
      <c r="F655" s="22"/>
      <c r="G655" s="25"/>
      <c r="H655" s="22"/>
      <c r="I655" s="25"/>
      <c r="J655" s="22"/>
    </row>
    <row r="656" ht="15.75" customHeight="1">
      <c r="A656" s="25"/>
      <c r="B656" s="22"/>
      <c r="C656" s="25"/>
      <c r="D656" s="22"/>
      <c r="E656" s="25"/>
      <c r="F656" s="22"/>
      <c r="G656" s="25"/>
      <c r="H656" s="22"/>
      <c r="I656" s="25"/>
      <c r="J656" s="22"/>
    </row>
    <row r="657" ht="15.75" customHeight="1">
      <c r="A657" s="25"/>
      <c r="B657" s="22"/>
      <c r="C657" s="25"/>
      <c r="D657" s="22"/>
      <c r="E657" s="25"/>
      <c r="F657" s="22"/>
      <c r="G657" s="25"/>
      <c r="H657" s="22"/>
      <c r="I657" s="25"/>
      <c r="J657" s="22"/>
    </row>
    <row r="658" ht="15.75" customHeight="1">
      <c r="A658" s="25"/>
      <c r="B658" s="22"/>
      <c r="C658" s="25"/>
      <c r="D658" s="22"/>
      <c r="E658" s="25"/>
      <c r="F658" s="22"/>
      <c r="G658" s="25"/>
      <c r="H658" s="22"/>
      <c r="I658" s="25"/>
      <c r="J658" s="22"/>
    </row>
    <row r="659" ht="15.75" customHeight="1">
      <c r="A659" s="25"/>
      <c r="B659" s="22"/>
      <c r="C659" s="25"/>
      <c r="D659" s="22"/>
      <c r="E659" s="25"/>
      <c r="F659" s="22"/>
      <c r="G659" s="25"/>
      <c r="H659" s="22"/>
      <c r="I659" s="25"/>
      <c r="J659" s="22"/>
    </row>
    <row r="660" ht="15.75" customHeight="1">
      <c r="A660" s="25"/>
      <c r="B660" s="22"/>
      <c r="C660" s="25"/>
      <c r="D660" s="22"/>
      <c r="E660" s="25"/>
      <c r="F660" s="22"/>
      <c r="G660" s="25"/>
      <c r="H660" s="22"/>
      <c r="I660" s="25"/>
      <c r="J660" s="22"/>
    </row>
    <row r="661" ht="15.75" customHeight="1">
      <c r="A661" s="25"/>
      <c r="B661" s="22"/>
      <c r="C661" s="25"/>
      <c r="D661" s="22"/>
      <c r="E661" s="25"/>
      <c r="F661" s="22"/>
      <c r="G661" s="25"/>
      <c r="H661" s="22"/>
      <c r="I661" s="25"/>
      <c r="J661" s="22"/>
    </row>
    <row r="662" ht="15.75" customHeight="1">
      <c r="A662" s="25"/>
      <c r="B662" s="22"/>
      <c r="C662" s="25"/>
      <c r="D662" s="22"/>
      <c r="E662" s="25"/>
      <c r="F662" s="22"/>
      <c r="G662" s="25"/>
      <c r="H662" s="22"/>
      <c r="I662" s="25"/>
      <c r="J662" s="22"/>
    </row>
    <row r="663" ht="15.75" customHeight="1">
      <c r="A663" s="25"/>
      <c r="B663" s="22"/>
      <c r="C663" s="25"/>
      <c r="D663" s="22"/>
      <c r="E663" s="25"/>
      <c r="F663" s="22"/>
      <c r="G663" s="25"/>
      <c r="H663" s="22"/>
      <c r="I663" s="25"/>
      <c r="J663" s="22"/>
    </row>
    <row r="664" ht="15.75" customHeight="1">
      <c r="A664" s="25"/>
      <c r="B664" s="22"/>
      <c r="C664" s="25"/>
      <c r="D664" s="22"/>
      <c r="E664" s="25"/>
      <c r="F664" s="22"/>
      <c r="G664" s="25"/>
      <c r="H664" s="22"/>
      <c r="I664" s="25"/>
      <c r="J664" s="22"/>
    </row>
    <row r="665" ht="15.75" customHeight="1">
      <c r="A665" s="25"/>
      <c r="B665" s="22"/>
      <c r="C665" s="25"/>
      <c r="D665" s="22"/>
      <c r="E665" s="25"/>
      <c r="F665" s="22"/>
      <c r="G665" s="25"/>
      <c r="H665" s="22"/>
      <c r="I665" s="25"/>
      <c r="J665" s="22"/>
    </row>
    <row r="666" ht="15.75" customHeight="1">
      <c r="A666" s="25"/>
      <c r="B666" s="22"/>
      <c r="C666" s="25"/>
      <c r="D666" s="22"/>
      <c r="E666" s="25"/>
      <c r="F666" s="22"/>
      <c r="G666" s="25"/>
      <c r="H666" s="22"/>
      <c r="I666" s="25"/>
      <c r="J666" s="22"/>
    </row>
    <row r="667" ht="15.75" customHeight="1">
      <c r="A667" s="25"/>
      <c r="B667" s="22"/>
      <c r="C667" s="25"/>
      <c r="D667" s="22"/>
      <c r="E667" s="25"/>
      <c r="F667" s="22"/>
      <c r="G667" s="25"/>
      <c r="H667" s="22"/>
      <c r="I667" s="25"/>
      <c r="J667" s="22"/>
    </row>
    <row r="668" ht="15.75" customHeight="1">
      <c r="A668" s="25"/>
      <c r="B668" s="22"/>
      <c r="C668" s="25"/>
      <c r="D668" s="22"/>
      <c r="E668" s="25"/>
      <c r="F668" s="22"/>
      <c r="G668" s="25"/>
      <c r="H668" s="22"/>
      <c r="I668" s="25"/>
      <c r="J668" s="22"/>
    </row>
    <row r="669" ht="15.75" customHeight="1">
      <c r="A669" s="25"/>
      <c r="B669" s="22"/>
      <c r="C669" s="25"/>
      <c r="D669" s="22"/>
      <c r="E669" s="25"/>
      <c r="F669" s="22"/>
      <c r="G669" s="25"/>
      <c r="H669" s="22"/>
      <c r="I669" s="25"/>
      <c r="J669" s="22"/>
    </row>
    <row r="670" ht="15.75" customHeight="1">
      <c r="A670" s="25"/>
      <c r="B670" s="22"/>
      <c r="C670" s="25"/>
      <c r="D670" s="22"/>
      <c r="E670" s="25"/>
      <c r="F670" s="22"/>
      <c r="G670" s="25"/>
      <c r="H670" s="22"/>
      <c r="I670" s="25"/>
      <c r="J670" s="22"/>
    </row>
    <row r="671" ht="15.75" customHeight="1">
      <c r="A671" s="25"/>
      <c r="B671" s="22"/>
      <c r="C671" s="25"/>
      <c r="D671" s="22"/>
      <c r="E671" s="25"/>
      <c r="F671" s="22"/>
      <c r="G671" s="25"/>
      <c r="H671" s="22"/>
      <c r="I671" s="25"/>
      <c r="J671" s="22"/>
    </row>
    <row r="672" ht="15.75" customHeight="1">
      <c r="A672" s="25"/>
      <c r="B672" s="22"/>
      <c r="C672" s="25"/>
      <c r="D672" s="22"/>
      <c r="E672" s="25"/>
      <c r="F672" s="22"/>
      <c r="G672" s="25"/>
      <c r="H672" s="22"/>
      <c r="I672" s="25"/>
      <c r="J672" s="22"/>
    </row>
    <row r="673" ht="15.75" customHeight="1">
      <c r="A673" s="25"/>
      <c r="B673" s="22"/>
      <c r="C673" s="25"/>
      <c r="D673" s="22"/>
      <c r="E673" s="25"/>
      <c r="F673" s="22"/>
      <c r="G673" s="25"/>
      <c r="H673" s="22"/>
      <c r="I673" s="25"/>
      <c r="J673" s="22"/>
    </row>
    <row r="674" ht="15.75" customHeight="1">
      <c r="A674" s="25"/>
      <c r="B674" s="22"/>
      <c r="C674" s="25"/>
      <c r="D674" s="22"/>
      <c r="E674" s="25"/>
      <c r="F674" s="22"/>
      <c r="G674" s="25"/>
      <c r="H674" s="22"/>
      <c r="I674" s="25"/>
      <c r="J674" s="22"/>
    </row>
    <row r="675" ht="15.75" customHeight="1">
      <c r="A675" s="25"/>
      <c r="B675" s="22"/>
      <c r="C675" s="25"/>
      <c r="D675" s="22"/>
      <c r="E675" s="25"/>
      <c r="F675" s="22"/>
      <c r="G675" s="25"/>
      <c r="H675" s="22"/>
      <c r="I675" s="25"/>
      <c r="J675" s="22"/>
    </row>
    <row r="676" ht="15.75" customHeight="1">
      <c r="A676" s="25"/>
      <c r="B676" s="22"/>
      <c r="C676" s="25"/>
      <c r="D676" s="22"/>
      <c r="E676" s="25"/>
      <c r="F676" s="22"/>
      <c r="G676" s="25"/>
      <c r="H676" s="22"/>
      <c r="I676" s="25"/>
      <c r="J676" s="22"/>
    </row>
    <row r="677" ht="15.75" customHeight="1">
      <c r="A677" s="25"/>
      <c r="B677" s="22"/>
      <c r="C677" s="25"/>
      <c r="D677" s="22"/>
      <c r="E677" s="25"/>
      <c r="F677" s="22"/>
      <c r="G677" s="25"/>
      <c r="H677" s="22"/>
      <c r="I677" s="25"/>
      <c r="J677" s="22"/>
    </row>
    <row r="678" ht="15.75" customHeight="1">
      <c r="A678" s="25"/>
      <c r="B678" s="22"/>
      <c r="C678" s="25"/>
      <c r="D678" s="22"/>
      <c r="E678" s="25"/>
      <c r="F678" s="22"/>
      <c r="G678" s="25"/>
      <c r="H678" s="22"/>
      <c r="I678" s="25"/>
      <c r="J678" s="22"/>
    </row>
    <row r="679" ht="15.75" customHeight="1">
      <c r="A679" s="25"/>
      <c r="B679" s="22"/>
      <c r="C679" s="25"/>
      <c r="D679" s="22"/>
      <c r="E679" s="25"/>
      <c r="F679" s="22"/>
      <c r="G679" s="25"/>
      <c r="H679" s="22"/>
      <c r="I679" s="25"/>
      <c r="J679" s="22"/>
    </row>
    <row r="680" ht="15.75" customHeight="1">
      <c r="A680" s="25"/>
      <c r="B680" s="22"/>
      <c r="C680" s="25"/>
      <c r="D680" s="22"/>
      <c r="E680" s="25"/>
      <c r="F680" s="22"/>
      <c r="G680" s="25"/>
      <c r="H680" s="22"/>
      <c r="I680" s="25"/>
      <c r="J680" s="22"/>
    </row>
    <row r="681" ht="15.75" customHeight="1">
      <c r="A681" s="25"/>
      <c r="B681" s="22"/>
      <c r="C681" s="25"/>
      <c r="D681" s="22"/>
      <c r="E681" s="25"/>
      <c r="F681" s="22"/>
      <c r="G681" s="25"/>
      <c r="H681" s="22"/>
      <c r="I681" s="25"/>
      <c r="J681" s="22"/>
    </row>
    <row r="682" ht="15.75" customHeight="1">
      <c r="A682" s="25"/>
      <c r="B682" s="22"/>
      <c r="C682" s="25"/>
      <c r="D682" s="22"/>
      <c r="E682" s="25"/>
      <c r="F682" s="22"/>
      <c r="G682" s="25"/>
      <c r="H682" s="22"/>
      <c r="I682" s="25"/>
      <c r="J682" s="22"/>
    </row>
    <row r="683" ht="15.75" customHeight="1">
      <c r="A683" s="25"/>
      <c r="B683" s="22"/>
      <c r="C683" s="25"/>
      <c r="D683" s="22"/>
      <c r="E683" s="25"/>
      <c r="F683" s="22"/>
      <c r="G683" s="25"/>
      <c r="H683" s="22"/>
      <c r="I683" s="25"/>
      <c r="J683" s="22"/>
    </row>
    <row r="684" ht="15.75" customHeight="1">
      <c r="A684" s="25"/>
      <c r="B684" s="22"/>
      <c r="C684" s="25"/>
      <c r="D684" s="22"/>
      <c r="E684" s="25"/>
      <c r="F684" s="22"/>
      <c r="G684" s="25"/>
      <c r="H684" s="22"/>
      <c r="I684" s="25"/>
      <c r="J684" s="22"/>
    </row>
    <row r="685" ht="15.75" customHeight="1">
      <c r="A685" s="25"/>
      <c r="B685" s="22"/>
      <c r="C685" s="25"/>
      <c r="D685" s="22"/>
      <c r="E685" s="25"/>
      <c r="F685" s="22"/>
      <c r="G685" s="25"/>
      <c r="H685" s="22"/>
      <c r="I685" s="25"/>
      <c r="J685" s="22"/>
    </row>
    <row r="686" ht="15.75" customHeight="1">
      <c r="A686" s="25"/>
      <c r="B686" s="22"/>
      <c r="C686" s="25"/>
      <c r="D686" s="22"/>
      <c r="E686" s="25"/>
      <c r="F686" s="22"/>
      <c r="G686" s="25"/>
      <c r="H686" s="22"/>
      <c r="I686" s="25"/>
      <c r="J686" s="22"/>
    </row>
    <row r="687" ht="15.75" customHeight="1">
      <c r="A687" s="25"/>
      <c r="B687" s="22"/>
      <c r="C687" s="25"/>
      <c r="D687" s="22"/>
      <c r="E687" s="25"/>
      <c r="F687" s="22"/>
      <c r="G687" s="25"/>
      <c r="H687" s="22"/>
      <c r="I687" s="25"/>
      <c r="J687" s="22"/>
    </row>
    <row r="688" ht="15.75" customHeight="1">
      <c r="A688" s="25"/>
      <c r="B688" s="22"/>
      <c r="C688" s="25"/>
      <c r="D688" s="22"/>
      <c r="E688" s="25"/>
      <c r="F688" s="22"/>
      <c r="G688" s="25"/>
      <c r="H688" s="22"/>
      <c r="I688" s="25"/>
      <c r="J688" s="22"/>
    </row>
    <row r="689" ht="15.75" customHeight="1">
      <c r="A689" s="25"/>
      <c r="B689" s="22"/>
      <c r="C689" s="25"/>
      <c r="D689" s="22"/>
      <c r="E689" s="25"/>
      <c r="F689" s="22"/>
      <c r="G689" s="25"/>
      <c r="H689" s="22"/>
      <c r="I689" s="25"/>
      <c r="J689" s="22"/>
    </row>
    <row r="690" ht="15.75" customHeight="1">
      <c r="A690" s="25"/>
      <c r="B690" s="22"/>
      <c r="C690" s="25"/>
      <c r="D690" s="22"/>
      <c r="E690" s="25"/>
      <c r="F690" s="22"/>
      <c r="G690" s="25"/>
      <c r="H690" s="22"/>
      <c r="I690" s="25"/>
      <c r="J690" s="22"/>
    </row>
    <row r="691" ht="15.75" customHeight="1">
      <c r="A691" s="25"/>
      <c r="B691" s="22"/>
      <c r="C691" s="25"/>
      <c r="D691" s="22"/>
      <c r="E691" s="25"/>
      <c r="F691" s="22"/>
      <c r="G691" s="25"/>
      <c r="H691" s="22"/>
      <c r="I691" s="25"/>
      <c r="J691" s="22"/>
    </row>
    <row r="692" ht="15.75" customHeight="1">
      <c r="A692" s="25"/>
      <c r="B692" s="22"/>
      <c r="C692" s="25"/>
      <c r="D692" s="22"/>
      <c r="E692" s="25"/>
      <c r="F692" s="22"/>
      <c r="G692" s="25"/>
      <c r="H692" s="22"/>
      <c r="I692" s="25"/>
      <c r="J692" s="22"/>
    </row>
    <row r="693" ht="15.75" customHeight="1">
      <c r="A693" s="25"/>
      <c r="B693" s="22"/>
      <c r="C693" s="25"/>
      <c r="D693" s="22"/>
      <c r="E693" s="25"/>
      <c r="F693" s="22"/>
      <c r="G693" s="25"/>
      <c r="H693" s="22"/>
      <c r="I693" s="25"/>
      <c r="J693" s="22"/>
    </row>
    <row r="694" ht="15.75" customHeight="1">
      <c r="A694" s="25"/>
      <c r="B694" s="22"/>
      <c r="C694" s="25"/>
      <c r="D694" s="22"/>
      <c r="E694" s="25"/>
      <c r="F694" s="22"/>
      <c r="G694" s="25"/>
      <c r="H694" s="22"/>
      <c r="I694" s="25"/>
      <c r="J694" s="22"/>
    </row>
    <row r="695" ht="15.75" customHeight="1">
      <c r="A695" s="25"/>
      <c r="B695" s="22"/>
      <c r="C695" s="25"/>
      <c r="D695" s="22"/>
      <c r="E695" s="25"/>
      <c r="F695" s="22"/>
      <c r="G695" s="25"/>
      <c r="H695" s="22"/>
      <c r="I695" s="25"/>
      <c r="J695" s="22"/>
    </row>
    <row r="696" ht="15.75" customHeight="1">
      <c r="A696" s="25"/>
      <c r="B696" s="22"/>
      <c r="C696" s="25"/>
      <c r="D696" s="22"/>
      <c r="E696" s="25"/>
      <c r="F696" s="22"/>
      <c r="G696" s="25"/>
      <c r="H696" s="22"/>
      <c r="I696" s="25"/>
      <c r="J696" s="22"/>
    </row>
    <row r="697" ht="15.75" customHeight="1">
      <c r="A697" s="25"/>
      <c r="B697" s="22"/>
      <c r="C697" s="25"/>
      <c r="D697" s="22"/>
      <c r="E697" s="25"/>
      <c r="F697" s="22"/>
      <c r="G697" s="25"/>
      <c r="H697" s="22"/>
      <c r="I697" s="25"/>
      <c r="J697" s="22"/>
    </row>
    <row r="698" ht="15.75" customHeight="1">
      <c r="A698" s="25"/>
      <c r="B698" s="22"/>
      <c r="C698" s="25"/>
      <c r="D698" s="22"/>
      <c r="E698" s="25"/>
      <c r="F698" s="22"/>
      <c r="G698" s="25"/>
      <c r="H698" s="22"/>
      <c r="I698" s="25"/>
      <c r="J698" s="22"/>
    </row>
    <row r="699" ht="15.75" customHeight="1">
      <c r="A699" s="25"/>
      <c r="B699" s="22"/>
      <c r="C699" s="25"/>
      <c r="D699" s="22"/>
      <c r="E699" s="25"/>
      <c r="F699" s="22"/>
      <c r="G699" s="25"/>
      <c r="H699" s="22"/>
      <c r="I699" s="25"/>
      <c r="J699" s="22"/>
    </row>
    <row r="700" ht="15.75" customHeight="1">
      <c r="A700" s="25"/>
      <c r="B700" s="22"/>
      <c r="C700" s="25"/>
      <c r="D700" s="22"/>
      <c r="E700" s="25"/>
      <c r="F700" s="22"/>
      <c r="G700" s="25"/>
      <c r="H700" s="22"/>
      <c r="I700" s="25"/>
      <c r="J700" s="22"/>
    </row>
    <row r="701" ht="15.75" customHeight="1">
      <c r="A701" s="25"/>
      <c r="B701" s="22"/>
      <c r="C701" s="25"/>
      <c r="D701" s="22"/>
      <c r="E701" s="25"/>
      <c r="F701" s="22"/>
      <c r="G701" s="25"/>
      <c r="H701" s="22"/>
      <c r="I701" s="25"/>
      <c r="J701" s="22"/>
    </row>
    <row r="702" ht="15.75" customHeight="1">
      <c r="A702" s="25"/>
      <c r="B702" s="22"/>
      <c r="C702" s="25"/>
      <c r="D702" s="22"/>
      <c r="E702" s="25"/>
      <c r="F702" s="22"/>
      <c r="G702" s="25"/>
      <c r="H702" s="22"/>
      <c r="I702" s="25"/>
      <c r="J702" s="22"/>
    </row>
    <row r="703" ht="15.75" customHeight="1">
      <c r="A703" s="25"/>
      <c r="B703" s="22"/>
      <c r="C703" s="25"/>
      <c r="D703" s="22"/>
      <c r="E703" s="25"/>
      <c r="F703" s="22"/>
      <c r="G703" s="25"/>
      <c r="H703" s="22"/>
      <c r="I703" s="25"/>
      <c r="J703" s="22"/>
    </row>
    <row r="704" ht="15.75" customHeight="1">
      <c r="A704" s="25"/>
      <c r="B704" s="22"/>
      <c r="C704" s="25"/>
      <c r="D704" s="22"/>
      <c r="E704" s="25"/>
      <c r="F704" s="22"/>
      <c r="G704" s="25"/>
      <c r="H704" s="22"/>
      <c r="I704" s="25"/>
      <c r="J704" s="22"/>
    </row>
    <row r="705" ht="15.75" customHeight="1">
      <c r="A705" s="25"/>
      <c r="B705" s="22"/>
      <c r="C705" s="25"/>
      <c r="D705" s="22"/>
      <c r="E705" s="25"/>
      <c r="F705" s="22"/>
      <c r="G705" s="25"/>
      <c r="H705" s="22"/>
      <c r="I705" s="25"/>
      <c r="J705" s="22"/>
    </row>
    <row r="706" ht="15.75" customHeight="1">
      <c r="A706" s="25"/>
      <c r="B706" s="22"/>
      <c r="C706" s="25"/>
      <c r="D706" s="22"/>
      <c r="E706" s="25"/>
      <c r="F706" s="22"/>
      <c r="G706" s="25"/>
      <c r="H706" s="22"/>
      <c r="I706" s="25"/>
      <c r="J706" s="22"/>
    </row>
    <row r="707" ht="15.75" customHeight="1">
      <c r="A707" s="25"/>
      <c r="B707" s="22"/>
      <c r="C707" s="25"/>
      <c r="D707" s="22"/>
      <c r="E707" s="25"/>
      <c r="F707" s="22"/>
      <c r="G707" s="25"/>
      <c r="H707" s="22"/>
      <c r="I707" s="25"/>
      <c r="J707" s="22"/>
    </row>
    <row r="708" ht="15.75" customHeight="1">
      <c r="A708" s="25"/>
      <c r="B708" s="22"/>
      <c r="C708" s="25"/>
      <c r="D708" s="22"/>
      <c r="E708" s="25"/>
      <c r="F708" s="22"/>
      <c r="G708" s="25"/>
      <c r="H708" s="22"/>
      <c r="I708" s="25"/>
      <c r="J708" s="22"/>
    </row>
    <row r="709" ht="15.75" customHeight="1">
      <c r="A709" s="25"/>
      <c r="B709" s="22"/>
      <c r="C709" s="25"/>
      <c r="D709" s="22"/>
      <c r="E709" s="25"/>
      <c r="F709" s="22"/>
      <c r="G709" s="25"/>
      <c r="H709" s="22"/>
      <c r="I709" s="25"/>
      <c r="J709" s="22"/>
    </row>
    <row r="710" ht="15.75" customHeight="1">
      <c r="A710" s="25"/>
      <c r="B710" s="22"/>
      <c r="C710" s="25"/>
      <c r="D710" s="22"/>
      <c r="E710" s="25"/>
      <c r="F710" s="22"/>
      <c r="G710" s="25"/>
      <c r="H710" s="22"/>
      <c r="I710" s="25"/>
      <c r="J710" s="22"/>
    </row>
    <row r="711" ht="15.75" customHeight="1">
      <c r="A711" s="25"/>
      <c r="B711" s="22"/>
      <c r="C711" s="25"/>
      <c r="D711" s="22"/>
      <c r="E711" s="25"/>
      <c r="F711" s="22"/>
      <c r="G711" s="25"/>
      <c r="H711" s="22"/>
      <c r="I711" s="25"/>
      <c r="J711" s="22"/>
    </row>
    <row r="712" ht="15.75" customHeight="1">
      <c r="A712" s="25"/>
      <c r="B712" s="22"/>
      <c r="C712" s="25"/>
      <c r="D712" s="22"/>
      <c r="E712" s="25"/>
      <c r="F712" s="22"/>
      <c r="G712" s="25"/>
      <c r="H712" s="22"/>
      <c r="I712" s="25"/>
      <c r="J712" s="22"/>
    </row>
    <row r="713" ht="15.75" customHeight="1">
      <c r="A713" s="25"/>
      <c r="B713" s="22"/>
      <c r="C713" s="25"/>
      <c r="D713" s="22"/>
      <c r="E713" s="25"/>
      <c r="F713" s="22"/>
      <c r="G713" s="25"/>
      <c r="H713" s="22"/>
      <c r="I713" s="25"/>
      <c r="J713" s="22"/>
    </row>
    <row r="714" ht="15.75" customHeight="1">
      <c r="A714" s="25"/>
      <c r="B714" s="22"/>
      <c r="C714" s="25"/>
      <c r="D714" s="22"/>
      <c r="E714" s="25"/>
      <c r="F714" s="22"/>
      <c r="G714" s="25"/>
      <c r="H714" s="22"/>
      <c r="I714" s="25"/>
      <c r="J714" s="22"/>
    </row>
    <row r="715" ht="15.75" customHeight="1">
      <c r="A715" s="25"/>
      <c r="B715" s="22"/>
      <c r="C715" s="25"/>
      <c r="D715" s="22"/>
      <c r="E715" s="25"/>
      <c r="F715" s="22"/>
      <c r="G715" s="25"/>
      <c r="H715" s="22"/>
      <c r="I715" s="25"/>
      <c r="J715" s="22"/>
    </row>
    <row r="716" ht="15.75" customHeight="1">
      <c r="A716" s="25"/>
      <c r="B716" s="22"/>
      <c r="C716" s="25"/>
      <c r="D716" s="22"/>
      <c r="E716" s="25"/>
      <c r="F716" s="22"/>
      <c r="G716" s="25"/>
      <c r="H716" s="22"/>
      <c r="I716" s="25"/>
      <c r="J716" s="22"/>
    </row>
    <row r="717" ht="15.75" customHeight="1">
      <c r="A717" s="25"/>
      <c r="B717" s="22"/>
      <c r="C717" s="25"/>
      <c r="D717" s="22"/>
      <c r="E717" s="25"/>
      <c r="F717" s="22"/>
      <c r="G717" s="25"/>
      <c r="H717" s="22"/>
      <c r="I717" s="25"/>
      <c r="J717" s="22"/>
    </row>
    <row r="718" ht="15.75" customHeight="1">
      <c r="A718" s="25"/>
      <c r="B718" s="22"/>
      <c r="C718" s="25"/>
      <c r="D718" s="22"/>
      <c r="E718" s="25"/>
      <c r="F718" s="22"/>
      <c r="G718" s="25"/>
      <c r="H718" s="22"/>
      <c r="I718" s="25"/>
      <c r="J718" s="22"/>
    </row>
    <row r="719" ht="15.75" customHeight="1">
      <c r="A719" s="25"/>
      <c r="B719" s="22"/>
      <c r="C719" s="25"/>
      <c r="D719" s="22"/>
      <c r="E719" s="25"/>
      <c r="F719" s="22"/>
      <c r="G719" s="25"/>
      <c r="H719" s="22"/>
      <c r="I719" s="25"/>
      <c r="J719" s="22"/>
    </row>
    <row r="720" ht="15.75" customHeight="1">
      <c r="A720" s="25"/>
      <c r="B720" s="22"/>
      <c r="C720" s="25"/>
      <c r="D720" s="22"/>
      <c r="E720" s="25"/>
      <c r="F720" s="22"/>
      <c r="G720" s="25"/>
      <c r="H720" s="22"/>
      <c r="I720" s="25"/>
      <c r="J720" s="22"/>
    </row>
    <row r="721" ht="15.75" customHeight="1">
      <c r="A721" s="25"/>
      <c r="B721" s="22"/>
      <c r="C721" s="25"/>
      <c r="D721" s="22"/>
      <c r="E721" s="25"/>
      <c r="F721" s="22"/>
      <c r="G721" s="25"/>
      <c r="H721" s="22"/>
      <c r="I721" s="25"/>
      <c r="J721" s="22"/>
    </row>
    <row r="722" ht="15.75" customHeight="1">
      <c r="A722" s="25"/>
      <c r="B722" s="22"/>
      <c r="C722" s="25"/>
      <c r="D722" s="22"/>
      <c r="E722" s="25"/>
      <c r="F722" s="22"/>
      <c r="G722" s="25"/>
      <c r="H722" s="22"/>
      <c r="I722" s="25"/>
      <c r="J722" s="22"/>
    </row>
    <row r="723" ht="15.75" customHeight="1">
      <c r="A723" s="25"/>
      <c r="B723" s="22"/>
      <c r="C723" s="25"/>
      <c r="D723" s="22"/>
      <c r="E723" s="25"/>
      <c r="F723" s="22"/>
      <c r="G723" s="25"/>
      <c r="H723" s="22"/>
      <c r="I723" s="25"/>
      <c r="J723" s="22"/>
    </row>
    <row r="724" ht="15.75" customHeight="1">
      <c r="A724" s="25"/>
      <c r="B724" s="22"/>
      <c r="C724" s="25"/>
      <c r="D724" s="22"/>
      <c r="E724" s="25"/>
      <c r="F724" s="22"/>
      <c r="G724" s="25"/>
      <c r="H724" s="22"/>
      <c r="I724" s="25"/>
      <c r="J724" s="22"/>
    </row>
    <row r="725" ht="15.75" customHeight="1">
      <c r="A725" s="25"/>
      <c r="B725" s="22"/>
      <c r="C725" s="25"/>
      <c r="D725" s="22"/>
      <c r="E725" s="25"/>
      <c r="F725" s="22"/>
      <c r="G725" s="25"/>
      <c r="H725" s="22"/>
      <c r="I725" s="25"/>
      <c r="J725" s="22"/>
    </row>
    <row r="726" ht="15.75" customHeight="1">
      <c r="A726" s="25"/>
      <c r="B726" s="22"/>
      <c r="C726" s="25"/>
      <c r="D726" s="22"/>
      <c r="E726" s="25"/>
      <c r="F726" s="22"/>
      <c r="G726" s="25"/>
      <c r="H726" s="22"/>
      <c r="I726" s="25"/>
      <c r="J726" s="22"/>
    </row>
    <row r="727" ht="15.75" customHeight="1">
      <c r="A727" s="25"/>
      <c r="B727" s="22"/>
      <c r="C727" s="25"/>
      <c r="D727" s="22"/>
      <c r="E727" s="25"/>
      <c r="F727" s="22"/>
      <c r="G727" s="25"/>
      <c r="H727" s="22"/>
      <c r="I727" s="25"/>
      <c r="J727" s="22"/>
    </row>
    <row r="728" ht="15.75" customHeight="1">
      <c r="A728" s="25"/>
      <c r="B728" s="22"/>
      <c r="C728" s="25"/>
      <c r="D728" s="22"/>
      <c r="E728" s="25"/>
      <c r="F728" s="22"/>
      <c r="G728" s="25"/>
      <c r="H728" s="22"/>
      <c r="I728" s="25"/>
      <c r="J728" s="22"/>
    </row>
    <row r="729" ht="15.75" customHeight="1">
      <c r="A729" s="25"/>
      <c r="B729" s="22"/>
      <c r="C729" s="25"/>
      <c r="D729" s="22"/>
      <c r="E729" s="25"/>
      <c r="F729" s="22"/>
      <c r="G729" s="25"/>
      <c r="H729" s="22"/>
      <c r="I729" s="25"/>
      <c r="J729" s="22"/>
    </row>
    <row r="730" ht="15.75" customHeight="1">
      <c r="A730" s="25"/>
      <c r="B730" s="22"/>
      <c r="C730" s="25"/>
      <c r="D730" s="22"/>
      <c r="E730" s="25"/>
      <c r="F730" s="22"/>
      <c r="G730" s="25"/>
      <c r="H730" s="22"/>
      <c r="I730" s="25"/>
      <c r="J730" s="22"/>
    </row>
    <row r="731" ht="15.75" customHeight="1">
      <c r="A731" s="25"/>
      <c r="B731" s="22"/>
      <c r="C731" s="25"/>
      <c r="D731" s="22"/>
      <c r="E731" s="25"/>
      <c r="F731" s="22"/>
      <c r="G731" s="25"/>
      <c r="H731" s="22"/>
      <c r="I731" s="25"/>
      <c r="J731" s="22"/>
    </row>
    <row r="732" ht="15.75" customHeight="1">
      <c r="A732" s="25"/>
      <c r="B732" s="22"/>
      <c r="C732" s="25"/>
      <c r="D732" s="22"/>
      <c r="E732" s="25"/>
      <c r="F732" s="22"/>
      <c r="G732" s="25"/>
      <c r="H732" s="22"/>
      <c r="I732" s="25"/>
      <c r="J732" s="22"/>
    </row>
    <row r="733" ht="15.75" customHeight="1">
      <c r="A733" s="25"/>
      <c r="B733" s="22"/>
      <c r="C733" s="25"/>
      <c r="D733" s="22"/>
      <c r="E733" s="25"/>
      <c r="F733" s="22"/>
      <c r="G733" s="25"/>
      <c r="H733" s="22"/>
      <c r="I733" s="25"/>
      <c r="J733" s="22"/>
    </row>
    <row r="734" ht="15.75" customHeight="1">
      <c r="A734" s="25"/>
      <c r="B734" s="22"/>
      <c r="C734" s="25"/>
      <c r="D734" s="22"/>
      <c r="E734" s="25"/>
      <c r="F734" s="22"/>
      <c r="G734" s="25"/>
      <c r="H734" s="22"/>
      <c r="I734" s="25"/>
      <c r="J734" s="22"/>
    </row>
    <row r="735" ht="15.75" customHeight="1">
      <c r="A735" s="25"/>
      <c r="B735" s="22"/>
      <c r="C735" s="25"/>
      <c r="D735" s="22"/>
      <c r="E735" s="25"/>
      <c r="F735" s="22"/>
      <c r="G735" s="25"/>
      <c r="H735" s="22"/>
      <c r="I735" s="25"/>
      <c r="J735" s="22"/>
    </row>
    <row r="736" ht="15.75" customHeight="1">
      <c r="A736" s="25"/>
      <c r="B736" s="22"/>
      <c r="C736" s="25"/>
      <c r="D736" s="22"/>
      <c r="E736" s="25"/>
      <c r="F736" s="22"/>
      <c r="G736" s="25"/>
      <c r="H736" s="22"/>
      <c r="I736" s="25"/>
      <c r="J736" s="22"/>
    </row>
    <row r="737" ht="15.75" customHeight="1">
      <c r="A737" s="25"/>
      <c r="B737" s="22"/>
      <c r="C737" s="25"/>
      <c r="D737" s="22"/>
      <c r="E737" s="25"/>
      <c r="F737" s="22"/>
      <c r="G737" s="25"/>
      <c r="H737" s="22"/>
      <c r="I737" s="25"/>
      <c r="J737" s="22"/>
    </row>
    <row r="738" ht="15.75" customHeight="1">
      <c r="A738" s="25"/>
      <c r="B738" s="22"/>
      <c r="C738" s="25"/>
      <c r="D738" s="22"/>
      <c r="E738" s="25"/>
      <c r="F738" s="22"/>
      <c r="G738" s="25"/>
      <c r="H738" s="22"/>
      <c r="I738" s="25"/>
      <c r="J738" s="22"/>
    </row>
    <row r="739" ht="15.75" customHeight="1">
      <c r="A739" s="25"/>
      <c r="B739" s="22"/>
      <c r="C739" s="25"/>
      <c r="D739" s="22"/>
      <c r="E739" s="25"/>
      <c r="F739" s="22"/>
      <c r="G739" s="25"/>
      <c r="H739" s="22"/>
      <c r="I739" s="25"/>
      <c r="J739" s="22"/>
    </row>
    <row r="740" ht="15.75" customHeight="1">
      <c r="A740" s="25"/>
      <c r="B740" s="22"/>
      <c r="C740" s="25"/>
      <c r="D740" s="22"/>
      <c r="E740" s="25"/>
      <c r="F740" s="22"/>
      <c r="G740" s="25"/>
      <c r="H740" s="22"/>
      <c r="I740" s="25"/>
      <c r="J740" s="22"/>
    </row>
    <row r="741" ht="15.75" customHeight="1">
      <c r="A741" s="25"/>
      <c r="B741" s="22"/>
      <c r="C741" s="25"/>
      <c r="D741" s="22"/>
      <c r="E741" s="25"/>
      <c r="F741" s="22"/>
      <c r="G741" s="25"/>
      <c r="H741" s="22"/>
      <c r="I741" s="25"/>
      <c r="J741" s="22"/>
    </row>
    <row r="742" ht="15.75" customHeight="1">
      <c r="A742" s="25"/>
      <c r="B742" s="22"/>
      <c r="C742" s="25"/>
      <c r="D742" s="22"/>
      <c r="E742" s="25"/>
      <c r="F742" s="22"/>
      <c r="G742" s="25"/>
      <c r="H742" s="22"/>
      <c r="I742" s="25"/>
      <c r="J742" s="22"/>
    </row>
    <row r="743" ht="15.75" customHeight="1">
      <c r="A743" s="25"/>
      <c r="B743" s="22"/>
      <c r="C743" s="25"/>
      <c r="D743" s="22"/>
      <c r="E743" s="25"/>
      <c r="F743" s="22"/>
      <c r="G743" s="25"/>
      <c r="H743" s="22"/>
      <c r="I743" s="25"/>
      <c r="J743" s="22"/>
    </row>
    <row r="744" ht="15.75" customHeight="1">
      <c r="A744" s="25"/>
      <c r="B744" s="22"/>
      <c r="C744" s="25"/>
      <c r="D744" s="22"/>
      <c r="E744" s="25"/>
      <c r="F744" s="22"/>
      <c r="G744" s="25"/>
      <c r="H744" s="22"/>
      <c r="I744" s="25"/>
      <c r="J744" s="22"/>
    </row>
    <row r="745" ht="15.75" customHeight="1">
      <c r="A745" s="25"/>
      <c r="B745" s="22"/>
      <c r="C745" s="25"/>
      <c r="D745" s="22"/>
      <c r="E745" s="25"/>
      <c r="F745" s="22"/>
      <c r="G745" s="25"/>
      <c r="H745" s="22"/>
      <c r="I745" s="25"/>
      <c r="J745" s="22"/>
    </row>
    <row r="746" ht="15.75" customHeight="1">
      <c r="A746" s="25"/>
      <c r="B746" s="22"/>
      <c r="C746" s="25"/>
      <c r="D746" s="22"/>
      <c r="E746" s="25"/>
      <c r="F746" s="22"/>
      <c r="G746" s="25"/>
      <c r="H746" s="22"/>
      <c r="I746" s="25"/>
      <c r="J746" s="22"/>
    </row>
    <row r="747" ht="15.75" customHeight="1">
      <c r="A747" s="25"/>
      <c r="B747" s="22"/>
      <c r="C747" s="25"/>
      <c r="D747" s="22"/>
      <c r="E747" s="25"/>
      <c r="F747" s="22"/>
      <c r="G747" s="25"/>
      <c r="H747" s="22"/>
      <c r="I747" s="25"/>
      <c r="J747" s="22"/>
    </row>
    <row r="748" ht="15.75" customHeight="1">
      <c r="A748" s="25"/>
      <c r="B748" s="22"/>
      <c r="C748" s="25"/>
      <c r="D748" s="22"/>
      <c r="E748" s="25"/>
      <c r="F748" s="22"/>
      <c r="G748" s="25"/>
      <c r="H748" s="22"/>
      <c r="I748" s="25"/>
      <c r="J748" s="22"/>
    </row>
    <row r="749" ht="15.75" customHeight="1">
      <c r="A749" s="25"/>
      <c r="B749" s="22"/>
      <c r="C749" s="25"/>
      <c r="D749" s="22"/>
      <c r="E749" s="25"/>
      <c r="F749" s="22"/>
      <c r="G749" s="25"/>
      <c r="H749" s="22"/>
      <c r="I749" s="25"/>
      <c r="J749" s="22"/>
    </row>
    <row r="750" ht="15.75" customHeight="1">
      <c r="A750" s="25"/>
      <c r="B750" s="22"/>
      <c r="C750" s="25"/>
      <c r="D750" s="22"/>
      <c r="E750" s="25"/>
      <c r="F750" s="22"/>
      <c r="G750" s="25"/>
      <c r="H750" s="22"/>
      <c r="I750" s="25"/>
      <c r="J750" s="22"/>
    </row>
    <row r="751" ht="15.75" customHeight="1">
      <c r="A751" s="25"/>
      <c r="B751" s="22"/>
      <c r="C751" s="25"/>
      <c r="D751" s="22"/>
      <c r="E751" s="25"/>
      <c r="F751" s="22"/>
      <c r="G751" s="25"/>
      <c r="H751" s="22"/>
      <c r="I751" s="25"/>
      <c r="J751" s="22"/>
    </row>
    <row r="752" ht="15.75" customHeight="1">
      <c r="A752" s="25"/>
      <c r="B752" s="22"/>
      <c r="C752" s="25"/>
      <c r="D752" s="22"/>
      <c r="E752" s="25"/>
      <c r="F752" s="22"/>
      <c r="G752" s="25"/>
      <c r="H752" s="22"/>
      <c r="I752" s="25"/>
      <c r="J752" s="22"/>
    </row>
    <row r="753" ht="15.75" customHeight="1">
      <c r="A753" s="25"/>
      <c r="B753" s="22"/>
      <c r="C753" s="25"/>
      <c r="D753" s="22"/>
      <c r="E753" s="25"/>
      <c r="F753" s="22"/>
      <c r="G753" s="25"/>
      <c r="H753" s="22"/>
      <c r="I753" s="25"/>
      <c r="J753" s="22"/>
    </row>
    <row r="754" ht="15.75" customHeight="1">
      <c r="A754" s="25"/>
      <c r="B754" s="22"/>
      <c r="C754" s="25"/>
      <c r="D754" s="22"/>
      <c r="E754" s="25"/>
      <c r="F754" s="22"/>
      <c r="G754" s="25"/>
      <c r="H754" s="22"/>
      <c r="I754" s="25"/>
      <c r="J754" s="22"/>
    </row>
    <row r="755" ht="15.75" customHeight="1">
      <c r="A755" s="25"/>
      <c r="B755" s="22"/>
      <c r="C755" s="25"/>
      <c r="D755" s="22"/>
      <c r="E755" s="25"/>
      <c r="F755" s="22"/>
      <c r="G755" s="25"/>
      <c r="H755" s="22"/>
      <c r="I755" s="25"/>
      <c r="J755" s="22"/>
    </row>
    <row r="756" ht="15.75" customHeight="1">
      <c r="A756" s="25"/>
      <c r="B756" s="22"/>
      <c r="C756" s="25"/>
      <c r="D756" s="22"/>
      <c r="E756" s="25"/>
      <c r="F756" s="22"/>
      <c r="G756" s="25"/>
      <c r="H756" s="22"/>
      <c r="I756" s="25"/>
      <c r="J756" s="22"/>
    </row>
    <row r="757" ht="15.75" customHeight="1">
      <c r="A757" s="25"/>
      <c r="B757" s="22"/>
      <c r="C757" s="25"/>
      <c r="D757" s="22"/>
      <c r="E757" s="25"/>
      <c r="F757" s="22"/>
      <c r="G757" s="25"/>
      <c r="H757" s="22"/>
      <c r="I757" s="25"/>
      <c r="J757" s="22"/>
    </row>
    <row r="758" ht="15.75" customHeight="1">
      <c r="A758" s="25"/>
      <c r="B758" s="22"/>
      <c r="C758" s="25"/>
      <c r="D758" s="22"/>
      <c r="E758" s="25"/>
      <c r="F758" s="22"/>
      <c r="G758" s="25"/>
      <c r="H758" s="22"/>
      <c r="I758" s="25"/>
      <c r="J758" s="22"/>
    </row>
    <row r="759" ht="15.75" customHeight="1">
      <c r="A759" s="25"/>
      <c r="B759" s="22"/>
      <c r="C759" s="25"/>
      <c r="D759" s="22"/>
      <c r="E759" s="25"/>
      <c r="F759" s="22"/>
      <c r="G759" s="25"/>
      <c r="H759" s="22"/>
      <c r="I759" s="25"/>
      <c r="J759" s="22"/>
    </row>
    <row r="760" ht="15.75" customHeight="1">
      <c r="A760" s="25"/>
      <c r="B760" s="22"/>
      <c r="C760" s="25"/>
      <c r="D760" s="22"/>
      <c r="E760" s="25"/>
      <c r="F760" s="22"/>
      <c r="G760" s="25"/>
      <c r="H760" s="22"/>
      <c r="I760" s="25"/>
      <c r="J760" s="22"/>
    </row>
    <row r="761" ht="15.75" customHeight="1">
      <c r="A761" s="25"/>
      <c r="B761" s="22"/>
      <c r="C761" s="25"/>
      <c r="D761" s="22"/>
      <c r="E761" s="25"/>
      <c r="F761" s="22"/>
      <c r="G761" s="25"/>
      <c r="H761" s="22"/>
      <c r="I761" s="25"/>
      <c r="J761" s="22"/>
    </row>
    <row r="762" ht="15.75" customHeight="1">
      <c r="A762" s="25"/>
      <c r="B762" s="22"/>
      <c r="C762" s="25"/>
      <c r="D762" s="22"/>
      <c r="E762" s="25"/>
      <c r="F762" s="22"/>
      <c r="G762" s="25"/>
      <c r="H762" s="22"/>
      <c r="I762" s="25"/>
      <c r="J762" s="22"/>
    </row>
    <row r="763" ht="15.75" customHeight="1">
      <c r="A763" s="25"/>
      <c r="B763" s="22"/>
      <c r="C763" s="25"/>
      <c r="D763" s="22"/>
      <c r="E763" s="25"/>
      <c r="F763" s="22"/>
      <c r="G763" s="25"/>
      <c r="H763" s="22"/>
      <c r="I763" s="25"/>
      <c r="J763" s="22"/>
    </row>
    <row r="764" ht="15.75" customHeight="1">
      <c r="A764" s="25"/>
      <c r="B764" s="22"/>
      <c r="C764" s="25"/>
      <c r="D764" s="22"/>
      <c r="E764" s="25"/>
      <c r="F764" s="22"/>
      <c r="G764" s="25"/>
      <c r="H764" s="22"/>
      <c r="I764" s="25"/>
      <c r="J764" s="22"/>
    </row>
    <row r="765" ht="15.75" customHeight="1">
      <c r="A765" s="25"/>
      <c r="B765" s="22"/>
      <c r="C765" s="25"/>
      <c r="D765" s="22"/>
      <c r="E765" s="25"/>
      <c r="F765" s="22"/>
      <c r="G765" s="25"/>
      <c r="H765" s="22"/>
      <c r="I765" s="25"/>
      <c r="J765" s="22"/>
    </row>
    <row r="766" ht="15.75" customHeight="1">
      <c r="A766" s="25"/>
      <c r="B766" s="22"/>
      <c r="C766" s="25"/>
      <c r="D766" s="22"/>
      <c r="E766" s="25"/>
      <c r="F766" s="22"/>
      <c r="G766" s="25"/>
      <c r="H766" s="22"/>
      <c r="I766" s="25"/>
      <c r="J766" s="22"/>
    </row>
    <row r="767" ht="15.75" customHeight="1">
      <c r="A767" s="25"/>
      <c r="B767" s="22"/>
      <c r="C767" s="25"/>
      <c r="D767" s="22"/>
      <c r="E767" s="25"/>
      <c r="F767" s="22"/>
      <c r="G767" s="25"/>
      <c r="H767" s="22"/>
      <c r="I767" s="25"/>
      <c r="J767" s="22"/>
    </row>
    <row r="768" ht="15.75" customHeight="1">
      <c r="A768" s="25"/>
      <c r="B768" s="22"/>
      <c r="C768" s="25"/>
      <c r="D768" s="22"/>
      <c r="E768" s="25"/>
      <c r="F768" s="22"/>
      <c r="G768" s="25"/>
      <c r="H768" s="22"/>
      <c r="I768" s="25"/>
      <c r="J768" s="22"/>
    </row>
    <row r="769" ht="15.75" customHeight="1">
      <c r="A769" s="25"/>
      <c r="B769" s="22"/>
      <c r="C769" s="25"/>
      <c r="D769" s="22"/>
      <c r="E769" s="25"/>
      <c r="F769" s="22"/>
      <c r="G769" s="25"/>
      <c r="H769" s="22"/>
      <c r="I769" s="25"/>
      <c r="J769" s="22"/>
    </row>
    <row r="770" ht="15.75" customHeight="1">
      <c r="A770" s="25"/>
      <c r="B770" s="22"/>
      <c r="C770" s="25"/>
      <c r="D770" s="22"/>
      <c r="E770" s="25"/>
      <c r="F770" s="22"/>
      <c r="G770" s="25"/>
      <c r="H770" s="22"/>
      <c r="I770" s="25"/>
      <c r="J770" s="22"/>
    </row>
    <row r="771" ht="15.75" customHeight="1">
      <c r="A771" s="25"/>
      <c r="B771" s="22"/>
      <c r="C771" s="25"/>
      <c r="D771" s="22"/>
      <c r="E771" s="25"/>
      <c r="F771" s="22"/>
      <c r="G771" s="25"/>
      <c r="H771" s="22"/>
      <c r="I771" s="25"/>
      <c r="J771" s="22"/>
    </row>
    <row r="772" ht="15.75" customHeight="1">
      <c r="A772" s="25"/>
      <c r="B772" s="22"/>
      <c r="C772" s="25"/>
      <c r="D772" s="22"/>
      <c r="E772" s="25"/>
      <c r="F772" s="22"/>
      <c r="G772" s="25"/>
      <c r="H772" s="22"/>
      <c r="I772" s="25"/>
      <c r="J772" s="22"/>
    </row>
    <row r="773" ht="15.75" customHeight="1">
      <c r="A773" s="25"/>
      <c r="B773" s="22"/>
      <c r="C773" s="25"/>
      <c r="D773" s="22"/>
      <c r="E773" s="25"/>
      <c r="F773" s="22"/>
      <c r="G773" s="25"/>
      <c r="H773" s="22"/>
      <c r="I773" s="25"/>
      <c r="J773" s="22"/>
    </row>
    <row r="774" ht="15.75" customHeight="1">
      <c r="A774" s="25"/>
      <c r="B774" s="22"/>
      <c r="C774" s="25"/>
      <c r="D774" s="22"/>
      <c r="E774" s="25"/>
      <c r="F774" s="22"/>
      <c r="G774" s="25"/>
      <c r="H774" s="22"/>
      <c r="I774" s="25"/>
      <c r="J774" s="22"/>
    </row>
    <row r="775" ht="15.75" customHeight="1">
      <c r="A775" s="25"/>
      <c r="B775" s="22"/>
      <c r="C775" s="25"/>
      <c r="D775" s="22"/>
      <c r="E775" s="25"/>
      <c r="F775" s="22"/>
      <c r="G775" s="25"/>
      <c r="H775" s="22"/>
      <c r="I775" s="25"/>
      <c r="J775" s="22"/>
    </row>
    <row r="776" ht="15.75" customHeight="1">
      <c r="A776" s="25"/>
      <c r="B776" s="22"/>
      <c r="C776" s="25"/>
      <c r="D776" s="22"/>
      <c r="E776" s="25"/>
      <c r="F776" s="22"/>
      <c r="G776" s="25"/>
      <c r="H776" s="22"/>
      <c r="I776" s="25"/>
      <c r="J776" s="22"/>
    </row>
    <row r="777" ht="15.75" customHeight="1">
      <c r="A777" s="25"/>
      <c r="B777" s="22"/>
      <c r="C777" s="25"/>
      <c r="D777" s="22"/>
      <c r="E777" s="25"/>
      <c r="F777" s="22"/>
      <c r="G777" s="25"/>
      <c r="H777" s="22"/>
      <c r="I777" s="25"/>
      <c r="J777" s="22"/>
    </row>
    <row r="778" ht="15.75" customHeight="1">
      <c r="A778" s="25"/>
      <c r="B778" s="22"/>
      <c r="C778" s="25"/>
      <c r="D778" s="22"/>
      <c r="E778" s="25"/>
      <c r="F778" s="22"/>
      <c r="G778" s="25"/>
      <c r="H778" s="22"/>
      <c r="I778" s="25"/>
      <c r="J778" s="22"/>
    </row>
    <row r="779" ht="15.75" customHeight="1">
      <c r="A779" s="25"/>
      <c r="B779" s="22"/>
      <c r="C779" s="25"/>
      <c r="D779" s="22"/>
      <c r="E779" s="25"/>
      <c r="F779" s="22"/>
      <c r="G779" s="25"/>
      <c r="H779" s="22"/>
      <c r="I779" s="25"/>
      <c r="J779" s="22"/>
    </row>
    <row r="780" ht="15.75" customHeight="1">
      <c r="A780" s="25"/>
      <c r="B780" s="22"/>
      <c r="C780" s="25"/>
      <c r="D780" s="22"/>
      <c r="E780" s="25"/>
      <c r="F780" s="22"/>
      <c r="G780" s="25"/>
      <c r="H780" s="22"/>
      <c r="I780" s="25"/>
      <c r="J780" s="22"/>
    </row>
    <row r="781" ht="15.75" customHeight="1">
      <c r="A781" s="25"/>
      <c r="B781" s="22"/>
      <c r="C781" s="25"/>
      <c r="D781" s="22"/>
      <c r="E781" s="25"/>
      <c r="F781" s="22"/>
      <c r="G781" s="25"/>
      <c r="H781" s="22"/>
      <c r="I781" s="25"/>
      <c r="J781" s="22"/>
    </row>
    <row r="782" ht="15.75" customHeight="1">
      <c r="A782" s="25"/>
      <c r="B782" s="22"/>
      <c r="C782" s="25"/>
      <c r="D782" s="22"/>
      <c r="E782" s="25"/>
      <c r="F782" s="22"/>
      <c r="G782" s="25"/>
      <c r="H782" s="22"/>
      <c r="I782" s="25"/>
      <c r="J782" s="22"/>
    </row>
    <row r="783" ht="15.75" customHeight="1">
      <c r="A783" s="25"/>
      <c r="B783" s="22"/>
      <c r="C783" s="25"/>
      <c r="D783" s="22"/>
      <c r="E783" s="25"/>
      <c r="F783" s="22"/>
      <c r="G783" s="25"/>
      <c r="H783" s="22"/>
      <c r="I783" s="25"/>
      <c r="J783" s="22"/>
    </row>
    <row r="784" ht="15.75" customHeight="1">
      <c r="A784" s="25"/>
      <c r="B784" s="22"/>
      <c r="C784" s="25"/>
      <c r="D784" s="22"/>
      <c r="E784" s="25"/>
      <c r="F784" s="22"/>
      <c r="G784" s="25"/>
      <c r="H784" s="22"/>
      <c r="I784" s="25"/>
      <c r="J784" s="22"/>
    </row>
    <row r="785" ht="15.75" customHeight="1">
      <c r="A785" s="25"/>
      <c r="B785" s="22"/>
      <c r="C785" s="25"/>
      <c r="D785" s="22"/>
      <c r="E785" s="25"/>
      <c r="F785" s="22"/>
      <c r="G785" s="25"/>
      <c r="H785" s="22"/>
      <c r="I785" s="25"/>
      <c r="J785" s="22"/>
    </row>
    <row r="786" ht="15.75" customHeight="1">
      <c r="A786" s="25"/>
      <c r="B786" s="22"/>
      <c r="C786" s="25"/>
      <c r="D786" s="22"/>
      <c r="E786" s="25"/>
      <c r="F786" s="22"/>
      <c r="G786" s="25"/>
      <c r="H786" s="22"/>
      <c r="I786" s="25"/>
      <c r="J786" s="22"/>
    </row>
    <row r="787" ht="15.75" customHeight="1">
      <c r="A787" s="25"/>
      <c r="B787" s="22"/>
      <c r="C787" s="25"/>
      <c r="D787" s="22"/>
      <c r="E787" s="25"/>
      <c r="F787" s="22"/>
      <c r="G787" s="25"/>
      <c r="H787" s="22"/>
      <c r="I787" s="25"/>
      <c r="J787" s="22"/>
    </row>
    <row r="788" ht="15.75" customHeight="1">
      <c r="A788" s="25"/>
      <c r="B788" s="22"/>
      <c r="C788" s="25"/>
      <c r="D788" s="22"/>
      <c r="E788" s="25"/>
      <c r="F788" s="22"/>
      <c r="G788" s="25"/>
      <c r="H788" s="22"/>
      <c r="I788" s="25"/>
      <c r="J788" s="22"/>
    </row>
    <row r="789" ht="15.75" customHeight="1">
      <c r="A789" s="25"/>
      <c r="B789" s="22"/>
      <c r="C789" s="25"/>
      <c r="D789" s="22"/>
      <c r="E789" s="25"/>
      <c r="F789" s="22"/>
      <c r="G789" s="25"/>
      <c r="H789" s="22"/>
      <c r="I789" s="25"/>
      <c r="J789" s="22"/>
    </row>
    <row r="790" ht="15.75" customHeight="1">
      <c r="A790" s="25"/>
      <c r="B790" s="22"/>
      <c r="C790" s="25"/>
      <c r="D790" s="22"/>
      <c r="E790" s="25"/>
      <c r="F790" s="22"/>
      <c r="G790" s="25"/>
      <c r="H790" s="22"/>
      <c r="I790" s="25"/>
      <c r="J790" s="22"/>
    </row>
    <row r="791" ht="15.75" customHeight="1">
      <c r="A791" s="25"/>
      <c r="B791" s="22"/>
      <c r="C791" s="25"/>
      <c r="D791" s="22"/>
      <c r="E791" s="25"/>
      <c r="F791" s="22"/>
      <c r="G791" s="25"/>
      <c r="H791" s="22"/>
      <c r="I791" s="25"/>
      <c r="J791" s="22"/>
    </row>
    <row r="792" ht="15.75" customHeight="1">
      <c r="A792" s="25"/>
      <c r="B792" s="22"/>
      <c r="C792" s="25"/>
      <c r="D792" s="22"/>
      <c r="E792" s="25"/>
      <c r="F792" s="22"/>
      <c r="G792" s="25"/>
      <c r="H792" s="22"/>
      <c r="I792" s="25"/>
      <c r="J792" s="22"/>
    </row>
    <row r="793" ht="15.75" customHeight="1">
      <c r="A793" s="25"/>
      <c r="B793" s="22"/>
      <c r="C793" s="25"/>
      <c r="D793" s="22"/>
      <c r="E793" s="25"/>
      <c r="F793" s="22"/>
      <c r="G793" s="25"/>
      <c r="H793" s="22"/>
      <c r="I793" s="25"/>
      <c r="J793" s="22"/>
    </row>
    <row r="794" ht="15.75" customHeight="1">
      <c r="A794" s="25"/>
      <c r="B794" s="22"/>
      <c r="C794" s="25"/>
      <c r="D794" s="22"/>
      <c r="E794" s="25"/>
      <c r="F794" s="22"/>
      <c r="G794" s="25"/>
      <c r="H794" s="22"/>
      <c r="I794" s="25"/>
      <c r="J794" s="22"/>
    </row>
    <row r="795" ht="15.75" customHeight="1">
      <c r="A795" s="25"/>
      <c r="B795" s="22"/>
      <c r="C795" s="25"/>
      <c r="D795" s="22"/>
      <c r="E795" s="25"/>
      <c r="F795" s="22"/>
      <c r="G795" s="25"/>
      <c r="H795" s="22"/>
      <c r="I795" s="25"/>
      <c r="J795" s="22"/>
    </row>
    <row r="796" ht="15.75" customHeight="1">
      <c r="A796" s="25"/>
      <c r="B796" s="22"/>
      <c r="C796" s="25"/>
      <c r="D796" s="22"/>
      <c r="E796" s="25"/>
      <c r="F796" s="22"/>
      <c r="G796" s="25"/>
      <c r="H796" s="22"/>
      <c r="I796" s="25"/>
      <c r="J796" s="22"/>
    </row>
    <row r="797" ht="15.75" customHeight="1">
      <c r="A797" s="25"/>
      <c r="B797" s="22"/>
      <c r="C797" s="25"/>
      <c r="D797" s="22"/>
      <c r="E797" s="25"/>
      <c r="F797" s="22"/>
      <c r="G797" s="25"/>
      <c r="H797" s="22"/>
      <c r="I797" s="25"/>
      <c r="J797" s="22"/>
    </row>
    <row r="798" ht="15.75" customHeight="1">
      <c r="A798" s="25"/>
      <c r="B798" s="22"/>
      <c r="C798" s="25"/>
      <c r="D798" s="22"/>
      <c r="E798" s="25"/>
      <c r="F798" s="22"/>
      <c r="G798" s="25"/>
      <c r="H798" s="22"/>
      <c r="I798" s="25"/>
      <c r="J798" s="22"/>
    </row>
    <row r="799" ht="15.75" customHeight="1">
      <c r="A799" s="25"/>
      <c r="B799" s="22"/>
      <c r="C799" s="25"/>
      <c r="D799" s="22"/>
      <c r="E799" s="25"/>
      <c r="F799" s="22"/>
      <c r="G799" s="25"/>
      <c r="H799" s="22"/>
      <c r="I799" s="25"/>
      <c r="J799" s="22"/>
    </row>
    <row r="800" ht="15.75" customHeight="1">
      <c r="A800" s="25"/>
      <c r="B800" s="22"/>
      <c r="C800" s="25"/>
      <c r="D800" s="22"/>
      <c r="E800" s="25"/>
      <c r="F800" s="22"/>
      <c r="G800" s="25"/>
      <c r="H800" s="22"/>
      <c r="I800" s="25"/>
      <c r="J800" s="22"/>
    </row>
    <row r="801" ht="15.75" customHeight="1">
      <c r="A801" s="25"/>
      <c r="B801" s="22"/>
      <c r="C801" s="25"/>
      <c r="D801" s="22"/>
      <c r="E801" s="25"/>
      <c r="F801" s="22"/>
      <c r="G801" s="25"/>
      <c r="H801" s="22"/>
      <c r="I801" s="25"/>
      <c r="J801" s="22"/>
    </row>
    <row r="802" ht="15.75" customHeight="1">
      <c r="A802" s="25"/>
      <c r="B802" s="22"/>
      <c r="C802" s="25"/>
      <c r="D802" s="22"/>
      <c r="E802" s="25"/>
      <c r="F802" s="22"/>
      <c r="G802" s="25"/>
      <c r="H802" s="22"/>
      <c r="I802" s="25"/>
      <c r="J802" s="22"/>
    </row>
    <row r="803" ht="15.75" customHeight="1">
      <c r="A803" s="25"/>
      <c r="B803" s="22"/>
      <c r="C803" s="25"/>
      <c r="D803" s="22"/>
      <c r="E803" s="25"/>
      <c r="F803" s="22"/>
      <c r="G803" s="25"/>
      <c r="H803" s="22"/>
      <c r="I803" s="25"/>
      <c r="J803" s="22"/>
    </row>
    <row r="804" ht="15.75" customHeight="1">
      <c r="A804" s="25"/>
      <c r="B804" s="22"/>
      <c r="C804" s="25"/>
      <c r="D804" s="22"/>
      <c r="E804" s="25"/>
      <c r="F804" s="22"/>
      <c r="G804" s="25"/>
      <c r="H804" s="22"/>
      <c r="I804" s="25"/>
      <c r="J804" s="22"/>
    </row>
    <row r="805" ht="15.75" customHeight="1">
      <c r="A805" s="25"/>
      <c r="B805" s="22"/>
      <c r="C805" s="25"/>
      <c r="D805" s="22"/>
      <c r="E805" s="25"/>
      <c r="F805" s="22"/>
      <c r="G805" s="25"/>
      <c r="H805" s="22"/>
      <c r="I805" s="25"/>
      <c r="J805" s="22"/>
    </row>
    <row r="806" ht="15.75" customHeight="1">
      <c r="A806" s="25"/>
      <c r="B806" s="22"/>
      <c r="C806" s="25"/>
      <c r="D806" s="22"/>
      <c r="E806" s="25"/>
      <c r="F806" s="22"/>
      <c r="G806" s="25"/>
      <c r="H806" s="22"/>
      <c r="I806" s="25"/>
      <c r="J806" s="22"/>
    </row>
    <row r="807" ht="15.75" customHeight="1">
      <c r="A807" s="25"/>
      <c r="B807" s="22"/>
      <c r="C807" s="25"/>
      <c r="D807" s="22"/>
      <c r="E807" s="25"/>
      <c r="F807" s="22"/>
      <c r="G807" s="25"/>
      <c r="H807" s="22"/>
      <c r="I807" s="25"/>
      <c r="J807" s="22"/>
    </row>
    <row r="808" ht="15.75" customHeight="1">
      <c r="A808" s="25"/>
      <c r="B808" s="22"/>
      <c r="C808" s="25"/>
      <c r="D808" s="22"/>
      <c r="E808" s="25"/>
      <c r="F808" s="22"/>
      <c r="G808" s="25"/>
      <c r="H808" s="22"/>
      <c r="I808" s="25"/>
      <c r="J808" s="22"/>
    </row>
    <row r="809" ht="15.75" customHeight="1">
      <c r="A809" s="25"/>
      <c r="B809" s="22"/>
      <c r="C809" s="25"/>
      <c r="D809" s="22"/>
      <c r="E809" s="25"/>
      <c r="F809" s="22"/>
      <c r="G809" s="25"/>
      <c r="H809" s="22"/>
      <c r="I809" s="25"/>
      <c r="J809" s="22"/>
    </row>
    <row r="810" ht="15.75" customHeight="1">
      <c r="A810" s="25"/>
      <c r="B810" s="22"/>
      <c r="C810" s="25"/>
      <c r="D810" s="22"/>
      <c r="E810" s="25"/>
      <c r="F810" s="22"/>
      <c r="G810" s="25"/>
      <c r="H810" s="22"/>
      <c r="I810" s="25"/>
      <c r="J810" s="22"/>
    </row>
    <row r="811" ht="15.75" customHeight="1">
      <c r="A811" s="25"/>
      <c r="B811" s="22"/>
      <c r="C811" s="25"/>
      <c r="D811" s="22"/>
      <c r="E811" s="25"/>
      <c r="F811" s="22"/>
      <c r="G811" s="25"/>
      <c r="H811" s="22"/>
      <c r="I811" s="25"/>
      <c r="J811" s="22"/>
    </row>
    <row r="812" ht="15.75" customHeight="1">
      <c r="A812" s="25"/>
      <c r="B812" s="22"/>
      <c r="C812" s="25"/>
      <c r="D812" s="22"/>
      <c r="E812" s="25"/>
      <c r="F812" s="22"/>
      <c r="G812" s="25"/>
      <c r="H812" s="22"/>
      <c r="I812" s="25"/>
      <c r="J812" s="22"/>
    </row>
    <row r="813" ht="15.75" customHeight="1">
      <c r="A813" s="25"/>
      <c r="B813" s="22"/>
      <c r="C813" s="25"/>
      <c r="D813" s="22"/>
      <c r="E813" s="25"/>
      <c r="F813" s="22"/>
      <c r="G813" s="25"/>
      <c r="H813" s="22"/>
      <c r="I813" s="25"/>
      <c r="J813" s="22"/>
    </row>
    <row r="814" ht="15.75" customHeight="1">
      <c r="A814" s="25"/>
      <c r="B814" s="22"/>
      <c r="C814" s="25"/>
      <c r="D814" s="22"/>
      <c r="E814" s="25"/>
      <c r="F814" s="22"/>
      <c r="G814" s="25"/>
      <c r="H814" s="22"/>
      <c r="I814" s="25"/>
      <c r="J814" s="22"/>
    </row>
    <row r="815" ht="15.75" customHeight="1">
      <c r="A815" s="25"/>
      <c r="B815" s="22"/>
      <c r="C815" s="25"/>
      <c r="D815" s="22"/>
      <c r="E815" s="25"/>
      <c r="F815" s="22"/>
      <c r="G815" s="25"/>
      <c r="H815" s="22"/>
      <c r="I815" s="25"/>
      <c r="J815" s="22"/>
    </row>
    <row r="816" ht="15.75" customHeight="1">
      <c r="A816" s="25"/>
      <c r="B816" s="22"/>
      <c r="C816" s="25"/>
      <c r="D816" s="22"/>
      <c r="E816" s="25"/>
      <c r="F816" s="22"/>
      <c r="G816" s="25"/>
      <c r="H816" s="22"/>
      <c r="I816" s="25"/>
      <c r="J816" s="22"/>
    </row>
    <row r="817" ht="15.75" customHeight="1">
      <c r="A817" s="25"/>
      <c r="B817" s="22"/>
      <c r="C817" s="25"/>
      <c r="D817" s="22"/>
      <c r="E817" s="25"/>
      <c r="F817" s="22"/>
      <c r="G817" s="25"/>
      <c r="H817" s="22"/>
      <c r="I817" s="25"/>
      <c r="J817" s="22"/>
    </row>
    <row r="818" ht="15.75" customHeight="1">
      <c r="A818" s="25"/>
      <c r="B818" s="22"/>
      <c r="C818" s="25"/>
      <c r="D818" s="22"/>
      <c r="E818" s="25"/>
      <c r="F818" s="22"/>
      <c r="G818" s="25"/>
      <c r="H818" s="22"/>
      <c r="I818" s="25"/>
      <c r="J818" s="22"/>
    </row>
    <row r="819" ht="15.75" customHeight="1">
      <c r="A819" s="25"/>
      <c r="B819" s="22"/>
      <c r="C819" s="25"/>
      <c r="D819" s="22"/>
      <c r="E819" s="25"/>
      <c r="F819" s="22"/>
      <c r="G819" s="25"/>
      <c r="H819" s="22"/>
      <c r="I819" s="25"/>
      <c r="J819" s="22"/>
    </row>
    <row r="820" ht="15.75" customHeight="1">
      <c r="A820" s="25"/>
      <c r="B820" s="22"/>
      <c r="C820" s="25"/>
      <c r="D820" s="22"/>
      <c r="E820" s="25"/>
      <c r="F820" s="22"/>
      <c r="G820" s="25"/>
      <c r="H820" s="22"/>
      <c r="I820" s="25"/>
      <c r="J820" s="22"/>
    </row>
    <row r="821" ht="15.75" customHeight="1">
      <c r="A821" s="25"/>
      <c r="B821" s="22"/>
      <c r="C821" s="25"/>
      <c r="D821" s="22"/>
      <c r="E821" s="25"/>
      <c r="F821" s="22"/>
      <c r="G821" s="25"/>
      <c r="H821" s="22"/>
      <c r="I821" s="25"/>
      <c r="J821" s="22"/>
    </row>
    <row r="822" ht="15.75" customHeight="1">
      <c r="A822" s="25"/>
      <c r="B822" s="22"/>
      <c r="C822" s="25"/>
      <c r="D822" s="22"/>
      <c r="E822" s="25"/>
      <c r="F822" s="22"/>
      <c r="G822" s="25"/>
      <c r="H822" s="22"/>
      <c r="I822" s="25"/>
      <c r="J822" s="22"/>
    </row>
    <row r="823" ht="15.75" customHeight="1">
      <c r="A823" s="25"/>
      <c r="B823" s="22"/>
      <c r="C823" s="25"/>
      <c r="D823" s="22"/>
      <c r="E823" s="25"/>
      <c r="F823" s="22"/>
      <c r="G823" s="25"/>
      <c r="H823" s="22"/>
      <c r="I823" s="25"/>
      <c r="J823" s="22"/>
    </row>
    <row r="824" ht="15.75" customHeight="1">
      <c r="A824" s="25"/>
      <c r="B824" s="22"/>
      <c r="C824" s="25"/>
      <c r="D824" s="22"/>
      <c r="E824" s="25"/>
      <c r="F824" s="22"/>
      <c r="G824" s="25"/>
      <c r="H824" s="22"/>
      <c r="I824" s="25"/>
      <c r="J824" s="22"/>
    </row>
    <row r="825" ht="15.75" customHeight="1">
      <c r="A825" s="25"/>
      <c r="B825" s="22"/>
      <c r="C825" s="25"/>
      <c r="D825" s="22"/>
      <c r="E825" s="25"/>
      <c r="F825" s="22"/>
      <c r="G825" s="25"/>
      <c r="H825" s="22"/>
      <c r="I825" s="25"/>
      <c r="J825" s="22"/>
    </row>
    <row r="826" ht="15.75" customHeight="1">
      <c r="A826" s="25"/>
      <c r="B826" s="22"/>
      <c r="C826" s="25"/>
      <c r="D826" s="22"/>
      <c r="E826" s="25"/>
      <c r="F826" s="22"/>
      <c r="G826" s="25"/>
      <c r="H826" s="22"/>
      <c r="I826" s="25"/>
      <c r="J826" s="22"/>
    </row>
    <row r="827" ht="15.75" customHeight="1">
      <c r="A827" s="25"/>
      <c r="B827" s="22"/>
      <c r="C827" s="25"/>
      <c r="D827" s="22"/>
      <c r="E827" s="25"/>
      <c r="F827" s="22"/>
      <c r="G827" s="25"/>
      <c r="H827" s="22"/>
      <c r="I827" s="25"/>
      <c r="J827" s="22"/>
    </row>
    <row r="828" ht="15.75" customHeight="1">
      <c r="A828" s="25"/>
      <c r="B828" s="22"/>
      <c r="C828" s="25"/>
      <c r="D828" s="22"/>
      <c r="E828" s="25"/>
      <c r="F828" s="22"/>
      <c r="G828" s="25"/>
      <c r="H828" s="22"/>
      <c r="I828" s="25"/>
      <c r="J828" s="22"/>
    </row>
    <row r="829" ht="15.75" customHeight="1">
      <c r="A829" s="25"/>
      <c r="B829" s="22"/>
      <c r="C829" s="25"/>
      <c r="D829" s="22"/>
      <c r="E829" s="25"/>
      <c r="F829" s="22"/>
      <c r="G829" s="25"/>
      <c r="H829" s="22"/>
      <c r="I829" s="25"/>
      <c r="J829" s="22"/>
    </row>
    <row r="830" ht="15.75" customHeight="1">
      <c r="A830" s="25"/>
      <c r="B830" s="22"/>
      <c r="C830" s="25"/>
      <c r="D830" s="22"/>
      <c r="E830" s="25"/>
      <c r="F830" s="22"/>
      <c r="G830" s="25"/>
      <c r="H830" s="22"/>
      <c r="I830" s="25"/>
      <c r="J830" s="22"/>
    </row>
    <row r="831" ht="15.75" customHeight="1">
      <c r="A831" s="25"/>
      <c r="B831" s="22"/>
      <c r="C831" s="25"/>
      <c r="D831" s="22"/>
      <c r="E831" s="25"/>
      <c r="F831" s="22"/>
      <c r="G831" s="25"/>
      <c r="H831" s="22"/>
      <c r="I831" s="25"/>
      <c r="J831" s="22"/>
    </row>
    <row r="832" ht="15.75" customHeight="1">
      <c r="A832" s="25"/>
      <c r="B832" s="22"/>
      <c r="C832" s="25"/>
      <c r="D832" s="22"/>
      <c r="E832" s="25"/>
      <c r="F832" s="22"/>
      <c r="G832" s="25"/>
      <c r="H832" s="22"/>
      <c r="I832" s="25"/>
      <c r="J832" s="22"/>
    </row>
    <row r="833" ht="15.75" customHeight="1">
      <c r="A833" s="25"/>
      <c r="B833" s="22"/>
      <c r="C833" s="25"/>
      <c r="D833" s="22"/>
      <c r="E833" s="25"/>
      <c r="F833" s="22"/>
      <c r="G833" s="25"/>
      <c r="H833" s="22"/>
      <c r="I833" s="25"/>
      <c r="J833" s="22"/>
    </row>
    <row r="834" ht="15.75" customHeight="1">
      <c r="A834" s="25"/>
      <c r="B834" s="22"/>
      <c r="C834" s="25"/>
      <c r="D834" s="22"/>
      <c r="E834" s="25"/>
      <c r="F834" s="22"/>
      <c r="G834" s="25"/>
      <c r="H834" s="22"/>
      <c r="I834" s="25"/>
      <c r="J834" s="22"/>
    </row>
    <row r="835" ht="15.75" customHeight="1">
      <c r="A835" s="25"/>
      <c r="B835" s="22"/>
      <c r="C835" s="25"/>
      <c r="D835" s="22"/>
      <c r="E835" s="25"/>
      <c r="F835" s="22"/>
      <c r="G835" s="25"/>
      <c r="H835" s="22"/>
      <c r="I835" s="25"/>
      <c r="J835" s="22"/>
    </row>
    <row r="836" ht="15.75" customHeight="1">
      <c r="A836" s="25"/>
      <c r="B836" s="22"/>
      <c r="C836" s="25"/>
      <c r="D836" s="22"/>
      <c r="E836" s="25"/>
      <c r="F836" s="22"/>
      <c r="G836" s="25"/>
      <c r="H836" s="22"/>
      <c r="I836" s="25"/>
      <c r="J836" s="22"/>
    </row>
    <row r="837" ht="15.75" customHeight="1">
      <c r="A837" s="25"/>
      <c r="B837" s="22"/>
      <c r="C837" s="25"/>
      <c r="D837" s="22"/>
      <c r="E837" s="25"/>
      <c r="F837" s="22"/>
      <c r="G837" s="25"/>
      <c r="H837" s="22"/>
      <c r="I837" s="25"/>
      <c r="J837" s="22"/>
    </row>
    <row r="838" ht="15.75" customHeight="1">
      <c r="A838" s="25"/>
      <c r="B838" s="22"/>
      <c r="C838" s="25"/>
      <c r="D838" s="22"/>
      <c r="E838" s="25"/>
      <c r="F838" s="22"/>
      <c r="G838" s="25"/>
      <c r="H838" s="22"/>
      <c r="I838" s="25"/>
      <c r="J838" s="22"/>
    </row>
    <row r="839" ht="15.75" customHeight="1">
      <c r="A839" s="25"/>
      <c r="B839" s="22"/>
      <c r="C839" s="25"/>
      <c r="D839" s="22"/>
      <c r="E839" s="25"/>
      <c r="F839" s="22"/>
      <c r="G839" s="25"/>
      <c r="H839" s="22"/>
      <c r="I839" s="25"/>
      <c r="J839" s="22"/>
    </row>
    <row r="840" ht="15.75" customHeight="1">
      <c r="A840" s="25"/>
      <c r="B840" s="22"/>
      <c r="C840" s="25"/>
      <c r="D840" s="22"/>
      <c r="E840" s="25"/>
      <c r="F840" s="22"/>
      <c r="G840" s="25"/>
      <c r="H840" s="22"/>
      <c r="I840" s="25"/>
      <c r="J840" s="22"/>
    </row>
    <row r="841" ht="15.75" customHeight="1">
      <c r="A841" s="25"/>
      <c r="B841" s="22"/>
      <c r="C841" s="25"/>
      <c r="D841" s="22"/>
      <c r="E841" s="25"/>
      <c r="F841" s="22"/>
      <c r="G841" s="25"/>
      <c r="H841" s="22"/>
      <c r="I841" s="25"/>
      <c r="J841" s="22"/>
    </row>
    <row r="842" ht="15.75" customHeight="1">
      <c r="A842" s="25"/>
      <c r="B842" s="22"/>
      <c r="C842" s="25"/>
      <c r="D842" s="22"/>
      <c r="E842" s="25"/>
      <c r="F842" s="22"/>
      <c r="G842" s="25"/>
      <c r="H842" s="22"/>
      <c r="I842" s="25"/>
      <c r="J842" s="22"/>
    </row>
    <row r="843" ht="15.75" customHeight="1">
      <c r="A843" s="25"/>
      <c r="B843" s="22"/>
      <c r="C843" s="25"/>
      <c r="D843" s="22"/>
      <c r="E843" s="25"/>
      <c r="F843" s="22"/>
      <c r="G843" s="25"/>
      <c r="H843" s="22"/>
      <c r="I843" s="25"/>
      <c r="J843" s="22"/>
    </row>
    <row r="844" ht="15.75" customHeight="1">
      <c r="A844" s="25"/>
      <c r="B844" s="22"/>
      <c r="C844" s="25"/>
      <c r="D844" s="22"/>
      <c r="E844" s="25"/>
      <c r="F844" s="22"/>
      <c r="G844" s="25"/>
      <c r="H844" s="22"/>
      <c r="I844" s="25"/>
      <c r="J844" s="22"/>
    </row>
    <row r="845" ht="15.75" customHeight="1">
      <c r="A845" s="25"/>
      <c r="B845" s="22"/>
      <c r="C845" s="25"/>
      <c r="D845" s="22"/>
      <c r="E845" s="25"/>
      <c r="F845" s="22"/>
      <c r="G845" s="25"/>
      <c r="H845" s="22"/>
      <c r="I845" s="25"/>
      <c r="J845" s="22"/>
    </row>
    <row r="846" ht="15.75" customHeight="1">
      <c r="A846" s="25"/>
      <c r="B846" s="22"/>
      <c r="C846" s="25"/>
      <c r="D846" s="22"/>
      <c r="E846" s="25"/>
      <c r="F846" s="22"/>
      <c r="G846" s="25"/>
      <c r="H846" s="22"/>
      <c r="I846" s="25"/>
      <c r="J846" s="22"/>
    </row>
    <row r="847" ht="15.75" customHeight="1">
      <c r="A847" s="25"/>
      <c r="B847" s="22"/>
      <c r="C847" s="25"/>
      <c r="D847" s="22"/>
      <c r="E847" s="25"/>
      <c r="F847" s="22"/>
      <c r="G847" s="25"/>
      <c r="H847" s="22"/>
      <c r="I847" s="25"/>
      <c r="J847" s="22"/>
    </row>
    <row r="848" ht="15.75" customHeight="1">
      <c r="A848" s="25"/>
      <c r="B848" s="22"/>
      <c r="C848" s="25"/>
      <c r="D848" s="22"/>
      <c r="E848" s="25"/>
      <c r="F848" s="22"/>
      <c r="G848" s="25"/>
      <c r="H848" s="22"/>
      <c r="I848" s="25"/>
      <c r="J848" s="22"/>
    </row>
    <row r="849" ht="15.75" customHeight="1">
      <c r="A849" s="25"/>
      <c r="B849" s="22"/>
      <c r="C849" s="25"/>
      <c r="D849" s="22"/>
      <c r="E849" s="25"/>
      <c r="F849" s="22"/>
      <c r="G849" s="25"/>
      <c r="H849" s="22"/>
      <c r="I849" s="25"/>
      <c r="J849" s="22"/>
    </row>
    <row r="850" ht="15.75" customHeight="1">
      <c r="A850" s="25"/>
      <c r="B850" s="22"/>
      <c r="C850" s="25"/>
      <c r="D850" s="22"/>
      <c r="E850" s="25"/>
      <c r="F850" s="22"/>
      <c r="G850" s="25"/>
      <c r="H850" s="22"/>
      <c r="I850" s="25"/>
      <c r="J850" s="22"/>
    </row>
    <row r="851" ht="15.75" customHeight="1">
      <c r="A851" s="25"/>
      <c r="B851" s="22"/>
      <c r="C851" s="25"/>
      <c r="D851" s="22"/>
      <c r="E851" s="25"/>
      <c r="F851" s="22"/>
      <c r="G851" s="25"/>
      <c r="H851" s="22"/>
      <c r="I851" s="25"/>
      <c r="J851" s="22"/>
    </row>
    <row r="852" ht="15.75" customHeight="1">
      <c r="A852" s="25"/>
      <c r="B852" s="22"/>
      <c r="C852" s="25"/>
      <c r="D852" s="22"/>
      <c r="E852" s="25"/>
      <c r="F852" s="22"/>
      <c r="G852" s="25"/>
      <c r="H852" s="22"/>
      <c r="I852" s="25"/>
      <c r="J852" s="22"/>
    </row>
    <row r="853" ht="15.75" customHeight="1">
      <c r="A853" s="25"/>
      <c r="B853" s="22"/>
      <c r="C853" s="25"/>
      <c r="D853" s="22"/>
      <c r="E853" s="25"/>
      <c r="F853" s="22"/>
      <c r="G853" s="25"/>
      <c r="H853" s="22"/>
      <c r="I853" s="25"/>
      <c r="J853" s="22"/>
    </row>
    <row r="854" ht="15.75" customHeight="1">
      <c r="A854" s="25"/>
      <c r="B854" s="22"/>
      <c r="C854" s="25"/>
      <c r="D854" s="22"/>
      <c r="E854" s="25"/>
      <c r="F854" s="22"/>
      <c r="G854" s="25"/>
      <c r="H854" s="22"/>
      <c r="I854" s="25"/>
      <c r="J854" s="22"/>
    </row>
    <row r="855" ht="15.75" customHeight="1">
      <c r="A855" s="25"/>
      <c r="B855" s="22"/>
      <c r="C855" s="25"/>
      <c r="D855" s="22"/>
      <c r="E855" s="25"/>
      <c r="F855" s="22"/>
      <c r="G855" s="25"/>
      <c r="H855" s="22"/>
      <c r="I855" s="25"/>
      <c r="J855" s="22"/>
    </row>
    <row r="856" ht="15.75" customHeight="1">
      <c r="A856" s="25"/>
      <c r="B856" s="22"/>
      <c r="C856" s="25"/>
      <c r="D856" s="22"/>
      <c r="E856" s="25"/>
      <c r="F856" s="22"/>
      <c r="G856" s="25"/>
      <c r="H856" s="22"/>
      <c r="I856" s="25"/>
      <c r="J856" s="22"/>
    </row>
    <row r="857" ht="15.75" customHeight="1">
      <c r="A857" s="25"/>
      <c r="B857" s="22"/>
      <c r="C857" s="25"/>
      <c r="D857" s="22"/>
      <c r="E857" s="25"/>
      <c r="F857" s="22"/>
      <c r="G857" s="25"/>
      <c r="H857" s="22"/>
      <c r="I857" s="25"/>
      <c r="J857" s="22"/>
    </row>
    <row r="858" ht="15.75" customHeight="1">
      <c r="A858" s="25"/>
      <c r="B858" s="22"/>
      <c r="C858" s="25"/>
      <c r="D858" s="22"/>
      <c r="E858" s="25"/>
      <c r="F858" s="22"/>
      <c r="G858" s="25"/>
      <c r="H858" s="22"/>
      <c r="I858" s="25"/>
      <c r="J858" s="22"/>
    </row>
    <row r="859" ht="15.75" customHeight="1">
      <c r="A859" s="25"/>
      <c r="B859" s="22"/>
      <c r="C859" s="25"/>
      <c r="D859" s="22"/>
      <c r="E859" s="25"/>
      <c r="F859" s="22"/>
      <c r="G859" s="25"/>
      <c r="H859" s="22"/>
      <c r="I859" s="25"/>
      <c r="J859" s="22"/>
    </row>
    <row r="860" ht="15.75" customHeight="1">
      <c r="A860" s="25"/>
      <c r="B860" s="22"/>
      <c r="C860" s="25"/>
      <c r="D860" s="22"/>
      <c r="E860" s="25"/>
      <c r="F860" s="22"/>
      <c r="G860" s="25"/>
      <c r="H860" s="22"/>
      <c r="I860" s="25"/>
      <c r="J860" s="22"/>
    </row>
    <row r="861" ht="15.75" customHeight="1">
      <c r="A861" s="25"/>
      <c r="B861" s="22"/>
      <c r="C861" s="25"/>
      <c r="D861" s="22"/>
      <c r="E861" s="25"/>
      <c r="F861" s="22"/>
      <c r="G861" s="25"/>
      <c r="H861" s="22"/>
      <c r="I861" s="25"/>
      <c r="J861" s="22"/>
    </row>
    <row r="862" ht="15.75" customHeight="1">
      <c r="A862" s="25"/>
      <c r="B862" s="22"/>
      <c r="C862" s="25"/>
      <c r="D862" s="22"/>
      <c r="E862" s="25"/>
      <c r="F862" s="22"/>
      <c r="G862" s="25"/>
      <c r="H862" s="22"/>
      <c r="I862" s="25"/>
      <c r="J862" s="22"/>
    </row>
    <row r="863" ht="15.75" customHeight="1">
      <c r="A863" s="25"/>
      <c r="B863" s="22"/>
      <c r="C863" s="25"/>
      <c r="D863" s="22"/>
      <c r="E863" s="25"/>
      <c r="F863" s="22"/>
      <c r="G863" s="25"/>
      <c r="H863" s="22"/>
      <c r="I863" s="25"/>
      <c r="J863" s="22"/>
    </row>
    <row r="864" ht="15.75" customHeight="1">
      <c r="A864" s="25"/>
      <c r="B864" s="22"/>
      <c r="C864" s="25"/>
      <c r="D864" s="22"/>
      <c r="E864" s="25"/>
      <c r="F864" s="22"/>
      <c r="G864" s="25"/>
      <c r="H864" s="22"/>
      <c r="I864" s="25"/>
      <c r="J864" s="22"/>
    </row>
    <row r="865" ht="15.75" customHeight="1">
      <c r="A865" s="25"/>
      <c r="B865" s="22"/>
      <c r="C865" s="25"/>
      <c r="D865" s="22"/>
      <c r="E865" s="25"/>
      <c r="F865" s="22"/>
      <c r="G865" s="25"/>
      <c r="H865" s="22"/>
      <c r="I865" s="25"/>
      <c r="J865" s="22"/>
    </row>
    <row r="866" ht="15.75" customHeight="1">
      <c r="A866" s="25"/>
      <c r="B866" s="22"/>
      <c r="C866" s="25"/>
      <c r="D866" s="22"/>
      <c r="E866" s="25"/>
      <c r="F866" s="22"/>
      <c r="G866" s="25"/>
      <c r="H866" s="22"/>
      <c r="I866" s="25"/>
      <c r="J866" s="22"/>
    </row>
    <row r="867" ht="15.75" customHeight="1">
      <c r="A867" s="25"/>
      <c r="B867" s="22"/>
      <c r="C867" s="25"/>
      <c r="D867" s="22"/>
      <c r="E867" s="25"/>
      <c r="F867" s="22"/>
      <c r="G867" s="25"/>
      <c r="H867" s="22"/>
      <c r="I867" s="25"/>
      <c r="J867" s="22"/>
    </row>
    <row r="868" ht="15.75" customHeight="1">
      <c r="A868" s="25"/>
      <c r="B868" s="22"/>
      <c r="C868" s="25"/>
      <c r="D868" s="22"/>
      <c r="E868" s="25"/>
      <c r="F868" s="22"/>
      <c r="G868" s="25"/>
      <c r="H868" s="22"/>
      <c r="I868" s="25"/>
      <c r="J868" s="22"/>
    </row>
    <row r="869" ht="15.75" customHeight="1">
      <c r="A869" s="25"/>
      <c r="B869" s="22"/>
      <c r="C869" s="25"/>
      <c r="D869" s="22"/>
      <c r="E869" s="25"/>
      <c r="F869" s="22"/>
      <c r="G869" s="25"/>
      <c r="H869" s="22"/>
      <c r="I869" s="25"/>
      <c r="J869" s="22"/>
    </row>
    <row r="870" ht="15.75" customHeight="1">
      <c r="A870" s="25"/>
      <c r="B870" s="22"/>
      <c r="C870" s="25"/>
      <c r="D870" s="22"/>
      <c r="E870" s="25"/>
      <c r="F870" s="22"/>
      <c r="G870" s="25"/>
      <c r="H870" s="22"/>
      <c r="I870" s="25"/>
      <c r="J870" s="22"/>
    </row>
    <row r="871" ht="15.75" customHeight="1">
      <c r="A871" s="25"/>
      <c r="B871" s="22"/>
      <c r="C871" s="25"/>
      <c r="D871" s="22"/>
      <c r="E871" s="25"/>
      <c r="F871" s="22"/>
      <c r="G871" s="25"/>
      <c r="H871" s="22"/>
      <c r="I871" s="25"/>
      <c r="J871" s="22"/>
    </row>
    <row r="872" ht="15.75" customHeight="1">
      <c r="A872" s="25"/>
      <c r="B872" s="22"/>
      <c r="C872" s="25"/>
      <c r="D872" s="22"/>
      <c r="E872" s="25"/>
      <c r="F872" s="22"/>
      <c r="G872" s="25"/>
      <c r="H872" s="22"/>
      <c r="I872" s="25"/>
      <c r="J872" s="22"/>
    </row>
    <row r="873" ht="15.75" customHeight="1">
      <c r="A873" s="25"/>
      <c r="B873" s="22"/>
      <c r="C873" s="25"/>
      <c r="D873" s="22"/>
      <c r="E873" s="25"/>
      <c r="F873" s="22"/>
      <c r="G873" s="25"/>
      <c r="H873" s="22"/>
      <c r="I873" s="25"/>
      <c r="J873" s="22"/>
    </row>
    <row r="874" ht="15.75" customHeight="1">
      <c r="A874" s="25"/>
      <c r="B874" s="22"/>
      <c r="C874" s="25"/>
      <c r="D874" s="22"/>
      <c r="E874" s="25"/>
      <c r="F874" s="22"/>
      <c r="G874" s="25"/>
      <c r="H874" s="22"/>
      <c r="I874" s="25"/>
      <c r="J874" s="22"/>
    </row>
    <row r="875" ht="15.75" customHeight="1">
      <c r="A875" s="25"/>
      <c r="B875" s="22"/>
      <c r="C875" s="25"/>
      <c r="D875" s="22"/>
      <c r="E875" s="25"/>
      <c r="F875" s="22"/>
      <c r="G875" s="25"/>
      <c r="H875" s="22"/>
      <c r="I875" s="25"/>
      <c r="J875" s="22"/>
    </row>
    <row r="876" ht="15.75" customHeight="1">
      <c r="A876" s="25"/>
      <c r="B876" s="22"/>
      <c r="C876" s="25"/>
      <c r="D876" s="22"/>
      <c r="E876" s="25"/>
      <c r="F876" s="22"/>
      <c r="G876" s="25"/>
      <c r="H876" s="22"/>
      <c r="I876" s="25"/>
      <c r="J876" s="22"/>
    </row>
    <row r="877" ht="15.75" customHeight="1">
      <c r="A877" s="25"/>
      <c r="B877" s="22"/>
      <c r="C877" s="25"/>
      <c r="D877" s="22"/>
      <c r="E877" s="25"/>
      <c r="F877" s="22"/>
      <c r="G877" s="25"/>
      <c r="H877" s="22"/>
      <c r="I877" s="25"/>
      <c r="J877" s="22"/>
    </row>
    <row r="878" ht="15.75" customHeight="1">
      <c r="A878" s="25"/>
      <c r="B878" s="22"/>
      <c r="C878" s="25"/>
      <c r="D878" s="22"/>
      <c r="E878" s="25"/>
      <c r="F878" s="22"/>
      <c r="G878" s="25"/>
      <c r="H878" s="22"/>
      <c r="I878" s="25"/>
      <c r="J878" s="22"/>
    </row>
    <row r="879" ht="15.75" customHeight="1">
      <c r="A879" s="25"/>
      <c r="B879" s="22"/>
      <c r="C879" s="25"/>
      <c r="D879" s="22"/>
      <c r="E879" s="25"/>
      <c r="F879" s="22"/>
      <c r="G879" s="25"/>
      <c r="H879" s="22"/>
      <c r="I879" s="25"/>
      <c r="J879" s="22"/>
    </row>
    <row r="880" ht="15.75" customHeight="1">
      <c r="A880" s="25"/>
      <c r="B880" s="22"/>
      <c r="C880" s="25"/>
      <c r="D880" s="22"/>
      <c r="E880" s="25"/>
      <c r="F880" s="22"/>
      <c r="G880" s="25"/>
      <c r="H880" s="22"/>
      <c r="I880" s="25"/>
      <c r="J880" s="22"/>
    </row>
    <row r="881" ht="15.75" customHeight="1">
      <c r="A881" s="25"/>
      <c r="B881" s="22"/>
      <c r="C881" s="25"/>
      <c r="D881" s="22"/>
      <c r="E881" s="25"/>
      <c r="F881" s="22"/>
      <c r="G881" s="25"/>
      <c r="H881" s="22"/>
      <c r="I881" s="25"/>
      <c r="J881" s="22"/>
    </row>
    <row r="882" ht="15.75" customHeight="1">
      <c r="A882" s="25"/>
      <c r="B882" s="22"/>
      <c r="C882" s="25"/>
      <c r="D882" s="22"/>
      <c r="E882" s="25"/>
      <c r="F882" s="22"/>
      <c r="G882" s="25"/>
      <c r="H882" s="22"/>
      <c r="I882" s="25"/>
      <c r="J882" s="22"/>
    </row>
    <row r="883" ht="15.75" customHeight="1">
      <c r="A883" s="25"/>
      <c r="B883" s="22"/>
      <c r="C883" s="25"/>
      <c r="D883" s="22"/>
      <c r="E883" s="25"/>
      <c r="F883" s="22"/>
      <c r="G883" s="25"/>
      <c r="H883" s="22"/>
      <c r="I883" s="25"/>
      <c r="J883" s="22"/>
    </row>
    <row r="884" ht="15.75" customHeight="1">
      <c r="A884" s="25"/>
      <c r="B884" s="22"/>
      <c r="C884" s="25"/>
      <c r="D884" s="22"/>
      <c r="E884" s="25"/>
      <c r="F884" s="22"/>
      <c r="G884" s="25"/>
      <c r="H884" s="22"/>
      <c r="I884" s="25"/>
      <c r="J884" s="22"/>
    </row>
    <row r="885" ht="15.75" customHeight="1">
      <c r="A885" s="25"/>
      <c r="B885" s="22"/>
      <c r="C885" s="25"/>
      <c r="D885" s="22"/>
      <c r="E885" s="25"/>
      <c r="F885" s="22"/>
      <c r="G885" s="25"/>
      <c r="H885" s="22"/>
      <c r="I885" s="25"/>
      <c r="J885" s="22"/>
    </row>
    <row r="886" ht="15.75" customHeight="1">
      <c r="A886" s="25"/>
      <c r="B886" s="22"/>
      <c r="C886" s="25"/>
      <c r="D886" s="22"/>
      <c r="E886" s="25"/>
      <c r="F886" s="22"/>
      <c r="G886" s="25"/>
      <c r="H886" s="22"/>
      <c r="I886" s="25"/>
      <c r="J886" s="22"/>
    </row>
    <row r="887" ht="15.75" customHeight="1">
      <c r="A887" s="25"/>
      <c r="B887" s="22"/>
      <c r="C887" s="25"/>
      <c r="D887" s="22"/>
      <c r="E887" s="25"/>
      <c r="F887" s="22"/>
      <c r="G887" s="25"/>
      <c r="H887" s="22"/>
      <c r="I887" s="25"/>
      <c r="J887" s="22"/>
    </row>
    <row r="888" ht="15.75" customHeight="1">
      <c r="A888" s="25"/>
      <c r="B888" s="22"/>
      <c r="C888" s="25"/>
      <c r="D888" s="22"/>
      <c r="E888" s="25"/>
      <c r="F888" s="22"/>
      <c r="G888" s="25"/>
      <c r="H888" s="22"/>
      <c r="I888" s="25"/>
      <c r="J888" s="22"/>
    </row>
    <row r="889" ht="15.75" customHeight="1">
      <c r="A889" s="25"/>
      <c r="B889" s="22"/>
      <c r="C889" s="25"/>
      <c r="D889" s="22"/>
      <c r="E889" s="25"/>
      <c r="F889" s="22"/>
      <c r="G889" s="25"/>
      <c r="H889" s="22"/>
      <c r="I889" s="25"/>
      <c r="J889" s="22"/>
    </row>
    <row r="890" ht="15.75" customHeight="1">
      <c r="A890" s="25"/>
      <c r="B890" s="22"/>
      <c r="C890" s="25"/>
      <c r="D890" s="22"/>
      <c r="E890" s="25"/>
      <c r="F890" s="22"/>
      <c r="G890" s="25"/>
      <c r="H890" s="22"/>
      <c r="I890" s="25"/>
      <c r="J890" s="22"/>
    </row>
    <row r="891" ht="15.75" customHeight="1">
      <c r="A891" s="25"/>
      <c r="B891" s="22"/>
      <c r="C891" s="25"/>
      <c r="D891" s="22"/>
      <c r="E891" s="25"/>
      <c r="F891" s="22"/>
      <c r="G891" s="25"/>
      <c r="H891" s="22"/>
      <c r="I891" s="25"/>
      <c r="J891" s="22"/>
    </row>
    <row r="892" ht="15.75" customHeight="1">
      <c r="A892" s="25"/>
      <c r="B892" s="22"/>
      <c r="C892" s="25"/>
      <c r="D892" s="22"/>
      <c r="E892" s="25"/>
      <c r="F892" s="22"/>
      <c r="G892" s="25"/>
      <c r="H892" s="22"/>
      <c r="I892" s="25"/>
      <c r="J892" s="22"/>
    </row>
    <row r="893" ht="15.75" customHeight="1">
      <c r="A893" s="25"/>
      <c r="B893" s="22"/>
      <c r="C893" s="25"/>
      <c r="D893" s="22"/>
      <c r="E893" s="25"/>
      <c r="F893" s="22"/>
      <c r="G893" s="25"/>
      <c r="H893" s="22"/>
      <c r="I893" s="25"/>
      <c r="J893" s="22"/>
    </row>
    <row r="894" ht="15.75" customHeight="1">
      <c r="A894" s="25"/>
      <c r="B894" s="22"/>
      <c r="C894" s="25"/>
      <c r="D894" s="22"/>
      <c r="E894" s="25"/>
      <c r="F894" s="22"/>
      <c r="G894" s="25"/>
      <c r="H894" s="22"/>
      <c r="I894" s="25"/>
      <c r="J894" s="22"/>
    </row>
    <row r="895" ht="15.75" customHeight="1">
      <c r="A895" s="25"/>
      <c r="B895" s="22"/>
      <c r="C895" s="25"/>
      <c r="D895" s="22"/>
      <c r="E895" s="25"/>
      <c r="F895" s="22"/>
      <c r="G895" s="25"/>
      <c r="H895" s="22"/>
      <c r="I895" s="25"/>
      <c r="J895" s="22"/>
    </row>
    <row r="896" ht="15.75" customHeight="1">
      <c r="A896" s="25"/>
      <c r="B896" s="22"/>
      <c r="C896" s="25"/>
      <c r="D896" s="22"/>
      <c r="E896" s="25"/>
      <c r="F896" s="22"/>
      <c r="G896" s="25"/>
      <c r="H896" s="22"/>
      <c r="I896" s="25"/>
      <c r="J896" s="22"/>
    </row>
    <row r="897" ht="15.75" customHeight="1">
      <c r="A897" s="25"/>
      <c r="B897" s="22"/>
      <c r="C897" s="25"/>
      <c r="D897" s="22"/>
      <c r="E897" s="25"/>
      <c r="F897" s="22"/>
      <c r="G897" s="25"/>
      <c r="H897" s="22"/>
      <c r="I897" s="25"/>
      <c r="J897" s="22"/>
    </row>
    <row r="898" ht="15.75" customHeight="1">
      <c r="A898" s="25"/>
      <c r="B898" s="22"/>
      <c r="C898" s="25"/>
      <c r="D898" s="22"/>
      <c r="E898" s="25"/>
      <c r="F898" s="22"/>
      <c r="G898" s="25"/>
      <c r="H898" s="22"/>
      <c r="I898" s="25"/>
      <c r="J898" s="22"/>
    </row>
    <row r="899" ht="15.75" customHeight="1">
      <c r="A899" s="25"/>
      <c r="B899" s="22"/>
      <c r="C899" s="25"/>
      <c r="D899" s="22"/>
      <c r="E899" s="25"/>
      <c r="F899" s="22"/>
      <c r="G899" s="25"/>
      <c r="H899" s="22"/>
      <c r="I899" s="25"/>
      <c r="J899" s="22"/>
    </row>
    <row r="900" ht="15.75" customHeight="1">
      <c r="A900" s="25"/>
      <c r="B900" s="22"/>
      <c r="C900" s="25"/>
      <c r="D900" s="22"/>
      <c r="E900" s="25"/>
      <c r="F900" s="22"/>
      <c r="G900" s="25"/>
      <c r="H900" s="22"/>
      <c r="I900" s="25"/>
      <c r="J900" s="22"/>
    </row>
    <row r="901" ht="15.75" customHeight="1">
      <c r="A901" s="25"/>
      <c r="B901" s="22"/>
      <c r="C901" s="25"/>
      <c r="D901" s="22"/>
      <c r="E901" s="25"/>
      <c r="F901" s="22"/>
      <c r="G901" s="25"/>
      <c r="H901" s="22"/>
      <c r="I901" s="25"/>
      <c r="J901" s="22"/>
    </row>
    <row r="902" ht="15.75" customHeight="1">
      <c r="A902" s="25"/>
      <c r="B902" s="22"/>
      <c r="C902" s="25"/>
      <c r="D902" s="22"/>
      <c r="E902" s="25"/>
      <c r="F902" s="22"/>
      <c r="G902" s="25"/>
      <c r="H902" s="22"/>
      <c r="I902" s="25"/>
      <c r="J902" s="22"/>
    </row>
    <row r="903" ht="15.75" customHeight="1">
      <c r="A903" s="25"/>
      <c r="B903" s="22"/>
      <c r="C903" s="25"/>
      <c r="D903" s="22"/>
      <c r="E903" s="25"/>
      <c r="F903" s="22"/>
      <c r="G903" s="25"/>
      <c r="H903" s="22"/>
      <c r="I903" s="25"/>
      <c r="J903" s="22"/>
    </row>
    <row r="904" ht="15.75" customHeight="1">
      <c r="A904" s="25"/>
      <c r="B904" s="22"/>
      <c r="C904" s="25"/>
      <c r="D904" s="22"/>
      <c r="E904" s="25"/>
      <c r="F904" s="22"/>
      <c r="G904" s="25"/>
      <c r="H904" s="22"/>
      <c r="I904" s="25"/>
      <c r="J904" s="22"/>
    </row>
    <row r="905" ht="15.75" customHeight="1">
      <c r="A905" s="25"/>
      <c r="B905" s="22"/>
      <c r="C905" s="25"/>
      <c r="D905" s="22"/>
      <c r="E905" s="25"/>
      <c r="F905" s="22"/>
      <c r="G905" s="25"/>
      <c r="H905" s="22"/>
      <c r="I905" s="25"/>
      <c r="J905" s="22"/>
    </row>
    <row r="906" ht="15.75" customHeight="1">
      <c r="A906" s="25"/>
      <c r="B906" s="22"/>
      <c r="C906" s="25"/>
      <c r="D906" s="22"/>
      <c r="E906" s="25"/>
      <c r="F906" s="22"/>
      <c r="G906" s="25"/>
      <c r="H906" s="22"/>
      <c r="I906" s="25"/>
      <c r="J906" s="22"/>
    </row>
    <row r="907" ht="15.75" customHeight="1">
      <c r="A907" s="25"/>
      <c r="B907" s="22"/>
      <c r="C907" s="25"/>
      <c r="D907" s="22"/>
      <c r="E907" s="25"/>
      <c r="F907" s="22"/>
      <c r="G907" s="25"/>
      <c r="H907" s="22"/>
      <c r="I907" s="25"/>
      <c r="J907" s="22"/>
    </row>
    <row r="908" ht="15.75" customHeight="1">
      <c r="A908" s="25"/>
      <c r="B908" s="22"/>
      <c r="C908" s="25"/>
      <c r="D908" s="22"/>
      <c r="E908" s="25"/>
      <c r="F908" s="22"/>
      <c r="G908" s="25"/>
      <c r="H908" s="22"/>
      <c r="I908" s="25"/>
      <c r="J908" s="22"/>
    </row>
    <row r="909" ht="15.75" customHeight="1">
      <c r="A909" s="25"/>
      <c r="B909" s="22"/>
      <c r="C909" s="25"/>
      <c r="D909" s="22"/>
      <c r="E909" s="25"/>
      <c r="F909" s="22"/>
      <c r="G909" s="25"/>
      <c r="H909" s="22"/>
      <c r="I909" s="25"/>
      <c r="J909" s="22"/>
    </row>
    <row r="910" ht="15.75" customHeight="1">
      <c r="A910" s="25"/>
      <c r="B910" s="22"/>
      <c r="C910" s="25"/>
      <c r="D910" s="22"/>
      <c r="E910" s="25"/>
      <c r="F910" s="22"/>
      <c r="G910" s="25"/>
      <c r="H910" s="22"/>
      <c r="I910" s="25"/>
      <c r="J910" s="22"/>
    </row>
    <row r="911" ht="15.75" customHeight="1">
      <c r="A911" s="25"/>
      <c r="B911" s="22"/>
      <c r="C911" s="25"/>
      <c r="D911" s="22"/>
      <c r="E911" s="25"/>
      <c r="F911" s="22"/>
      <c r="G911" s="25"/>
      <c r="H911" s="22"/>
      <c r="I911" s="25"/>
      <c r="J911" s="22"/>
    </row>
    <row r="912" ht="15.75" customHeight="1">
      <c r="A912" s="25"/>
      <c r="B912" s="22"/>
      <c r="C912" s="25"/>
      <c r="D912" s="22"/>
      <c r="E912" s="25"/>
      <c r="F912" s="22"/>
      <c r="G912" s="25"/>
      <c r="H912" s="22"/>
      <c r="I912" s="25"/>
      <c r="J912" s="22"/>
    </row>
    <row r="913" ht="15.75" customHeight="1">
      <c r="A913" s="25"/>
      <c r="B913" s="22"/>
      <c r="C913" s="25"/>
      <c r="D913" s="22"/>
      <c r="E913" s="25"/>
      <c r="F913" s="22"/>
      <c r="G913" s="25"/>
      <c r="H913" s="22"/>
      <c r="I913" s="25"/>
      <c r="J913" s="22"/>
    </row>
    <row r="914" ht="15.75" customHeight="1">
      <c r="A914" s="25"/>
      <c r="B914" s="22"/>
      <c r="C914" s="25"/>
      <c r="D914" s="22"/>
      <c r="E914" s="25"/>
      <c r="F914" s="22"/>
      <c r="G914" s="25"/>
      <c r="H914" s="22"/>
      <c r="I914" s="25"/>
      <c r="J914" s="22"/>
    </row>
    <row r="915" ht="15.75" customHeight="1">
      <c r="A915" s="25"/>
      <c r="B915" s="22"/>
      <c r="C915" s="25"/>
      <c r="D915" s="22"/>
      <c r="E915" s="25"/>
      <c r="F915" s="22"/>
      <c r="G915" s="25"/>
      <c r="H915" s="22"/>
      <c r="I915" s="25"/>
      <c r="J915" s="22"/>
    </row>
    <row r="916" ht="15.75" customHeight="1">
      <c r="A916" s="25"/>
      <c r="B916" s="22"/>
      <c r="C916" s="25"/>
      <c r="D916" s="22"/>
      <c r="E916" s="25"/>
      <c r="F916" s="22"/>
      <c r="G916" s="25"/>
      <c r="H916" s="22"/>
      <c r="I916" s="25"/>
      <c r="J916" s="22"/>
    </row>
    <row r="917" ht="15.75" customHeight="1">
      <c r="A917" s="25"/>
      <c r="B917" s="22"/>
      <c r="C917" s="25"/>
      <c r="D917" s="22"/>
      <c r="E917" s="25"/>
      <c r="F917" s="22"/>
      <c r="G917" s="25"/>
      <c r="H917" s="22"/>
      <c r="I917" s="25"/>
      <c r="J917" s="22"/>
    </row>
    <row r="918" ht="15.75" customHeight="1">
      <c r="A918" s="25"/>
      <c r="B918" s="22"/>
      <c r="C918" s="25"/>
      <c r="D918" s="22"/>
      <c r="E918" s="25"/>
      <c r="F918" s="22"/>
      <c r="G918" s="25"/>
      <c r="H918" s="22"/>
      <c r="I918" s="25"/>
      <c r="J918" s="22"/>
    </row>
    <row r="919" ht="15.75" customHeight="1">
      <c r="A919" s="25"/>
      <c r="B919" s="22"/>
      <c r="C919" s="25"/>
      <c r="D919" s="22"/>
      <c r="E919" s="25"/>
      <c r="F919" s="22"/>
      <c r="G919" s="25"/>
      <c r="H919" s="22"/>
      <c r="I919" s="25"/>
      <c r="J919" s="22"/>
    </row>
    <row r="920" ht="15.75" customHeight="1">
      <c r="A920" s="25"/>
      <c r="B920" s="22"/>
      <c r="C920" s="25"/>
      <c r="D920" s="22"/>
      <c r="E920" s="25"/>
      <c r="F920" s="22"/>
      <c r="G920" s="25"/>
      <c r="H920" s="22"/>
      <c r="I920" s="25"/>
      <c r="J920" s="22"/>
    </row>
    <row r="921" ht="15.75" customHeight="1">
      <c r="A921" s="25"/>
      <c r="B921" s="22"/>
      <c r="C921" s="25"/>
      <c r="D921" s="22"/>
      <c r="E921" s="25"/>
      <c r="F921" s="22"/>
      <c r="G921" s="25"/>
      <c r="H921" s="22"/>
      <c r="I921" s="25"/>
      <c r="J921" s="22"/>
    </row>
    <row r="922" ht="15.75" customHeight="1">
      <c r="A922" s="25"/>
      <c r="B922" s="22"/>
      <c r="C922" s="25"/>
      <c r="D922" s="22"/>
      <c r="E922" s="25"/>
      <c r="F922" s="22"/>
      <c r="G922" s="25"/>
      <c r="H922" s="22"/>
      <c r="I922" s="25"/>
      <c r="J922" s="22"/>
    </row>
    <row r="923" ht="15.75" customHeight="1">
      <c r="A923" s="25"/>
      <c r="B923" s="22"/>
      <c r="C923" s="25"/>
      <c r="D923" s="22"/>
      <c r="E923" s="25"/>
      <c r="F923" s="22"/>
      <c r="G923" s="25"/>
      <c r="H923" s="22"/>
      <c r="I923" s="25"/>
      <c r="J923" s="22"/>
    </row>
    <row r="924" ht="15.75" customHeight="1">
      <c r="A924" s="25"/>
      <c r="B924" s="22"/>
      <c r="C924" s="25"/>
      <c r="D924" s="22"/>
      <c r="E924" s="25"/>
      <c r="F924" s="22"/>
      <c r="G924" s="25"/>
      <c r="H924" s="22"/>
      <c r="I924" s="25"/>
      <c r="J924" s="22"/>
    </row>
    <row r="925" ht="15.75" customHeight="1">
      <c r="A925" s="25"/>
      <c r="B925" s="22"/>
      <c r="C925" s="25"/>
      <c r="D925" s="22"/>
      <c r="E925" s="25"/>
      <c r="F925" s="22"/>
      <c r="G925" s="25"/>
      <c r="H925" s="22"/>
      <c r="I925" s="25"/>
      <c r="J925" s="22"/>
    </row>
    <row r="926" ht="15.75" customHeight="1">
      <c r="A926" s="25"/>
      <c r="B926" s="22"/>
      <c r="C926" s="25"/>
      <c r="D926" s="22"/>
      <c r="E926" s="25"/>
      <c r="F926" s="22"/>
      <c r="G926" s="25"/>
      <c r="H926" s="22"/>
      <c r="I926" s="25"/>
      <c r="J926" s="22"/>
    </row>
    <row r="927" ht="15.75" customHeight="1">
      <c r="A927" s="25"/>
      <c r="B927" s="22"/>
      <c r="C927" s="25"/>
      <c r="D927" s="22"/>
      <c r="E927" s="25"/>
      <c r="F927" s="22"/>
      <c r="G927" s="25"/>
      <c r="H927" s="22"/>
      <c r="I927" s="25"/>
      <c r="J927" s="22"/>
    </row>
    <row r="928" ht="15.75" customHeight="1">
      <c r="A928" s="25"/>
      <c r="B928" s="22"/>
      <c r="C928" s="25"/>
      <c r="D928" s="22"/>
      <c r="E928" s="25"/>
      <c r="F928" s="22"/>
      <c r="G928" s="25"/>
      <c r="H928" s="22"/>
      <c r="I928" s="25"/>
      <c r="J928" s="22"/>
    </row>
    <row r="929" ht="15.75" customHeight="1">
      <c r="A929" s="25"/>
      <c r="B929" s="22"/>
      <c r="C929" s="25"/>
      <c r="D929" s="22"/>
      <c r="E929" s="25"/>
      <c r="F929" s="22"/>
      <c r="G929" s="25"/>
      <c r="H929" s="22"/>
      <c r="I929" s="25"/>
      <c r="J929" s="22"/>
    </row>
    <row r="930" ht="15.75" customHeight="1">
      <c r="A930" s="25"/>
      <c r="B930" s="22"/>
      <c r="C930" s="25"/>
      <c r="D930" s="22"/>
      <c r="E930" s="25"/>
      <c r="F930" s="22"/>
      <c r="G930" s="25"/>
      <c r="H930" s="22"/>
      <c r="I930" s="25"/>
      <c r="J930" s="22"/>
    </row>
    <row r="931" ht="15.75" customHeight="1">
      <c r="A931" s="25"/>
      <c r="B931" s="22"/>
      <c r="C931" s="25"/>
      <c r="D931" s="22"/>
      <c r="E931" s="25"/>
      <c r="F931" s="22"/>
      <c r="G931" s="25"/>
      <c r="H931" s="22"/>
      <c r="I931" s="25"/>
      <c r="J931" s="22"/>
    </row>
    <row r="932" ht="15.75" customHeight="1">
      <c r="A932" s="25"/>
      <c r="B932" s="22"/>
      <c r="C932" s="25"/>
      <c r="D932" s="22"/>
      <c r="E932" s="25"/>
      <c r="F932" s="22"/>
      <c r="G932" s="25"/>
      <c r="H932" s="22"/>
      <c r="I932" s="25"/>
      <c r="J932" s="22"/>
    </row>
    <row r="933" ht="15.75" customHeight="1">
      <c r="A933" s="25"/>
      <c r="B933" s="22"/>
      <c r="C933" s="25"/>
      <c r="D933" s="22"/>
      <c r="E933" s="25"/>
      <c r="F933" s="22"/>
      <c r="G933" s="25"/>
      <c r="H933" s="22"/>
      <c r="I933" s="25"/>
      <c r="J933" s="22"/>
    </row>
    <row r="934" ht="15.75" customHeight="1">
      <c r="A934" s="25"/>
      <c r="B934" s="22"/>
      <c r="C934" s="25"/>
      <c r="D934" s="22"/>
      <c r="E934" s="25"/>
      <c r="F934" s="22"/>
      <c r="G934" s="25"/>
      <c r="H934" s="22"/>
      <c r="I934" s="25"/>
      <c r="J934" s="22"/>
    </row>
    <row r="935" ht="15.75" customHeight="1">
      <c r="A935" s="25"/>
      <c r="B935" s="22"/>
      <c r="C935" s="25"/>
      <c r="D935" s="22"/>
      <c r="E935" s="25"/>
      <c r="F935" s="22"/>
      <c r="G935" s="25"/>
      <c r="H935" s="22"/>
      <c r="I935" s="25"/>
      <c r="J935" s="22"/>
    </row>
    <row r="936" ht="15.75" customHeight="1">
      <c r="A936" s="25"/>
      <c r="B936" s="22"/>
      <c r="C936" s="25"/>
      <c r="D936" s="22"/>
      <c r="E936" s="25"/>
      <c r="F936" s="22"/>
      <c r="G936" s="25"/>
      <c r="H936" s="22"/>
      <c r="I936" s="25"/>
      <c r="J936" s="22"/>
    </row>
    <row r="937" ht="15.75" customHeight="1">
      <c r="A937" s="25"/>
      <c r="B937" s="22"/>
      <c r="C937" s="25"/>
      <c r="D937" s="22"/>
      <c r="E937" s="25"/>
      <c r="F937" s="22"/>
      <c r="G937" s="25"/>
      <c r="H937" s="22"/>
      <c r="I937" s="25"/>
      <c r="J937" s="22"/>
    </row>
    <row r="938" ht="15.75" customHeight="1">
      <c r="A938" s="25"/>
      <c r="B938" s="22"/>
      <c r="C938" s="25"/>
      <c r="D938" s="22"/>
      <c r="E938" s="25"/>
      <c r="F938" s="22"/>
      <c r="G938" s="25"/>
      <c r="H938" s="22"/>
      <c r="I938" s="25"/>
      <c r="J938" s="22"/>
    </row>
    <row r="939" ht="15.75" customHeight="1">
      <c r="A939" s="25"/>
      <c r="B939" s="22"/>
      <c r="C939" s="25"/>
      <c r="D939" s="22"/>
      <c r="E939" s="25"/>
      <c r="F939" s="22"/>
      <c r="G939" s="25"/>
      <c r="H939" s="22"/>
      <c r="I939" s="25"/>
      <c r="J939" s="22"/>
    </row>
    <row r="940" ht="15.75" customHeight="1">
      <c r="A940" s="25"/>
      <c r="B940" s="22"/>
      <c r="C940" s="25"/>
      <c r="D940" s="22"/>
      <c r="E940" s="25"/>
      <c r="F940" s="22"/>
      <c r="G940" s="25"/>
      <c r="H940" s="22"/>
      <c r="I940" s="25"/>
      <c r="J940" s="22"/>
    </row>
    <row r="941" ht="15.75" customHeight="1">
      <c r="A941" s="25"/>
      <c r="B941" s="22"/>
      <c r="C941" s="25"/>
      <c r="D941" s="22"/>
      <c r="E941" s="25"/>
      <c r="F941" s="22"/>
      <c r="G941" s="25"/>
      <c r="H941" s="22"/>
      <c r="I941" s="25"/>
      <c r="J941" s="22"/>
    </row>
    <row r="942" ht="15.75" customHeight="1">
      <c r="A942" s="25"/>
      <c r="B942" s="22"/>
      <c r="C942" s="25"/>
      <c r="D942" s="22"/>
      <c r="E942" s="25"/>
      <c r="F942" s="22"/>
      <c r="G942" s="25"/>
      <c r="H942" s="22"/>
      <c r="I942" s="25"/>
      <c r="J942" s="22"/>
    </row>
    <row r="943" ht="15.75" customHeight="1">
      <c r="A943" s="25"/>
      <c r="B943" s="22"/>
      <c r="C943" s="25"/>
      <c r="D943" s="22"/>
      <c r="E943" s="25"/>
      <c r="F943" s="22"/>
      <c r="G943" s="25"/>
      <c r="H943" s="22"/>
      <c r="I943" s="25"/>
      <c r="J943" s="22"/>
    </row>
    <row r="944" ht="15.75" customHeight="1">
      <c r="A944" s="25"/>
      <c r="B944" s="22"/>
      <c r="C944" s="25"/>
      <c r="D944" s="22"/>
      <c r="E944" s="25"/>
      <c r="F944" s="22"/>
      <c r="G944" s="25"/>
      <c r="H944" s="22"/>
      <c r="I944" s="25"/>
      <c r="J944" s="22"/>
    </row>
    <row r="945" ht="15.75" customHeight="1">
      <c r="A945" s="25"/>
      <c r="B945" s="22"/>
      <c r="C945" s="25"/>
      <c r="D945" s="22"/>
      <c r="E945" s="25"/>
      <c r="F945" s="22"/>
      <c r="G945" s="25"/>
      <c r="H945" s="22"/>
      <c r="I945" s="25"/>
      <c r="J945" s="22"/>
    </row>
    <row r="946" ht="15.75" customHeight="1">
      <c r="A946" s="25"/>
      <c r="B946" s="22"/>
      <c r="C946" s="25"/>
      <c r="D946" s="22"/>
      <c r="E946" s="25"/>
      <c r="F946" s="22"/>
      <c r="G946" s="25"/>
      <c r="H946" s="22"/>
      <c r="I946" s="25"/>
      <c r="J946" s="22"/>
    </row>
    <row r="947" ht="15.75" customHeight="1">
      <c r="A947" s="25"/>
      <c r="B947" s="22"/>
      <c r="C947" s="25"/>
      <c r="D947" s="22"/>
      <c r="E947" s="25"/>
      <c r="F947" s="22"/>
      <c r="G947" s="25"/>
      <c r="H947" s="22"/>
      <c r="I947" s="25"/>
      <c r="J947" s="22"/>
    </row>
    <row r="948" ht="15.75" customHeight="1">
      <c r="A948" s="25"/>
      <c r="B948" s="22"/>
      <c r="C948" s="25"/>
      <c r="D948" s="22"/>
      <c r="E948" s="25"/>
      <c r="F948" s="22"/>
      <c r="G948" s="25"/>
      <c r="H948" s="22"/>
      <c r="I948" s="25"/>
      <c r="J948" s="22"/>
    </row>
    <row r="949" ht="15.75" customHeight="1">
      <c r="A949" s="25"/>
      <c r="B949" s="22"/>
      <c r="C949" s="25"/>
      <c r="D949" s="22"/>
      <c r="E949" s="25"/>
      <c r="F949" s="22"/>
      <c r="G949" s="25"/>
      <c r="H949" s="22"/>
      <c r="I949" s="25"/>
      <c r="J949" s="22"/>
    </row>
    <row r="950" ht="15.75" customHeight="1">
      <c r="A950" s="25"/>
      <c r="B950" s="22"/>
      <c r="C950" s="25"/>
      <c r="D950" s="22"/>
      <c r="E950" s="25"/>
      <c r="F950" s="22"/>
      <c r="G950" s="25"/>
      <c r="H950" s="22"/>
      <c r="I950" s="25"/>
      <c r="J950" s="22"/>
    </row>
    <row r="951" ht="15.75" customHeight="1">
      <c r="A951" s="25"/>
      <c r="B951" s="22"/>
      <c r="C951" s="25"/>
      <c r="D951" s="22"/>
      <c r="E951" s="25"/>
      <c r="F951" s="22"/>
      <c r="G951" s="25"/>
      <c r="H951" s="22"/>
      <c r="I951" s="25"/>
      <c r="J951" s="22"/>
    </row>
    <row r="952" ht="15.75" customHeight="1">
      <c r="A952" s="25"/>
      <c r="B952" s="22"/>
      <c r="C952" s="25"/>
      <c r="D952" s="22"/>
      <c r="E952" s="25"/>
      <c r="F952" s="22"/>
      <c r="G952" s="25"/>
      <c r="H952" s="22"/>
      <c r="I952" s="25"/>
      <c r="J952" s="22"/>
    </row>
    <row r="953" ht="15.75" customHeight="1">
      <c r="A953" s="25"/>
      <c r="B953" s="22"/>
      <c r="C953" s="25"/>
      <c r="D953" s="22"/>
      <c r="E953" s="25"/>
      <c r="F953" s="22"/>
      <c r="G953" s="25"/>
      <c r="H953" s="22"/>
      <c r="I953" s="25"/>
      <c r="J953" s="22"/>
    </row>
    <row r="954" ht="15.75" customHeight="1">
      <c r="A954" s="25"/>
      <c r="B954" s="22"/>
      <c r="C954" s="25"/>
      <c r="D954" s="22"/>
      <c r="E954" s="25"/>
      <c r="F954" s="22"/>
      <c r="G954" s="25"/>
      <c r="H954" s="22"/>
      <c r="I954" s="25"/>
      <c r="J954" s="22"/>
    </row>
    <row r="955" ht="15.75" customHeight="1">
      <c r="A955" s="25"/>
      <c r="B955" s="22"/>
      <c r="C955" s="25"/>
      <c r="D955" s="22"/>
      <c r="E955" s="25"/>
      <c r="F955" s="22"/>
      <c r="G955" s="25"/>
      <c r="H955" s="22"/>
      <c r="I955" s="25"/>
      <c r="J955" s="22"/>
    </row>
    <row r="956" ht="15.75" customHeight="1">
      <c r="A956" s="25"/>
      <c r="B956" s="22"/>
      <c r="C956" s="25"/>
      <c r="D956" s="22"/>
      <c r="E956" s="25"/>
      <c r="F956" s="22"/>
      <c r="G956" s="25"/>
      <c r="H956" s="22"/>
      <c r="I956" s="25"/>
      <c r="J956" s="22"/>
    </row>
    <row r="957" ht="15.75" customHeight="1">
      <c r="A957" s="25"/>
      <c r="B957" s="22"/>
      <c r="C957" s="25"/>
      <c r="D957" s="22"/>
      <c r="E957" s="25"/>
      <c r="F957" s="22"/>
      <c r="G957" s="25"/>
      <c r="H957" s="22"/>
      <c r="I957" s="25"/>
      <c r="J957" s="22"/>
    </row>
    <row r="958" ht="15.75" customHeight="1">
      <c r="A958" s="25"/>
      <c r="B958" s="22"/>
      <c r="C958" s="25"/>
      <c r="D958" s="22"/>
      <c r="E958" s="25"/>
      <c r="F958" s="22"/>
      <c r="G958" s="25"/>
      <c r="H958" s="22"/>
      <c r="I958" s="25"/>
      <c r="J958" s="22"/>
    </row>
    <row r="959" ht="15.75" customHeight="1">
      <c r="A959" s="25"/>
      <c r="B959" s="22"/>
      <c r="C959" s="25"/>
      <c r="D959" s="22"/>
      <c r="E959" s="25"/>
      <c r="F959" s="22"/>
      <c r="G959" s="25"/>
      <c r="H959" s="22"/>
      <c r="I959" s="25"/>
      <c r="J959" s="22"/>
    </row>
    <row r="960" ht="15.75" customHeight="1">
      <c r="A960" s="25"/>
      <c r="B960" s="22"/>
      <c r="C960" s="25"/>
      <c r="D960" s="22"/>
      <c r="E960" s="25"/>
      <c r="F960" s="22"/>
      <c r="G960" s="25"/>
      <c r="H960" s="22"/>
      <c r="I960" s="25"/>
      <c r="J960" s="22"/>
    </row>
    <row r="961" ht="15.75" customHeight="1">
      <c r="A961" s="25"/>
      <c r="B961" s="22"/>
      <c r="C961" s="25"/>
      <c r="D961" s="22"/>
      <c r="E961" s="25"/>
      <c r="F961" s="22"/>
      <c r="G961" s="25"/>
      <c r="H961" s="22"/>
      <c r="I961" s="25"/>
      <c r="J961" s="22"/>
    </row>
    <row r="962" ht="15.75" customHeight="1">
      <c r="A962" s="25"/>
      <c r="B962" s="22"/>
      <c r="C962" s="25"/>
      <c r="D962" s="22"/>
      <c r="E962" s="25"/>
      <c r="F962" s="22"/>
      <c r="G962" s="25"/>
      <c r="H962" s="22"/>
      <c r="I962" s="25"/>
      <c r="J962" s="22"/>
    </row>
    <row r="963" ht="15.75" customHeight="1">
      <c r="A963" s="25"/>
      <c r="B963" s="22"/>
      <c r="C963" s="25"/>
      <c r="D963" s="22"/>
      <c r="E963" s="25"/>
      <c r="F963" s="22"/>
      <c r="G963" s="25"/>
      <c r="H963" s="22"/>
      <c r="I963" s="25"/>
      <c r="J963" s="22"/>
    </row>
    <row r="964" ht="15.75" customHeight="1">
      <c r="A964" s="25"/>
      <c r="B964" s="22"/>
      <c r="C964" s="25"/>
      <c r="D964" s="22"/>
      <c r="E964" s="25"/>
      <c r="F964" s="22"/>
      <c r="G964" s="25"/>
      <c r="H964" s="22"/>
      <c r="I964" s="25"/>
      <c r="J964" s="22"/>
    </row>
    <row r="965" ht="15.75" customHeight="1">
      <c r="A965" s="25"/>
      <c r="B965" s="22"/>
      <c r="C965" s="25"/>
      <c r="D965" s="22"/>
      <c r="E965" s="25"/>
      <c r="F965" s="22"/>
      <c r="G965" s="25"/>
      <c r="H965" s="22"/>
      <c r="I965" s="25"/>
      <c r="J965" s="22"/>
    </row>
    <row r="966" ht="15.75" customHeight="1">
      <c r="A966" s="25"/>
      <c r="B966" s="22"/>
      <c r="C966" s="25"/>
      <c r="D966" s="22"/>
      <c r="E966" s="25"/>
      <c r="F966" s="22"/>
      <c r="G966" s="25"/>
      <c r="H966" s="22"/>
      <c r="I966" s="25"/>
      <c r="J966" s="22"/>
    </row>
    <row r="967" ht="15.75" customHeight="1">
      <c r="A967" s="25"/>
      <c r="B967" s="22"/>
      <c r="C967" s="25"/>
      <c r="D967" s="22"/>
      <c r="E967" s="25"/>
      <c r="F967" s="22"/>
      <c r="G967" s="25"/>
      <c r="H967" s="22"/>
      <c r="I967" s="25"/>
      <c r="J967" s="22"/>
    </row>
    <row r="968" ht="15.75" customHeight="1">
      <c r="A968" s="25"/>
      <c r="B968" s="22"/>
      <c r="C968" s="25"/>
      <c r="D968" s="22"/>
      <c r="E968" s="25"/>
      <c r="F968" s="22"/>
      <c r="G968" s="25"/>
      <c r="H968" s="22"/>
      <c r="I968" s="25"/>
      <c r="J968" s="22"/>
    </row>
    <row r="969" ht="15.75" customHeight="1">
      <c r="A969" s="25"/>
      <c r="B969" s="22"/>
      <c r="C969" s="25"/>
      <c r="D969" s="22"/>
      <c r="E969" s="25"/>
      <c r="F969" s="22"/>
      <c r="G969" s="25"/>
      <c r="H969" s="22"/>
      <c r="I969" s="25"/>
      <c r="J969" s="22"/>
    </row>
    <row r="970" ht="15.75" customHeight="1">
      <c r="A970" s="25"/>
      <c r="B970" s="22"/>
      <c r="C970" s="25"/>
      <c r="D970" s="22"/>
      <c r="E970" s="25"/>
      <c r="F970" s="22"/>
      <c r="G970" s="25"/>
      <c r="H970" s="22"/>
      <c r="I970" s="25"/>
      <c r="J970" s="22"/>
    </row>
    <row r="971" ht="15.75" customHeight="1">
      <c r="A971" s="25"/>
      <c r="B971" s="22"/>
      <c r="C971" s="25"/>
      <c r="D971" s="22"/>
      <c r="E971" s="25"/>
      <c r="F971" s="22"/>
      <c r="G971" s="25"/>
      <c r="H971" s="22"/>
      <c r="I971" s="25"/>
      <c r="J971" s="22"/>
    </row>
    <row r="972" ht="15.75" customHeight="1">
      <c r="A972" s="25"/>
      <c r="B972" s="22"/>
      <c r="C972" s="25"/>
      <c r="D972" s="22"/>
      <c r="E972" s="25"/>
      <c r="F972" s="22"/>
      <c r="G972" s="25"/>
      <c r="H972" s="22"/>
      <c r="I972" s="25"/>
      <c r="J972" s="22"/>
    </row>
    <row r="973" ht="15.75" customHeight="1">
      <c r="A973" s="25"/>
      <c r="B973" s="22"/>
      <c r="C973" s="25"/>
      <c r="D973" s="22"/>
      <c r="E973" s="25"/>
      <c r="F973" s="22"/>
      <c r="G973" s="25"/>
      <c r="H973" s="22"/>
      <c r="I973" s="25"/>
      <c r="J973" s="22"/>
    </row>
    <row r="974" ht="15.75" customHeight="1">
      <c r="A974" s="25"/>
      <c r="B974" s="22"/>
      <c r="C974" s="25"/>
      <c r="D974" s="22"/>
      <c r="E974" s="25"/>
      <c r="F974" s="22"/>
      <c r="G974" s="25"/>
      <c r="H974" s="22"/>
      <c r="I974" s="25"/>
      <c r="J974" s="22"/>
    </row>
    <row r="975" ht="15.75" customHeight="1">
      <c r="A975" s="25"/>
      <c r="B975" s="22"/>
      <c r="C975" s="25"/>
      <c r="D975" s="22"/>
      <c r="E975" s="25"/>
      <c r="F975" s="22"/>
      <c r="G975" s="25"/>
      <c r="H975" s="22"/>
      <c r="I975" s="25"/>
      <c r="J975" s="22"/>
    </row>
    <row r="976" ht="15.75" customHeight="1">
      <c r="A976" s="25"/>
      <c r="B976" s="22"/>
      <c r="C976" s="25"/>
      <c r="D976" s="22"/>
      <c r="E976" s="25"/>
      <c r="F976" s="22"/>
      <c r="G976" s="25"/>
      <c r="H976" s="22"/>
      <c r="I976" s="25"/>
      <c r="J976" s="22"/>
    </row>
    <row r="977" ht="15.75" customHeight="1">
      <c r="A977" s="25"/>
      <c r="B977" s="22"/>
      <c r="C977" s="25"/>
      <c r="D977" s="22"/>
      <c r="E977" s="25"/>
      <c r="F977" s="22"/>
      <c r="G977" s="25"/>
      <c r="H977" s="22"/>
      <c r="I977" s="25"/>
      <c r="J977" s="22"/>
    </row>
    <row r="978" ht="15.75" customHeight="1">
      <c r="A978" s="25"/>
      <c r="B978" s="22"/>
      <c r="C978" s="25"/>
      <c r="D978" s="22"/>
      <c r="E978" s="25"/>
      <c r="F978" s="22"/>
      <c r="G978" s="25"/>
      <c r="H978" s="22"/>
      <c r="I978" s="25"/>
      <c r="J978" s="22"/>
    </row>
    <row r="979" ht="15.75" customHeight="1">
      <c r="A979" s="25"/>
      <c r="B979" s="22"/>
      <c r="C979" s="25"/>
      <c r="D979" s="22"/>
      <c r="E979" s="25"/>
      <c r="F979" s="22"/>
      <c r="G979" s="25"/>
      <c r="H979" s="22"/>
      <c r="I979" s="25"/>
      <c r="J979" s="22"/>
    </row>
    <row r="980" ht="15.75" customHeight="1">
      <c r="A980" s="25"/>
      <c r="B980" s="22"/>
      <c r="C980" s="25"/>
      <c r="D980" s="22"/>
      <c r="E980" s="25"/>
      <c r="F980" s="22"/>
      <c r="G980" s="25"/>
      <c r="H980" s="22"/>
      <c r="I980" s="25"/>
      <c r="J980" s="22"/>
    </row>
    <row r="981" ht="15.75" customHeight="1">
      <c r="A981" s="25"/>
      <c r="B981" s="22"/>
      <c r="C981" s="25"/>
      <c r="D981" s="22"/>
      <c r="E981" s="25"/>
      <c r="F981" s="22"/>
      <c r="G981" s="25"/>
      <c r="H981" s="22"/>
      <c r="I981" s="25"/>
      <c r="J981" s="22"/>
    </row>
    <row r="982" ht="15.75" customHeight="1">
      <c r="A982" s="25"/>
      <c r="B982" s="22"/>
      <c r="C982" s="25"/>
      <c r="D982" s="22"/>
      <c r="E982" s="25"/>
      <c r="F982" s="22"/>
      <c r="G982" s="25"/>
      <c r="H982" s="22"/>
      <c r="I982" s="25"/>
      <c r="J982" s="22"/>
    </row>
    <row r="983" ht="15.75" customHeight="1">
      <c r="A983" s="25"/>
      <c r="B983" s="22"/>
      <c r="C983" s="25"/>
      <c r="D983" s="22"/>
      <c r="E983" s="25"/>
      <c r="F983" s="22"/>
      <c r="G983" s="25"/>
      <c r="H983" s="22"/>
      <c r="I983" s="25"/>
      <c r="J983" s="22"/>
    </row>
    <row r="984" ht="15.75" customHeight="1">
      <c r="A984" s="25"/>
      <c r="B984" s="22"/>
      <c r="C984" s="25"/>
      <c r="D984" s="22"/>
      <c r="E984" s="25"/>
      <c r="F984" s="22"/>
      <c r="G984" s="25"/>
      <c r="H984" s="22"/>
      <c r="I984" s="25"/>
      <c r="J984" s="22"/>
    </row>
    <row r="985" ht="15.75" customHeight="1">
      <c r="A985" s="25"/>
      <c r="B985" s="22"/>
      <c r="C985" s="25"/>
      <c r="D985" s="22"/>
      <c r="E985" s="25"/>
      <c r="F985" s="22"/>
      <c r="G985" s="25"/>
      <c r="H985" s="22"/>
      <c r="I985" s="25"/>
      <c r="J985" s="22"/>
    </row>
    <row r="986" ht="15.75" customHeight="1">
      <c r="A986" s="25"/>
      <c r="B986" s="22"/>
      <c r="C986" s="25"/>
      <c r="D986" s="22"/>
      <c r="E986" s="25"/>
      <c r="F986" s="22"/>
      <c r="G986" s="25"/>
      <c r="H986" s="22"/>
      <c r="I986" s="25"/>
      <c r="J986" s="22"/>
    </row>
    <row r="987" ht="15.75" customHeight="1">
      <c r="A987" s="25"/>
      <c r="B987" s="22"/>
      <c r="C987" s="25"/>
      <c r="D987" s="22"/>
      <c r="E987" s="25"/>
      <c r="F987" s="22"/>
      <c r="G987" s="25"/>
      <c r="H987" s="22"/>
      <c r="I987" s="25"/>
      <c r="J987" s="22"/>
    </row>
    <row r="988" ht="15.75" customHeight="1">
      <c r="A988" s="25"/>
      <c r="B988" s="22"/>
      <c r="C988" s="25"/>
      <c r="D988" s="22"/>
      <c r="E988" s="25"/>
      <c r="F988" s="22"/>
      <c r="G988" s="25"/>
      <c r="H988" s="22"/>
      <c r="I988" s="25"/>
      <c r="J988" s="22"/>
    </row>
    <row r="989" ht="15.75" customHeight="1">
      <c r="A989" s="25"/>
      <c r="B989" s="22"/>
      <c r="C989" s="25"/>
      <c r="D989" s="22"/>
      <c r="E989" s="25"/>
      <c r="F989" s="22"/>
      <c r="G989" s="25"/>
      <c r="H989" s="22"/>
      <c r="I989" s="25"/>
      <c r="J989" s="22"/>
    </row>
    <row r="990" ht="15.75" customHeight="1">
      <c r="A990" s="25"/>
      <c r="B990" s="22"/>
      <c r="C990" s="25"/>
      <c r="D990" s="22"/>
      <c r="E990" s="25"/>
      <c r="F990" s="22"/>
      <c r="G990" s="25"/>
      <c r="H990" s="22"/>
      <c r="I990" s="25"/>
      <c r="J990" s="22"/>
    </row>
    <row r="991" ht="15.75" customHeight="1">
      <c r="A991" s="25"/>
      <c r="B991" s="22"/>
      <c r="C991" s="25"/>
      <c r="D991" s="22"/>
      <c r="E991" s="25"/>
      <c r="F991" s="22"/>
      <c r="G991" s="25"/>
      <c r="H991" s="22"/>
      <c r="I991" s="25"/>
      <c r="J991" s="22"/>
    </row>
    <row r="992" ht="15.75" customHeight="1">
      <c r="A992" s="25"/>
      <c r="B992" s="22"/>
      <c r="C992" s="25"/>
      <c r="D992" s="22"/>
      <c r="E992" s="25"/>
      <c r="F992" s="22"/>
      <c r="G992" s="25"/>
      <c r="H992" s="22"/>
      <c r="I992" s="25"/>
      <c r="J992" s="22"/>
    </row>
    <row r="993" ht="15.75" customHeight="1">
      <c r="A993" s="25"/>
      <c r="B993" s="22"/>
      <c r="C993" s="25"/>
      <c r="D993" s="22"/>
      <c r="E993" s="25"/>
      <c r="F993" s="22"/>
      <c r="G993" s="25"/>
      <c r="H993" s="22"/>
      <c r="I993" s="25"/>
      <c r="J993" s="22"/>
    </row>
    <row r="994" ht="15.75" customHeight="1">
      <c r="A994" s="25"/>
      <c r="B994" s="22"/>
      <c r="C994" s="25"/>
      <c r="D994" s="22"/>
      <c r="E994" s="25"/>
      <c r="F994" s="22"/>
      <c r="G994" s="25"/>
      <c r="H994" s="22"/>
      <c r="I994" s="25"/>
      <c r="J994" s="22"/>
    </row>
    <row r="995" ht="15.75" customHeight="1">
      <c r="A995" s="25"/>
      <c r="B995" s="22"/>
      <c r="C995" s="25"/>
      <c r="D995" s="22"/>
      <c r="E995" s="25"/>
      <c r="F995" s="22"/>
      <c r="G995" s="25"/>
      <c r="H995" s="22"/>
      <c r="I995" s="25"/>
      <c r="J995" s="22"/>
    </row>
    <row r="996" ht="15.75" customHeight="1">
      <c r="A996" s="25"/>
      <c r="B996" s="22"/>
      <c r="C996" s="25"/>
      <c r="D996" s="22"/>
      <c r="E996" s="25"/>
      <c r="F996" s="22"/>
      <c r="G996" s="25"/>
      <c r="H996" s="22"/>
      <c r="I996" s="25"/>
      <c r="J996" s="22"/>
    </row>
    <row r="997" ht="15.75" customHeight="1">
      <c r="A997" s="25"/>
      <c r="B997" s="22"/>
      <c r="C997" s="25"/>
      <c r="D997" s="22"/>
      <c r="E997" s="25"/>
      <c r="F997" s="22"/>
      <c r="G997" s="25"/>
      <c r="H997" s="22"/>
      <c r="I997" s="25"/>
      <c r="J997" s="22"/>
    </row>
    <row r="998" ht="15.75" customHeight="1">
      <c r="A998" s="25"/>
      <c r="B998" s="22"/>
      <c r="C998" s="25"/>
      <c r="D998" s="22"/>
      <c r="E998" s="25"/>
      <c r="F998" s="22"/>
      <c r="G998" s="25"/>
      <c r="H998" s="22"/>
      <c r="I998" s="25"/>
      <c r="J998" s="22"/>
    </row>
    <row r="999" ht="15.75" customHeight="1">
      <c r="A999" s="25"/>
      <c r="B999" s="22"/>
      <c r="C999" s="25"/>
      <c r="D999" s="22"/>
      <c r="E999" s="25"/>
      <c r="F999" s="22"/>
      <c r="G999" s="25"/>
      <c r="H999" s="22"/>
      <c r="I999" s="25"/>
      <c r="J999" s="22"/>
    </row>
    <row r="1000" ht="15.75" customHeight="1">
      <c r="A1000" s="25"/>
      <c r="B1000" s="22"/>
      <c r="C1000" s="25"/>
      <c r="D1000" s="22"/>
      <c r="E1000" s="25"/>
      <c r="F1000" s="22"/>
      <c r="G1000" s="25"/>
      <c r="H1000" s="22"/>
      <c r="I1000" s="25"/>
      <c r="J1000" s="22"/>
    </row>
    <row r="1001" ht="15.75" customHeight="1">
      <c r="A1001" s="25"/>
      <c r="B1001" s="22"/>
      <c r="C1001" s="25"/>
      <c r="D1001" s="22"/>
      <c r="E1001" s="25"/>
      <c r="F1001" s="22"/>
      <c r="G1001" s="25"/>
      <c r="H1001" s="22"/>
      <c r="I1001" s="25"/>
      <c r="J1001" s="22"/>
    </row>
    <row r="1002" ht="15.75" customHeight="1">
      <c r="A1002" s="25"/>
      <c r="B1002" s="22"/>
      <c r="C1002" s="25"/>
      <c r="D1002" s="22"/>
      <c r="E1002" s="25"/>
      <c r="F1002" s="22"/>
      <c r="G1002" s="25"/>
      <c r="H1002" s="22"/>
      <c r="I1002" s="25"/>
      <c r="J1002" s="22"/>
    </row>
    <row r="1003" ht="15.75" customHeight="1">
      <c r="A1003" s="25"/>
      <c r="B1003" s="22"/>
      <c r="C1003" s="25"/>
      <c r="D1003" s="22"/>
      <c r="E1003" s="25"/>
      <c r="F1003" s="22"/>
      <c r="G1003" s="25"/>
      <c r="H1003" s="22"/>
      <c r="I1003" s="25"/>
      <c r="J1003" s="22"/>
    </row>
    <row r="1004" ht="15.75" customHeight="1">
      <c r="A1004" s="25"/>
      <c r="B1004" s="22"/>
      <c r="C1004" s="25"/>
      <c r="D1004" s="22"/>
      <c r="E1004" s="25"/>
      <c r="F1004" s="22"/>
      <c r="G1004" s="25"/>
      <c r="H1004" s="22"/>
      <c r="I1004" s="25"/>
      <c r="J1004" s="22"/>
    </row>
    <row r="1005" ht="15.75" customHeight="1">
      <c r="A1005" s="25"/>
      <c r="B1005" s="22"/>
      <c r="C1005" s="25"/>
      <c r="D1005" s="22"/>
      <c r="E1005" s="25"/>
      <c r="F1005" s="22"/>
      <c r="G1005" s="25"/>
      <c r="H1005" s="22"/>
      <c r="I1005" s="25"/>
      <c r="J1005" s="22"/>
    </row>
    <row r="1006" ht="15.75" customHeight="1">
      <c r="A1006" s="25"/>
      <c r="B1006" s="22"/>
      <c r="C1006" s="25"/>
      <c r="D1006" s="22"/>
      <c r="E1006" s="25"/>
      <c r="F1006" s="22"/>
      <c r="G1006" s="25"/>
      <c r="H1006" s="22"/>
      <c r="I1006" s="25"/>
      <c r="J1006" s="22"/>
    </row>
    <row r="1007" ht="15.75" customHeight="1">
      <c r="A1007" s="25"/>
      <c r="B1007" s="22"/>
      <c r="C1007" s="25"/>
      <c r="D1007" s="22"/>
      <c r="E1007" s="25"/>
      <c r="F1007" s="22"/>
      <c r="G1007" s="25"/>
      <c r="H1007" s="22"/>
      <c r="I1007" s="25"/>
      <c r="J1007" s="22"/>
    </row>
    <row r="1008" ht="15.75" customHeight="1">
      <c r="A1008" s="25"/>
      <c r="B1008" s="22"/>
      <c r="C1008" s="25"/>
      <c r="D1008" s="22"/>
      <c r="E1008" s="25"/>
      <c r="F1008" s="22"/>
      <c r="G1008" s="25"/>
      <c r="H1008" s="22"/>
      <c r="I1008" s="25"/>
      <c r="J1008" s="22"/>
    </row>
    <row r="1009" ht="15.75" customHeight="1">
      <c r="A1009" s="25"/>
      <c r="B1009" s="22"/>
      <c r="C1009" s="25"/>
      <c r="D1009" s="22"/>
      <c r="E1009" s="25"/>
      <c r="F1009" s="22"/>
      <c r="G1009" s="25"/>
      <c r="H1009" s="22"/>
      <c r="I1009" s="25"/>
      <c r="J1009" s="22"/>
    </row>
    <row r="1010" ht="15.75" customHeight="1">
      <c r="A1010" s="25"/>
      <c r="B1010" s="22"/>
      <c r="C1010" s="25"/>
      <c r="D1010" s="22"/>
      <c r="E1010" s="25"/>
      <c r="F1010" s="22"/>
      <c r="G1010" s="25"/>
      <c r="H1010" s="22"/>
      <c r="I1010" s="25"/>
      <c r="J1010" s="22"/>
    </row>
    <row r="1011" ht="15.75" customHeight="1">
      <c r="A1011" s="25"/>
      <c r="B1011" s="22"/>
      <c r="C1011" s="25"/>
      <c r="D1011" s="22"/>
      <c r="E1011" s="25"/>
      <c r="F1011" s="22"/>
      <c r="G1011" s="25"/>
      <c r="H1011" s="22"/>
      <c r="I1011" s="25"/>
      <c r="J1011" s="22"/>
    </row>
    <row r="1012" ht="15.75" customHeight="1">
      <c r="A1012" s="25"/>
      <c r="B1012" s="22"/>
      <c r="C1012" s="25"/>
      <c r="D1012" s="22"/>
      <c r="E1012" s="25"/>
      <c r="F1012" s="22"/>
      <c r="G1012" s="25"/>
      <c r="H1012" s="22"/>
      <c r="I1012" s="25"/>
      <c r="J1012" s="22"/>
    </row>
    <row r="1013" ht="15.75" customHeight="1">
      <c r="A1013" s="25"/>
      <c r="B1013" s="22"/>
      <c r="C1013" s="25"/>
      <c r="D1013" s="22"/>
      <c r="E1013" s="25"/>
      <c r="F1013" s="22"/>
      <c r="G1013" s="25"/>
      <c r="H1013" s="22"/>
      <c r="I1013" s="25"/>
      <c r="J1013" s="22"/>
    </row>
    <row r="1014" ht="15.75" customHeight="1">
      <c r="A1014" s="25"/>
      <c r="B1014" s="22"/>
      <c r="C1014" s="25"/>
      <c r="D1014" s="22"/>
      <c r="E1014" s="25"/>
      <c r="F1014" s="22"/>
      <c r="G1014" s="25"/>
      <c r="H1014" s="22"/>
      <c r="I1014" s="25"/>
      <c r="J1014" s="22"/>
    </row>
    <row r="1015" ht="15.75" customHeight="1">
      <c r="A1015" s="25"/>
      <c r="B1015" s="22"/>
      <c r="C1015" s="25"/>
      <c r="D1015" s="22"/>
      <c r="E1015" s="25"/>
      <c r="F1015" s="22"/>
      <c r="G1015" s="25"/>
      <c r="H1015" s="22"/>
      <c r="I1015" s="25"/>
      <c r="J1015" s="22"/>
    </row>
    <row r="1016" ht="15.75" customHeight="1">
      <c r="A1016" s="25"/>
      <c r="B1016" s="22"/>
      <c r="C1016" s="25"/>
      <c r="D1016" s="22"/>
      <c r="E1016" s="25"/>
      <c r="F1016" s="22"/>
      <c r="G1016" s="25"/>
      <c r="H1016" s="22"/>
      <c r="I1016" s="25"/>
      <c r="J1016" s="22"/>
    </row>
    <row r="1017" ht="15.75" customHeight="1">
      <c r="A1017" s="25"/>
      <c r="B1017" s="22"/>
      <c r="C1017" s="25"/>
      <c r="D1017" s="22"/>
      <c r="E1017" s="25"/>
      <c r="F1017" s="22"/>
      <c r="G1017" s="25"/>
      <c r="H1017" s="22"/>
      <c r="I1017" s="25"/>
      <c r="J1017" s="22"/>
    </row>
    <row r="1018" ht="15.75" customHeight="1">
      <c r="A1018" s="25"/>
      <c r="B1018" s="22"/>
      <c r="C1018" s="25"/>
      <c r="D1018" s="22"/>
      <c r="E1018" s="25"/>
      <c r="F1018" s="22"/>
      <c r="G1018" s="25"/>
      <c r="H1018" s="22"/>
      <c r="I1018" s="25"/>
      <c r="J1018" s="22"/>
    </row>
    <row r="1019" ht="15.75" customHeight="1">
      <c r="A1019" s="25"/>
      <c r="B1019" s="22"/>
      <c r="C1019" s="25"/>
      <c r="D1019" s="22"/>
      <c r="E1019" s="25"/>
      <c r="F1019" s="22"/>
      <c r="G1019" s="25"/>
      <c r="H1019" s="22"/>
      <c r="I1019" s="25"/>
      <c r="J1019" s="22"/>
    </row>
    <row r="1020" ht="15.75" customHeight="1">
      <c r="A1020" s="25"/>
      <c r="B1020" s="22"/>
      <c r="C1020" s="25"/>
      <c r="D1020" s="22"/>
      <c r="E1020" s="25"/>
      <c r="F1020" s="22"/>
      <c r="G1020" s="25"/>
      <c r="H1020" s="22"/>
      <c r="I1020" s="25"/>
      <c r="J1020" s="22"/>
    </row>
    <row r="1021" ht="15.75" customHeight="1">
      <c r="A1021" s="25"/>
      <c r="B1021" s="22"/>
      <c r="C1021" s="25"/>
      <c r="D1021" s="22"/>
      <c r="E1021" s="25"/>
      <c r="F1021" s="22"/>
      <c r="G1021" s="25"/>
      <c r="H1021" s="22"/>
      <c r="I1021" s="25"/>
      <c r="J1021" s="22"/>
    </row>
    <row r="1022" ht="15.75" customHeight="1">
      <c r="A1022" s="25"/>
      <c r="B1022" s="22"/>
      <c r="C1022" s="25"/>
      <c r="D1022" s="22"/>
      <c r="E1022" s="25"/>
      <c r="F1022" s="22"/>
      <c r="G1022" s="25"/>
      <c r="H1022" s="22"/>
      <c r="I1022" s="25"/>
      <c r="J1022" s="22"/>
    </row>
    <row r="1023" ht="15.75" customHeight="1">
      <c r="A1023" s="25"/>
      <c r="B1023" s="22"/>
      <c r="C1023" s="25"/>
      <c r="D1023" s="22"/>
      <c r="E1023" s="25"/>
      <c r="F1023" s="22"/>
      <c r="G1023" s="25"/>
      <c r="H1023" s="22"/>
      <c r="I1023" s="25"/>
      <c r="J1023" s="22"/>
    </row>
    <row r="1024" ht="15.75" customHeight="1">
      <c r="A1024" s="25"/>
      <c r="B1024" s="22"/>
      <c r="C1024" s="25"/>
      <c r="D1024" s="22"/>
      <c r="E1024" s="25"/>
      <c r="F1024" s="22"/>
      <c r="G1024" s="25"/>
      <c r="H1024" s="22"/>
      <c r="I1024" s="25"/>
      <c r="J1024" s="22"/>
    </row>
    <row r="1025" ht="15.75" customHeight="1">
      <c r="A1025" s="25"/>
      <c r="B1025" s="22"/>
      <c r="C1025" s="25"/>
      <c r="D1025" s="22"/>
      <c r="E1025" s="25"/>
      <c r="F1025" s="22"/>
      <c r="G1025" s="25"/>
      <c r="H1025" s="22"/>
      <c r="I1025" s="25"/>
      <c r="J1025" s="22"/>
    </row>
    <row r="1026" ht="15.75" customHeight="1">
      <c r="A1026" s="25"/>
      <c r="B1026" s="22"/>
      <c r="C1026" s="25"/>
      <c r="D1026" s="22"/>
      <c r="E1026" s="25"/>
      <c r="F1026" s="22"/>
      <c r="G1026" s="25"/>
      <c r="H1026" s="22"/>
      <c r="I1026" s="25"/>
      <c r="J1026" s="22"/>
    </row>
    <row r="1027" ht="15.75" customHeight="1">
      <c r="A1027" s="25"/>
      <c r="B1027" s="22"/>
      <c r="C1027" s="25"/>
      <c r="D1027" s="22"/>
      <c r="E1027" s="25"/>
      <c r="F1027" s="22"/>
      <c r="G1027" s="25"/>
      <c r="H1027" s="22"/>
      <c r="I1027" s="25"/>
      <c r="J1027" s="22"/>
    </row>
    <row r="1028" ht="15.75" customHeight="1">
      <c r="A1028" s="25"/>
      <c r="B1028" s="22"/>
      <c r="C1028" s="25"/>
      <c r="D1028" s="22"/>
      <c r="E1028" s="25"/>
      <c r="F1028" s="22"/>
      <c r="G1028" s="25"/>
      <c r="H1028" s="22"/>
      <c r="I1028" s="25"/>
      <c r="J1028" s="22"/>
    </row>
    <row r="1029" ht="15.75" customHeight="1">
      <c r="A1029" s="25"/>
      <c r="B1029" s="22"/>
      <c r="C1029" s="25"/>
      <c r="D1029" s="22"/>
      <c r="E1029" s="25"/>
      <c r="F1029" s="22"/>
      <c r="G1029" s="25"/>
      <c r="H1029" s="22"/>
      <c r="I1029" s="25"/>
      <c r="J1029" s="22"/>
    </row>
    <row r="1030" ht="15.75" customHeight="1">
      <c r="A1030" s="25"/>
      <c r="B1030" s="22"/>
      <c r="C1030" s="25"/>
      <c r="D1030" s="22"/>
      <c r="E1030" s="25"/>
      <c r="F1030" s="22"/>
      <c r="G1030" s="25"/>
      <c r="H1030" s="22"/>
      <c r="I1030" s="25"/>
      <c r="J1030" s="22"/>
    </row>
    <row r="1031" ht="15.75" customHeight="1">
      <c r="A1031" s="25"/>
      <c r="B1031" s="22"/>
      <c r="C1031" s="25"/>
      <c r="D1031" s="22"/>
      <c r="E1031" s="25"/>
      <c r="F1031" s="22"/>
      <c r="G1031" s="25"/>
      <c r="H1031" s="22"/>
      <c r="I1031" s="25"/>
      <c r="J1031" s="22"/>
    </row>
    <row r="1032" ht="15.75" customHeight="1">
      <c r="A1032" s="25"/>
      <c r="B1032" s="22"/>
      <c r="C1032" s="25"/>
      <c r="D1032" s="22"/>
      <c r="E1032" s="25"/>
      <c r="F1032" s="22"/>
      <c r="G1032" s="25"/>
      <c r="H1032" s="22"/>
      <c r="I1032" s="25"/>
      <c r="J1032" s="22"/>
    </row>
    <row r="1033" ht="15.75" customHeight="1">
      <c r="A1033" s="25"/>
      <c r="B1033" s="22"/>
      <c r="C1033" s="25"/>
      <c r="D1033" s="22"/>
      <c r="E1033" s="25"/>
      <c r="F1033" s="22"/>
      <c r="G1033" s="25"/>
      <c r="H1033" s="22"/>
      <c r="I1033" s="25"/>
      <c r="J1033" s="22"/>
    </row>
    <row r="1034" ht="15.75" customHeight="1">
      <c r="A1034" s="25"/>
      <c r="B1034" s="22"/>
      <c r="C1034" s="25"/>
      <c r="D1034" s="22"/>
      <c r="E1034" s="25"/>
      <c r="F1034" s="22"/>
      <c r="G1034" s="25"/>
      <c r="H1034" s="22"/>
      <c r="I1034" s="25"/>
      <c r="J1034" s="22"/>
    </row>
    <row r="1035" ht="15.75" customHeight="1">
      <c r="A1035" s="25"/>
      <c r="B1035" s="22"/>
      <c r="C1035" s="25"/>
      <c r="D1035" s="22"/>
      <c r="E1035" s="25"/>
      <c r="F1035" s="22"/>
      <c r="G1035" s="25"/>
      <c r="H1035" s="22"/>
      <c r="I1035" s="25"/>
      <c r="J1035" s="22"/>
    </row>
    <row r="1036" ht="15.75" customHeight="1">
      <c r="A1036" s="25"/>
      <c r="B1036" s="22"/>
      <c r="C1036" s="25"/>
      <c r="D1036" s="22"/>
      <c r="E1036" s="25"/>
      <c r="F1036" s="22"/>
      <c r="G1036" s="25"/>
      <c r="H1036" s="22"/>
      <c r="I1036" s="25"/>
      <c r="J1036" s="22"/>
    </row>
    <row r="1037" ht="15.75" customHeight="1">
      <c r="A1037" s="25"/>
      <c r="B1037" s="22"/>
      <c r="C1037" s="25"/>
      <c r="D1037" s="22"/>
      <c r="E1037" s="25"/>
      <c r="F1037" s="22"/>
      <c r="G1037" s="25"/>
      <c r="H1037" s="22"/>
      <c r="I1037" s="25"/>
      <c r="J1037" s="22"/>
    </row>
    <row r="1038" ht="15.75" customHeight="1">
      <c r="A1038" s="25"/>
      <c r="B1038" s="22"/>
      <c r="C1038" s="25"/>
      <c r="D1038" s="22"/>
      <c r="E1038" s="25"/>
      <c r="F1038" s="22"/>
      <c r="G1038" s="25"/>
      <c r="H1038" s="22"/>
      <c r="I1038" s="25"/>
      <c r="J1038" s="22"/>
    </row>
    <row r="1039" ht="15.75" customHeight="1">
      <c r="A1039" s="25"/>
      <c r="B1039" s="22"/>
      <c r="C1039" s="25"/>
      <c r="D1039" s="22"/>
      <c r="E1039" s="25"/>
      <c r="F1039" s="22"/>
      <c r="G1039" s="25"/>
      <c r="H1039" s="22"/>
      <c r="I1039" s="25"/>
      <c r="J1039" s="22"/>
    </row>
    <row r="1040" ht="15.75" customHeight="1">
      <c r="A1040" s="25"/>
      <c r="B1040" s="22"/>
      <c r="C1040" s="25"/>
      <c r="D1040" s="22"/>
      <c r="E1040" s="25"/>
      <c r="F1040" s="22"/>
      <c r="G1040" s="25"/>
      <c r="H1040" s="22"/>
      <c r="I1040" s="25"/>
      <c r="J1040" s="22"/>
    </row>
    <row r="1041" ht="15.75" customHeight="1">
      <c r="A1041" s="25"/>
      <c r="B1041" s="22"/>
      <c r="C1041" s="25"/>
      <c r="D1041" s="22"/>
      <c r="E1041" s="25"/>
      <c r="F1041" s="22"/>
      <c r="G1041" s="25"/>
      <c r="H1041" s="22"/>
      <c r="I1041" s="25"/>
      <c r="J1041" s="22"/>
    </row>
    <row r="1042" ht="15.75" customHeight="1">
      <c r="A1042" s="25"/>
      <c r="B1042" s="22"/>
      <c r="C1042" s="25"/>
      <c r="D1042" s="22"/>
      <c r="E1042" s="25"/>
      <c r="F1042" s="22"/>
      <c r="G1042" s="25"/>
      <c r="H1042" s="22"/>
      <c r="I1042" s="25"/>
      <c r="J1042" s="22"/>
    </row>
    <row r="1043" ht="15.75" customHeight="1">
      <c r="A1043" s="25"/>
      <c r="B1043" s="22"/>
      <c r="C1043" s="25"/>
      <c r="D1043" s="22"/>
      <c r="E1043" s="25"/>
      <c r="F1043" s="22"/>
      <c r="G1043" s="25"/>
      <c r="H1043" s="22"/>
      <c r="I1043" s="25"/>
      <c r="J1043" s="22"/>
    </row>
    <row r="1044" ht="15.75" customHeight="1">
      <c r="A1044" s="25"/>
      <c r="B1044" s="22"/>
      <c r="C1044" s="25"/>
      <c r="D1044" s="22"/>
      <c r="E1044" s="25"/>
      <c r="F1044" s="22"/>
      <c r="G1044" s="25"/>
      <c r="H1044" s="22"/>
      <c r="I1044" s="25"/>
      <c r="J1044" s="22"/>
    </row>
    <row r="1045" ht="15.75" customHeight="1">
      <c r="A1045" s="25"/>
      <c r="B1045" s="22"/>
      <c r="C1045" s="25"/>
      <c r="D1045" s="22"/>
      <c r="E1045" s="25"/>
      <c r="F1045" s="22"/>
      <c r="G1045" s="25"/>
      <c r="H1045" s="22"/>
      <c r="I1045" s="25"/>
      <c r="J1045" s="22"/>
    </row>
    <row r="1046" ht="15.75" customHeight="1">
      <c r="A1046" s="25"/>
      <c r="B1046" s="22"/>
      <c r="C1046" s="25"/>
      <c r="D1046" s="22"/>
      <c r="E1046" s="25"/>
      <c r="F1046" s="22"/>
      <c r="G1046" s="25"/>
      <c r="H1046" s="22"/>
      <c r="I1046" s="25"/>
      <c r="J1046" s="22"/>
    </row>
    <row r="1047" ht="15.75" customHeight="1">
      <c r="A1047" s="25"/>
      <c r="B1047" s="22"/>
      <c r="C1047" s="25"/>
      <c r="D1047" s="22"/>
      <c r="E1047" s="25"/>
      <c r="F1047" s="22"/>
      <c r="G1047" s="25"/>
      <c r="H1047" s="22"/>
      <c r="I1047" s="25"/>
      <c r="J1047" s="22"/>
    </row>
    <row r="1048" ht="15.75" customHeight="1">
      <c r="A1048" s="25"/>
      <c r="B1048" s="22"/>
      <c r="C1048" s="25"/>
      <c r="D1048" s="22"/>
      <c r="E1048" s="25"/>
      <c r="F1048" s="22"/>
      <c r="G1048" s="25"/>
      <c r="H1048" s="22"/>
      <c r="I1048" s="25"/>
      <c r="J1048" s="22"/>
    </row>
    <row r="1049" ht="15.75" customHeight="1">
      <c r="A1049" s="25"/>
      <c r="B1049" s="22"/>
      <c r="C1049" s="25"/>
      <c r="D1049" s="22"/>
      <c r="E1049" s="25"/>
      <c r="F1049" s="22"/>
      <c r="G1049" s="25"/>
      <c r="H1049" s="22"/>
      <c r="I1049" s="25"/>
      <c r="J1049" s="22"/>
    </row>
    <row r="1050" ht="15.75" customHeight="1">
      <c r="A1050" s="25"/>
      <c r="B1050" s="22"/>
      <c r="C1050" s="25"/>
      <c r="D1050" s="22"/>
      <c r="E1050" s="25"/>
      <c r="F1050" s="22"/>
      <c r="G1050" s="25"/>
      <c r="H1050" s="22"/>
      <c r="I1050" s="25"/>
      <c r="J1050" s="22"/>
    </row>
    <row r="1051" ht="15.75" customHeight="1">
      <c r="A1051" s="25"/>
      <c r="B1051" s="22"/>
      <c r="C1051" s="25"/>
      <c r="D1051" s="22"/>
      <c r="E1051" s="25"/>
      <c r="F1051" s="22"/>
      <c r="G1051" s="25"/>
      <c r="H1051" s="22"/>
      <c r="I1051" s="25"/>
      <c r="J1051" s="22"/>
    </row>
    <row r="1052" ht="15.75" customHeight="1">
      <c r="A1052" s="25"/>
      <c r="B1052" s="22"/>
      <c r="C1052" s="25"/>
      <c r="D1052" s="22"/>
      <c r="E1052" s="25"/>
      <c r="F1052" s="22"/>
      <c r="G1052" s="25"/>
      <c r="H1052" s="22"/>
      <c r="I1052" s="25"/>
      <c r="J1052" s="22"/>
    </row>
    <row r="1053" ht="15.75" customHeight="1">
      <c r="A1053" s="25"/>
      <c r="B1053" s="22"/>
      <c r="C1053" s="25"/>
      <c r="D1053" s="22"/>
      <c r="E1053" s="25"/>
      <c r="F1053" s="22"/>
      <c r="G1053" s="25"/>
      <c r="H1053" s="22"/>
      <c r="I1053" s="25"/>
      <c r="J1053" s="22"/>
    </row>
    <row r="1054" ht="15.75" customHeight="1">
      <c r="A1054" s="25"/>
      <c r="B1054" s="22"/>
      <c r="C1054" s="25"/>
      <c r="D1054" s="22"/>
      <c r="E1054" s="25"/>
      <c r="F1054" s="22"/>
      <c r="G1054" s="25"/>
      <c r="H1054" s="22"/>
      <c r="I1054" s="25"/>
      <c r="J1054" s="22"/>
    </row>
    <row r="1055" ht="15.75" customHeight="1">
      <c r="A1055" s="25"/>
      <c r="B1055" s="22"/>
      <c r="C1055" s="25"/>
      <c r="D1055" s="22"/>
      <c r="E1055" s="25"/>
      <c r="F1055" s="22"/>
      <c r="G1055" s="25"/>
      <c r="H1055" s="22"/>
      <c r="I1055" s="25"/>
      <c r="J1055" s="22"/>
    </row>
    <row r="1056" ht="15.75" customHeight="1">
      <c r="A1056" s="25"/>
      <c r="B1056" s="22"/>
      <c r="C1056" s="25"/>
      <c r="D1056" s="22"/>
      <c r="E1056" s="25"/>
      <c r="F1056" s="22"/>
      <c r="G1056" s="25"/>
      <c r="H1056" s="22"/>
      <c r="I1056" s="25"/>
      <c r="J1056" s="22"/>
    </row>
    <row r="1057" ht="15.75" customHeight="1">
      <c r="A1057" s="25"/>
      <c r="B1057" s="22"/>
      <c r="C1057" s="25"/>
      <c r="D1057" s="22"/>
      <c r="E1057" s="25"/>
      <c r="F1057" s="22"/>
      <c r="G1057" s="25"/>
      <c r="H1057" s="22"/>
      <c r="I1057" s="25"/>
      <c r="J1057" s="22"/>
    </row>
    <row r="1058" ht="15.75" customHeight="1">
      <c r="A1058" s="25"/>
      <c r="B1058" s="22"/>
      <c r="C1058" s="25"/>
      <c r="D1058" s="22"/>
      <c r="E1058" s="25"/>
      <c r="F1058" s="22"/>
      <c r="G1058" s="25"/>
      <c r="H1058" s="22"/>
      <c r="I1058" s="25"/>
      <c r="J1058" s="22"/>
    </row>
    <row r="1059" ht="15.75" customHeight="1">
      <c r="A1059" s="25"/>
      <c r="B1059" s="22"/>
      <c r="C1059" s="25"/>
      <c r="D1059" s="22"/>
      <c r="E1059" s="25"/>
      <c r="F1059" s="22"/>
      <c r="G1059" s="25"/>
      <c r="H1059" s="22"/>
      <c r="I1059" s="25"/>
      <c r="J1059" s="22"/>
    </row>
    <row r="1060" ht="15.75" customHeight="1">
      <c r="A1060" s="25"/>
      <c r="B1060" s="22"/>
      <c r="C1060" s="25"/>
      <c r="D1060" s="22"/>
      <c r="E1060" s="25"/>
      <c r="F1060" s="22"/>
      <c r="G1060" s="25"/>
      <c r="H1060" s="22"/>
      <c r="I1060" s="25"/>
      <c r="J1060" s="22"/>
    </row>
    <row r="1061" ht="15.75" customHeight="1">
      <c r="A1061" s="25"/>
      <c r="B1061" s="22"/>
      <c r="C1061" s="25"/>
      <c r="D1061" s="22"/>
      <c r="E1061" s="25"/>
      <c r="F1061" s="22"/>
      <c r="G1061" s="25"/>
      <c r="H1061" s="22"/>
      <c r="I1061" s="25"/>
      <c r="J1061" s="22"/>
    </row>
    <row r="1062" ht="15.75" customHeight="1">
      <c r="A1062" s="25"/>
      <c r="B1062" s="22"/>
      <c r="C1062" s="25"/>
      <c r="D1062" s="22"/>
      <c r="E1062" s="25"/>
      <c r="F1062" s="22"/>
      <c r="G1062" s="25"/>
      <c r="H1062" s="22"/>
      <c r="I1062" s="25"/>
      <c r="J1062" s="22"/>
    </row>
    <row r="1063" ht="15.75" customHeight="1">
      <c r="A1063" s="25"/>
      <c r="B1063" s="22"/>
      <c r="C1063" s="25"/>
      <c r="D1063" s="22"/>
      <c r="E1063" s="25"/>
      <c r="F1063" s="22"/>
      <c r="G1063" s="25"/>
      <c r="H1063" s="22"/>
      <c r="I1063" s="25"/>
      <c r="J1063" s="22"/>
    </row>
    <row r="1064" ht="15.75" customHeight="1">
      <c r="A1064" s="25"/>
      <c r="B1064" s="22"/>
      <c r="C1064" s="25"/>
      <c r="D1064" s="22"/>
      <c r="E1064" s="25"/>
      <c r="F1064" s="22"/>
      <c r="G1064" s="25"/>
      <c r="H1064" s="22"/>
      <c r="I1064" s="25"/>
      <c r="J1064" s="22"/>
    </row>
    <row r="1065" ht="15.75" customHeight="1">
      <c r="A1065" s="25"/>
      <c r="B1065" s="22"/>
      <c r="C1065" s="25"/>
      <c r="D1065" s="22"/>
      <c r="E1065" s="25"/>
      <c r="F1065" s="22"/>
      <c r="G1065" s="25"/>
      <c r="H1065" s="22"/>
      <c r="I1065" s="25"/>
      <c r="J1065" s="22"/>
    </row>
    <row r="1066" ht="15.75" customHeight="1">
      <c r="A1066" s="25"/>
      <c r="B1066" s="22"/>
      <c r="C1066" s="25"/>
      <c r="D1066" s="22"/>
      <c r="E1066" s="25"/>
      <c r="F1066" s="22"/>
      <c r="G1066" s="25"/>
      <c r="H1066" s="22"/>
      <c r="I1066" s="25"/>
      <c r="J1066" s="22"/>
    </row>
    <row r="1067" ht="15.75" customHeight="1">
      <c r="A1067" s="25"/>
      <c r="B1067" s="22"/>
      <c r="C1067" s="25"/>
      <c r="D1067" s="22"/>
      <c r="E1067" s="25"/>
      <c r="F1067" s="22"/>
      <c r="G1067" s="25"/>
      <c r="H1067" s="22"/>
      <c r="I1067" s="25"/>
      <c r="J1067" s="22"/>
    </row>
    <row r="1068" ht="15.75" customHeight="1">
      <c r="A1068" s="25"/>
      <c r="B1068" s="22"/>
      <c r="C1068" s="25"/>
      <c r="D1068" s="22"/>
      <c r="E1068" s="25"/>
      <c r="F1068" s="22"/>
      <c r="G1068" s="25"/>
      <c r="H1068" s="22"/>
      <c r="I1068" s="25"/>
      <c r="J1068" s="22"/>
    </row>
    <row r="1069" ht="15.75" customHeight="1">
      <c r="A1069" s="25"/>
      <c r="B1069" s="22"/>
      <c r="C1069" s="25"/>
      <c r="D1069" s="22"/>
      <c r="E1069" s="25"/>
      <c r="F1069" s="22"/>
      <c r="G1069" s="25"/>
      <c r="H1069" s="22"/>
      <c r="I1069" s="25"/>
      <c r="J1069" s="22"/>
    </row>
    <row r="1070" ht="15.75" customHeight="1">
      <c r="A1070" s="25"/>
      <c r="B1070" s="22"/>
      <c r="C1070" s="25"/>
      <c r="D1070" s="22"/>
      <c r="E1070" s="25"/>
      <c r="F1070" s="22"/>
      <c r="G1070" s="25"/>
      <c r="H1070" s="22"/>
      <c r="I1070" s="25"/>
      <c r="J1070" s="22"/>
    </row>
    <row r="1071" ht="15.75" customHeight="1">
      <c r="A1071" s="25"/>
      <c r="B1071" s="22"/>
      <c r="C1071" s="25"/>
      <c r="D1071" s="22"/>
      <c r="E1071" s="25"/>
      <c r="F1071" s="22"/>
      <c r="G1071" s="25"/>
      <c r="H1071" s="22"/>
      <c r="I1071" s="25"/>
      <c r="J1071" s="22"/>
    </row>
    <row r="1072" ht="15.75" customHeight="1">
      <c r="A1072" s="25"/>
      <c r="B1072" s="22"/>
      <c r="C1072" s="25"/>
      <c r="D1072" s="22"/>
      <c r="E1072" s="25"/>
      <c r="F1072" s="22"/>
      <c r="G1072" s="25"/>
      <c r="H1072" s="22"/>
      <c r="I1072" s="25"/>
      <c r="J1072" s="22"/>
    </row>
    <row r="1073" ht="15.75" customHeight="1">
      <c r="A1073" s="25"/>
      <c r="B1073" s="22"/>
      <c r="C1073" s="25"/>
      <c r="D1073" s="22"/>
      <c r="E1073" s="25"/>
      <c r="F1073" s="22"/>
      <c r="G1073" s="25"/>
      <c r="H1073" s="22"/>
      <c r="I1073" s="25"/>
      <c r="J1073" s="22"/>
    </row>
    <row r="1074" ht="15.75" customHeight="1">
      <c r="A1074" s="25"/>
      <c r="B1074" s="22"/>
      <c r="C1074" s="25"/>
      <c r="D1074" s="22"/>
      <c r="E1074" s="25"/>
      <c r="F1074" s="22"/>
      <c r="G1074" s="25"/>
      <c r="H1074" s="22"/>
      <c r="I1074" s="25"/>
      <c r="J1074" s="22"/>
    </row>
    <row r="1075" ht="15.75" customHeight="1">
      <c r="A1075" s="25"/>
      <c r="B1075" s="22"/>
      <c r="C1075" s="25"/>
      <c r="D1075" s="22"/>
      <c r="E1075" s="25"/>
      <c r="F1075" s="22"/>
      <c r="G1075" s="25"/>
      <c r="H1075" s="22"/>
      <c r="I1075" s="25"/>
      <c r="J1075" s="22"/>
    </row>
    <row r="1076" ht="15.75" customHeight="1">
      <c r="A1076" s="25"/>
      <c r="B1076" s="22"/>
      <c r="C1076" s="25"/>
      <c r="D1076" s="22"/>
      <c r="E1076" s="25"/>
      <c r="F1076" s="22"/>
      <c r="G1076" s="25"/>
      <c r="H1076" s="22"/>
      <c r="I1076" s="25"/>
      <c r="J1076" s="22"/>
    </row>
    <row r="1077" ht="15.75" customHeight="1">
      <c r="A1077" s="25"/>
      <c r="B1077" s="22"/>
      <c r="C1077" s="25"/>
      <c r="D1077" s="22"/>
      <c r="E1077" s="25"/>
      <c r="F1077" s="22"/>
      <c r="G1077" s="25"/>
      <c r="H1077" s="22"/>
      <c r="I1077" s="25"/>
      <c r="J1077" s="22"/>
    </row>
    <row r="1078" ht="15.75" customHeight="1">
      <c r="A1078" s="25"/>
      <c r="B1078" s="22"/>
      <c r="C1078" s="25"/>
      <c r="D1078" s="22"/>
      <c r="E1078" s="25"/>
      <c r="F1078" s="22"/>
      <c r="G1078" s="25"/>
      <c r="H1078" s="22"/>
      <c r="I1078" s="25"/>
      <c r="J1078" s="22"/>
    </row>
    <row r="1079" ht="15.75" customHeight="1">
      <c r="A1079" s="25"/>
      <c r="B1079" s="22"/>
      <c r="C1079" s="25"/>
      <c r="D1079" s="22"/>
      <c r="E1079" s="25"/>
      <c r="F1079" s="22"/>
      <c r="G1079" s="25"/>
      <c r="H1079" s="22"/>
      <c r="I1079" s="25"/>
      <c r="J1079" s="22"/>
    </row>
    <row r="1080" ht="15.75" customHeight="1">
      <c r="A1080" s="25"/>
      <c r="B1080" s="22"/>
      <c r="C1080" s="25"/>
      <c r="D1080" s="22"/>
      <c r="E1080" s="25"/>
      <c r="F1080" s="22"/>
      <c r="G1080" s="25"/>
      <c r="H1080" s="22"/>
      <c r="I1080" s="25"/>
      <c r="J1080" s="22"/>
    </row>
    <row r="1081" ht="15.75" customHeight="1">
      <c r="A1081" s="25"/>
      <c r="B1081" s="22"/>
      <c r="C1081" s="25"/>
      <c r="D1081" s="22"/>
      <c r="E1081" s="25"/>
      <c r="F1081" s="22"/>
      <c r="G1081" s="25"/>
      <c r="H1081" s="22"/>
      <c r="I1081" s="25"/>
      <c r="J1081" s="22"/>
    </row>
    <row r="1082" ht="15.75" customHeight="1">
      <c r="A1082" s="25"/>
      <c r="B1082" s="22"/>
      <c r="C1082" s="25"/>
      <c r="D1082" s="22"/>
      <c r="E1082" s="25"/>
      <c r="F1082" s="22"/>
      <c r="G1082" s="25"/>
      <c r="H1082" s="22"/>
      <c r="I1082" s="25"/>
      <c r="J1082" s="22"/>
    </row>
    <row r="1083" ht="15.75" customHeight="1">
      <c r="A1083" s="25"/>
      <c r="B1083" s="22"/>
      <c r="C1083" s="25"/>
      <c r="D1083" s="22"/>
      <c r="E1083" s="25"/>
      <c r="F1083" s="22"/>
      <c r="G1083" s="25"/>
      <c r="H1083" s="22"/>
      <c r="I1083" s="25"/>
      <c r="J1083" s="22"/>
    </row>
    <row r="1084" ht="15.75" customHeight="1">
      <c r="A1084" s="25"/>
      <c r="B1084" s="22"/>
      <c r="C1084" s="25"/>
      <c r="D1084" s="22"/>
      <c r="E1084" s="25"/>
      <c r="F1084" s="22"/>
      <c r="G1084" s="25"/>
      <c r="H1084" s="22"/>
      <c r="I1084" s="25"/>
      <c r="J1084" s="22"/>
    </row>
    <row r="1085" ht="15.75" customHeight="1">
      <c r="A1085" s="25"/>
      <c r="B1085" s="22"/>
      <c r="C1085" s="25"/>
      <c r="D1085" s="22"/>
      <c r="E1085" s="25"/>
      <c r="F1085" s="22"/>
      <c r="G1085" s="25"/>
      <c r="H1085" s="22"/>
      <c r="I1085" s="25"/>
      <c r="J1085" s="22"/>
    </row>
    <row r="1086" ht="15.75" customHeight="1">
      <c r="A1086" s="25"/>
      <c r="B1086" s="22"/>
      <c r="C1086" s="25"/>
      <c r="D1086" s="22"/>
      <c r="E1086" s="25"/>
      <c r="F1086" s="22"/>
      <c r="G1086" s="25"/>
      <c r="H1086" s="22"/>
      <c r="I1086" s="25"/>
      <c r="J1086" s="22"/>
    </row>
    <row r="1087" ht="15.75" customHeight="1">
      <c r="A1087" s="25"/>
      <c r="B1087" s="22"/>
      <c r="C1087" s="25"/>
      <c r="D1087" s="22"/>
      <c r="E1087" s="25"/>
      <c r="F1087" s="22"/>
      <c r="G1087" s="25"/>
      <c r="H1087" s="22"/>
      <c r="I1087" s="25"/>
      <c r="J1087" s="22"/>
    </row>
    <row r="1088" ht="15.75" customHeight="1">
      <c r="A1088" s="25"/>
      <c r="B1088" s="22"/>
      <c r="C1088" s="25"/>
      <c r="D1088" s="22"/>
      <c r="E1088" s="25"/>
      <c r="F1088" s="22"/>
      <c r="G1088" s="25"/>
      <c r="H1088" s="22"/>
      <c r="I1088" s="25"/>
      <c r="J1088" s="22"/>
    </row>
    <row r="1089" ht="15.75" customHeight="1">
      <c r="A1089" s="25"/>
      <c r="B1089" s="22"/>
      <c r="C1089" s="25"/>
      <c r="D1089" s="22"/>
      <c r="E1089" s="25"/>
      <c r="F1089" s="22"/>
      <c r="G1089" s="25"/>
      <c r="H1089" s="22"/>
      <c r="I1089" s="25"/>
      <c r="J1089" s="22"/>
    </row>
    <row r="1090" ht="15.75" customHeight="1">
      <c r="A1090" s="25"/>
      <c r="B1090" s="22"/>
      <c r="C1090" s="25"/>
      <c r="D1090" s="22"/>
      <c r="E1090" s="25"/>
      <c r="F1090" s="22"/>
      <c r="G1090" s="25"/>
      <c r="H1090" s="22"/>
      <c r="I1090" s="25"/>
      <c r="J1090" s="22"/>
    </row>
    <row r="1091" ht="15.75" customHeight="1">
      <c r="A1091" s="25"/>
      <c r="B1091" s="22"/>
      <c r="C1091" s="25"/>
      <c r="D1091" s="22"/>
      <c r="E1091" s="25"/>
      <c r="F1091" s="22"/>
      <c r="G1091" s="25"/>
      <c r="H1091" s="22"/>
      <c r="I1091" s="25"/>
      <c r="J1091" s="22"/>
    </row>
    <row r="1092" ht="15.75" customHeight="1">
      <c r="A1092" s="25"/>
      <c r="B1092" s="22"/>
      <c r="C1092" s="25"/>
      <c r="D1092" s="22"/>
      <c r="E1092" s="25"/>
      <c r="F1092" s="22"/>
      <c r="G1092" s="25"/>
      <c r="H1092" s="22"/>
      <c r="I1092" s="25"/>
      <c r="J1092" s="22"/>
    </row>
    <row r="1093" ht="15.75" customHeight="1">
      <c r="A1093" s="25"/>
      <c r="B1093" s="22"/>
      <c r="C1093" s="25"/>
      <c r="D1093" s="22"/>
      <c r="E1093" s="25"/>
      <c r="F1093" s="22"/>
      <c r="G1093" s="25"/>
      <c r="H1093" s="22"/>
      <c r="I1093" s="25"/>
      <c r="J1093" s="22"/>
    </row>
    <row r="1094" ht="15.75" customHeight="1">
      <c r="A1094" s="25"/>
      <c r="B1094" s="22"/>
      <c r="C1094" s="25"/>
      <c r="D1094" s="22"/>
      <c r="E1094" s="25"/>
      <c r="F1094" s="22"/>
      <c r="G1094" s="25"/>
      <c r="H1094" s="22"/>
      <c r="I1094" s="25"/>
      <c r="J1094" s="22"/>
    </row>
    <row r="1095" ht="15.75" customHeight="1">
      <c r="A1095" s="25"/>
      <c r="B1095" s="22"/>
      <c r="C1095" s="25"/>
      <c r="D1095" s="22"/>
      <c r="E1095" s="25"/>
      <c r="F1095" s="22"/>
      <c r="G1095" s="25"/>
      <c r="H1095" s="22"/>
      <c r="I1095" s="25"/>
      <c r="J1095" s="22"/>
    </row>
    <row r="1096" ht="15.75" customHeight="1">
      <c r="A1096" s="25"/>
      <c r="B1096" s="22"/>
      <c r="C1096" s="25"/>
      <c r="D1096" s="22"/>
      <c r="E1096" s="25"/>
      <c r="F1096" s="22"/>
      <c r="G1096" s="25"/>
      <c r="H1096" s="22"/>
      <c r="I1096" s="25"/>
      <c r="J1096" s="22"/>
    </row>
    <row r="1097" ht="15.75" customHeight="1">
      <c r="A1097" s="25"/>
      <c r="B1097" s="22"/>
      <c r="C1097" s="25"/>
      <c r="D1097" s="22"/>
      <c r="E1097" s="25"/>
      <c r="F1097" s="22"/>
      <c r="G1097" s="25"/>
      <c r="H1097" s="22"/>
      <c r="I1097" s="25"/>
      <c r="J1097" s="22"/>
    </row>
    <row r="1098" ht="15.75" customHeight="1">
      <c r="A1098" s="25"/>
      <c r="B1098" s="22"/>
      <c r="C1098" s="25"/>
      <c r="D1098" s="22"/>
      <c r="E1098" s="25"/>
      <c r="F1098" s="22"/>
      <c r="G1098" s="25"/>
      <c r="H1098" s="22"/>
      <c r="I1098" s="25"/>
      <c r="J1098" s="22"/>
    </row>
    <row r="1099" ht="15.75" customHeight="1">
      <c r="A1099" s="25"/>
      <c r="B1099" s="22"/>
      <c r="C1099" s="25"/>
      <c r="D1099" s="22"/>
      <c r="E1099" s="25"/>
      <c r="F1099" s="22"/>
      <c r="G1099" s="25"/>
      <c r="H1099" s="22"/>
      <c r="I1099" s="25"/>
      <c r="J1099" s="22"/>
    </row>
    <row r="1100" ht="15.75" customHeight="1">
      <c r="A1100" s="25"/>
      <c r="B1100" s="22"/>
      <c r="C1100" s="25"/>
      <c r="D1100" s="22"/>
      <c r="E1100" s="25"/>
      <c r="F1100" s="22"/>
      <c r="G1100" s="25"/>
      <c r="H1100" s="22"/>
      <c r="I1100" s="25"/>
      <c r="J1100" s="22"/>
    </row>
    <row r="1101" ht="15.75" customHeight="1">
      <c r="A1101" s="25"/>
      <c r="B1101" s="22"/>
      <c r="C1101" s="25"/>
      <c r="D1101" s="22"/>
      <c r="E1101" s="25"/>
      <c r="F1101" s="22"/>
      <c r="G1101" s="25"/>
      <c r="H1101" s="22"/>
      <c r="I1101" s="25"/>
      <c r="J1101" s="22"/>
    </row>
    <row r="1102" ht="15.75" customHeight="1">
      <c r="A1102" s="25"/>
      <c r="B1102" s="22"/>
      <c r="C1102" s="25"/>
      <c r="D1102" s="22"/>
      <c r="E1102" s="25"/>
      <c r="F1102" s="22"/>
      <c r="G1102" s="25"/>
      <c r="H1102" s="22"/>
      <c r="I1102" s="25"/>
      <c r="J1102" s="22"/>
    </row>
    <row r="1103" ht="15.75" customHeight="1">
      <c r="A1103" s="25"/>
      <c r="B1103" s="22"/>
      <c r="C1103" s="25"/>
      <c r="D1103" s="22"/>
      <c r="E1103" s="25"/>
      <c r="F1103" s="22"/>
      <c r="G1103" s="25"/>
      <c r="H1103" s="22"/>
      <c r="I1103" s="25"/>
      <c r="J1103" s="22"/>
    </row>
    <row r="1104" ht="15.75" customHeight="1">
      <c r="A1104" s="25"/>
      <c r="B1104" s="22"/>
      <c r="C1104" s="25"/>
      <c r="D1104" s="22"/>
      <c r="E1104" s="25"/>
      <c r="F1104" s="22"/>
      <c r="G1104" s="25"/>
      <c r="H1104" s="22"/>
      <c r="I1104" s="25"/>
      <c r="J1104" s="22"/>
    </row>
    <row r="1105" ht="15.75" customHeight="1">
      <c r="A1105" s="25"/>
      <c r="B1105" s="22"/>
      <c r="C1105" s="25"/>
      <c r="D1105" s="22"/>
      <c r="E1105" s="25"/>
      <c r="F1105" s="22"/>
      <c r="G1105" s="25"/>
      <c r="H1105" s="22"/>
      <c r="I1105" s="25"/>
      <c r="J1105" s="22"/>
    </row>
    <row r="1106" ht="15.75" customHeight="1">
      <c r="A1106" s="25"/>
      <c r="B1106" s="22"/>
      <c r="C1106" s="25"/>
      <c r="D1106" s="22"/>
      <c r="E1106" s="25"/>
      <c r="F1106" s="22"/>
      <c r="G1106" s="25"/>
      <c r="H1106" s="22"/>
      <c r="I1106" s="25"/>
      <c r="J1106" s="22"/>
    </row>
    <row r="1107" ht="15.75" customHeight="1">
      <c r="A1107" s="25"/>
      <c r="B1107" s="22"/>
      <c r="C1107" s="25"/>
      <c r="D1107" s="22"/>
      <c r="E1107" s="25"/>
      <c r="F1107" s="22"/>
      <c r="G1107" s="25"/>
      <c r="H1107" s="22"/>
      <c r="I1107" s="25"/>
      <c r="J1107" s="22"/>
    </row>
    <row r="1108" ht="15.75" customHeight="1">
      <c r="A1108" s="25"/>
      <c r="B1108" s="22"/>
      <c r="C1108" s="25"/>
      <c r="D1108" s="22"/>
      <c r="E1108" s="25"/>
      <c r="F1108" s="22"/>
      <c r="G1108" s="25"/>
      <c r="H1108" s="22"/>
      <c r="I1108" s="25"/>
      <c r="J1108" s="22"/>
    </row>
    <row r="1109" ht="15.75" customHeight="1">
      <c r="A1109" s="25"/>
      <c r="B1109" s="22"/>
      <c r="C1109" s="25"/>
      <c r="D1109" s="22"/>
      <c r="E1109" s="25"/>
      <c r="F1109" s="22"/>
      <c r="G1109" s="25"/>
      <c r="H1109" s="22"/>
      <c r="I1109" s="25"/>
      <c r="J1109" s="22"/>
    </row>
    <row r="1110" ht="15.75" customHeight="1">
      <c r="A1110" s="25"/>
      <c r="B1110" s="22"/>
      <c r="C1110" s="25"/>
      <c r="D1110" s="22"/>
      <c r="E1110" s="25"/>
      <c r="F1110" s="22"/>
      <c r="G1110" s="25"/>
      <c r="H1110" s="22"/>
      <c r="I1110" s="25"/>
      <c r="J1110" s="22"/>
    </row>
    <row r="1111" ht="15.75" customHeight="1">
      <c r="A1111" s="25"/>
      <c r="B1111" s="22"/>
      <c r="C1111" s="25"/>
      <c r="D1111" s="22"/>
      <c r="E1111" s="25"/>
      <c r="F1111" s="22"/>
      <c r="G1111" s="25"/>
      <c r="H1111" s="22"/>
      <c r="I1111" s="25"/>
      <c r="J1111" s="22"/>
    </row>
    <row r="1112" ht="15.75" customHeight="1">
      <c r="A1112" s="25"/>
      <c r="B1112" s="22"/>
      <c r="C1112" s="25"/>
      <c r="D1112" s="22"/>
      <c r="E1112" s="25"/>
      <c r="F1112" s="22"/>
      <c r="G1112" s="25"/>
      <c r="H1112" s="22"/>
      <c r="I1112" s="25"/>
      <c r="J1112" s="22"/>
    </row>
    <row r="1113" ht="15.75" customHeight="1">
      <c r="A1113" s="25"/>
      <c r="B1113" s="22"/>
      <c r="C1113" s="25"/>
      <c r="D1113" s="22"/>
      <c r="E1113" s="25"/>
      <c r="F1113" s="22"/>
      <c r="G1113" s="25"/>
      <c r="H1113" s="22"/>
      <c r="I1113" s="25"/>
      <c r="J1113" s="22"/>
    </row>
    <row r="1114" ht="15.75" customHeight="1">
      <c r="A1114" s="25"/>
      <c r="B1114" s="22"/>
      <c r="C1114" s="25"/>
      <c r="D1114" s="22"/>
      <c r="E1114" s="25"/>
      <c r="F1114" s="22"/>
      <c r="G1114" s="25"/>
      <c r="H1114" s="22"/>
      <c r="I1114" s="25"/>
      <c r="J1114" s="22"/>
    </row>
    <row r="1115" ht="15.75" customHeight="1">
      <c r="A1115" s="25"/>
      <c r="B1115" s="22"/>
      <c r="C1115" s="25"/>
      <c r="D1115" s="22"/>
      <c r="E1115" s="25"/>
      <c r="F1115" s="22"/>
      <c r="G1115" s="25"/>
      <c r="H1115" s="22"/>
      <c r="I1115" s="25"/>
      <c r="J1115" s="22"/>
    </row>
    <row r="1116" ht="15.75" customHeight="1">
      <c r="A1116" s="25"/>
      <c r="B1116" s="22"/>
      <c r="C1116" s="25"/>
      <c r="D1116" s="22"/>
      <c r="E1116" s="25"/>
      <c r="F1116" s="22"/>
      <c r="G1116" s="25"/>
      <c r="H1116" s="22"/>
      <c r="I1116" s="25"/>
      <c r="J1116" s="22"/>
    </row>
    <row r="1117" ht="15.75" customHeight="1">
      <c r="A1117" s="25"/>
      <c r="B1117" s="22"/>
      <c r="C1117" s="25"/>
      <c r="D1117" s="22"/>
      <c r="E1117" s="25"/>
      <c r="F1117" s="22"/>
      <c r="G1117" s="25"/>
      <c r="H1117" s="22"/>
      <c r="I1117" s="25"/>
      <c r="J1117" s="22"/>
    </row>
    <row r="1118" ht="15.75" customHeight="1">
      <c r="A1118" s="25"/>
      <c r="B1118" s="22"/>
      <c r="C1118" s="25"/>
      <c r="D1118" s="22"/>
      <c r="E1118" s="25"/>
      <c r="F1118" s="22"/>
      <c r="G1118" s="25"/>
      <c r="H1118" s="22"/>
      <c r="I1118" s="25"/>
      <c r="J1118" s="22"/>
    </row>
    <row r="1119" ht="15.75" customHeight="1">
      <c r="A1119" s="25"/>
      <c r="B1119" s="22"/>
      <c r="C1119" s="25"/>
      <c r="D1119" s="22"/>
      <c r="E1119" s="25"/>
      <c r="F1119" s="22"/>
      <c r="G1119" s="25"/>
      <c r="H1119" s="22"/>
      <c r="I1119" s="25"/>
      <c r="J1119" s="22"/>
    </row>
    <row r="1120" ht="15.75" customHeight="1">
      <c r="A1120" s="25"/>
      <c r="B1120" s="22"/>
      <c r="C1120" s="25"/>
      <c r="D1120" s="22"/>
      <c r="E1120" s="25"/>
      <c r="F1120" s="22"/>
      <c r="G1120" s="25"/>
      <c r="H1120" s="22"/>
      <c r="I1120" s="25"/>
      <c r="J1120" s="22"/>
    </row>
    <row r="1121" ht="15.75" customHeight="1">
      <c r="A1121" s="25"/>
      <c r="B1121" s="22"/>
      <c r="C1121" s="25"/>
      <c r="D1121" s="22"/>
      <c r="E1121" s="25"/>
      <c r="F1121" s="22"/>
      <c r="G1121" s="25"/>
      <c r="H1121" s="22"/>
      <c r="I1121" s="25"/>
      <c r="J1121" s="22"/>
    </row>
    <row r="1122" ht="15.75" customHeight="1">
      <c r="A1122" s="25"/>
      <c r="B1122" s="22"/>
      <c r="C1122" s="25"/>
      <c r="D1122" s="22"/>
      <c r="E1122" s="25"/>
      <c r="F1122" s="22"/>
      <c r="G1122" s="25"/>
      <c r="H1122" s="22"/>
      <c r="I1122" s="25"/>
      <c r="J1122" s="22"/>
    </row>
    <row r="1123" ht="15.75" customHeight="1">
      <c r="A1123" s="25"/>
      <c r="B1123" s="22"/>
      <c r="C1123" s="25"/>
      <c r="D1123" s="22"/>
      <c r="E1123" s="25"/>
      <c r="F1123" s="22"/>
      <c r="G1123" s="25"/>
      <c r="H1123" s="22"/>
      <c r="I1123" s="25"/>
      <c r="J1123" s="22"/>
    </row>
    <row r="1124" ht="15.75" customHeight="1">
      <c r="A1124" s="25"/>
      <c r="B1124" s="22"/>
      <c r="C1124" s="25"/>
      <c r="D1124" s="22"/>
      <c r="E1124" s="25"/>
      <c r="F1124" s="22"/>
      <c r="G1124" s="25"/>
      <c r="H1124" s="22"/>
      <c r="I1124" s="25"/>
      <c r="J1124" s="22"/>
    </row>
    <row r="1125" ht="15.75" customHeight="1">
      <c r="A1125" s="25"/>
      <c r="B1125" s="22"/>
      <c r="C1125" s="25"/>
      <c r="D1125" s="22"/>
      <c r="E1125" s="25"/>
      <c r="F1125" s="22"/>
      <c r="G1125" s="25"/>
      <c r="H1125" s="22"/>
      <c r="I1125" s="25"/>
      <c r="J1125" s="22"/>
    </row>
    <row r="1126" ht="15.75" customHeight="1">
      <c r="A1126" s="25"/>
      <c r="B1126" s="22"/>
      <c r="C1126" s="25"/>
      <c r="D1126" s="22"/>
      <c r="E1126" s="25"/>
      <c r="F1126" s="22"/>
      <c r="G1126" s="25"/>
      <c r="H1126" s="22"/>
      <c r="I1126" s="25"/>
      <c r="J1126" s="22"/>
    </row>
    <row r="1127" ht="15.75" customHeight="1">
      <c r="A1127" s="25"/>
      <c r="B1127" s="22"/>
      <c r="C1127" s="25"/>
      <c r="D1127" s="22"/>
      <c r="E1127" s="25"/>
      <c r="F1127" s="22"/>
      <c r="G1127" s="25"/>
      <c r="H1127" s="22"/>
      <c r="I1127" s="25"/>
      <c r="J1127" s="22"/>
    </row>
    <row r="1128" ht="15.75" customHeight="1">
      <c r="A1128" s="25"/>
      <c r="B1128" s="22"/>
      <c r="C1128" s="25"/>
      <c r="D1128" s="22"/>
      <c r="E1128" s="25"/>
      <c r="F1128" s="22"/>
      <c r="G1128" s="25"/>
      <c r="H1128" s="22"/>
      <c r="I1128" s="25"/>
      <c r="J1128" s="22"/>
    </row>
    <row r="1129" ht="15.75" customHeight="1">
      <c r="A1129" s="25"/>
      <c r="B1129" s="22"/>
      <c r="C1129" s="25"/>
      <c r="D1129" s="22"/>
      <c r="E1129" s="25"/>
      <c r="F1129" s="22"/>
      <c r="G1129" s="25"/>
      <c r="H1129" s="22"/>
      <c r="I1129" s="25"/>
      <c r="J1129" s="22"/>
    </row>
    <row r="1130" ht="15.75" customHeight="1">
      <c r="A1130" s="25"/>
      <c r="B1130" s="22"/>
      <c r="C1130" s="25"/>
      <c r="D1130" s="22"/>
      <c r="E1130" s="25"/>
      <c r="F1130" s="22"/>
      <c r="G1130" s="25"/>
      <c r="H1130" s="22"/>
      <c r="I1130" s="25"/>
      <c r="J1130" s="22"/>
    </row>
    <row r="1131" ht="15.75" customHeight="1">
      <c r="A1131" s="25"/>
      <c r="B1131" s="22"/>
      <c r="C1131" s="25"/>
      <c r="D1131" s="22"/>
      <c r="E1131" s="25"/>
      <c r="F1131" s="22"/>
      <c r="G1131" s="25"/>
      <c r="H1131" s="22"/>
      <c r="I1131" s="25"/>
      <c r="J1131" s="22"/>
    </row>
    <row r="1132" ht="15.75" customHeight="1">
      <c r="A1132" s="25"/>
      <c r="B1132" s="22"/>
      <c r="C1132" s="25"/>
      <c r="D1132" s="22"/>
      <c r="E1132" s="25"/>
      <c r="F1132" s="22"/>
      <c r="G1132" s="25"/>
      <c r="H1132" s="22"/>
      <c r="I1132" s="25"/>
      <c r="J1132" s="22"/>
    </row>
    <row r="1133" ht="15.75" customHeight="1">
      <c r="A1133" s="25"/>
      <c r="B1133" s="22"/>
      <c r="C1133" s="25"/>
      <c r="D1133" s="22"/>
      <c r="E1133" s="25"/>
      <c r="F1133" s="22"/>
      <c r="G1133" s="25"/>
      <c r="H1133" s="22"/>
      <c r="I1133" s="25"/>
      <c r="J1133" s="22"/>
    </row>
    <row r="1134" ht="15.75" customHeight="1">
      <c r="A1134" s="25"/>
      <c r="B1134" s="22"/>
      <c r="C1134" s="25"/>
      <c r="D1134" s="22"/>
      <c r="E1134" s="25"/>
      <c r="F1134" s="22"/>
      <c r="G1134" s="25"/>
      <c r="H1134" s="22"/>
      <c r="I1134" s="25"/>
      <c r="J1134" s="22"/>
    </row>
    <row r="1135" ht="15.75" customHeight="1">
      <c r="A1135" s="25"/>
      <c r="B1135" s="22"/>
      <c r="C1135" s="25"/>
      <c r="D1135" s="22"/>
      <c r="E1135" s="25"/>
      <c r="F1135" s="22"/>
      <c r="G1135" s="25"/>
      <c r="H1135" s="22"/>
      <c r="I1135" s="25"/>
      <c r="J1135" s="22"/>
    </row>
    <row r="1136" ht="15.75" customHeight="1">
      <c r="A1136" s="25"/>
      <c r="B1136" s="22"/>
      <c r="C1136" s="25"/>
      <c r="D1136" s="22"/>
      <c r="E1136" s="25"/>
      <c r="F1136" s="22"/>
      <c r="G1136" s="25"/>
      <c r="H1136" s="22"/>
      <c r="I1136" s="25"/>
      <c r="J1136" s="22"/>
    </row>
    <row r="1137" ht="15.75" customHeight="1">
      <c r="A1137" s="25"/>
      <c r="B1137" s="22"/>
      <c r="C1137" s="25"/>
      <c r="D1137" s="22"/>
      <c r="E1137" s="25"/>
      <c r="F1137" s="22"/>
      <c r="G1137" s="25"/>
      <c r="H1137" s="22"/>
      <c r="I1137" s="25"/>
      <c r="J1137" s="22"/>
    </row>
    <row r="1138" ht="15.75" customHeight="1">
      <c r="A1138" s="25"/>
      <c r="B1138" s="22"/>
      <c r="C1138" s="25"/>
      <c r="D1138" s="22"/>
      <c r="E1138" s="25"/>
      <c r="F1138" s="22"/>
      <c r="G1138" s="25"/>
      <c r="H1138" s="22"/>
      <c r="I1138" s="25"/>
      <c r="J1138" s="22"/>
    </row>
    <row r="1139" ht="15.75" customHeight="1">
      <c r="A1139" s="25"/>
      <c r="B1139" s="22"/>
      <c r="C1139" s="25"/>
      <c r="D1139" s="22"/>
      <c r="E1139" s="25"/>
      <c r="F1139" s="22"/>
      <c r="G1139" s="25"/>
      <c r="H1139" s="22"/>
      <c r="I1139" s="25"/>
      <c r="J1139" s="22"/>
    </row>
    <row r="1140" ht="15.75" customHeight="1">
      <c r="A1140" s="25"/>
      <c r="B1140" s="22"/>
      <c r="C1140" s="25"/>
      <c r="D1140" s="22"/>
      <c r="E1140" s="25"/>
      <c r="F1140" s="22"/>
      <c r="G1140" s="25"/>
      <c r="H1140" s="22"/>
      <c r="I1140" s="25"/>
      <c r="J1140" s="22"/>
    </row>
    <row r="1141" ht="15.75" customHeight="1">
      <c r="A1141" s="25"/>
      <c r="B1141" s="22"/>
      <c r="C1141" s="25"/>
      <c r="D1141" s="22"/>
      <c r="E1141" s="25"/>
      <c r="F1141" s="22"/>
      <c r="G1141" s="25"/>
      <c r="H1141" s="22"/>
      <c r="I1141" s="25"/>
      <c r="J1141" s="22"/>
    </row>
    <row r="1142" ht="15.75" customHeight="1">
      <c r="A1142" s="25"/>
      <c r="B1142" s="22"/>
      <c r="C1142" s="25"/>
      <c r="D1142" s="22"/>
      <c r="E1142" s="25"/>
      <c r="F1142" s="22"/>
      <c r="G1142" s="25"/>
      <c r="H1142" s="22"/>
      <c r="I1142" s="25"/>
      <c r="J1142" s="22"/>
    </row>
    <row r="1143" ht="15.75" customHeight="1">
      <c r="A1143" s="25"/>
      <c r="B1143" s="22"/>
      <c r="C1143" s="25"/>
      <c r="D1143" s="22"/>
      <c r="E1143" s="25"/>
      <c r="F1143" s="22"/>
      <c r="G1143" s="25"/>
      <c r="H1143" s="22"/>
      <c r="I1143" s="25"/>
      <c r="J1143" s="22"/>
    </row>
    <row r="1144" ht="15.75" customHeight="1">
      <c r="A1144" s="25"/>
      <c r="B1144" s="22"/>
      <c r="C1144" s="25"/>
      <c r="D1144" s="22"/>
      <c r="E1144" s="25"/>
      <c r="F1144" s="22"/>
      <c r="G1144" s="25"/>
      <c r="H1144" s="22"/>
      <c r="I1144" s="25"/>
      <c r="J1144" s="22"/>
    </row>
    <row r="1145" ht="15.75" customHeight="1">
      <c r="A1145" s="25"/>
      <c r="B1145" s="22"/>
      <c r="C1145" s="25"/>
      <c r="D1145" s="22"/>
      <c r="E1145" s="25"/>
      <c r="F1145" s="22"/>
      <c r="G1145" s="25"/>
      <c r="H1145" s="22"/>
      <c r="I1145" s="25"/>
      <c r="J1145" s="22"/>
    </row>
    <row r="1146" ht="15.75" customHeight="1">
      <c r="A1146" s="25"/>
      <c r="B1146" s="22"/>
      <c r="C1146" s="25"/>
      <c r="D1146" s="22"/>
      <c r="E1146" s="25"/>
      <c r="F1146" s="22"/>
      <c r="G1146" s="25"/>
      <c r="H1146" s="22"/>
      <c r="I1146" s="25"/>
      <c r="J1146" s="22"/>
    </row>
    <row r="1147" ht="15.75" customHeight="1">
      <c r="A1147" s="25"/>
      <c r="B1147" s="22"/>
      <c r="C1147" s="25"/>
      <c r="D1147" s="22"/>
      <c r="E1147" s="25"/>
      <c r="F1147" s="22"/>
      <c r="G1147" s="25"/>
      <c r="H1147" s="22"/>
      <c r="I1147" s="25"/>
      <c r="J1147" s="22"/>
    </row>
    <row r="1148" ht="15.75" customHeight="1">
      <c r="A1148" s="25"/>
      <c r="B1148" s="22"/>
      <c r="C1148" s="25"/>
      <c r="D1148" s="22"/>
      <c r="E1148" s="25"/>
      <c r="F1148" s="22"/>
      <c r="G1148" s="25"/>
      <c r="H1148" s="22"/>
      <c r="I1148" s="25"/>
      <c r="J1148" s="22"/>
    </row>
    <row r="1149" ht="15.75" customHeight="1">
      <c r="A1149" s="25"/>
      <c r="B1149" s="22"/>
      <c r="C1149" s="25"/>
      <c r="D1149" s="22"/>
      <c r="E1149" s="25"/>
      <c r="F1149" s="22"/>
      <c r="G1149" s="25"/>
      <c r="H1149" s="22"/>
      <c r="I1149" s="25"/>
      <c r="J1149" s="22"/>
    </row>
    <row r="1150" ht="15.75" customHeight="1">
      <c r="A1150" s="25"/>
      <c r="B1150" s="22"/>
      <c r="C1150" s="25"/>
      <c r="D1150" s="22"/>
      <c r="E1150" s="25"/>
      <c r="F1150" s="22"/>
      <c r="G1150" s="25"/>
      <c r="H1150" s="22"/>
      <c r="I1150" s="25"/>
      <c r="J1150" s="22"/>
    </row>
    <row r="1151" ht="15.75" customHeight="1">
      <c r="A1151" s="25"/>
      <c r="B1151" s="22"/>
      <c r="C1151" s="25"/>
      <c r="D1151" s="22"/>
      <c r="E1151" s="25"/>
      <c r="F1151" s="22"/>
      <c r="G1151" s="25"/>
      <c r="H1151" s="22"/>
      <c r="I1151" s="25"/>
      <c r="J1151" s="22"/>
    </row>
    <row r="1152" ht="15.75" customHeight="1">
      <c r="A1152" s="25"/>
      <c r="B1152" s="22"/>
      <c r="C1152" s="25"/>
      <c r="D1152" s="22"/>
      <c r="E1152" s="25"/>
      <c r="F1152" s="22"/>
      <c r="G1152" s="25"/>
      <c r="H1152" s="22"/>
      <c r="I1152" s="25"/>
      <c r="J1152" s="22"/>
    </row>
    <row r="1153" ht="15.75" customHeight="1">
      <c r="A1153" s="25"/>
      <c r="B1153" s="22"/>
      <c r="C1153" s="25"/>
      <c r="D1153" s="22"/>
      <c r="E1153" s="25"/>
      <c r="F1153" s="22"/>
      <c r="G1153" s="25"/>
      <c r="H1153" s="22"/>
      <c r="I1153" s="25"/>
      <c r="J1153" s="22"/>
    </row>
    <row r="1154" ht="15.75" customHeight="1">
      <c r="A1154" s="25"/>
      <c r="B1154" s="22"/>
      <c r="C1154" s="25"/>
      <c r="D1154" s="22"/>
      <c r="E1154" s="25"/>
      <c r="F1154" s="22"/>
      <c r="G1154" s="25"/>
      <c r="H1154" s="22"/>
      <c r="I1154" s="25"/>
      <c r="J1154" s="22"/>
    </row>
    <row r="1155" ht="15.75" customHeight="1">
      <c r="A1155" s="25"/>
      <c r="B1155" s="22"/>
      <c r="C1155" s="25"/>
      <c r="D1155" s="22"/>
      <c r="E1155" s="25"/>
      <c r="F1155" s="22"/>
      <c r="G1155" s="25"/>
      <c r="H1155" s="22"/>
      <c r="I1155" s="25"/>
      <c r="J1155" s="22"/>
    </row>
    <row r="1156" ht="15.75" customHeight="1">
      <c r="A1156" s="25"/>
      <c r="B1156" s="22"/>
      <c r="C1156" s="25"/>
      <c r="D1156" s="22"/>
      <c r="E1156" s="25"/>
      <c r="F1156" s="22"/>
      <c r="G1156" s="25"/>
      <c r="H1156" s="22"/>
      <c r="I1156" s="25"/>
      <c r="J1156" s="22"/>
    </row>
    <row r="1157" ht="15.75" customHeight="1">
      <c r="A1157" s="25"/>
      <c r="B1157" s="22"/>
      <c r="C1157" s="25"/>
      <c r="D1157" s="22"/>
      <c r="E1157" s="25"/>
      <c r="F1157" s="22"/>
      <c r="G1157" s="25"/>
      <c r="H1157" s="22"/>
      <c r="I1157" s="25"/>
      <c r="J1157" s="22"/>
    </row>
    <row r="1158" ht="15.75" customHeight="1">
      <c r="A1158" s="25"/>
      <c r="B1158" s="22"/>
      <c r="C1158" s="25"/>
      <c r="D1158" s="22"/>
      <c r="E1158" s="25"/>
      <c r="F1158" s="22"/>
      <c r="G1158" s="25"/>
      <c r="H1158" s="22"/>
      <c r="I1158" s="25"/>
      <c r="J1158" s="22"/>
    </row>
    <row r="1159" ht="15.75" customHeight="1">
      <c r="A1159" s="25"/>
      <c r="B1159" s="22"/>
      <c r="C1159" s="25"/>
      <c r="D1159" s="22"/>
      <c r="E1159" s="25"/>
      <c r="F1159" s="22"/>
      <c r="G1159" s="25"/>
      <c r="H1159" s="22"/>
      <c r="I1159" s="25"/>
      <c r="J1159" s="22"/>
    </row>
    <row r="1160" ht="15.75" customHeight="1">
      <c r="A1160" s="25"/>
      <c r="B1160" s="22"/>
      <c r="C1160" s="25"/>
      <c r="D1160" s="22"/>
      <c r="E1160" s="25"/>
      <c r="F1160" s="22"/>
      <c r="G1160" s="25"/>
      <c r="H1160" s="22"/>
      <c r="I1160" s="25"/>
      <c r="J1160" s="22"/>
    </row>
    <row r="1161" ht="15.75" customHeight="1">
      <c r="A1161" s="25"/>
      <c r="B1161" s="22"/>
      <c r="C1161" s="25"/>
      <c r="D1161" s="22"/>
      <c r="E1161" s="25"/>
      <c r="F1161" s="22"/>
      <c r="G1161" s="25"/>
      <c r="H1161" s="22"/>
      <c r="I1161" s="25"/>
      <c r="J1161" s="22"/>
    </row>
    <row r="1162" ht="15.75" customHeight="1">
      <c r="A1162" s="25"/>
      <c r="B1162" s="22"/>
      <c r="C1162" s="25"/>
      <c r="D1162" s="22"/>
      <c r="E1162" s="25"/>
      <c r="F1162" s="22"/>
      <c r="G1162" s="25"/>
      <c r="H1162" s="22"/>
      <c r="I1162" s="25"/>
      <c r="J1162" s="22"/>
    </row>
    <row r="1163" ht="15.75" customHeight="1">
      <c r="A1163" s="25"/>
      <c r="B1163" s="22"/>
      <c r="C1163" s="25"/>
      <c r="D1163" s="22"/>
      <c r="E1163" s="25"/>
      <c r="F1163" s="22"/>
      <c r="G1163" s="25"/>
      <c r="H1163" s="22"/>
      <c r="I1163" s="25"/>
      <c r="J1163" s="22"/>
    </row>
    <row r="1164" ht="15.75" customHeight="1">
      <c r="A1164" s="25"/>
      <c r="B1164" s="22"/>
      <c r="C1164" s="25"/>
      <c r="D1164" s="22"/>
      <c r="E1164" s="25"/>
      <c r="F1164" s="22"/>
      <c r="G1164" s="25"/>
      <c r="H1164" s="22"/>
      <c r="I1164" s="25"/>
      <c r="J1164" s="22"/>
    </row>
    <row r="1165" ht="15.75" customHeight="1">
      <c r="A1165" s="25"/>
      <c r="B1165" s="22"/>
      <c r="C1165" s="25"/>
      <c r="D1165" s="22"/>
      <c r="E1165" s="25"/>
      <c r="F1165" s="22"/>
      <c r="G1165" s="25"/>
      <c r="H1165" s="22"/>
      <c r="I1165" s="25"/>
      <c r="J1165" s="22"/>
    </row>
    <row r="1166" ht="15.75" customHeight="1">
      <c r="A1166" s="25"/>
      <c r="B1166" s="22"/>
      <c r="C1166" s="25"/>
      <c r="D1166" s="22"/>
      <c r="E1166" s="25"/>
      <c r="F1166" s="22"/>
      <c r="G1166" s="25"/>
      <c r="H1166" s="22"/>
      <c r="I1166" s="25"/>
      <c r="J1166" s="22"/>
    </row>
    <row r="1167" ht="15.75" customHeight="1">
      <c r="A1167" s="25"/>
      <c r="B1167" s="22"/>
      <c r="C1167" s="25"/>
      <c r="D1167" s="22"/>
      <c r="E1167" s="25"/>
      <c r="F1167" s="22"/>
      <c r="G1167" s="25"/>
      <c r="H1167" s="22"/>
      <c r="I1167" s="25"/>
      <c r="J1167" s="22"/>
    </row>
    <row r="1168" ht="15.75" customHeight="1">
      <c r="A1168" s="25"/>
      <c r="B1168" s="22"/>
      <c r="C1168" s="25"/>
      <c r="D1168" s="22"/>
      <c r="E1168" s="25"/>
      <c r="F1168" s="22"/>
      <c r="G1168" s="25"/>
      <c r="H1168" s="22"/>
      <c r="I1168" s="25"/>
      <c r="J1168" s="22"/>
    </row>
    <row r="1169" ht="15.75" customHeight="1">
      <c r="A1169" s="25"/>
      <c r="B1169" s="22"/>
      <c r="C1169" s="25"/>
      <c r="D1169" s="22"/>
      <c r="E1169" s="25"/>
      <c r="F1169" s="22"/>
      <c r="G1169" s="25"/>
      <c r="H1169" s="22"/>
      <c r="I1169" s="25"/>
      <c r="J1169" s="22"/>
    </row>
    <row r="1170" ht="15.75" customHeight="1">
      <c r="A1170" s="25"/>
      <c r="B1170" s="22"/>
      <c r="C1170" s="25"/>
      <c r="D1170" s="22"/>
      <c r="E1170" s="25"/>
      <c r="F1170" s="22"/>
      <c r="G1170" s="25"/>
      <c r="H1170" s="22"/>
      <c r="I1170" s="25"/>
      <c r="J1170" s="22"/>
    </row>
    <row r="1171" ht="15.75" customHeight="1">
      <c r="A1171" s="25"/>
      <c r="B1171" s="22"/>
      <c r="C1171" s="25"/>
      <c r="D1171" s="22"/>
      <c r="E1171" s="25"/>
      <c r="F1171" s="22"/>
      <c r="G1171" s="25"/>
      <c r="H1171" s="22"/>
      <c r="I1171" s="25"/>
      <c r="J1171" s="22"/>
    </row>
    <row r="1172" ht="15.75" customHeight="1">
      <c r="A1172" s="25"/>
      <c r="B1172" s="22"/>
      <c r="C1172" s="25"/>
      <c r="D1172" s="22"/>
      <c r="E1172" s="25"/>
      <c r="F1172" s="22"/>
      <c r="G1172" s="25"/>
      <c r="H1172" s="22"/>
      <c r="I1172" s="25"/>
      <c r="J1172" s="22"/>
    </row>
    <row r="1173" ht="15.75" customHeight="1">
      <c r="A1173" s="25"/>
      <c r="B1173" s="22"/>
      <c r="C1173" s="25"/>
      <c r="D1173" s="22"/>
      <c r="E1173" s="25"/>
      <c r="F1173" s="22"/>
      <c r="G1173" s="25"/>
      <c r="H1173" s="22"/>
      <c r="I1173" s="25"/>
      <c r="J1173" s="22"/>
    </row>
    <row r="1174" ht="15.75" customHeight="1">
      <c r="A1174" s="25"/>
      <c r="B1174" s="22"/>
      <c r="C1174" s="25"/>
      <c r="D1174" s="22"/>
      <c r="E1174" s="25"/>
      <c r="F1174" s="22"/>
      <c r="G1174" s="25"/>
      <c r="H1174" s="22"/>
      <c r="I1174" s="25"/>
      <c r="J1174" s="22"/>
    </row>
    <row r="1175" ht="15.75" customHeight="1">
      <c r="A1175" s="25"/>
      <c r="B1175" s="22"/>
      <c r="C1175" s="25"/>
      <c r="D1175" s="22"/>
      <c r="E1175" s="25"/>
      <c r="F1175" s="22"/>
      <c r="G1175" s="25"/>
      <c r="H1175" s="22"/>
      <c r="I1175" s="25"/>
      <c r="J1175" s="22"/>
    </row>
    <row r="1176" ht="15.75" customHeight="1">
      <c r="A1176" s="25"/>
      <c r="B1176" s="22"/>
      <c r="C1176" s="25"/>
      <c r="D1176" s="22"/>
      <c r="E1176" s="25"/>
      <c r="F1176" s="22"/>
      <c r="G1176" s="25"/>
      <c r="H1176" s="22"/>
      <c r="I1176" s="25"/>
      <c r="J1176" s="22"/>
    </row>
    <row r="1177" ht="15.75" customHeight="1">
      <c r="A1177" s="25"/>
      <c r="B1177" s="22"/>
      <c r="C1177" s="25"/>
      <c r="D1177" s="22"/>
      <c r="E1177" s="25"/>
      <c r="F1177" s="22"/>
      <c r="G1177" s="25"/>
      <c r="H1177" s="22"/>
      <c r="I1177" s="25"/>
      <c r="J1177" s="22"/>
    </row>
    <row r="1178" ht="15.75" customHeight="1">
      <c r="A1178" s="25"/>
      <c r="B1178" s="22"/>
      <c r="C1178" s="25"/>
      <c r="D1178" s="22"/>
      <c r="E1178" s="25"/>
      <c r="F1178" s="22"/>
      <c r="G1178" s="25"/>
      <c r="H1178" s="22"/>
      <c r="I1178" s="25"/>
      <c r="J1178" s="22"/>
    </row>
    <row r="1179" ht="15.75" customHeight="1">
      <c r="A1179" s="25"/>
      <c r="B1179" s="22"/>
      <c r="C1179" s="25"/>
      <c r="D1179" s="22"/>
      <c r="E1179" s="25"/>
      <c r="F1179" s="22"/>
      <c r="G1179" s="25"/>
      <c r="H1179" s="22"/>
      <c r="I1179" s="25"/>
      <c r="J1179" s="22"/>
    </row>
    <row r="1180" ht="15.75" customHeight="1">
      <c r="A1180" s="25"/>
      <c r="B1180" s="22"/>
      <c r="C1180" s="25"/>
      <c r="D1180" s="22"/>
      <c r="E1180" s="25"/>
      <c r="F1180" s="22"/>
      <c r="G1180" s="25"/>
      <c r="H1180" s="22"/>
      <c r="I1180" s="25"/>
      <c r="J1180" s="22"/>
    </row>
    <row r="1181" ht="15.75" customHeight="1">
      <c r="A1181" s="25"/>
      <c r="B1181" s="22"/>
      <c r="C1181" s="25"/>
      <c r="D1181" s="22"/>
      <c r="E1181" s="25"/>
      <c r="F1181" s="22"/>
      <c r="G1181" s="25"/>
      <c r="H1181" s="22"/>
      <c r="I1181" s="25"/>
      <c r="J1181" s="22"/>
    </row>
    <row r="1182" ht="15.75" customHeight="1">
      <c r="A1182" s="25"/>
      <c r="B1182" s="22"/>
      <c r="C1182" s="25"/>
      <c r="D1182" s="22"/>
      <c r="E1182" s="25"/>
      <c r="F1182" s="22"/>
      <c r="G1182" s="25"/>
      <c r="H1182" s="22"/>
      <c r="I1182" s="25"/>
      <c r="J1182" s="22"/>
    </row>
    <row r="1183" ht="15.75" customHeight="1">
      <c r="A1183" s="25"/>
      <c r="B1183" s="22"/>
      <c r="C1183" s="25"/>
      <c r="D1183" s="22"/>
      <c r="E1183" s="25"/>
      <c r="F1183" s="22"/>
      <c r="G1183" s="25"/>
      <c r="H1183" s="22"/>
      <c r="I1183" s="25"/>
      <c r="J1183" s="22"/>
    </row>
    <row r="1184" ht="15.75" customHeight="1">
      <c r="A1184" s="25"/>
      <c r="B1184" s="22"/>
      <c r="C1184" s="25"/>
      <c r="D1184" s="22"/>
      <c r="E1184" s="25"/>
      <c r="F1184" s="22"/>
      <c r="G1184" s="25"/>
      <c r="H1184" s="22"/>
      <c r="I1184" s="25"/>
      <c r="J1184" s="22"/>
    </row>
    <row r="1185" ht="15.75" customHeight="1">
      <c r="A1185" s="25"/>
      <c r="B1185" s="22"/>
      <c r="C1185" s="25"/>
      <c r="D1185" s="22"/>
      <c r="E1185" s="25"/>
      <c r="F1185" s="22"/>
      <c r="G1185" s="25"/>
      <c r="H1185" s="22"/>
      <c r="I1185" s="25"/>
      <c r="J1185" s="22"/>
    </row>
    <row r="1186" ht="15.75" customHeight="1">
      <c r="A1186" s="25"/>
      <c r="B1186" s="22"/>
      <c r="C1186" s="25"/>
      <c r="D1186" s="22"/>
      <c r="E1186" s="25"/>
      <c r="F1186" s="22"/>
      <c r="G1186" s="25"/>
      <c r="H1186" s="22"/>
      <c r="I1186" s="25"/>
      <c r="J1186" s="22"/>
    </row>
    <row r="1187" ht="15.75" customHeight="1">
      <c r="A1187" s="25"/>
      <c r="B1187" s="22"/>
      <c r="C1187" s="25"/>
      <c r="D1187" s="22"/>
      <c r="E1187" s="25"/>
      <c r="F1187" s="22"/>
      <c r="G1187" s="25"/>
      <c r="H1187" s="22"/>
      <c r="I1187" s="25"/>
      <c r="J1187" s="22"/>
    </row>
    <row r="1188" ht="15.75" customHeight="1">
      <c r="A1188" s="25"/>
      <c r="B1188" s="22"/>
      <c r="C1188" s="25"/>
      <c r="D1188" s="22"/>
      <c r="E1188" s="25"/>
      <c r="F1188" s="22"/>
      <c r="G1188" s="25"/>
      <c r="H1188" s="22"/>
      <c r="I1188" s="25"/>
      <c r="J1188" s="22"/>
    </row>
    <row r="1189" ht="15.75" customHeight="1">
      <c r="A1189" s="25"/>
      <c r="B1189" s="22"/>
      <c r="C1189" s="25"/>
      <c r="D1189" s="22"/>
      <c r="E1189" s="25"/>
      <c r="F1189" s="22"/>
      <c r="G1189" s="25"/>
      <c r="H1189" s="22"/>
      <c r="I1189" s="25"/>
      <c r="J1189" s="22"/>
    </row>
    <row r="1190" ht="15.75" customHeight="1">
      <c r="A1190" s="25"/>
      <c r="B1190" s="22"/>
      <c r="C1190" s="25"/>
      <c r="D1190" s="22"/>
      <c r="E1190" s="25"/>
      <c r="F1190" s="22"/>
      <c r="G1190" s="25"/>
      <c r="H1190" s="22"/>
      <c r="I1190" s="25"/>
      <c r="J1190" s="22"/>
    </row>
    <row r="1191" ht="15.75" customHeight="1">
      <c r="A1191" s="25"/>
      <c r="B1191" s="22"/>
      <c r="C1191" s="25"/>
      <c r="D1191" s="22"/>
      <c r="E1191" s="25"/>
      <c r="F1191" s="22"/>
      <c r="G1191" s="25"/>
      <c r="H1191" s="22"/>
      <c r="I1191" s="25"/>
      <c r="J1191" s="22"/>
    </row>
    <row r="1192" ht="15.75" customHeight="1">
      <c r="A1192" s="25"/>
      <c r="B1192" s="22"/>
      <c r="C1192" s="25"/>
      <c r="D1192" s="22"/>
      <c r="E1192" s="25"/>
      <c r="F1192" s="22"/>
      <c r="G1192" s="25"/>
      <c r="H1192" s="22"/>
      <c r="I1192" s="25"/>
      <c r="J1192" s="22"/>
    </row>
    <row r="1193" ht="15.75" customHeight="1">
      <c r="A1193" s="25"/>
      <c r="B1193" s="22"/>
      <c r="C1193" s="25"/>
      <c r="D1193" s="22"/>
      <c r="E1193" s="25"/>
      <c r="F1193" s="22"/>
      <c r="G1193" s="25"/>
      <c r="H1193" s="22"/>
      <c r="I1193" s="25"/>
      <c r="J1193" s="22"/>
    </row>
    <row r="1194" ht="15.75" customHeight="1">
      <c r="A1194" s="25"/>
      <c r="B1194" s="22"/>
      <c r="C1194" s="25"/>
      <c r="D1194" s="22"/>
      <c r="E1194" s="25"/>
      <c r="F1194" s="22"/>
      <c r="G1194" s="25"/>
      <c r="H1194" s="22"/>
      <c r="I1194" s="25"/>
      <c r="J1194" s="22"/>
    </row>
    <row r="1195" ht="15.75" customHeight="1">
      <c r="A1195" s="25"/>
      <c r="B1195" s="22"/>
      <c r="C1195" s="25"/>
      <c r="D1195" s="22"/>
      <c r="E1195" s="25"/>
      <c r="F1195" s="22"/>
      <c r="G1195" s="25"/>
      <c r="H1195" s="22"/>
      <c r="I1195" s="25"/>
      <c r="J1195" s="22"/>
    </row>
    <row r="1196" ht="15.75" customHeight="1">
      <c r="A1196" s="25"/>
      <c r="B1196" s="22"/>
      <c r="C1196" s="25"/>
      <c r="D1196" s="22"/>
      <c r="E1196" s="25"/>
      <c r="F1196" s="22"/>
      <c r="G1196" s="25"/>
      <c r="H1196" s="22"/>
      <c r="I1196" s="25"/>
      <c r="J1196" s="22"/>
    </row>
    <row r="1197" ht="15.75" customHeight="1">
      <c r="A1197" s="25"/>
      <c r="B1197" s="22"/>
      <c r="C1197" s="25"/>
      <c r="D1197" s="22"/>
      <c r="E1197" s="25"/>
      <c r="F1197" s="22"/>
      <c r="G1197" s="25"/>
      <c r="H1197" s="22"/>
      <c r="I1197" s="25"/>
      <c r="J1197" s="22"/>
    </row>
    <row r="1198" ht="15.75" customHeight="1">
      <c r="A1198" s="25"/>
      <c r="B1198" s="22"/>
      <c r="C1198" s="25"/>
      <c r="D1198" s="22"/>
      <c r="E1198" s="25"/>
      <c r="F1198" s="22"/>
      <c r="G1198" s="25"/>
      <c r="H1198" s="22"/>
      <c r="I1198" s="25"/>
      <c r="J1198" s="22"/>
    </row>
    <row r="1199" ht="15.75" customHeight="1">
      <c r="A1199" s="25"/>
      <c r="B1199" s="22"/>
      <c r="C1199" s="25"/>
      <c r="D1199" s="22"/>
      <c r="E1199" s="25"/>
      <c r="F1199" s="22"/>
      <c r="G1199" s="25"/>
      <c r="H1199" s="22"/>
      <c r="I1199" s="25"/>
      <c r="J1199" s="22"/>
    </row>
    <row r="1200" ht="15.75" customHeight="1">
      <c r="A1200" s="25"/>
      <c r="B1200" s="22"/>
      <c r="C1200" s="25"/>
      <c r="D1200" s="22"/>
      <c r="E1200" s="25"/>
      <c r="F1200" s="22"/>
      <c r="G1200" s="25"/>
      <c r="H1200" s="22"/>
      <c r="I1200" s="25"/>
      <c r="J1200" s="22"/>
    </row>
    <row r="1201" ht="15.75" customHeight="1">
      <c r="A1201" s="25"/>
      <c r="B1201" s="22"/>
      <c r="C1201" s="25"/>
      <c r="D1201" s="22"/>
      <c r="E1201" s="25"/>
      <c r="F1201" s="22"/>
      <c r="G1201" s="25"/>
      <c r="H1201" s="22"/>
      <c r="I1201" s="25"/>
      <c r="J1201" s="22"/>
    </row>
    <row r="1202" ht="15.75" customHeight="1">
      <c r="A1202" s="25"/>
      <c r="B1202" s="22"/>
      <c r="C1202" s="25"/>
      <c r="D1202" s="22"/>
      <c r="E1202" s="25"/>
      <c r="F1202" s="22"/>
      <c r="G1202" s="25"/>
      <c r="H1202" s="22"/>
      <c r="I1202" s="25"/>
      <c r="J1202" s="22"/>
    </row>
    <row r="1203" ht="15.75" customHeight="1">
      <c r="A1203" s="25"/>
      <c r="B1203" s="22"/>
      <c r="C1203" s="25"/>
      <c r="D1203" s="22"/>
      <c r="E1203" s="25"/>
      <c r="F1203" s="22"/>
      <c r="G1203" s="25"/>
      <c r="H1203" s="22"/>
      <c r="I1203" s="25"/>
      <c r="J1203" s="22"/>
    </row>
    <row r="1204" ht="15.75" customHeight="1">
      <c r="A1204" s="25"/>
      <c r="B1204" s="22"/>
      <c r="C1204" s="25"/>
      <c r="D1204" s="22"/>
      <c r="E1204" s="25"/>
      <c r="F1204" s="22"/>
      <c r="G1204" s="25"/>
      <c r="H1204" s="22"/>
      <c r="I1204" s="25"/>
      <c r="J1204" s="22"/>
    </row>
    <row r="1205" ht="15.75" customHeight="1">
      <c r="A1205" s="25"/>
      <c r="B1205" s="22"/>
      <c r="C1205" s="25"/>
      <c r="D1205" s="22"/>
      <c r="E1205" s="25"/>
      <c r="F1205" s="22"/>
      <c r="G1205" s="25"/>
      <c r="H1205" s="22"/>
      <c r="I1205" s="25"/>
      <c r="J1205" s="22"/>
    </row>
    <row r="1206" ht="15.75" customHeight="1">
      <c r="A1206" s="25"/>
      <c r="B1206" s="22"/>
      <c r="C1206" s="25"/>
      <c r="D1206" s="22"/>
      <c r="E1206" s="25"/>
      <c r="F1206" s="22"/>
      <c r="G1206" s="25"/>
      <c r="H1206" s="22"/>
      <c r="I1206" s="25"/>
      <c r="J1206" s="22"/>
    </row>
    <row r="1207" ht="15.75" customHeight="1">
      <c r="A1207" s="25"/>
      <c r="B1207" s="22"/>
      <c r="C1207" s="25"/>
      <c r="D1207" s="22"/>
      <c r="E1207" s="25"/>
      <c r="F1207" s="22"/>
      <c r="G1207" s="25"/>
      <c r="H1207" s="22"/>
      <c r="I1207" s="25"/>
      <c r="J1207" s="22"/>
    </row>
    <row r="1208" ht="15.75" customHeight="1">
      <c r="A1208" s="25"/>
      <c r="B1208" s="22"/>
      <c r="C1208" s="25"/>
      <c r="D1208" s="22"/>
      <c r="E1208" s="25"/>
      <c r="F1208" s="22"/>
      <c r="G1208" s="25"/>
      <c r="H1208" s="22"/>
      <c r="I1208" s="25"/>
      <c r="J1208" s="22"/>
    </row>
    <row r="1209" ht="15.75" customHeight="1">
      <c r="A1209" s="25"/>
      <c r="B1209" s="22"/>
      <c r="C1209" s="25"/>
      <c r="D1209" s="22"/>
      <c r="E1209" s="25"/>
      <c r="F1209" s="22"/>
      <c r="G1209" s="25"/>
      <c r="H1209" s="22"/>
      <c r="I1209" s="25"/>
      <c r="J1209" s="22"/>
    </row>
    <row r="1210" ht="15.75" customHeight="1">
      <c r="A1210" s="25"/>
      <c r="B1210" s="22"/>
      <c r="C1210" s="25"/>
      <c r="D1210" s="22"/>
      <c r="E1210" s="25"/>
      <c r="F1210" s="22"/>
      <c r="G1210" s="25"/>
      <c r="H1210" s="22"/>
      <c r="I1210" s="25"/>
      <c r="J1210" s="22"/>
    </row>
    <row r="1211" ht="15.75" customHeight="1">
      <c r="A1211" s="25"/>
      <c r="B1211" s="22"/>
      <c r="C1211" s="25"/>
      <c r="D1211" s="22"/>
      <c r="E1211" s="25"/>
      <c r="F1211" s="22"/>
      <c r="G1211" s="25"/>
      <c r="H1211" s="22"/>
      <c r="I1211" s="25"/>
      <c r="J1211" s="22"/>
    </row>
    <row r="1212" ht="15.75" customHeight="1">
      <c r="A1212" s="25"/>
      <c r="B1212" s="22"/>
      <c r="C1212" s="25"/>
      <c r="D1212" s="22"/>
      <c r="E1212" s="25"/>
      <c r="F1212" s="22"/>
      <c r="G1212" s="25"/>
      <c r="H1212" s="22"/>
      <c r="I1212" s="25"/>
      <c r="J1212" s="22"/>
    </row>
    <row r="1213" ht="15.75" customHeight="1">
      <c r="A1213" s="25"/>
      <c r="B1213" s="22"/>
      <c r="C1213" s="25"/>
      <c r="D1213" s="22"/>
      <c r="E1213" s="25"/>
      <c r="F1213" s="22"/>
      <c r="G1213" s="25"/>
      <c r="H1213" s="22"/>
      <c r="I1213" s="25"/>
      <c r="J1213" s="22"/>
    </row>
    <row r="1214" ht="15.75" customHeight="1">
      <c r="A1214" s="25"/>
      <c r="B1214" s="22"/>
      <c r="C1214" s="25"/>
      <c r="D1214" s="22"/>
      <c r="E1214" s="25"/>
      <c r="F1214" s="22"/>
      <c r="G1214" s="25"/>
      <c r="H1214" s="22"/>
      <c r="I1214" s="25"/>
      <c r="J1214" s="22"/>
    </row>
    <row r="1215" ht="15.75" customHeight="1">
      <c r="A1215" s="25"/>
      <c r="B1215" s="22"/>
      <c r="C1215" s="25"/>
      <c r="D1215" s="22"/>
      <c r="E1215" s="25"/>
      <c r="F1215" s="22"/>
      <c r="G1215" s="25"/>
      <c r="H1215" s="22"/>
      <c r="I1215" s="25"/>
      <c r="J1215" s="22"/>
    </row>
    <row r="1216" ht="15.75" customHeight="1">
      <c r="A1216" s="25"/>
      <c r="B1216" s="22"/>
      <c r="C1216" s="25"/>
      <c r="D1216" s="22"/>
      <c r="E1216" s="25"/>
      <c r="F1216" s="22"/>
      <c r="G1216" s="25"/>
      <c r="H1216" s="22"/>
      <c r="I1216" s="25"/>
      <c r="J1216" s="22"/>
    </row>
    <row r="1217" ht="15.75" customHeight="1">
      <c r="A1217" s="25"/>
      <c r="B1217" s="22"/>
      <c r="C1217" s="25"/>
      <c r="D1217" s="22"/>
      <c r="E1217" s="25"/>
      <c r="F1217" s="22"/>
      <c r="G1217" s="25"/>
      <c r="H1217" s="22"/>
      <c r="I1217" s="25"/>
      <c r="J1217" s="22"/>
    </row>
    <row r="1218" ht="15.75" customHeight="1">
      <c r="A1218" s="25"/>
      <c r="B1218" s="22"/>
      <c r="C1218" s="25"/>
      <c r="D1218" s="22"/>
      <c r="E1218" s="25"/>
      <c r="F1218" s="22"/>
      <c r="G1218" s="25"/>
      <c r="H1218" s="22"/>
      <c r="I1218" s="25"/>
      <c r="J1218" s="22"/>
    </row>
    <row r="1219" ht="15.75" customHeight="1">
      <c r="A1219" s="25"/>
      <c r="B1219" s="22"/>
      <c r="C1219" s="25"/>
      <c r="D1219" s="22"/>
      <c r="E1219" s="25"/>
      <c r="F1219" s="22"/>
      <c r="G1219" s="25"/>
      <c r="H1219" s="22"/>
      <c r="I1219" s="25"/>
      <c r="J1219" s="22"/>
    </row>
    <row r="1220" ht="15.75" customHeight="1">
      <c r="A1220" s="25"/>
      <c r="B1220" s="22"/>
      <c r="C1220" s="25"/>
      <c r="D1220" s="22"/>
      <c r="E1220" s="25"/>
      <c r="F1220" s="22"/>
      <c r="G1220" s="25"/>
      <c r="H1220" s="22"/>
      <c r="I1220" s="25"/>
      <c r="J1220" s="22"/>
    </row>
    <row r="1221" ht="15.75" customHeight="1">
      <c r="A1221" s="25"/>
      <c r="B1221" s="22"/>
      <c r="C1221" s="25"/>
      <c r="D1221" s="22"/>
      <c r="E1221" s="25"/>
      <c r="F1221" s="22"/>
      <c r="G1221" s="25"/>
      <c r="H1221" s="22"/>
      <c r="I1221" s="25"/>
      <c r="J1221" s="22"/>
    </row>
    <row r="1222" ht="15.75" customHeight="1">
      <c r="A1222" s="25"/>
      <c r="B1222" s="22"/>
      <c r="C1222" s="25"/>
      <c r="D1222" s="22"/>
      <c r="E1222" s="25"/>
      <c r="F1222" s="22"/>
      <c r="G1222" s="25"/>
      <c r="H1222" s="22"/>
      <c r="I1222" s="25"/>
      <c r="J1222" s="22"/>
    </row>
    <row r="1223" ht="15.75" customHeight="1">
      <c r="A1223" s="25"/>
      <c r="B1223" s="22"/>
      <c r="C1223" s="25"/>
      <c r="D1223" s="22"/>
      <c r="E1223" s="25"/>
      <c r="F1223" s="22"/>
      <c r="G1223" s="25"/>
      <c r="H1223" s="22"/>
      <c r="I1223" s="25"/>
      <c r="J1223" s="22"/>
    </row>
    <row r="1224" ht="15.75" customHeight="1">
      <c r="A1224" s="25"/>
      <c r="B1224" s="22"/>
      <c r="C1224" s="25"/>
      <c r="D1224" s="22"/>
      <c r="E1224" s="25"/>
      <c r="F1224" s="22"/>
      <c r="G1224" s="25"/>
      <c r="H1224" s="22"/>
      <c r="I1224" s="25"/>
      <c r="J1224" s="22"/>
    </row>
    <row r="1225" ht="15.75" customHeight="1">
      <c r="A1225" s="25"/>
      <c r="B1225" s="22"/>
      <c r="C1225" s="25"/>
      <c r="D1225" s="22"/>
      <c r="E1225" s="25"/>
      <c r="F1225" s="22"/>
      <c r="G1225" s="25"/>
      <c r="H1225" s="22"/>
      <c r="I1225" s="25"/>
      <c r="J1225" s="22"/>
    </row>
    <row r="1226" ht="15.75" customHeight="1">
      <c r="A1226" s="25"/>
      <c r="B1226" s="22"/>
      <c r="C1226" s="25"/>
      <c r="D1226" s="22"/>
      <c r="E1226" s="25"/>
      <c r="F1226" s="22"/>
      <c r="G1226" s="25"/>
      <c r="H1226" s="22"/>
      <c r="I1226" s="25"/>
      <c r="J1226" s="22"/>
    </row>
    <row r="1227" ht="15.75" customHeight="1">
      <c r="A1227" s="25"/>
      <c r="B1227" s="22"/>
      <c r="C1227" s="25"/>
      <c r="D1227" s="22"/>
      <c r="E1227" s="25"/>
      <c r="F1227" s="22"/>
      <c r="G1227" s="25"/>
      <c r="H1227" s="22"/>
      <c r="I1227" s="25"/>
      <c r="J1227" s="22"/>
    </row>
    <row r="1228" ht="15.75" customHeight="1">
      <c r="A1228" s="25"/>
      <c r="B1228" s="22"/>
      <c r="C1228" s="25"/>
      <c r="D1228" s="22"/>
      <c r="E1228" s="25"/>
      <c r="F1228" s="22"/>
      <c r="G1228" s="25"/>
      <c r="H1228" s="22"/>
      <c r="I1228" s="25"/>
      <c r="J1228" s="22"/>
    </row>
    <row r="1229" ht="15.75" customHeight="1">
      <c r="A1229" s="25"/>
      <c r="B1229" s="22"/>
      <c r="C1229" s="25"/>
      <c r="D1229" s="22"/>
      <c r="E1229" s="25"/>
      <c r="F1229" s="22"/>
      <c r="G1229" s="25"/>
      <c r="H1229" s="22"/>
      <c r="I1229" s="25"/>
      <c r="J1229" s="22"/>
    </row>
    <row r="1230" ht="15.75" customHeight="1">
      <c r="A1230" s="25"/>
      <c r="B1230" s="22"/>
      <c r="C1230" s="25"/>
      <c r="D1230" s="22"/>
      <c r="E1230" s="25"/>
      <c r="F1230" s="22"/>
      <c r="G1230" s="25"/>
      <c r="H1230" s="22"/>
      <c r="I1230" s="25"/>
      <c r="J1230" s="22"/>
    </row>
    <row r="1231" ht="15.75" customHeight="1">
      <c r="A1231" s="25"/>
      <c r="B1231" s="22"/>
      <c r="C1231" s="25"/>
      <c r="D1231" s="22"/>
      <c r="E1231" s="25"/>
      <c r="F1231" s="22"/>
      <c r="G1231" s="25"/>
      <c r="H1231" s="22"/>
      <c r="I1231" s="25"/>
      <c r="J1231" s="22"/>
    </row>
    <row r="1232" ht="15.75" customHeight="1">
      <c r="A1232" s="25"/>
      <c r="B1232" s="22"/>
      <c r="C1232" s="25"/>
      <c r="D1232" s="22"/>
      <c r="E1232" s="25"/>
      <c r="F1232" s="22"/>
      <c r="G1232" s="25"/>
      <c r="H1232" s="22"/>
      <c r="I1232" s="25"/>
      <c r="J1232" s="22"/>
    </row>
    <row r="1233" ht="15.75" customHeight="1">
      <c r="A1233" s="25"/>
      <c r="B1233" s="22"/>
      <c r="C1233" s="25"/>
      <c r="D1233" s="22"/>
      <c r="E1233" s="25"/>
      <c r="F1233" s="22"/>
      <c r="G1233" s="25"/>
      <c r="H1233" s="22"/>
      <c r="I1233" s="25"/>
      <c r="J1233" s="22"/>
    </row>
    <row r="1234" ht="15.75" customHeight="1">
      <c r="A1234" s="25"/>
      <c r="B1234" s="22"/>
      <c r="C1234" s="25"/>
      <c r="D1234" s="22"/>
      <c r="E1234" s="25"/>
      <c r="F1234" s="22"/>
      <c r="G1234" s="25"/>
      <c r="H1234" s="22"/>
      <c r="I1234" s="25"/>
      <c r="J1234" s="22"/>
    </row>
    <row r="1235" ht="15.75" customHeight="1">
      <c r="A1235" s="25"/>
      <c r="B1235" s="22"/>
      <c r="C1235" s="25"/>
      <c r="D1235" s="22"/>
      <c r="E1235" s="25"/>
      <c r="F1235" s="22"/>
      <c r="G1235" s="25"/>
      <c r="H1235" s="22"/>
      <c r="I1235" s="25"/>
      <c r="J1235" s="22"/>
    </row>
    <row r="1236" ht="15.75" customHeight="1">
      <c r="A1236" s="25"/>
      <c r="B1236" s="22"/>
      <c r="C1236" s="25"/>
      <c r="D1236" s="22"/>
      <c r="E1236" s="25"/>
      <c r="F1236" s="22"/>
      <c r="G1236" s="25"/>
      <c r="H1236" s="22"/>
      <c r="I1236" s="25"/>
      <c r="J1236" s="22"/>
    </row>
    <row r="1237" ht="15.75" customHeight="1">
      <c r="A1237" s="25"/>
      <c r="B1237" s="22"/>
      <c r="C1237" s="25"/>
      <c r="D1237" s="22"/>
      <c r="E1237" s="25"/>
      <c r="F1237" s="22"/>
      <c r="G1237" s="25"/>
      <c r="H1237" s="22"/>
      <c r="I1237" s="25"/>
      <c r="J1237" s="22"/>
    </row>
    <row r="1238" ht="15.75" customHeight="1">
      <c r="A1238" s="25"/>
      <c r="B1238" s="22"/>
      <c r="C1238" s="25"/>
      <c r="D1238" s="22"/>
      <c r="E1238" s="25"/>
      <c r="F1238" s="22"/>
      <c r="G1238" s="25"/>
      <c r="H1238" s="22"/>
      <c r="I1238" s="25"/>
      <c r="J1238" s="22"/>
    </row>
    <row r="1239" ht="15.75" customHeight="1">
      <c r="A1239" s="25"/>
      <c r="B1239" s="22"/>
      <c r="C1239" s="25"/>
      <c r="D1239" s="22"/>
      <c r="E1239" s="25"/>
      <c r="F1239" s="22"/>
      <c r="G1239" s="25"/>
      <c r="H1239" s="22"/>
      <c r="I1239" s="25"/>
      <c r="J1239" s="22"/>
    </row>
    <row r="1240" ht="15.75" customHeight="1">
      <c r="A1240" s="25"/>
      <c r="B1240" s="22"/>
      <c r="C1240" s="25"/>
      <c r="D1240" s="22"/>
      <c r="E1240" s="25"/>
      <c r="F1240" s="22"/>
      <c r="G1240" s="25"/>
      <c r="H1240" s="22"/>
      <c r="I1240" s="25"/>
      <c r="J1240" s="22"/>
    </row>
    <row r="1241" ht="15.75" customHeight="1">
      <c r="A1241" s="25"/>
      <c r="B1241" s="22"/>
      <c r="C1241" s="25"/>
      <c r="D1241" s="22"/>
      <c r="E1241" s="25"/>
      <c r="F1241" s="22"/>
      <c r="G1241" s="25"/>
      <c r="H1241" s="22"/>
      <c r="I1241" s="25"/>
      <c r="J1241" s="22"/>
    </row>
    <row r="1242" ht="15.75" customHeight="1">
      <c r="A1242" s="25"/>
      <c r="B1242" s="22"/>
      <c r="C1242" s="25"/>
      <c r="D1242" s="22"/>
      <c r="E1242" s="25"/>
      <c r="F1242" s="22"/>
      <c r="G1242" s="25"/>
      <c r="H1242" s="22"/>
      <c r="I1242" s="25"/>
      <c r="J1242" s="22"/>
    </row>
    <row r="1243" ht="15.75" customHeight="1">
      <c r="A1243" s="25"/>
      <c r="B1243" s="22"/>
      <c r="C1243" s="25"/>
      <c r="D1243" s="22"/>
      <c r="E1243" s="25"/>
      <c r="F1243" s="22"/>
      <c r="G1243" s="25"/>
      <c r="H1243" s="22"/>
      <c r="I1243" s="25"/>
      <c r="J1243" s="22"/>
    </row>
    <row r="1244" ht="15.75" customHeight="1">
      <c r="A1244" s="25"/>
      <c r="B1244" s="22"/>
      <c r="C1244" s="25"/>
      <c r="D1244" s="22"/>
      <c r="E1244" s="25"/>
      <c r="F1244" s="22"/>
      <c r="G1244" s="25"/>
      <c r="H1244" s="22"/>
      <c r="I1244" s="25"/>
      <c r="J1244" s="22"/>
    </row>
    <row r="1245" ht="15.75" customHeight="1">
      <c r="A1245" s="25"/>
      <c r="B1245" s="22"/>
      <c r="C1245" s="25"/>
      <c r="D1245" s="22"/>
      <c r="E1245" s="25"/>
      <c r="F1245" s="22"/>
      <c r="G1245" s="25"/>
      <c r="H1245" s="22"/>
      <c r="I1245" s="25"/>
      <c r="J1245" s="22"/>
    </row>
    <row r="1246" ht="15.75" customHeight="1">
      <c r="A1246" s="25"/>
      <c r="B1246" s="22"/>
      <c r="C1246" s="25"/>
      <c r="D1246" s="22"/>
      <c r="E1246" s="25"/>
      <c r="F1246" s="22"/>
      <c r="G1246" s="25"/>
      <c r="H1246" s="22"/>
      <c r="I1246" s="25"/>
      <c r="J1246" s="22"/>
    </row>
    <row r="1247" ht="15.75" customHeight="1">
      <c r="A1247" s="25"/>
      <c r="B1247" s="22"/>
      <c r="C1247" s="25"/>
      <c r="D1247" s="22"/>
      <c r="E1247" s="25"/>
      <c r="F1247" s="22"/>
      <c r="G1247" s="25"/>
      <c r="H1247" s="22"/>
      <c r="I1247" s="25"/>
      <c r="J1247" s="22"/>
    </row>
    <row r="1248" ht="15.75" customHeight="1">
      <c r="A1248" s="25"/>
      <c r="B1248" s="22"/>
      <c r="C1248" s="25"/>
      <c r="D1248" s="22"/>
      <c r="E1248" s="25"/>
      <c r="F1248" s="22"/>
      <c r="G1248" s="25"/>
      <c r="H1248" s="22"/>
      <c r="I1248" s="25"/>
      <c r="J1248" s="22"/>
    </row>
    <row r="1249" ht="15.75" customHeight="1">
      <c r="A1249" s="25"/>
      <c r="B1249" s="22"/>
      <c r="C1249" s="25"/>
      <c r="D1249" s="22"/>
      <c r="E1249" s="25"/>
      <c r="F1249" s="22"/>
      <c r="G1249" s="25"/>
      <c r="H1249" s="22"/>
      <c r="I1249" s="25"/>
      <c r="J1249" s="22"/>
    </row>
    <row r="1250" ht="15.75" customHeight="1">
      <c r="A1250" s="25"/>
      <c r="B1250" s="22"/>
      <c r="C1250" s="25"/>
      <c r="D1250" s="22"/>
      <c r="E1250" s="25"/>
      <c r="F1250" s="22"/>
      <c r="G1250" s="25"/>
      <c r="H1250" s="22"/>
      <c r="I1250" s="25"/>
      <c r="J1250" s="22"/>
    </row>
    <row r="1251" ht="15.75" customHeight="1">
      <c r="A1251" s="25"/>
      <c r="B1251" s="22"/>
      <c r="C1251" s="25"/>
      <c r="D1251" s="22"/>
      <c r="E1251" s="25"/>
      <c r="F1251" s="22"/>
      <c r="G1251" s="25"/>
      <c r="H1251" s="22"/>
      <c r="I1251" s="25"/>
      <c r="J1251" s="22"/>
    </row>
    <row r="1252" ht="15.75" customHeight="1">
      <c r="A1252" s="25"/>
      <c r="B1252" s="22"/>
      <c r="C1252" s="25"/>
      <c r="D1252" s="22"/>
      <c r="E1252" s="25"/>
      <c r="F1252" s="22"/>
      <c r="G1252" s="25"/>
      <c r="H1252" s="22"/>
      <c r="I1252" s="25"/>
      <c r="J1252" s="22"/>
    </row>
    <row r="1253" ht="15.75" customHeight="1">
      <c r="A1253" s="25"/>
      <c r="B1253" s="22"/>
      <c r="C1253" s="25"/>
      <c r="D1253" s="22"/>
      <c r="E1253" s="25"/>
      <c r="F1253" s="22"/>
      <c r="G1253" s="25"/>
      <c r="H1253" s="22"/>
      <c r="I1253" s="25"/>
      <c r="J1253" s="22"/>
    </row>
    <row r="1254" ht="15.75" customHeight="1">
      <c r="A1254" s="25"/>
      <c r="B1254" s="22"/>
      <c r="C1254" s="25"/>
      <c r="D1254" s="22"/>
      <c r="E1254" s="25"/>
      <c r="F1254" s="22"/>
      <c r="G1254" s="25"/>
      <c r="H1254" s="22"/>
      <c r="I1254" s="25"/>
      <c r="J1254" s="22"/>
    </row>
    <row r="1255" ht="15.75" customHeight="1">
      <c r="A1255" s="25"/>
      <c r="B1255" s="22"/>
      <c r="C1255" s="25"/>
      <c r="D1255" s="22"/>
      <c r="E1255" s="25"/>
      <c r="F1255" s="22"/>
      <c r="G1255" s="25"/>
      <c r="H1255" s="22"/>
      <c r="I1255" s="25"/>
      <c r="J1255" s="22"/>
    </row>
    <row r="1256" ht="15.75" customHeight="1">
      <c r="A1256" s="25"/>
      <c r="B1256" s="22"/>
      <c r="C1256" s="25"/>
      <c r="D1256" s="22"/>
      <c r="E1256" s="25"/>
      <c r="F1256" s="22"/>
      <c r="G1256" s="25"/>
      <c r="H1256" s="22"/>
      <c r="I1256" s="25"/>
      <c r="J1256" s="22"/>
    </row>
    <row r="1257" ht="15.75" customHeight="1">
      <c r="A1257" s="25"/>
      <c r="B1257" s="22"/>
      <c r="C1257" s="25"/>
      <c r="D1257" s="22"/>
      <c r="E1257" s="25"/>
      <c r="F1257" s="22"/>
      <c r="G1257" s="25"/>
      <c r="H1257" s="22"/>
      <c r="I1257" s="25"/>
      <c r="J1257" s="22"/>
    </row>
    <row r="1258" ht="15.75" customHeight="1">
      <c r="A1258" s="25"/>
      <c r="B1258" s="22"/>
      <c r="C1258" s="25"/>
      <c r="D1258" s="22"/>
      <c r="E1258" s="25"/>
      <c r="F1258" s="22"/>
      <c r="G1258" s="25"/>
      <c r="H1258" s="22"/>
      <c r="I1258" s="25"/>
      <c r="J1258" s="22"/>
    </row>
    <row r="1259" ht="15.75" customHeight="1">
      <c r="A1259" s="25"/>
      <c r="B1259" s="22"/>
      <c r="C1259" s="25"/>
      <c r="D1259" s="22"/>
      <c r="E1259" s="25"/>
      <c r="F1259" s="22"/>
      <c r="G1259" s="25"/>
      <c r="H1259" s="22"/>
      <c r="I1259" s="25"/>
      <c r="J1259" s="22"/>
    </row>
    <row r="1260" ht="15.75" customHeight="1">
      <c r="A1260" s="25"/>
      <c r="B1260" s="22"/>
      <c r="C1260" s="25"/>
      <c r="D1260" s="22"/>
      <c r="E1260" s="25"/>
      <c r="F1260" s="22"/>
      <c r="G1260" s="25"/>
      <c r="H1260" s="22"/>
      <c r="I1260" s="25"/>
      <c r="J1260" s="22"/>
    </row>
    <row r="1261" ht="15.75" customHeight="1">
      <c r="A1261" s="25"/>
      <c r="B1261" s="22"/>
      <c r="C1261" s="25"/>
      <c r="D1261" s="22"/>
      <c r="E1261" s="25"/>
      <c r="F1261" s="22"/>
      <c r="G1261" s="25"/>
      <c r="H1261" s="22"/>
      <c r="I1261" s="25"/>
      <c r="J1261" s="22"/>
    </row>
    <row r="1262" ht="15.75" customHeight="1">
      <c r="A1262" s="25"/>
      <c r="B1262" s="22"/>
      <c r="C1262" s="25"/>
      <c r="D1262" s="22"/>
      <c r="E1262" s="25"/>
      <c r="F1262" s="22"/>
      <c r="G1262" s="25"/>
      <c r="H1262" s="22"/>
      <c r="I1262" s="25"/>
      <c r="J1262" s="22"/>
    </row>
    <row r="1263" ht="15.75" customHeight="1">
      <c r="A1263" s="25"/>
      <c r="B1263" s="22"/>
      <c r="C1263" s="25"/>
      <c r="D1263" s="22"/>
      <c r="E1263" s="25"/>
      <c r="F1263" s="22"/>
      <c r="G1263" s="25"/>
      <c r="H1263" s="22"/>
      <c r="I1263" s="25"/>
      <c r="J1263" s="22"/>
    </row>
    <row r="1264" ht="15.75" customHeight="1">
      <c r="A1264" s="25"/>
      <c r="B1264" s="22"/>
      <c r="C1264" s="25"/>
      <c r="D1264" s="22"/>
      <c r="E1264" s="25"/>
      <c r="F1264" s="22"/>
      <c r="G1264" s="25"/>
      <c r="H1264" s="22"/>
      <c r="I1264" s="25"/>
      <c r="J1264" s="22"/>
    </row>
    <row r="1265" ht="15.75" customHeight="1">
      <c r="A1265" s="25"/>
      <c r="B1265" s="22"/>
      <c r="C1265" s="25"/>
      <c r="D1265" s="22"/>
      <c r="E1265" s="25"/>
      <c r="F1265" s="22"/>
      <c r="G1265" s="25"/>
      <c r="H1265" s="22"/>
      <c r="I1265" s="25"/>
      <c r="J1265" s="22"/>
    </row>
    <row r="1266" ht="15.75" customHeight="1">
      <c r="A1266" s="25"/>
      <c r="B1266" s="22"/>
      <c r="C1266" s="25"/>
      <c r="D1266" s="22"/>
      <c r="E1266" s="25"/>
      <c r="F1266" s="22"/>
      <c r="G1266" s="25"/>
      <c r="H1266" s="22"/>
      <c r="I1266" s="25"/>
      <c r="J1266" s="22"/>
    </row>
    <row r="1267" ht="15.75" customHeight="1">
      <c r="A1267" s="25"/>
      <c r="B1267" s="22"/>
      <c r="C1267" s="25"/>
      <c r="D1267" s="22"/>
      <c r="E1267" s="25"/>
      <c r="F1267" s="22"/>
      <c r="G1267" s="25"/>
      <c r="H1267" s="22"/>
      <c r="I1267" s="25"/>
      <c r="J1267" s="22"/>
    </row>
    <row r="1268" ht="15.75" customHeight="1">
      <c r="A1268" s="25"/>
      <c r="B1268" s="22"/>
      <c r="C1268" s="25"/>
      <c r="D1268" s="22"/>
      <c r="E1268" s="25"/>
      <c r="F1268" s="22"/>
      <c r="G1268" s="25"/>
      <c r="H1268" s="22"/>
      <c r="I1268" s="25"/>
      <c r="J1268" s="22"/>
    </row>
    <row r="1269" ht="15.75" customHeight="1">
      <c r="A1269" s="25"/>
      <c r="B1269" s="22"/>
      <c r="C1269" s="25"/>
      <c r="D1269" s="22"/>
      <c r="E1269" s="25"/>
      <c r="F1269" s="22"/>
      <c r="G1269" s="25"/>
      <c r="H1269" s="22"/>
      <c r="I1269" s="25"/>
      <c r="J1269" s="22"/>
    </row>
    <row r="1270" ht="15.75" customHeight="1">
      <c r="A1270" s="25"/>
      <c r="B1270" s="22"/>
      <c r="C1270" s="25"/>
      <c r="D1270" s="22"/>
      <c r="E1270" s="25"/>
      <c r="F1270" s="22"/>
      <c r="G1270" s="25"/>
      <c r="H1270" s="22"/>
      <c r="I1270" s="25"/>
      <c r="J1270" s="22"/>
    </row>
    <row r="1271" ht="15.75" customHeight="1">
      <c r="A1271" s="25"/>
      <c r="B1271" s="22"/>
      <c r="C1271" s="25"/>
      <c r="D1271" s="22"/>
      <c r="E1271" s="25"/>
      <c r="F1271" s="22"/>
      <c r="G1271" s="25"/>
      <c r="H1271" s="22"/>
      <c r="I1271" s="25"/>
      <c r="J1271" s="22"/>
    </row>
    <row r="1272" ht="15.75" customHeight="1">
      <c r="A1272" s="25"/>
      <c r="B1272" s="22"/>
      <c r="C1272" s="25"/>
      <c r="D1272" s="22"/>
      <c r="E1272" s="25"/>
      <c r="F1272" s="22"/>
      <c r="G1272" s="25"/>
      <c r="H1272" s="22"/>
      <c r="I1272" s="25"/>
      <c r="J1272" s="22"/>
    </row>
    <row r="1273" ht="15.75" customHeight="1">
      <c r="A1273" s="25"/>
      <c r="B1273" s="22"/>
      <c r="C1273" s="25"/>
      <c r="D1273" s="22"/>
      <c r="E1273" s="25"/>
      <c r="F1273" s="22"/>
      <c r="G1273" s="25"/>
      <c r="H1273" s="22"/>
      <c r="I1273" s="25"/>
      <c r="J1273" s="22"/>
    </row>
    <row r="1274" ht="15.75" customHeight="1">
      <c r="A1274" s="25"/>
      <c r="B1274" s="22"/>
      <c r="C1274" s="25"/>
      <c r="D1274" s="22"/>
      <c r="E1274" s="25"/>
      <c r="F1274" s="22"/>
      <c r="G1274" s="25"/>
      <c r="H1274" s="22"/>
      <c r="I1274" s="25"/>
      <c r="J1274" s="22"/>
    </row>
    <row r="1275" ht="15.75" customHeight="1">
      <c r="A1275" s="25"/>
      <c r="B1275" s="22"/>
      <c r="C1275" s="25"/>
      <c r="D1275" s="22"/>
      <c r="E1275" s="25"/>
      <c r="F1275" s="22"/>
      <c r="G1275" s="25"/>
      <c r="H1275" s="22"/>
      <c r="I1275" s="25"/>
      <c r="J1275" s="22"/>
    </row>
    <row r="1276" ht="15.75" customHeight="1">
      <c r="A1276" s="25"/>
      <c r="B1276" s="22"/>
      <c r="C1276" s="25"/>
      <c r="D1276" s="22"/>
      <c r="E1276" s="25"/>
      <c r="F1276" s="22"/>
      <c r="G1276" s="25"/>
      <c r="H1276" s="22"/>
      <c r="I1276" s="25"/>
      <c r="J1276" s="22"/>
    </row>
    <row r="1277" ht="15.75" customHeight="1">
      <c r="A1277" s="25"/>
      <c r="B1277" s="22"/>
      <c r="C1277" s="25"/>
      <c r="D1277" s="22"/>
      <c r="E1277" s="25"/>
      <c r="F1277" s="22"/>
      <c r="G1277" s="25"/>
      <c r="H1277" s="22"/>
      <c r="I1277" s="25"/>
      <c r="J1277" s="22"/>
    </row>
    <row r="1278" ht="15.75" customHeight="1">
      <c r="A1278" s="25"/>
      <c r="B1278" s="22"/>
      <c r="C1278" s="25"/>
      <c r="D1278" s="22"/>
      <c r="E1278" s="25"/>
      <c r="F1278" s="22"/>
      <c r="G1278" s="25"/>
      <c r="H1278" s="22"/>
      <c r="I1278" s="25"/>
      <c r="J1278" s="22"/>
    </row>
    <row r="1279" ht="15.75" customHeight="1">
      <c r="A1279" s="25"/>
      <c r="B1279" s="22"/>
      <c r="C1279" s="25"/>
      <c r="D1279" s="22"/>
      <c r="E1279" s="25"/>
      <c r="F1279" s="22"/>
      <c r="G1279" s="25"/>
      <c r="H1279" s="22"/>
      <c r="I1279" s="25"/>
      <c r="J1279" s="22"/>
    </row>
    <row r="1280" ht="15.75" customHeight="1">
      <c r="A1280" s="25"/>
      <c r="B1280" s="22"/>
      <c r="C1280" s="25"/>
      <c r="D1280" s="22"/>
      <c r="E1280" s="25"/>
      <c r="F1280" s="22"/>
      <c r="G1280" s="25"/>
      <c r="H1280" s="22"/>
      <c r="I1280" s="25"/>
      <c r="J1280" s="22"/>
    </row>
    <row r="1281" ht="15.75" customHeight="1">
      <c r="A1281" s="25"/>
      <c r="B1281" s="22"/>
      <c r="C1281" s="25"/>
      <c r="D1281" s="22"/>
      <c r="E1281" s="25"/>
      <c r="F1281" s="22"/>
      <c r="G1281" s="25"/>
      <c r="H1281" s="22"/>
      <c r="I1281" s="25"/>
      <c r="J1281" s="22"/>
    </row>
    <row r="1282" ht="15.75" customHeight="1">
      <c r="A1282" s="25"/>
      <c r="B1282" s="22"/>
      <c r="C1282" s="25"/>
      <c r="D1282" s="22"/>
      <c r="E1282" s="25"/>
      <c r="F1282" s="22"/>
      <c r="G1282" s="25"/>
      <c r="H1282" s="22"/>
      <c r="I1282" s="25"/>
      <c r="J1282" s="22"/>
    </row>
    <row r="1283" ht="15.75" customHeight="1">
      <c r="A1283" s="25"/>
      <c r="B1283" s="22"/>
      <c r="C1283" s="25"/>
      <c r="D1283" s="22"/>
      <c r="E1283" s="25"/>
      <c r="F1283" s="22"/>
      <c r="G1283" s="25"/>
      <c r="H1283" s="22"/>
      <c r="I1283" s="25"/>
      <c r="J1283" s="22"/>
    </row>
    <row r="1284" ht="15.75" customHeight="1">
      <c r="A1284" s="25"/>
      <c r="B1284" s="22"/>
      <c r="C1284" s="25"/>
      <c r="D1284" s="22"/>
      <c r="E1284" s="25"/>
      <c r="F1284" s="22"/>
      <c r="G1284" s="25"/>
      <c r="H1284" s="22"/>
      <c r="I1284" s="25"/>
      <c r="J1284" s="22"/>
    </row>
    <row r="1285" ht="15.75" customHeight="1">
      <c r="A1285" s="25"/>
      <c r="B1285" s="22"/>
      <c r="C1285" s="25"/>
      <c r="D1285" s="22"/>
      <c r="E1285" s="25"/>
      <c r="F1285" s="22"/>
      <c r="G1285" s="25"/>
      <c r="H1285" s="22"/>
      <c r="I1285" s="25"/>
      <c r="J1285" s="22"/>
    </row>
    <row r="1286" ht="15.75" customHeight="1">
      <c r="A1286" s="25"/>
      <c r="B1286" s="22"/>
      <c r="C1286" s="25"/>
      <c r="D1286" s="22"/>
      <c r="E1286" s="25"/>
      <c r="F1286" s="22"/>
      <c r="G1286" s="25"/>
      <c r="H1286" s="22"/>
      <c r="I1286" s="25"/>
      <c r="J1286" s="22"/>
    </row>
    <row r="1287" ht="15.75" customHeight="1">
      <c r="A1287" s="25"/>
      <c r="B1287" s="22"/>
      <c r="C1287" s="25"/>
      <c r="D1287" s="22"/>
      <c r="E1287" s="25"/>
      <c r="F1287" s="22"/>
      <c r="G1287" s="25"/>
      <c r="H1287" s="22"/>
      <c r="I1287" s="25"/>
      <c r="J1287" s="22"/>
    </row>
    <row r="1288" ht="15.75" customHeight="1">
      <c r="A1288" s="25"/>
      <c r="B1288" s="22"/>
      <c r="C1288" s="25"/>
      <c r="D1288" s="22"/>
      <c r="E1288" s="25"/>
      <c r="F1288" s="22"/>
      <c r="G1288" s="25"/>
      <c r="H1288" s="22"/>
      <c r="I1288" s="25"/>
      <c r="J1288" s="22"/>
    </row>
    <row r="1289" ht="15.75" customHeight="1">
      <c r="A1289" s="25"/>
      <c r="B1289" s="22"/>
      <c r="C1289" s="25"/>
      <c r="D1289" s="22"/>
      <c r="E1289" s="25"/>
      <c r="F1289" s="22"/>
      <c r="G1289" s="25"/>
      <c r="H1289" s="22"/>
      <c r="I1289" s="25"/>
      <c r="J1289" s="22"/>
    </row>
    <row r="1290" ht="15.75" customHeight="1">
      <c r="A1290" s="25"/>
      <c r="B1290" s="22"/>
      <c r="C1290" s="25"/>
      <c r="D1290" s="22"/>
      <c r="E1290" s="25"/>
      <c r="F1290" s="22"/>
      <c r="G1290" s="25"/>
      <c r="H1290" s="22"/>
      <c r="I1290" s="25"/>
      <c r="J1290" s="22"/>
    </row>
    <row r="1291" ht="15.75" customHeight="1">
      <c r="A1291" s="25"/>
      <c r="B1291" s="22"/>
      <c r="C1291" s="25"/>
      <c r="D1291" s="22"/>
      <c r="E1291" s="25"/>
      <c r="F1291" s="22"/>
      <c r="G1291" s="25"/>
      <c r="H1291" s="22"/>
      <c r="I1291" s="25"/>
      <c r="J1291" s="22"/>
    </row>
    <row r="1292" ht="15.75" customHeight="1">
      <c r="A1292" s="25"/>
      <c r="B1292" s="22"/>
      <c r="C1292" s="25"/>
      <c r="D1292" s="22"/>
      <c r="E1292" s="25"/>
      <c r="F1292" s="22"/>
      <c r="G1292" s="25"/>
      <c r="H1292" s="22"/>
      <c r="I1292" s="25"/>
      <c r="J1292" s="22"/>
    </row>
    <row r="1293" ht="15.75" customHeight="1">
      <c r="A1293" s="25"/>
      <c r="B1293" s="22"/>
      <c r="C1293" s="25"/>
      <c r="D1293" s="22"/>
      <c r="E1293" s="25"/>
      <c r="F1293" s="22"/>
      <c r="G1293" s="25"/>
      <c r="H1293" s="22"/>
      <c r="I1293" s="25"/>
      <c r="J1293" s="22"/>
    </row>
    <row r="1294" ht="15.75" customHeight="1">
      <c r="A1294" s="25"/>
      <c r="B1294" s="22"/>
      <c r="C1294" s="25"/>
      <c r="D1294" s="22"/>
      <c r="E1294" s="25"/>
      <c r="F1294" s="22"/>
      <c r="G1294" s="25"/>
      <c r="H1294" s="22"/>
      <c r="I1294" s="25"/>
      <c r="J1294" s="22"/>
    </row>
    <row r="1295" ht="15.75" customHeight="1">
      <c r="A1295" s="25"/>
      <c r="B1295" s="22"/>
      <c r="C1295" s="25"/>
      <c r="D1295" s="22"/>
      <c r="E1295" s="25"/>
      <c r="F1295" s="22"/>
      <c r="G1295" s="25"/>
      <c r="H1295" s="22"/>
      <c r="I1295" s="25"/>
      <c r="J1295" s="22"/>
    </row>
    <row r="1296" ht="15.75" customHeight="1">
      <c r="A1296" s="25"/>
      <c r="B1296" s="22"/>
      <c r="C1296" s="25"/>
      <c r="D1296" s="22"/>
      <c r="E1296" s="25"/>
      <c r="F1296" s="22"/>
      <c r="G1296" s="25"/>
      <c r="H1296" s="22"/>
      <c r="I1296" s="25"/>
      <c r="J1296" s="22"/>
    </row>
    <row r="1297" ht="15.75" customHeight="1">
      <c r="A1297" s="25"/>
      <c r="B1297" s="22"/>
      <c r="C1297" s="25"/>
      <c r="D1297" s="22"/>
      <c r="E1297" s="25"/>
      <c r="F1297" s="22"/>
      <c r="G1297" s="25"/>
      <c r="H1297" s="22"/>
      <c r="I1297" s="25"/>
      <c r="J1297" s="22"/>
    </row>
    <row r="1298" ht="15.75" customHeight="1">
      <c r="A1298" s="25"/>
      <c r="B1298" s="22"/>
      <c r="C1298" s="25"/>
      <c r="D1298" s="22"/>
      <c r="E1298" s="25"/>
      <c r="F1298" s="22"/>
      <c r="G1298" s="25"/>
      <c r="H1298" s="22"/>
      <c r="I1298" s="25"/>
      <c r="J1298" s="22"/>
    </row>
    <row r="1299" ht="15.75" customHeight="1">
      <c r="A1299" s="25"/>
      <c r="B1299" s="22"/>
      <c r="C1299" s="25"/>
      <c r="D1299" s="22"/>
      <c r="E1299" s="25"/>
      <c r="F1299" s="22"/>
      <c r="G1299" s="25"/>
      <c r="H1299" s="22"/>
      <c r="I1299" s="25"/>
      <c r="J1299" s="22"/>
    </row>
    <row r="1300" ht="15.75" customHeight="1">
      <c r="A1300" s="25"/>
      <c r="B1300" s="22"/>
      <c r="C1300" s="25"/>
      <c r="D1300" s="22"/>
      <c r="E1300" s="25"/>
      <c r="F1300" s="22"/>
      <c r="G1300" s="25"/>
      <c r="H1300" s="22"/>
      <c r="I1300" s="25"/>
      <c r="J1300" s="22"/>
    </row>
    <row r="1301" ht="15.75" customHeight="1">
      <c r="A1301" s="25"/>
      <c r="B1301" s="22"/>
      <c r="C1301" s="25"/>
      <c r="D1301" s="22"/>
      <c r="E1301" s="25"/>
      <c r="F1301" s="22"/>
      <c r="G1301" s="25"/>
      <c r="H1301" s="22"/>
      <c r="I1301" s="25"/>
      <c r="J1301" s="22"/>
    </row>
    <row r="1302" ht="15.75" customHeight="1">
      <c r="A1302" s="25"/>
      <c r="B1302" s="22"/>
      <c r="C1302" s="25"/>
      <c r="D1302" s="22"/>
      <c r="E1302" s="25"/>
      <c r="F1302" s="22"/>
      <c r="G1302" s="25"/>
      <c r="H1302" s="22"/>
      <c r="I1302" s="25"/>
      <c r="J1302" s="22"/>
    </row>
    <row r="1303" ht="15.75" customHeight="1">
      <c r="A1303" s="25"/>
      <c r="B1303" s="22"/>
      <c r="C1303" s="25"/>
      <c r="D1303" s="22"/>
      <c r="E1303" s="25"/>
      <c r="F1303" s="22"/>
      <c r="G1303" s="25"/>
      <c r="H1303" s="22"/>
      <c r="I1303" s="25"/>
      <c r="J1303" s="22"/>
    </row>
    <row r="1304" ht="15.75" customHeight="1">
      <c r="A1304" s="25"/>
      <c r="B1304" s="22"/>
      <c r="C1304" s="25"/>
      <c r="D1304" s="22"/>
      <c r="E1304" s="25"/>
      <c r="F1304" s="22"/>
      <c r="G1304" s="25"/>
      <c r="H1304" s="22"/>
      <c r="I1304" s="25"/>
      <c r="J1304" s="22"/>
    </row>
    <row r="1305" ht="15.75" customHeight="1">
      <c r="A1305" s="25"/>
      <c r="B1305" s="22"/>
      <c r="C1305" s="25"/>
      <c r="D1305" s="22"/>
      <c r="E1305" s="25"/>
      <c r="F1305" s="22"/>
      <c r="G1305" s="25"/>
      <c r="H1305" s="22"/>
      <c r="I1305" s="25"/>
      <c r="J1305" s="22"/>
    </row>
    <row r="1306" ht="15.75" customHeight="1">
      <c r="A1306" s="25"/>
      <c r="B1306" s="22"/>
      <c r="C1306" s="25"/>
      <c r="D1306" s="22"/>
      <c r="E1306" s="25"/>
      <c r="F1306" s="22"/>
      <c r="G1306" s="25"/>
      <c r="H1306" s="22"/>
      <c r="I1306" s="25"/>
      <c r="J1306" s="22"/>
    </row>
    <row r="1307" ht="15.75" customHeight="1">
      <c r="A1307" s="25"/>
      <c r="B1307" s="22"/>
      <c r="C1307" s="25"/>
      <c r="D1307" s="22"/>
      <c r="E1307" s="25"/>
      <c r="F1307" s="22"/>
      <c r="G1307" s="25"/>
      <c r="H1307" s="22"/>
      <c r="I1307" s="25"/>
      <c r="J1307" s="22"/>
    </row>
    <row r="1308" ht="15.75" customHeight="1">
      <c r="A1308" s="25"/>
      <c r="B1308" s="22"/>
      <c r="C1308" s="25"/>
      <c r="D1308" s="22"/>
      <c r="E1308" s="25"/>
      <c r="F1308" s="22"/>
      <c r="G1308" s="25"/>
      <c r="H1308" s="22"/>
      <c r="I1308" s="25"/>
      <c r="J1308" s="22"/>
    </row>
    <row r="1309" ht="15.75" customHeight="1">
      <c r="A1309" s="25"/>
      <c r="B1309" s="22"/>
      <c r="C1309" s="25"/>
      <c r="D1309" s="22"/>
      <c r="E1309" s="25"/>
      <c r="F1309" s="22"/>
      <c r="G1309" s="25"/>
      <c r="H1309" s="22"/>
      <c r="I1309" s="25"/>
      <c r="J1309" s="22"/>
    </row>
    <row r="1310" ht="15.75" customHeight="1">
      <c r="A1310" s="25"/>
      <c r="B1310" s="22"/>
      <c r="C1310" s="25"/>
      <c r="D1310" s="22"/>
      <c r="E1310" s="25"/>
      <c r="F1310" s="22"/>
      <c r="G1310" s="25"/>
      <c r="H1310" s="22"/>
      <c r="I1310" s="25"/>
      <c r="J1310" s="22"/>
    </row>
    <row r="1311" ht="15.75" customHeight="1">
      <c r="A1311" s="25"/>
      <c r="B1311" s="22"/>
      <c r="C1311" s="25"/>
      <c r="D1311" s="22"/>
      <c r="E1311" s="25"/>
      <c r="F1311" s="22"/>
      <c r="G1311" s="25"/>
      <c r="H1311" s="22"/>
      <c r="I1311" s="25"/>
      <c r="J1311" s="22"/>
    </row>
    <row r="1312" ht="15.75" customHeight="1">
      <c r="A1312" s="25"/>
      <c r="B1312" s="22"/>
      <c r="C1312" s="25"/>
      <c r="D1312" s="22"/>
      <c r="E1312" s="25"/>
      <c r="F1312" s="22"/>
      <c r="G1312" s="25"/>
      <c r="H1312" s="22"/>
      <c r="I1312" s="25"/>
      <c r="J1312" s="22"/>
    </row>
    <row r="1313" ht="15.75" customHeight="1">
      <c r="A1313" s="25"/>
      <c r="B1313" s="22"/>
      <c r="C1313" s="25"/>
      <c r="D1313" s="22"/>
      <c r="E1313" s="25"/>
      <c r="F1313" s="22"/>
      <c r="G1313" s="25"/>
      <c r="H1313" s="22"/>
      <c r="I1313" s="25"/>
      <c r="J1313" s="22"/>
    </row>
    <row r="1314" ht="15.75" customHeight="1">
      <c r="A1314" s="25"/>
      <c r="B1314" s="22"/>
      <c r="C1314" s="25"/>
      <c r="D1314" s="22"/>
      <c r="E1314" s="25"/>
      <c r="F1314" s="22"/>
      <c r="G1314" s="25"/>
      <c r="H1314" s="22"/>
      <c r="I1314" s="25"/>
      <c r="J1314" s="22"/>
    </row>
    <row r="1315" ht="15.75" customHeight="1">
      <c r="A1315" s="25"/>
      <c r="B1315" s="22"/>
      <c r="C1315" s="25"/>
      <c r="D1315" s="22"/>
      <c r="E1315" s="25"/>
      <c r="F1315" s="22"/>
      <c r="G1315" s="25"/>
      <c r="H1315" s="22"/>
      <c r="I1315" s="25"/>
      <c r="J1315" s="22"/>
    </row>
    <row r="1316" ht="15.75" customHeight="1">
      <c r="A1316" s="25"/>
      <c r="B1316" s="22"/>
      <c r="C1316" s="25"/>
      <c r="D1316" s="22"/>
      <c r="E1316" s="25"/>
      <c r="F1316" s="22"/>
      <c r="G1316" s="25"/>
      <c r="H1316" s="22"/>
      <c r="I1316" s="25"/>
      <c r="J1316" s="22"/>
    </row>
    <row r="1317" ht="15.75" customHeight="1">
      <c r="A1317" s="25"/>
      <c r="B1317" s="22"/>
      <c r="C1317" s="25"/>
      <c r="D1317" s="22"/>
      <c r="E1317" s="25"/>
      <c r="F1317" s="22"/>
      <c r="G1317" s="25"/>
      <c r="H1317" s="22"/>
      <c r="I1317" s="25"/>
      <c r="J1317" s="22"/>
    </row>
    <row r="1318" ht="15.75" customHeight="1">
      <c r="A1318" s="25"/>
      <c r="B1318" s="22"/>
      <c r="C1318" s="25"/>
      <c r="D1318" s="22"/>
      <c r="E1318" s="25"/>
      <c r="F1318" s="22"/>
      <c r="G1318" s="25"/>
      <c r="H1318" s="22"/>
      <c r="I1318" s="25"/>
      <c r="J1318" s="22"/>
    </row>
    <row r="1319" ht="15.75" customHeight="1">
      <c r="A1319" s="25"/>
      <c r="B1319" s="22"/>
      <c r="C1319" s="25"/>
      <c r="D1319" s="22"/>
      <c r="E1319" s="25"/>
      <c r="F1319" s="22"/>
      <c r="G1319" s="25"/>
      <c r="H1319" s="22"/>
      <c r="I1319" s="25"/>
      <c r="J1319" s="22"/>
    </row>
    <row r="1320" ht="15.75" customHeight="1">
      <c r="A1320" s="25"/>
      <c r="B1320" s="22"/>
      <c r="C1320" s="25"/>
      <c r="D1320" s="22"/>
      <c r="E1320" s="25"/>
      <c r="F1320" s="22"/>
      <c r="G1320" s="25"/>
      <c r="H1320" s="22"/>
      <c r="I1320" s="25"/>
      <c r="J1320" s="22"/>
    </row>
    <row r="1321" ht="15.75" customHeight="1">
      <c r="A1321" s="25"/>
      <c r="B1321" s="22"/>
      <c r="C1321" s="25"/>
      <c r="D1321" s="22"/>
      <c r="E1321" s="25"/>
      <c r="F1321" s="22"/>
      <c r="G1321" s="25"/>
      <c r="H1321" s="22"/>
      <c r="I1321" s="25"/>
      <c r="J1321" s="22"/>
    </row>
    <row r="1322" ht="15.75" customHeight="1">
      <c r="A1322" s="25"/>
      <c r="B1322" s="22"/>
      <c r="C1322" s="25"/>
      <c r="D1322" s="22"/>
      <c r="E1322" s="25"/>
      <c r="F1322" s="22"/>
      <c r="G1322" s="25"/>
      <c r="H1322" s="22"/>
      <c r="I1322" s="25"/>
      <c r="J1322" s="22"/>
    </row>
    <row r="1323" ht="15.75" customHeight="1">
      <c r="A1323" s="25"/>
      <c r="B1323" s="22"/>
      <c r="C1323" s="25"/>
      <c r="D1323" s="22"/>
      <c r="E1323" s="25"/>
      <c r="F1323" s="22"/>
      <c r="G1323" s="25"/>
      <c r="H1323" s="22"/>
      <c r="I1323" s="25"/>
      <c r="J1323" s="22"/>
    </row>
    <row r="1324" ht="15.75" customHeight="1">
      <c r="A1324" s="25"/>
      <c r="B1324" s="22"/>
      <c r="C1324" s="25"/>
      <c r="D1324" s="22"/>
      <c r="E1324" s="25"/>
      <c r="F1324" s="22"/>
      <c r="G1324" s="25"/>
      <c r="H1324" s="22"/>
      <c r="I1324" s="25"/>
      <c r="J1324" s="22"/>
    </row>
    <row r="1325" ht="15.75" customHeight="1">
      <c r="A1325" s="25"/>
      <c r="B1325" s="22"/>
      <c r="C1325" s="25"/>
      <c r="D1325" s="22"/>
      <c r="E1325" s="25"/>
      <c r="F1325" s="22"/>
      <c r="G1325" s="25"/>
      <c r="H1325" s="22"/>
      <c r="I1325" s="25"/>
      <c r="J1325" s="22"/>
    </row>
    <row r="1326" ht="15.75" customHeight="1">
      <c r="A1326" s="25"/>
      <c r="B1326" s="22"/>
      <c r="C1326" s="25"/>
      <c r="D1326" s="22"/>
      <c r="E1326" s="25"/>
      <c r="F1326" s="22"/>
      <c r="G1326" s="25"/>
      <c r="H1326" s="22"/>
      <c r="I1326" s="25"/>
      <c r="J1326" s="22"/>
    </row>
    <row r="1327" ht="15.75" customHeight="1">
      <c r="A1327" s="25"/>
      <c r="B1327" s="22"/>
      <c r="C1327" s="25"/>
      <c r="D1327" s="22"/>
      <c r="E1327" s="25"/>
      <c r="F1327" s="22"/>
      <c r="G1327" s="25"/>
      <c r="H1327" s="22"/>
      <c r="I1327" s="25"/>
      <c r="J1327" s="22"/>
    </row>
    <row r="1328" ht="15.75" customHeight="1">
      <c r="A1328" s="25"/>
      <c r="B1328" s="22"/>
      <c r="C1328" s="25"/>
      <c r="D1328" s="22"/>
      <c r="E1328" s="25"/>
      <c r="F1328" s="22"/>
      <c r="G1328" s="25"/>
      <c r="H1328" s="22"/>
      <c r="I1328" s="25"/>
      <c r="J1328" s="22"/>
    </row>
    <row r="1329" ht="15.75" customHeight="1">
      <c r="A1329" s="25"/>
      <c r="B1329" s="22"/>
      <c r="C1329" s="25"/>
      <c r="D1329" s="22"/>
      <c r="E1329" s="25"/>
      <c r="F1329" s="22"/>
      <c r="G1329" s="25"/>
      <c r="H1329" s="22"/>
      <c r="I1329" s="25"/>
      <c r="J1329" s="22"/>
    </row>
    <row r="1330" ht="15.75" customHeight="1">
      <c r="A1330" s="25"/>
      <c r="B1330" s="22"/>
      <c r="C1330" s="25"/>
      <c r="D1330" s="22"/>
      <c r="E1330" s="25"/>
      <c r="F1330" s="22"/>
      <c r="G1330" s="25"/>
      <c r="H1330" s="22"/>
      <c r="I1330" s="25"/>
      <c r="J1330" s="22"/>
    </row>
    <row r="1331" ht="15.75" customHeight="1">
      <c r="A1331" s="25"/>
      <c r="B1331" s="22"/>
      <c r="C1331" s="25"/>
      <c r="D1331" s="22"/>
      <c r="E1331" s="25"/>
      <c r="F1331" s="22"/>
      <c r="G1331" s="25"/>
      <c r="H1331" s="22"/>
      <c r="I1331" s="25"/>
      <c r="J1331" s="22"/>
    </row>
    <row r="1332" ht="15.75" customHeight="1">
      <c r="A1332" s="25"/>
      <c r="B1332" s="22"/>
      <c r="C1332" s="25"/>
      <c r="D1332" s="22"/>
      <c r="E1332" s="25"/>
      <c r="F1332" s="22"/>
      <c r="G1332" s="25"/>
      <c r="H1332" s="22"/>
      <c r="I1332" s="25"/>
      <c r="J1332" s="22"/>
    </row>
    <row r="1333" ht="15.75" customHeight="1">
      <c r="A1333" s="25"/>
      <c r="B1333" s="22"/>
      <c r="C1333" s="25"/>
      <c r="D1333" s="22"/>
      <c r="E1333" s="25"/>
      <c r="F1333" s="22"/>
      <c r="G1333" s="25"/>
      <c r="H1333" s="22"/>
      <c r="I1333" s="25"/>
      <c r="J1333" s="22"/>
    </row>
    <row r="1334" ht="15.75" customHeight="1">
      <c r="A1334" s="25"/>
      <c r="B1334" s="22"/>
      <c r="C1334" s="25"/>
      <c r="D1334" s="22"/>
      <c r="E1334" s="25"/>
      <c r="F1334" s="22"/>
      <c r="G1334" s="25"/>
      <c r="H1334" s="22"/>
      <c r="I1334" s="25"/>
      <c r="J1334" s="22"/>
    </row>
    <row r="1335" ht="15.75" customHeight="1">
      <c r="A1335" s="25"/>
      <c r="B1335" s="22"/>
      <c r="C1335" s="25"/>
      <c r="D1335" s="22"/>
      <c r="E1335" s="25"/>
      <c r="F1335" s="22"/>
      <c r="G1335" s="25"/>
      <c r="H1335" s="22"/>
      <c r="I1335" s="25"/>
      <c r="J1335" s="22"/>
    </row>
    <row r="1336" ht="15.75" customHeight="1">
      <c r="A1336" s="25"/>
      <c r="B1336" s="22"/>
      <c r="C1336" s="25"/>
      <c r="D1336" s="22"/>
      <c r="E1336" s="25"/>
      <c r="F1336" s="22"/>
      <c r="G1336" s="25"/>
      <c r="H1336" s="22"/>
      <c r="I1336" s="25"/>
      <c r="J1336" s="22"/>
    </row>
    <row r="1337" ht="15.75" customHeight="1">
      <c r="A1337" s="25"/>
      <c r="B1337" s="22"/>
      <c r="C1337" s="25"/>
      <c r="D1337" s="22"/>
      <c r="E1337" s="25"/>
      <c r="F1337" s="22"/>
      <c r="G1337" s="25"/>
      <c r="H1337" s="22"/>
      <c r="I1337" s="25"/>
      <c r="J1337" s="22"/>
    </row>
    <row r="1338" ht="15.75" customHeight="1">
      <c r="A1338" s="25"/>
      <c r="B1338" s="22"/>
      <c r="C1338" s="25"/>
      <c r="D1338" s="22"/>
      <c r="E1338" s="25"/>
      <c r="F1338" s="22"/>
      <c r="G1338" s="25"/>
      <c r="H1338" s="22"/>
      <c r="I1338" s="25"/>
      <c r="J1338" s="22"/>
    </row>
    <row r="1339" ht="15.75" customHeight="1">
      <c r="A1339" s="25"/>
      <c r="B1339" s="22"/>
      <c r="C1339" s="25"/>
      <c r="D1339" s="22"/>
      <c r="E1339" s="25"/>
      <c r="F1339" s="22"/>
      <c r="G1339" s="25"/>
      <c r="H1339" s="22"/>
      <c r="I1339" s="25"/>
      <c r="J1339" s="22"/>
    </row>
    <row r="1340" ht="15.75" customHeight="1">
      <c r="A1340" s="25"/>
      <c r="B1340" s="22"/>
      <c r="C1340" s="25"/>
      <c r="D1340" s="22"/>
      <c r="E1340" s="25"/>
      <c r="F1340" s="22"/>
      <c r="G1340" s="25"/>
      <c r="H1340" s="22"/>
      <c r="I1340" s="25"/>
      <c r="J1340" s="22"/>
    </row>
    <row r="1341" ht="15.75" customHeight="1">
      <c r="A1341" s="25"/>
      <c r="B1341" s="22"/>
      <c r="C1341" s="25"/>
      <c r="D1341" s="22"/>
      <c r="E1341" s="25"/>
      <c r="F1341" s="22"/>
      <c r="G1341" s="25"/>
      <c r="H1341" s="22"/>
      <c r="I1341" s="25"/>
      <c r="J1341" s="22"/>
    </row>
    <row r="1342" ht="15.75" customHeight="1">
      <c r="A1342" s="25"/>
      <c r="B1342" s="22"/>
      <c r="C1342" s="25"/>
      <c r="D1342" s="22"/>
      <c r="E1342" s="25"/>
      <c r="F1342" s="22"/>
      <c r="G1342" s="25"/>
      <c r="H1342" s="22"/>
      <c r="I1342" s="25"/>
      <c r="J1342" s="22"/>
    </row>
    <row r="1343" ht="15.75" customHeight="1">
      <c r="A1343" s="25"/>
      <c r="B1343" s="22"/>
      <c r="C1343" s="25"/>
      <c r="D1343" s="22"/>
      <c r="E1343" s="25"/>
      <c r="F1343" s="22"/>
      <c r="G1343" s="25"/>
      <c r="H1343" s="22"/>
      <c r="I1343" s="25"/>
      <c r="J1343" s="22"/>
    </row>
    <row r="1344" ht="15.75" customHeight="1">
      <c r="A1344" s="25"/>
      <c r="B1344" s="22"/>
      <c r="C1344" s="25"/>
      <c r="D1344" s="22"/>
      <c r="E1344" s="25"/>
      <c r="F1344" s="22"/>
      <c r="G1344" s="25"/>
      <c r="H1344" s="22"/>
      <c r="I1344" s="25"/>
      <c r="J1344" s="22"/>
    </row>
    <row r="1345" ht="15.75" customHeight="1">
      <c r="A1345" s="25"/>
      <c r="B1345" s="22"/>
      <c r="C1345" s="25"/>
      <c r="D1345" s="22"/>
      <c r="E1345" s="25"/>
      <c r="F1345" s="22"/>
      <c r="G1345" s="25"/>
      <c r="H1345" s="22"/>
      <c r="I1345" s="25"/>
      <c r="J1345" s="22"/>
    </row>
    <row r="1346" ht="15.75" customHeight="1">
      <c r="A1346" s="25"/>
      <c r="B1346" s="22"/>
      <c r="C1346" s="25"/>
      <c r="D1346" s="22"/>
      <c r="E1346" s="25"/>
      <c r="F1346" s="22"/>
      <c r="G1346" s="25"/>
      <c r="H1346" s="22"/>
      <c r="I1346" s="25"/>
      <c r="J1346" s="22"/>
    </row>
    <row r="1347" ht="15.75" customHeight="1">
      <c r="A1347" s="25"/>
      <c r="B1347" s="22"/>
      <c r="C1347" s="25"/>
      <c r="D1347" s="22"/>
      <c r="E1347" s="25"/>
      <c r="F1347" s="22"/>
      <c r="G1347" s="25"/>
      <c r="H1347" s="22"/>
      <c r="I1347" s="25"/>
      <c r="J1347" s="22"/>
    </row>
    <row r="1348" ht="15.75" customHeight="1">
      <c r="A1348" s="25"/>
      <c r="B1348" s="22"/>
      <c r="C1348" s="25"/>
      <c r="D1348" s="22"/>
      <c r="E1348" s="25"/>
      <c r="F1348" s="22"/>
      <c r="G1348" s="25"/>
      <c r="H1348" s="22"/>
      <c r="I1348" s="25"/>
      <c r="J1348" s="22"/>
    </row>
    <row r="1349" ht="15.75" customHeight="1">
      <c r="A1349" s="25"/>
      <c r="B1349" s="22"/>
      <c r="C1349" s="25"/>
      <c r="D1349" s="22"/>
      <c r="E1349" s="25"/>
      <c r="F1349" s="22"/>
      <c r="G1349" s="25"/>
      <c r="H1349" s="22"/>
      <c r="I1349" s="25"/>
      <c r="J1349" s="22"/>
    </row>
    <row r="1350" ht="15.75" customHeight="1">
      <c r="A1350" s="25"/>
      <c r="B1350" s="22"/>
      <c r="C1350" s="25"/>
      <c r="D1350" s="22"/>
      <c r="E1350" s="25"/>
      <c r="F1350" s="22"/>
      <c r="G1350" s="25"/>
      <c r="H1350" s="22"/>
      <c r="I1350" s="25"/>
      <c r="J1350" s="22"/>
    </row>
    <row r="1351" ht="15.75" customHeight="1">
      <c r="A1351" s="25"/>
      <c r="B1351" s="22"/>
      <c r="C1351" s="25"/>
      <c r="D1351" s="22"/>
      <c r="E1351" s="25"/>
      <c r="F1351" s="22"/>
      <c r="G1351" s="25"/>
      <c r="H1351" s="22"/>
      <c r="I1351" s="25"/>
      <c r="J1351" s="22"/>
    </row>
    <row r="1352" ht="15.75" customHeight="1">
      <c r="A1352" s="25"/>
      <c r="B1352" s="22"/>
      <c r="C1352" s="25"/>
      <c r="D1352" s="22"/>
      <c r="E1352" s="25"/>
      <c r="F1352" s="22"/>
      <c r="G1352" s="25"/>
      <c r="H1352" s="22"/>
      <c r="I1352" s="25"/>
      <c r="J1352" s="22"/>
    </row>
    <row r="1353" ht="15.75" customHeight="1">
      <c r="A1353" s="25"/>
      <c r="B1353" s="22"/>
      <c r="C1353" s="25"/>
      <c r="D1353" s="22"/>
      <c r="E1353" s="25"/>
      <c r="F1353" s="22"/>
      <c r="G1353" s="25"/>
      <c r="H1353" s="22"/>
      <c r="I1353" s="25"/>
      <c r="J1353" s="22"/>
    </row>
    <row r="1354" ht="15.75" customHeight="1">
      <c r="A1354" s="25"/>
      <c r="B1354" s="22"/>
      <c r="C1354" s="25"/>
      <c r="D1354" s="22"/>
      <c r="E1354" s="25"/>
      <c r="F1354" s="22"/>
      <c r="G1354" s="25"/>
      <c r="H1354" s="22"/>
      <c r="I1354" s="25"/>
      <c r="J1354" s="22"/>
    </row>
    <row r="1355" ht="15.75" customHeight="1">
      <c r="A1355" s="25"/>
      <c r="B1355" s="22"/>
      <c r="C1355" s="25"/>
      <c r="D1355" s="22"/>
      <c r="E1355" s="25"/>
      <c r="F1355" s="22"/>
      <c r="G1355" s="25"/>
      <c r="H1355" s="22"/>
      <c r="I1355" s="25"/>
      <c r="J1355" s="22"/>
    </row>
    <row r="1356" ht="15.75" customHeight="1">
      <c r="A1356" s="25"/>
      <c r="B1356" s="22"/>
      <c r="C1356" s="25"/>
      <c r="D1356" s="22"/>
      <c r="E1356" s="25"/>
      <c r="F1356" s="22"/>
      <c r="G1356" s="25"/>
      <c r="H1356" s="22"/>
      <c r="I1356" s="25"/>
      <c r="J1356" s="22"/>
    </row>
    <row r="1357" ht="15.75" customHeight="1">
      <c r="A1357" s="25"/>
      <c r="B1357" s="22"/>
      <c r="C1357" s="25"/>
      <c r="D1357" s="22"/>
      <c r="E1357" s="25"/>
      <c r="F1357" s="22"/>
      <c r="G1357" s="25"/>
      <c r="H1357" s="22"/>
      <c r="I1357" s="25"/>
      <c r="J1357" s="22"/>
    </row>
    <row r="1358" ht="15.75" customHeight="1">
      <c r="A1358" s="25"/>
      <c r="B1358" s="22"/>
      <c r="C1358" s="25"/>
      <c r="D1358" s="22"/>
      <c r="E1358" s="25"/>
      <c r="F1358" s="22"/>
      <c r="G1358" s="25"/>
      <c r="H1358" s="22"/>
      <c r="I1358" s="25"/>
      <c r="J1358" s="22"/>
    </row>
    <row r="1359" ht="15.75" customHeight="1">
      <c r="A1359" s="25"/>
      <c r="B1359" s="22"/>
      <c r="C1359" s="25"/>
      <c r="D1359" s="22"/>
      <c r="E1359" s="25"/>
      <c r="F1359" s="22"/>
      <c r="G1359" s="25"/>
      <c r="H1359" s="22"/>
      <c r="I1359" s="25"/>
      <c r="J1359" s="22"/>
    </row>
    <row r="1360" ht="15.75" customHeight="1">
      <c r="A1360" s="25"/>
      <c r="B1360" s="22"/>
      <c r="C1360" s="25"/>
      <c r="D1360" s="22"/>
      <c r="E1360" s="25"/>
      <c r="F1360" s="22"/>
      <c r="G1360" s="25"/>
      <c r="H1360" s="22"/>
      <c r="I1360" s="25"/>
      <c r="J1360" s="22"/>
    </row>
    <row r="1361" ht="15.75" customHeight="1">
      <c r="A1361" s="25"/>
      <c r="B1361" s="22"/>
      <c r="C1361" s="25"/>
      <c r="D1361" s="22"/>
      <c r="E1361" s="25"/>
      <c r="F1361" s="22"/>
      <c r="G1361" s="25"/>
      <c r="H1361" s="22"/>
      <c r="I1361" s="25"/>
      <c r="J1361" s="22"/>
    </row>
    <row r="1362" ht="15.75" customHeight="1">
      <c r="A1362" s="25"/>
      <c r="B1362" s="22"/>
      <c r="C1362" s="25"/>
      <c r="D1362" s="22"/>
      <c r="E1362" s="25"/>
      <c r="F1362" s="22"/>
      <c r="G1362" s="25"/>
      <c r="H1362" s="22"/>
      <c r="I1362" s="25"/>
      <c r="J1362" s="22"/>
    </row>
    <row r="1363" ht="15.75" customHeight="1">
      <c r="A1363" s="25"/>
      <c r="B1363" s="22"/>
      <c r="C1363" s="25"/>
      <c r="D1363" s="22"/>
      <c r="E1363" s="25"/>
      <c r="F1363" s="22"/>
      <c r="G1363" s="25"/>
      <c r="H1363" s="22"/>
      <c r="I1363" s="25"/>
      <c r="J1363" s="22"/>
    </row>
    <row r="1364" ht="15.75" customHeight="1">
      <c r="A1364" s="25"/>
      <c r="B1364" s="22"/>
      <c r="C1364" s="25"/>
      <c r="D1364" s="22"/>
      <c r="E1364" s="25"/>
      <c r="F1364" s="22"/>
      <c r="G1364" s="25"/>
      <c r="H1364" s="22"/>
      <c r="I1364" s="25"/>
      <c r="J1364" s="22"/>
    </row>
    <row r="1365" ht="15.75" customHeight="1">
      <c r="A1365" s="25"/>
      <c r="B1365" s="22"/>
      <c r="C1365" s="25"/>
      <c r="D1365" s="22"/>
      <c r="E1365" s="25"/>
      <c r="F1365" s="22"/>
      <c r="G1365" s="25"/>
      <c r="H1365" s="22"/>
      <c r="I1365" s="25"/>
      <c r="J1365" s="22"/>
    </row>
    <row r="1366" ht="15.75" customHeight="1">
      <c r="A1366" s="25"/>
      <c r="B1366" s="22"/>
      <c r="C1366" s="25"/>
      <c r="D1366" s="22"/>
      <c r="E1366" s="25"/>
      <c r="F1366" s="22"/>
      <c r="G1366" s="25"/>
      <c r="H1366" s="22"/>
      <c r="I1366" s="25"/>
      <c r="J1366" s="22"/>
    </row>
    <row r="1367" ht="15.75" customHeight="1">
      <c r="A1367" s="25"/>
      <c r="B1367" s="22"/>
      <c r="C1367" s="25"/>
      <c r="D1367" s="22"/>
      <c r="E1367" s="25"/>
      <c r="F1367" s="22"/>
      <c r="G1367" s="25"/>
      <c r="H1367" s="22"/>
      <c r="I1367" s="25"/>
      <c r="J1367" s="22"/>
    </row>
    <row r="1368" ht="15.75" customHeight="1">
      <c r="A1368" s="25"/>
      <c r="B1368" s="22"/>
      <c r="C1368" s="25"/>
      <c r="D1368" s="22"/>
      <c r="E1368" s="25"/>
      <c r="F1368" s="22"/>
      <c r="G1368" s="25"/>
      <c r="H1368" s="22"/>
      <c r="I1368" s="25"/>
      <c r="J1368" s="22"/>
    </row>
    <row r="1369" ht="15.75" customHeight="1">
      <c r="A1369" s="25"/>
      <c r="B1369" s="22"/>
      <c r="C1369" s="25"/>
      <c r="D1369" s="22"/>
      <c r="E1369" s="25"/>
      <c r="F1369" s="22"/>
      <c r="G1369" s="25"/>
      <c r="H1369" s="22"/>
      <c r="I1369" s="25"/>
      <c r="J1369" s="22"/>
    </row>
    <row r="1370" ht="15.75" customHeight="1">
      <c r="A1370" s="25"/>
      <c r="B1370" s="22"/>
      <c r="C1370" s="25"/>
      <c r="D1370" s="22"/>
      <c r="E1370" s="25"/>
      <c r="F1370" s="22"/>
      <c r="G1370" s="25"/>
      <c r="H1370" s="22"/>
      <c r="I1370" s="25"/>
      <c r="J1370" s="22"/>
    </row>
    <row r="1371" ht="15.75" customHeight="1">
      <c r="A1371" s="25"/>
      <c r="B1371" s="22"/>
      <c r="C1371" s="25"/>
      <c r="D1371" s="22"/>
      <c r="E1371" s="25"/>
      <c r="F1371" s="22"/>
      <c r="G1371" s="25"/>
      <c r="H1371" s="22"/>
      <c r="I1371" s="25"/>
      <c r="J1371" s="22"/>
    </row>
    <row r="1372" ht="15.75" customHeight="1">
      <c r="A1372" s="25"/>
      <c r="B1372" s="22"/>
      <c r="C1372" s="25"/>
      <c r="D1372" s="22"/>
      <c r="E1372" s="25"/>
      <c r="F1372" s="22"/>
      <c r="G1372" s="25"/>
      <c r="H1372" s="22"/>
      <c r="I1372" s="25"/>
      <c r="J1372" s="22"/>
    </row>
    <row r="1373" ht="15.75" customHeight="1">
      <c r="A1373" s="25"/>
      <c r="B1373" s="22"/>
      <c r="C1373" s="25"/>
      <c r="D1373" s="22"/>
      <c r="E1373" s="25"/>
      <c r="F1373" s="22"/>
      <c r="G1373" s="25"/>
      <c r="H1373" s="22"/>
      <c r="I1373" s="25"/>
      <c r="J1373" s="22"/>
    </row>
    <row r="1374" ht="15.75" customHeight="1">
      <c r="A1374" s="25"/>
      <c r="B1374" s="22"/>
      <c r="C1374" s="25"/>
      <c r="D1374" s="22"/>
      <c r="E1374" s="25"/>
      <c r="F1374" s="22"/>
      <c r="G1374" s="25"/>
      <c r="H1374" s="22"/>
      <c r="I1374" s="25"/>
      <c r="J1374" s="22"/>
    </row>
    <row r="1375" ht="15.75" customHeight="1">
      <c r="A1375" s="25"/>
      <c r="B1375" s="22"/>
      <c r="C1375" s="25"/>
      <c r="D1375" s="22"/>
      <c r="E1375" s="25"/>
      <c r="F1375" s="22"/>
      <c r="G1375" s="25"/>
      <c r="H1375" s="22"/>
      <c r="I1375" s="25"/>
      <c r="J1375" s="22"/>
    </row>
    <row r="1376" ht="15.75" customHeight="1">
      <c r="A1376" s="25"/>
      <c r="B1376" s="22"/>
      <c r="C1376" s="25"/>
      <c r="D1376" s="22"/>
      <c r="E1376" s="25"/>
      <c r="F1376" s="22"/>
      <c r="G1376" s="25"/>
      <c r="H1376" s="22"/>
      <c r="I1376" s="25"/>
      <c r="J1376" s="22"/>
    </row>
    <row r="1377" ht="15.75" customHeight="1">
      <c r="A1377" s="25"/>
      <c r="B1377" s="22"/>
      <c r="C1377" s="25"/>
      <c r="D1377" s="22"/>
      <c r="E1377" s="25"/>
      <c r="F1377" s="22"/>
      <c r="G1377" s="25"/>
      <c r="H1377" s="22"/>
      <c r="I1377" s="25"/>
      <c r="J1377" s="22"/>
    </row>
    <row r="1378" ht="15.75" customHeight="1">
      <c r="A1378" s="25"/>
      <c r="B1378" s="22"/>
      <c r="C1378" s="25"/>
      <c r="D1378" s="22"/>
      <c r="E1378" s="25"/>
      <c r="F1378" s="22"/>
      <c r="G1378" s="25"/>
      <c r="H1378" s="22"/>
      <c r="I1378" s="25"/>
      <c r="J1378" s="22"/>
    </row>
    <row r="1379" ht="15.75" customHeight="1">
      <c r="A1379" s="25"/>
      <c r="B1379" s="22"/>
      <c r="C1379" s="25"/>
      <c r="D1379" s="22"/>
      <c r="E1379" s="25"/>
      <c r="F1379" s="22"/>
      <c r="G1379" s="25"/>
      <c r="H1379" s="22"/>
      <c r="I1379" s="25"/>
      <c r="J1379" s="22"/>
    </row>
    <row r="1380" ht="15.75" customHeight="1">
      <c r="A1380" s="25"/>
      <c r="B1380" s="22"/>
      <c r="C1380" s="25"/>
      <c r="D1380" s="22"/>
      <c r="E1380" s="25"/>
      <c r="F1380" s="22"/>
      <c r="G1380" s="25"/>
      <c r="H1380" s="22"/>
      <c r="I1380" s="25"/>
      <c r="J1380" s="22"/>
    </row>
    <row r="1381" ht="15.75" customHeight="1">
      <c r="A1381" s="25"/>
      <c r="B1381" s="22"/>
      <c r="C1381" s="25"/>
      <c r="D1381" s="22"/>
      <c r="E1381" s="25"/>
      <c r="F1381" s="22"/>
      <c r="G1381" s="25"/>
      <c r="H1381" s="22"/>
      <c r="I1381" s="25"/>
      <c r="J1381" s="22"/>
    </row>
    <row r="1382" ht="15.75" customHeight="1">
      <c r="A1382" s="25"/>
      <c r="B1382" s="22"/>
      <c r="C1382" s="25"/>
      <c r="D1382" s="22"/>
      <c r="E1382" s="25"/>
      <c r="F1382" s="22"/>
      <c r="G1382" s="25"/>
      <c r="H1382" s="22"/>
      <c r="I1382" s="25"/>
      <c r="J1382" s="22"/>
    </row>
    <row r="1383" ht="15.75" customHeight="1">
      <c r="A1383" s="25"/>
      <c r="B1383" s="22"/>
      <c r="C1383" s="25"/>
      <c r="D1383" s="22"/>
      <c r="E1383" s="25"/>
      <c r="F1383" s="22"/>
      <c r="G1383" s="25"/>
      <c r="H1383" s="22"/>
      <c r="I1383" s="25"/>
      <c r="J1383" s="22"/>
    </row>
    <row r="1384" ht="15.75" customHeight="1">
      <c r="A1384" s="25"/>
      <c r="B1384" s="22"/>
      <c r="C1384" s="25"/>
      <c r="D1384" s="22"/>
      <c r="E1384" s="25"/>
      <c r="F1384" s="22"/>
      <c r="G1384" s="25"/>
      <c r="H1384" s="22"/>
      <c r="I1384" s="25"/>
      <c r="J1384" s="22"/>
    </row>
    <row r="1385" ht="15.75" customHeight="1">
      <c r="A1385" s="25"/>
      <c r="B1385" s="22"/>
      <c r="C1385" s="25"/>
      <c r="D1385" s="22"/>
      <c r="E1385" s="25"/>
      <c r="F1385" s="22"/>
      <c r="G1385" s="25"/>
      <c r="H1385" s="22"/>
      <c r="I1385" s="25"/>
      <c r="J1385" s="22"/>
    </row>
    <row r="1386" ht="15.75" customHeight="1">
      <c r="A1386" s="25"/>
      <c r="B1386" s="22"/>
      <c r="C1386" s="25"/>
      <c r="D1386" s="22"/>
      <c r="E1386" s="25"/>
      <c r="F1386" s="22"/>
      <c r="G1386" s="25"/>
      <c r="H1386" s="22"/>
      <c r="I1386" s="25"/>
      <c r="J1386" s="22"/>
    </row>
    <row r="1387" ht="15.75" customHeight="1">
      <c r="A1387" s="25"/>
      <c r="B1387" s="22"/>
      <c r="C1387" s="25"/>
      <c r="D1387" s="22"/>
      <c r="E1387" s="25"/>
      <c r="F1387" s="22"/>
      <c r="G1387" s="25"/>
      <c r="H1387" s="22"/>
      <c r="I1387" s="25"/>
      <c r="J1387" s="22"/>
    </row>
    <row r="1388" ht="15.75" customHeight="1">
      <c r="A1388" s="25"/>
      <c r="B1388" s="22"/>
      <c r="C1388" s="25"/>
      <c r="D1388" s="22"/>
      <c r="E1388" s="25"/>
      <c r="F1388" s="22"/>
      <c r="G1388" s="25"/>
      <c r="H1388" s="22"/>
      <c r="I1388" s="25"/>
      <c r="J1388" s="22"/>
    </row>
    <row r="1389" ht="15.75" customHeight="1">
      <c r="A1389" s="25"/>
      <c r="B1389" s="22"/>
      <c r="C1389" s="25"/>
      <c r="D1389" s="22"/>
      <c r="E1389" s="25"/>
      <c r="F1389" s="22"/>
      <c r="G1389" s="25"/>
      <c r="H1389" s="22"/>
      <c r="I1389" s="25"/>
      <c r="J1389" s="22"/>
    </row>
    <row r="1390" ht="15.75" customHeight="1">
      <c r="A1390" s="25"/>
      <c r="B1390" s="22"/>
      <c r="C1390" s="25"/>
      <c r="D1390" s="22"/>
      <c r="E1390" s="25"/>
      <c r="F1390" s="22"/>
      <c r="G1390" s="25"/>
      <c r="H1390" s="22"/>
      <c r="I1390" s="25"/>
      <c r="J1390" s="22"/>
    </row>
    <row r="1391" ht="15.75" customHeight="1">
      <c r="A1391" s="25"/>
      <c r="B1391" s="22"/>
      <c r="C1391" s="25"/>
      <c r="D1391" s="22"/>
      <c r="E1391" s="25"/>
      <c r="F1391" s="22"/>
      <c r="G1391" s="25"/>
      <c r="H1391" s="22"/>
      <c r="I1391" s="25"/>
      <c r="J1391" s="22"/>
    </row>
    <row r="1392" ht="15.75" customHeight="1">
      <c r="A1392" s="25"/>
      <c r="B1392" s="22"/>
      <c r="C1392" s="25"/>
      <c r="D1392" s="22"/>
      <c r="E1392" s="25"/>
      <c r="F1392" s="22"/>
      <c r="G1392" s="25"/>
      <c r="H1392" s="22"/>
      <c r="I1392" s="25"/>
      <c r="J1392" s="22"/>
    </row>
    <row r="1393" ht="15.75" customHeight="1">
      <c r="A1393" s="25"/>
      <c r="B1393" s="22"/>
      <c r="C1393" s="25"/>
      <c r="D1393" s="22"/>
      <c r="E1393" s="25"/>
      <c r="F1393" s="22"/>
      <c r="G1393" s="25"/>
      <c r="H1393" s="22"/>
      <c r="I1393" s="25"/>
      <c r="J1393" s="22"/>
    </row>
    <row r="1394" ht="15.75" customHeight="1">
      <c r="A1394" s="25"/>
      <c r="B1394" s="22"/>
      <c r="C1394" s="25"/>
      <c r="D1394" s="22"/>
      <c r="E1394" s="25"/>
      <c r="F1394" s="22"/>
      <c r="G1394" s="25"/>
      <c r="H1394" s="22"/>
      <c r="I1394" s="25"/>
      <c r="J1394" s="22"/>
    </row>
    <row r="1395" ht="15.75" customHeight="1">
      <c r="A1395" s="25"/>
      <c r="B1395" s="22"/>
      <c r="C1395" s="25"/>
      <c r="D1395" s="22"/>
      <c r="E1395" s="25"/>
      <c r="F1395" s="22"/>
      <c r="G1395" s="25"/>
      <c r="H1395" s="22"/>
      <c r="I1395" s="25"/>
      <c r="J1395" s="22"/>
    </row>
    <row r="1396" ht="15.75" customHeight="1">
      <c r="A1396" s="25"/>
      <c r="B1396" s="22"/>
      <c r="C1396" s="25"/>
      <c r="D1396" s="22"/>
      <c r="E1396" s="25"/>
      <c r="F1396" s="22"/>
      <c r="G1396" s="25"/>
      <c r="H1396" s="22"/>
      <c r="I1396" s="25"/>
      <c r="J1396" s="22"/>
    </row>
    <row r="1397" ht="15.75" customHeight="1">
      <c r="A1397" s="25"/>
      <c r="B1397" s="22"/>
      <c r="C1397" s="25"/>
      <c r="D1397" s="22"/>
      <c r="E1397" s="25"/>
      <c r="F1397" s="22"/>
      <c r="G1397" s="25"/>
      <c r="H1397" s="22"/>
      <c r="I1397" s="25"/>
      <c r="J1397" s="22"/>
    </row>
    <row r="1398" ht="15.75" customHeight="1">
      <c r="A1398" s="25"/>
      <c r="B1398" s="22"/>
      <c r="C1398" s="25"/>
      <c r="D1398" s="22"/>
      <c r="E1398" s="25"/>
      <c r="F1398" s="22"/>
      <c r="G1398" s="25"/>
      <c r="H1398" s="22"/>
      <c r="I1398" s="25"/>
      <c r="J1398" s="22"/>
    </row>
    <row r="1399" ht="15.75" customHeight="1">
      <c r="A1399" s="25"/>
      <c r="B1399" s="22"/>
      <c r="C1399" s="25"/>
      <c r="D1399" s="22"/>
      <c r="E1399" s="25"/>
      <c r="F1399" s="22"/>
      <c r="G1399" s="25"/>
      <c r="H1399" s="22"/>
      <c r="I1399" s="25"/>
      <c r="J1399" s="22"/>
    </row>
    <row r="1400" ht="15.75" customHeight="1">
      <c r="A1400" s="25"/>
      <c r="B1400" s="22"/>
      <c r="C1400" s="25"/>
      <c r="D1400" s="22"/>
      <c r="E1400" s="25"/>
      <c r="F1400" s="22"/>
      <c r="G1400" s="25"/>
      <c r="H1400" s="22"/>
      <c r="I1400" s="25"/>
      <c r="J1400" s="22"/>
    </row>
    <row r="1401" ht="15.75" customHeight="1">
      <c r="A1401" s="25"/>
      <c r="B1401" s="22"/>
      <c r="C1401" s="25"/>
      <c r="D1401" s="22"/>
      <c r="E1401" s="25"/>
      <c r="F1401" s="22"/>
      <c r="G1401" s="25"/>
      <c r="H1401" s="22"/>
      <c r="I1401" s="25"/>
      <c r="J1401" s="22"/>
    </row>
    <row r="1402" ht="15.75" customHeight="1">
      <c r="A1402" s="25"/>
      <c r="B1402" s="22"/>
      <c r="C1402" s="25"/>
      <c r="D1402" s="22"/>
      <c r="E1402" s="25"/>
      <c r="F1402" s="22"/>
      <c r="G1402" s="25"/>
      <c r="H1402" s="22"/>
      <c r="I1402" s="25"/>
      <c r="J1402" s="22"/>
    </row>
    <row r="1403" ht="15.75" customHeight="1">
      <c r="A1403" s="25"/>
      <c r="B1403" s="22"/>
      <c r="C1403" s="25"/>
      <c r="D1403" s="22"/>
      <c r="E1403" s="25"/>
      <c r="F1403" s="22"/>
      <c r="G1403" s="25"/>
      <c r="H1403" s="22"/>
      <c r="I1403" s="25"/>
      <c r="J1403" s="22"/>
    </row>
    <row r="1404" ht="15.75" customHeight="1">
      <c r="A1404" s="25"/>
      <c r="B1404" s="22"/>
      <c r="C1404" s="25"/>
      <c r="D1404" s="22"/>
      <c r="E1404" s="25"/>
      <c r="F1404" s="22"/>
      <c r="G1404" s="25"/>
      <c r="H1404" s="22"/>
      <c r="I1404" s="25"/>
      <c r="J1404" s="22"/>
    </row>
    <row r="1405" ht="15.75" customHeight="1">
      <c r="A1405" s="25"/>
      <c r="B1405" s="22"/>
      <c r="C1405" s="25"/>
      <c r="D1405" s="22"/>
      <c r="E1405" s="25"/>
      <c r="F1405" s="22"/>
      <c r="G1405" s="25"/>
      <c r="H1405" s="22"/>
      <c r="I1405" s="25"/>
      <c r="J1405" s="22"/>
    </row>
    <row r="1406" ht="15.75" customHeight="1">
      <c r="A1406" s="25"/>
      <c r="B1406" s="22"/>
      <c r="C1406" s="25"/>
      <c r="D1406" s="22"/>
      <c r="E1406" s="25"/>
      <c r="F1406" s="22"/>
      <c r="G1406" s="25"/>
      <c r="H1406" s="22"/>
      <c r="I1406" s="25"/>
      <c r="J1406" s="22"/>
    </row>
    <row r="1407" ht="15.75" customHeight="1">
      <c r="A1407" s="25"/>
      <c r="B1407" s="22"/>
      <c r="C1407" s="25"/>
      <c r="D1407" s="22"/>
      <c r="E1407" s="25"/>
      <c r="F1407" s="22"/>
      <c r="G1407" s="25"/>
      <c r="H1407" s="22"/>
      <c r="I1407" s="25"/>
      <c r="J1407" s="22"/>
    </row>
    <row r="1408" ht="15.75" customHeight="1">
      <c r="A1408" s="25"/>
      <c r="B1408" s="22"/>
      <c r="C1408" s="25"/>
      <c r="D1408" s="22"/>
      <c r="E1408" s="25"/>
      <c r="F1408" s="22"/>
      <c r="G1408" s="25"/>
      <c r="H1408" s="22"/>
      <c r="I1408" s="25"/>
      <c r="J1408" s="22"/>
    </row>
    <row r="1409" ht="15.75" customHeight="1">
      <c r="A1409" s="25"/>
      <c r="B1409" s="22"/>
      <c r="C1409" s="25"/>
      <c r="D1409" s="22"/>
      <c r="E1409" s="25"/>
      <c r="F1409" s="22"/>
      <c r="G1409" s="25"/>
      <c r="H1409" s="22"/>
      <c r="I1409" s="25"/>
      <c r="J1409" s="22"/>
    </row>
    <row r="1410" ht="15.75" customHeight="1">
      <c r="A1410" s="25"/>
      <c r="B1410" s="22"/>
      <c r="C1410" s="25"/>
      <c r="D1410" s="22"/>
      <c r="E1410" s="25"/>
      <c r="F1410" s="22"/>
      <c r="G1410" s="25"/>
      <c r="H1410" s="22"/>
      <c r="I1410" s="25"/>
      <c r="J1410" s="22"/>
    </row>
    <row r="1411" ht="15.75" customHeight="1">
      <c r="A1411" s="25"/>
      <c r="B1411" s="22"/>
      <c r="C1411" s="25"/>
      <c r="D1411" s="22"/>
      <c r="E1411" s="25"/>
      <c r="F1411" s="22"/>
      <c r="G1411" s="25"/>
      <c r="H1411" s="22"/>
      <c r="I1411" s="25"/>
      <c r="J1411" s="22"/>
    </row>
    <row r="1412" ht="15.75" customHeight="1">
      <c r="A1412" s="25"/>
      <c r="B1412" s="22"/>
      <c r="C1412" s="25"/>
      <c r="D1412" s="22"/>
      <c r="E1412" s="25"/>
      <c r="F1412" s="22"/>
      <c r="G1412" s="25"/>
      <c r="H1412" s="22"/>
      <c r="I1412" s="25"/>
      <c r="J1412" s="22"/>
    </row>
    <row r="1413" ht="15.75" customHeight="1">
      <c r="A1413" s="25"/>
      <c r="B1413" s="22"/>
      <c r="C1413" s="25"/>
      <c r="D1413" s="22"/>
      <c r="E1413" s="25"/>
      <c r="F1413" s="22"/>
      <c r="G1413" s="25"/>
      <c r="H1413" s="22"/>
      <c r="I1413" s="25"/>
      <c r="J1413" s="22"/>
    </row>
    <row r="1414" ht="15.75" customHeight="1">
      <c r="A1414" s="25"/>
      <c r="B1414" s="22"/>
      <c r="C1414" s="25"/>
      <c r="D1414" s="22"/>
      <c r="E1414" s="25"/>
      <c r="F1414" s="22"/>
      <c r="G1414" s="25"/>
      <c r="H1414" s="22"/>
      <c r="I1414" s="25"/>
      <c r="J1414" s="22"/>
    </row>
    <row r="1415" ht="15.75" customHeight="1">
      <c r="A1415" s="25"/>
      <c r="B1415" s="22"/>
      <c r="C1415" s="25"/>
      <c r="D1415" s="22"/>
      <c r="E1415" s="25"/>
      <c r="F1415" s="22"/>
      <c r="G1415" s="25"/>
      <c r="H1415" s="22"/>
      <c r="I1415" s="25"/>
      <c r="J1415" s="22"/>
    </row>
    <row r="1416" ht="15.75" customHeight="1">
      <c r="A1416" s="25"/>
      <c r="B1416" s="22"/>
      <c r="C1416" s="25"/>
      <c r="D1416" s="22"/>
      <c r="E1416" s="25"/>
      <c r="F1416" s="22"/>
      <c r="G1416" s="25"/>
      <c r="H1416" s="22"/>
      <c r="I1416" s="25"/>
      <c r="J1416" s="22"/>
    </row>
    <row r="1417" ht="15.75" customHeight="1">
      <c r="A1417" s="25"/>
      <c r="B1417" s="22"/>
      <c r="C1417" s="25"/>
      <c r="D1417" s="22"/>
      <c r="E1417" s="25"/>
      <c r="F1417" s="22"/>
      <c r="G1417" s="25"/>
      <c r="H1417" s="22"/>
      <c r="I1417" s="25"/>
      <c r="J1417" s="22"/>
    </row>
    <row r="1418" ht="15.75" customHeight="1">
      <c r="A1418" s="25"/>
      <c r="B1418" s="22"/>
      <c r="C1418" s="25"/>
      <c r="D1418" s="22"/>
      <c r="E1418" s="25"/>
      <c r="F1418" s="22"/>
      <c r="G1418" s="25"/>
      <c r="H1418" s="22"/>
      <c r="I1418" s="25"/>
      <c r="J1418" s="22"/>
    </row>
    <row r="1419" ht="15.75" customHeight="1">
      <c r="A1419" s="25"/>
      <c r="B1419" s="22"/>
      <c r="C1419" s="25"/>
      <c r="D1419" s="22"/>
      <c r="E1419" s="25"/>
      <c r="F1419" s="22"/>
      <c r="G1419" s="25"/>
      <c r="H1419" s="22"/>
      <c r="I1419" s="25"/>
      <c r="J1419" s="22"/>
    </row>
    <row r="1420" ht="15.75" customHeight="1">
      <c r="A1420" s="25"/>
      <c r="B1420" s="22"/>
      <c r="C1420" s="25"/>
      <c r="D1420" s="22"/>
      <c r="E1420" s="25"/>
      <c r="F1420" s="22"/>
      <c r="G1420" s="25"/>
      <c r="H1420" s="22"/>
      <c r="I1420" s="25"/>
      <c r="J1420" s="22"/>
    </row>
    <row r="1421" ht="15.75" customHeight="1">
      <c r="A1421" s="25"/>
      <c r="B1421" s="22"/>
      <c r="C1421" s="25"/>
      <c r="D1421" s="22"/>
      <c r="E1421" s="25"/>
      <c r="F1421" s="22"/>
      <c r="G1421" s="25"/>
      <c r="H1421" s="22"/>
      <c r="I1421" s="25"/>
      <c r="J1421" s="22"/>
    </row>
    <row r="1422" ht="15.75" customHeight="1">
      <c r="A1422" s="25"/>
      <c r="B1422" s="22"/>
      <c r="C1422" s="25"/>
      <c r="D1422" s="22"/>
      <c r="E1422" s="25"/>
      <c r="F1422" s="22"/>
      <c r="G1422" s="25"/>
      <c r="H1422" s="22"/>
      <c r="I1422" s="25"/>
      <c r="J1422" s="22"/>
    </row>
    <row r="1423" ht="15.75" customHeight="1">
      <c r="A1423" s="25"/>
      <c r="B1423" s="22"/>
      <c r="C1423" s="25"/>
      <c r="D1423" s="22"/>
      <c r="E1423" s="25"/>
      <c r="F1423" s="22"/>
      <c r="G1423" s="25"/>
      <c r="H1423" s="22"/>
      <c r="I1423" s="25"/>
      <c r="J1423" s="22"/>
    </row>
    <row r="1424" ht="15.75" customHeight="1">
      <c r="A1424" s="25"/>
      <c r="B1424" s="22"/>
      <c r="C1424" s="25"/>
      <c r="D1424" s="22"/>
      <c r="E1424" s="25"/>
      <c r="F1424" s="22"/>
      <c r="G1424" s="25"/>
      <c r="H1424" s="22"/>
      <c r="I1424" s="25"/>
      <c r="J1424" s="22"/>
    </row>
    <row r="1425" ht="15.75" customHeight="1">
      <c r="A1425" s="25"/>
      <c r="B1425" s="22"/>
      <c r="C1425" s="25"/>
      <c r="D1425" s="22"/>
      <c r="E1425" s="25"/>
      <c r="F1425" s="22"/>
      <c r="G1425" s="25"/>
      <c r="H1425" s="22"/>
      <c r="I1425" s="25"/>
      <c r="J1425" s="22"/>
    </row>
    <row r="1426" ht="15.75" customHeight="1">
      <c r="A1426" s="25"/>
      <c r="B1426" s="22"/>
      <c r="C1426" s="25"/>
      <c r="D1426" s="22"/>
      <c r="E1426" s="25"/>
      <c r="F1426" s="22"/>
      <c r="G1426" s="25"/>
      <c r="H1426" s="22"/>
      <c r="I1426" s="25"/>
      <c r="J1426" s="22"/>
    </row>
    <row r="1427" ht="15.75" customHeight="1">
      <c r="A1427" s="25"/>
      <c r="B1427" s="22"/>
      <c r="C1427" s="25"/>
      <c r="D1427" s="22"/>
      <c r="E1427" s="25"/>
      <c r="F1427" s="22"/>
      <c r="G1427" s="25"/>
      <c r="H1427" s="22"/>
      <c r="I1427" s="25"/>
      <c r="J1427" s="22"/>
    </row>
    <row r="1428" ht="15.75" customHeight="1">
      <c r="A1428" s="25"/>
      <c r="B1428" s="22"/>
      <c r="C1428" s="25"/>
      <c r="D1428" s="22"/>
      <c r="E1428" s="25"/>
      <c r="F1428" s="22"/>
      <c r="G1428" s="25"/>
      <c r="H1428" s="22"/>
      <c r="I1428" s="25"/>
      <c r="J1428" s="22"/>
    </row>
    <row r="1429" ht="15.75" customHeight="1">
      <c r="A1429" s="25"/>
      <c r="B1429" s="22"/>
      <c r="C1429" s="25"/>
      <c r="D1429" s="22"/>
      <c r="E1429" s="25"/>
      <c r="F1429" s="22"/>
      <c r="G1429" s="25"/>
      <c r="H1429" s="22"/>
      <c r="I1429" s="25"/>
      <c r="J1429" s="22"/>
    </row>
    <row r="1430" ht="15.75" customHeight="1">
      <c r="A1430" s="25"/>
      <c r="B1430" s="22"/>
      <c r="C1430" s="25"/>
      <c r="D1430" s="22"/>
      <c r="E1430" s="25"/>
      <c r="F1430" s="22"/>
      <c r="G1430" s="25"/>
      <c r="H1430" s="22"/>
      <c r="I1430" s="25"/>
      <c r="J1430" s="22"/>
    </row>
    <row r="1431" ht="15.75" customHeight="1">
      <c r="A1431" s="25"/>
      <c r="B1431" s="22"/>
      <c r="C1431" s="25"/>
      <c r="D1431" s="22"/>
      <c r="E1431" s="25"/>
      <c r="F1431" s="22"/>
      <c r="G1431" s="25"/>
      <c r="H1431" s="22"/>
      <c r="I1431" s="25"/>
      <c r="J1431" s="22"/>
    </row>
    <row r="1432" ht="15.75" customHeight="1">
      <c r="A1432" s="25"/>
      <c r="B1432" s="22"/>
      <c r="C1432" s="25"/>
      <c r="D1432" s="22"/>
      <c r="E1432" s="25"/>
      <c r="F1432" s="22"/>
      <c r="G1432" s="25"/>
      <c r="H1432" s="22"/>
      <c r="I1432" s="25"/>
      <c r="J1432" s="22"/>
    </row>
    <row r="1433" ht="15.75" customHeight="1">
      <c r="A1433" s="25"/>
      <c r="B1433" s="22"/>
      <c r="C1433" s="25"/>
      <c r="D1433" s="22"/>
      <c r="E1433" s="25"/>
      <c r="F1433" s="22"/>
      <c r="G1433" s="25"/>
      <c r="H1433" s="22"/>
      <c r="I1433" s="25"/>
      <c r="J1433" s="22"/>
    </row>
    <row r="1434" ht="15.75" customHeight="1">
      <c r="A1434" s="25"/>
      <c r="B1434" s="22"/>
      <c r="C1434" s="25"/>
      <c r="D1434" s="22"/>
      <c r="E1434" s="25"/>
      <c r="F1434" s="22"/>
      <c r="G1434" s="25"/>
      <c r="H1434" s="22"/>
      <c r="I1434" s="25"/>
      <c r="J1434" s="22"/>
    </row>
    <row r="1435" ht="15.75" customHeight="1">
      <c r="A1435" s="25"/>
      <c r="B1435" s="22"/>
      <c r="C1435" s="25"/>
      <c r="D1435" s="22"/>
      <c r="E1435" s="25"/>
      <c r="F1435" s="22"/>
      <c r="G1435" s="25"/>
      <c r="H1435" s="22"/>
      <c r="I1435" s="25"/>
      <c r="J1435" s="22"/>
    </row>
    <row r="1436" ht="15.75" customHeight="1">
      <c r="A1436" s="25"/>
      <c r="B1436" s="22"/>
      <c r="C1436" s="25"/>
      <c r="D1436" s="22"/>
      <c r="E1436" s="25"/>
      <c r="F1436" s="22"/>
      <c r="G1436" s="25"/>
      <c r="H1436" s="22"/>
      <c r="I1436" s="25"/>
      <c r="J1436" s="22"/>
    </row>
    <row r="1437" ht="15.75" customHeight="1">
      <c r="A1437" s="25"/>
      <c r="B1437" s="22"/>
      <c r="C1437" s="25"/>
      <c r="D1437" s="22"/>
      <c r="E1437" s="25"/>
      <c r="F1437" s="22"/>
      <c r="G1437" s="25"/>
      <c r="H1437" s="22"/>
      <c r="I1437" s="25"/>
      <c r="J1437" s="22"/>
    </row>
    <row r="1438" ht="15.75" customHeight="1">
      <c r="A1438" s="25"/>
      <c r="B1438" s="22"/>
      <c r="C1438" s="25"/>
      <c r="D1438" s="22"/>
      <c r="E1438" s="25"/>
      <c r="F1438" s="22"/>
      <c r="G1438" s="25"/>
      <c r="H1438" s="22"/>
      <c r="I1438" s="25"/>
      <c r="J1438" s="22"/>
    </row>
    <row r="1439" ht="15.75" customHeight="1">
      <c r="A1439" s="25"/>
      <c r="B1439" s="22"/>
      <c r="C1439" s="25"/>
      <c r="D1439" s="22"/>
      <c r="E1439" s="25"/>
      <c r="F1439" s="22"/>
      <c r="G1439" s="25"/>
      <c r="H1439" s="22"/>
      <c r="I1439" s="25"/>
      <c r="J1439" s="22"/>
    </row>
    <row r="1440" ht="15.75" customHeight="1">
      <c r="A1440" s="25"/>
      <c r="B1440" s="22"/>
      <c r="C1440" s="25"/>
      <c r="D1440" s="22"/>
      <c r="E1440" s="25"/>
      <c r="F1440" s="22"/>
      <c r="G1440" s="25"/>
      <c r="H1440" s="22"/>
      <c r="I1440" s="25"/>
      <c r="J1440" s="22"/>
    </row>
    <row r="1441" ht="15.75" customHeight="1">
      <c r="A1441" s="25"/>
      <c r="B1441" s="22"/>
      <c r="C1441" s="25"/>
      <c r="D1441" s="22"/>
      <c r="E1441" s="25"/>
      <c r="F1441" s="22"/>
      <c r="G1441" s="25"/>
      <c r="H1441" s="22"/>
      <c r="I1441" s="25"/>
      <c r="J1441" s="22"/>
    </row>
    <row r="1442" ht="15.75" customHeight="1">
      <c r="A1442" s="25"/>
      <c r="B1442" s="22"/>
      <c r="C1442" s="25"/>
      <c r="D1442" s="22"/>
      <c r="E1442" s="25"/>
      <c r="F1442" s="22"/>
      <c r="G1442" s="25"/>
      <c r="H1442" s="22"/>
      <c r="I1442" s="25"/>
      <c r="J1442" s="22"/>
    </row>
    <row r="1443" ht="15.75" customHeight="1">
      <c r="A1443" s="25"/>
      <c r="B1443" s="22"/>
      <c r="C1443" s="25"/>
      <c r="D1443" s="22"/>
      <c r="E1443" s="25"/>
      <c r="F1443" s="22"/>
      <c r="G1443" s="25"/>
      <c r="H1443" s="22"/>
      <c r="I1443" s="25"/>
      <c r="J1443" s="22"/>
    </row>
    <row r="1444" ht="15.75" customHeight="1">
      <c r="A1444" s="25"/>
      <c r="B1444" s="22"/>
      <c r="C1444" s="25"/>
      <c r="D1444" s="22"/>
      <c r="E1444" s="25"/>
      <c r="F1444" s="22"/>
      <c r="G1444" s="25"/>
      <c r="H1444" s="22"/>
      <c r="I1444" s="25"/>
      <c r="J1444" s="22"/>
    </row>
    <row r="1445" ht="15.75" customHeight="1">
      <c r="A1445" s="25"/>
      <c r="B1445" s="22"/>
      <c r="C1445" s="25"/>
      <c r="D1445" s="22"/>
      <c r="E1445" s="25"/>
      <c r="F1445" s="22"/>
      <c r="G1445" s="25"/>
      <c r="H1445" s="22"/>
      <c r="I1445" s="25"/>
      <c r="J1445" s="22"/>
    </row>
    <row r="1446" ht="15.75" customHeight="1">
      <c r="A1446" s="25"/>
      <c r="B1446" s="22"/>
      <c r="C1446" s="25"/>
      <c r="D1446" s="22"/>
      <c r="E1446" s="25"/>
      <c r="F1446" s="22"/>
      <c r="G1446" s="25"/>
      <c r="H1446" s="22"/>
      <c r="I1446" s="25"/>
      <c r="J1446" s="22"/>
    </row>
    <row r="1447" ht="15.75" customHeight="1">
      <c r="A1447" s="25"/>
      <c r="B1447" s="22"/>
      <c r="C1447" s="25"/>
      <c r="D1447" s="22"/>
      <c r="E1447" s="25"/>
      <c r="F1447" s="22"/>
      <c r="G1447" s="25"/>
      <c r="H1447" s="22"/>
      <c r="I1447" s="25"/>
      <c r="J1447" s="22"/>
    </row>
    <row r="1448" ht="15.75" customHeight="1">
      <c r="A1448" s="25"/>
      <c r="B1448" s="22"/>
      <c r="C1448" s="25"/>
      <c r="D1448" s="22"/>
      <c r="E1448" s="25"/>
      <c r="F1448" s="22"/>
      <c r="G1448" s="25"/>
      <c r="H1448" s="22"/>
      <c r="I1448" s="25"/>
      <c r="J1448" s="22"/>
    </row>
    <row r="1449" ht="15.75" customHeight="1">
      <c r="A1449" s="25"/>
      <c r="B1449" s="22"/>
      <c r="C1449" s="25"/>
      <c r="D1449" s="22"/>
      <c r="E1449" s="25"/>
      <c r="F1449" s="22"/>
      <c r="G1449" s="25"/>
      <c r="H1449" s="22"/>
      <c r="I1449" s="25"/>
      <c r="J1449" s="22"/>
    </row>
    <row r="1450" ht="15.75" customHeight="1">
      <c r="A1450" s="25"/>
      <c r="B1450" s="22"/>
      <c r="C1450" s="25"/>
      <c r="D1450" s="22"/>
      <c r="E1450" s="25"/>
      <c r="F1450" s="22"/>
      <c r="G1450" s="25"/>
      <c r="H1450" s="22"/>
      <c r="I1450" s="25"/>
      <c r="J1450" s="22"/>
    </row>
    <row r="1451" ht="15.75" customHeight="1">
      <c r="A1451" s="25"/>
      <c r="B1451" s="22"/>
      <c r="C1451" s="25"/>
      <c r="D1451" s="22"/>
      <c r="E1451" s="25"/>
      <c r="F1451" s="22"/>
      <c r="G1451" s="25"/>
      <c r="H1451" s="22"/>
      <c r="I1451" s="25"/>
      <c r="J1451" s="22"/>
    </row>
    <row r="1452" ht="15.75" customHeight="1">
      <c r="A1452" s="25"/>
      <c r="B1452" s="22"/>
      <c r="C1452" s="25"/>
      <c r="D1452" s="22"/>
      <c r="E1452" s="25"/>
      <c r="F1452" s="22"/>
      <c r="G1452" s="25"/>
      <c r="H1452" s="22"/>
      <c r="I1452" s="25"/>
      <c r="J1452" s="22"/>
    </row>
    <row r="1453" ht="15.75" customHeight="1">
      <c r="A1453" s="25"/>
      <c r="B1453" s="22"/>
      <c r="C1453" s="25"/>
      <c r="D1453" s="22"/>
      <c r="E1453" s="25"/>
      <c r="F1453" s="22"/>
      <c r="G1453" s="25"/>
      <c r="H1453" s="22"/>
      <c r="I1453" s="25"/>
      <c r="J1453" s="22"/>
    </row>
    <row r="1454" ht="15.75" customHeight="1">
      <c r="A1454" s="25"/>
      <c r="B1454" s="22"/>
      <c r="C1454" s="25"/>
      <c r="D1454" s="22"/>
      <c r="E1454" s="25"/>
      <c r="F1454" s="22"/>
      <c r="G1454" s="25"/>
      <c r="H1454" s="22"/>
      <c r="I1454" s="25"/>
      <c r="J1454" s="22"/>
    </row>
    <row r="1455" ht="15.75" customHeight="1">
      <c r="A1455" s="25"/>
      <c r="B1455" s="22"/>
      <c r="C1455" s="25"/>
      <c r="D1455" s="22"/>
      <c r="E1455" s="25"/>
      <c r="F1455" s="22"/>
      <c r="G1455" s="25"/>
      <c r="H1455" s="22"/>
      <c r="I1455" s="25"/>
      <c r="J1455" s="22"/>
    </row>
    <row r="1456" ht="15.75" customHeight="1">
      <c r="A1456" s="25"/>
      <c r="B1456" s="22"/>
      <c r="C1456" s="25"/>
      <c r="D1456" s="22"/>
      <c r="E1456" s="25"/>
      <c r="F1456" s="22"/>
      <c r="G1456" s="25"/>
      <c r="H1456" s="22"/>
      <c r="I1456" s="25"/>
      <c r="J1456" s="22"/>
    </row>
    <row r="1457" ht="15.75" customHeight="1">
      <c r="A1457" s="25"/>
      <c r="B1457" s="22"/>
      <c r="C1457" s="25"/>
      <c r="D1457" s="22"/>
      <c r="E1457" s="25"/>
      <c r="F1457" s="22"/>
      <c r="G1457" s="25"/>
      <c r="H1457" s="22"/>
      <c r="I1457" s="25"/>
      <c r="J1457" s="22"/>
    </row>
    <row r="1458" ht="15.75" customHeight="1">
      <c r="A1458" s="25"/>
      <c r="B1458" s="22"/>
      <c r="C1458" s="25"/>
      <c r="D1458" s="22"/>
      <c r="E1458" s="25"/>
      <c r="F1458" s="22"/>
      <c r="G1458" s="25"/>
      <c r="H1458" s="22"/>
      <c r="I1458" s="25"/>
      <c r="J1458" s="22"/>
    </row>
    <row r="1459" ht="15.75" customHeight="1">
      <c r="A1459" s="25"/>
      <c r="B1459" s="22"/>
      <c r="C1459" s="25"/>
      <c r="D1459" s="22"/>
      <c r="E1459" s="25"/>
      <c r="F1459" s="22"/>
      <c r="G1459" s="25"/>
      <c r="H1459" s="22"/>
      <c r="I1459" s="25"/>
      <c r="J1459" s="22"/>
    </row>
    <row r="1460" ht="15.75" customHeight="1">
      <c r="A1460" s="25"/>
      <c r="B1460" s="22"/>
      <c r="C1460" s="25"/>
      <c r="D1460" s="22"/>
      <c r="E1460" s="25"/>
      <c r="F1460" s="22"/>
      <c r="G1460" s="25"/>
      <c r="H1460" s="22"/>
      <c r="I1460" s="25"/>
      <c r="J1460" s="22"/>
    </row>
    <row r="1461" ht="15.75" customHeight="1">
      <c r="A1461" s="25"/>
      <c r="B1461" s="22"/>
      <c r="C1461" s="25"/>
      <c r="D1461" s="22"/>
      <c r="E1461" s="25"/>
      <c r="F1461" s="22"/>
      <c r="G1461" s="25"/>
      <c r="H1461" s="22"/>
      <c r="I1461" s="25"/>
      <c r="J1461" s="22"/>
    </row>
    <row r="1462" ht="15.75" customHeight="1">
      <c r="A1462" s="25"/>
      <c r="B1462" s="22"/>
      <c r="C1462" s="25"/>
      <c r="D1462" s="22"/>
      <c r="E1462" s="25"/>
      <c r="F1462" s="22"/>
      <c r="G1462" s="25"/>
      <c r="H1462" s="22"/>
      <c r="I1462" s="25"/>
      <c r="J1462" s="22"/>
    </row>
    <row r="1463" ht="15.75" customHeight="1">
      <c r="A1463" s="25"/>
      <c r="B1463" s="22"/>
      <c r="C1463" s="25"/>
      <c r="D1463" s="22"/>
      <c r="E1463" s="25"/>
      <c r="F1463" s="22"/>
      <c r="G1463" s="25"/>
      <c r="H1463" s="22"/>
      <c r="I1463" s="25"/>
      <c r="J1463" s="22"/>
    </row>
    <row r="1464" ht="15.75" customHeight="1">
      <c r="A1464" s="25"/>
      <c r="B1464" s="22"/>
      <c r="C1464" s="25"/>
      <c r="D1464" s="22"/>
      <c r="E1464" s="25"/>
      <c r="F1464" s="22"/>
      <c r="G1464" s="25"/>
      <c r="H1464" s="22"/>
      <c r="I1464" s="25"/>
      <c r="J1464" s="22"/>
    </row>
    <row r="1465" ht="15.75" customHeight="1">
      <c r="A1465" s="25"/>
      <c r="B1465" s="22"/>
      <c r="C1465" s="25"/>
      <c r="D1465" s="22"/>
      <c r="E1465" s="25"/>
      <c r="F1465" s="22"/>
      <c r="G1465" s="25"/>
      <c r="H1465" s="22"/>
      <c r="I1465" s="25"/>
      <c r="J1465" s="22"/>
    </row>
    <row r="1466" ht="15.75" customHeight="1">
      <c r="A1466" s="25"/>
      <c r="B1466" s="22"/>
      <c r="C1466" s="25"/>
      <c r="D1466" s="22"/>
      <c r="E1466" s="25"/>
      <c r="F1466" s="22"/>
      <c r="G1466" s="25"/>
      <c r="H1466" s="22"/>
      <c r="I1466" s="25"/>
      <c r="J1466" s="22"/>
    </row>
    <row r="1467" ht="15.75" customHeight="1">
      <c r="A1467" s="25"/>
      <c r="B1467" s="22"/>
      <c r="C1467" s="25"/>
      <c r="D1467" s="22"/>
      <c r="E1467" s="25"/>
      <c r="F1467" s="22"/>
      <c r="G1467" s="25"/>
      <c r="H1467" s="22"/>
      <c r="I1467" s="25"/>
      <c r="J1467" s="22"/>
    </row>
    <row r="1468" ht="15.75" customHeight="1">
      <c r="A1468" s="25"/>
      <c r="B1468" s="22"/>
      <c r="C1468" s="25"/>
      <c r="D1468" s="22"/>
      <c r="E1468" s="25"/>
      <c r="F1468" s="22"/>
      <c r="G1468" s="25"/>
      <c r="H1468" s="22"/>
      <c r="I1468" s="25"/>
      <c r="J1468" s="22"/>
    </row>
    <row r="1469" ht="15.75" customHeight="1">
      <c r="A1469" s="25"/>
      <c r="B1469" s="22"/>
      <c r="C1469" s="25"/>
      <c r="D1469" s="22"/>
      <c r="E1469" s="25"/>
      <c r="F1469" s="22"/>
      <c r="G1469" s="25"/>
      <c r="H1469" s="22"/>
      <c r="I1469" s="25"/>
      <c r="J1469" s="22"/>
    </row>
    <row r="1470" ht="15.75" customHeight="1">
      <c r="A1470" s="25"/>
      <c r="B1470" s="22"/>
      <c r="C1470" s="25"/>
      <c r="D1470" s="22"/>
      <c r="E1470" s="25"/>
      <c r="F1470" s="22"/>
      <c r="G1470" s="25"/>
      <c r="H1470" s="22"/>
      <c r="I1470" s="25"/>
      <c r="J1470" s="22"/>
    </row>
    <row r="1471" ht="15.75" customHeight="1">
      <c r="A1471" s="25"/>
      <c r="B1471" s="22"/>
      <c r="C1471" s="25"/>
      <c r="D1471" s="22"/>
      <c r="E1471" s="25"/>
      <c r="F1471" s="22"/>
      <c r="G1471" s="25"/>
      <c r="H1471" s="22"/>
      <c r="I1471" s="25"/>
      <c r="J1471" s="22"/>
    </row>
    <row r="1472" ht="15.75" customHeight="1">
      <c r="A1472" s="25"/>
      <c r="B1472" s="22"/>
      <c r="C1472" s="25"/>
      <c r="D1472" s="22"/>
      <c r="E1472" s="25"/>
      <c r="F1472" s="22"/>
      <c r="G1472" s="25"/>
      <c r="H1472" s="22"/>
      <c r="I1472" s="25"/>
      <c r="J1472" s="22"/>
    </row>
    <row r="1473" ht="15.75" customHeight="1">
      <c r="A1473" s="25"/>
      <c r="B1473" s="22"/>
      <c r="C1473" s="25"/>
      <c r="D1473" s="22"/>
      <c r="E1473" s="25"/>
      <c r="F1473" s="22"/>
      <c r="G1473" s="25"/>
      <c r="H1473" s="22"/>
      <c r="I1473" s="25"/>
      <c r="J1473" s="22"/>
    </row>
    <row r="1474" ht="15.75" customHeight="1">
      <c r="A1474" s="25"/>
      <c r="B1474" s="22"/>
      <c r="C1474" s="25"/>
      <c r="D1474" s="22"/>
      <c r="E1474" s="25"/>
      <c r="F1474" s="22"/>
      <c r="G1474" s="25"/>
      <c r="H1474" s="22"/>
      <c r="I1474" s="25"/>
      <c r="J1474" s="22"/>
    </row>
    <row r="1475" ht="15.75" customHeight="1">
      <c r="A1475" s="25"/>
      <c r="B1475" s="22"/>
      <c r="C1475" s="25"/>
      <c r="D1475" s="22"/>
      <c r="E1475" s="25"/>
      <c r="F1475" s="22"/>
      <c r="G1475" s="25"/>
      <c r="H1475" s="22"/>
      <c r="I1475" s="25"/>
      <c r="J1475" s="22"/>
    </row>
    <row r="1476" ht="15.75" customHeight="1">
      <c r="A1476" s="25"/>
      <c r="B1476" s="22"/>
      <c r="C1476" s="25"/>
      <c r="D1476" s="22"/>
      <c r="E1476" s="25"/>
      <c r="F1476" s="22"/>
      <c r="G1476" s="25"/>
      <c r="H1476" s="22"/>
      <c r="I1476" s="25"/>
      <c r="J1476" s="22"/>
    </row>
    <row r="1477" ht="15.75" customHeight="1">
      <c r="A1477" s="25"/>
      <c r="B1477" s="22"/>
      <c r="C1477" s="25"/>
      <c r="D1477" s="22"/>
      <c r="E1477" s="25"/>
      <c r="F1477" s="22"/>
      <c r="G1477" s="25"/>
      <c r="H1477" s="22"/>
      <c r="I1477" s="25"/>
      <c r="J1477" s="22"/>
    </row>
    <row r="1478" ht="15.75" customHeight="1">
      <c r="A1478" s="25"/>
      <c r="B1478" s="22"/>
      <c r="C1478" s="25"/>
      <c r="D1478" s="22"/>
      <c r="E1478" s="25"/>
      <c r="F1478" s="22"/>
      <c r="G1478" s="25"/>
      <c r="H1478" s="22"/>
      <c r="I1478" s="25"/>
      <c r="J1478" s="22"/>
    </row>
    <row r="1479" ht="15.75" customHeight="1">
      <c r="A1479" s="25"/>
      <c r="B1479" s="22"/>
      <c r="C1479" s="25"/>
      <c r="D1479" s="22"/>
      <c r="E1479" s="25"/>
      <c r="F1479" s="22"/>
      <c r="G1479" s="25"/>
      <c r="H1479" s="22"/>
      <c r="I1479" s="25"/>
      <c r="J1479" s="22"/>
    </row>
    <row r="1480" ht="15.75" customHeight="1">
      <c r="A1480" s="25"/>
      <c r="B1480" s="22"/>
      <c r="C1480" s="25"/>
      <c r="D1480" s="22"/>
      <c r="E1480" s="25"/>
      <c r="F1480" s="22"/>
      <c r="G1480" s="25"/>
      <c r="H1480" s="22"/>
      <c r="I1480" s="25"/>
      <c r="J1480" s="22"/>
    </row>
    <row r="1481" ht="15.75" customHeight="1">
      <c r="A1481" s="25"/>
      <c r="B1481" s="22"/>
      <c r="C1481" s="25"/>
      <c r="D1481" s="22"/>
      <c r="E1481" s="25"/>
      <c r="F1481" s="22"/>
      <c r="G1481" s="25"/>
      <c r="H1481" s="22"/>
      <c r="I1481" s="25"/>
      <c r="J1481" s="22"/>
    </row>
    <row r="1482" ht="15.75" customHeight="1">
      <c r="A1482" s="25"/>
      <c r="B1482" s="22"/>
      <c r="C1482" s="25"/>
      <c r="D1482" s="22"/>
      <c r="E1482" s="25"/>
      <c r="F1482" s="22"/>
      <c r="G1482" s="25"/>
      <c r="H1482" s="22"/>
      <c r="I1482" s="25"/>
      <c r="J1482" s="22"/>
    </row>
    <row r="1483" ht="15.75" customHeight="1">
      <c r="A1483" s="25"/>
      <c r="B1483" s="22"/>
      <c r="C1483" s="25"/>
      <c r="D1483" s="22"/>
      <c r="E1483" s="25"/>
      <c r="F1483" s="22"/>
      <c r="G1483" s="25"/>
      <c r="H1483" s="22"/>
      <c r="I1483" s="25"/>
      <c r="J1483" s="22"/>
    </row>
    <row r="1484" ht="15.75" customHeight="1">
      <c r="A1484" s="25"/>
      <c r="B1484" s="22"/>
      <c r="C1484" s="25"/>
      <c r="D1484" s="22"/>
      <c r="E1484" s="25"/>
      <c r="F1484" s="22"/>
      <c r="G1484" s="25"/>
      <c r="H1484" s="22"/>
      <c r="I1484" s="25"/>
      <c r="J1484" s="22"/>
    </row>
    <row r="1485" ht="15.75" customHeight="1">
      <c r="A1485" s="25"/>
      <c r="B1485" s="22"/>
      <c r="C1485" s="25"/>
      <c r="D1485" s="22"/>
      <c r="E1485" s="25"/>
      <c r="F1485" s="22"/>
      <c r="G1485" s="25"/>
      <c r="H1485" s="22"/>
      <c r="I1485" s="25"/>
      <c r="J1485" s="22"/>
    </row>
    <row r="1486" ht="15.75" customHeight="1">
      <c r="A1486" s="25"/>
      <c r="B1486" s="22"/>
      <c r="C1486" s="25"/>
      <c r="D1486" s="22"/>
      <c r="E1486" s="25"/>
      <c r="F1486" s="22"/>
      <c r="G1486" s="25"/>
      <c r="H1486" s="22"/>
      <c r="I1486" s="25"/>
      <c r="J1486" s="22"/>
    </row>
    <row r="1487" ht="15.75" customHeight="1">
      <c r="A1487" s="25"/>
      <c r="B1487" s="22"/>
      <c r="C1487" s="25"/>
      <c r="D1487" s="22"/>
      <c r="E1487" s="25"/>
      <c r="F1487" s="22"/>
      <c r="G1487" s="25"/>
      <c r="H1487" s="22"/>
      <c r="I1487" s="25"/>
      <c r="J1487" s="22"/>
    </row>
    <row r="1488" ht="15.75" customHeight="1">
      <c r="A1488" s="25"/>
      <c r="B1488" s="22"/>
      <c r="C1488" s="25"/>
      <c r="D1488" s="22"/>
      <c r="E1488" s="25"/>
      <c r="F1488" s="22"/>
      <c r="G1488" s="25"/>
      <c r="H1488" s="22"/>
      <c r="I1488" s="25"/>
      <c r="J1488" s="22"/>
    </row>
    <row r="1489" ht="15.75" customHeight="1">
      <c r="A1489" s="25"/>
      <c r="B1489" s="22"/>
      <c r="C1489" s="25"/>
      <c r="D1489" s="22"/>
      <c r="E1489" s="25"/>
      <c r="F1489" s="22"/>
      <c r="G1489" s="25"/>
      <c r="H1489" s="22"/>
      <c r="I1489" s="25"/>
      <c r="J1489" s="22"/>
    </row>
    <row r="1490" ht="15.75" customHeight="1">
      <c r="A1490" s="25"/>
      <c r="B1490" s="22"/>
      <c r="C1490" s="25"/>
      <c r="D1490" s="22"/>
      <c r="E1490" s="25"/>
      <c r="F1490" s="22"/>
      <c r="G1490" s="25"/>
      <c r="H1490" s="22"/>
      <c r="I1490" s="25"/>
      <c r="J1490" s="22"/>
    </row>
    <row r="1491" ht="15.75" customHeight="1">
      <c r="A1491" s="25"/>
      <c r="B1491" s="22"/>
      <c r="C1491" s="25"/>
      <c r="D1491" s="22"/>
      <c r="E1491" s="25"/>
      <c r="F1491" s="22"/>
      <c r="G1491" s="25"/>
      <c r="H1491" s="22"/>
      <c r="I1491" s="25"/>
      <c r="J1491" s="22"/>
    </row>
    <row r="1492" ht="15.75" customHeight="1">
      <c r="A1492" s="25"/>
      <c r="B1492" s="22"/>
      <c r="C1492" s="25"/>
      <c r="D1492" s="22"/>
      <c r="E1492" s="25"/>
      <c r="F1492" s="22"/>
      <c r="G1492" s="25"/>
      <c r="H1492" s="22"/>
      <c r="I1492" s="25"/>
      <c r="J1492" s="22"/>
    </row>
    <row r="1493" ht="15.75" customHeight="1">
      <c r="A1493" s="25"/>
      <c r="B1493" s="22"/>
      <c r="C1493" s="25"/>
      <c r="D1493" s="22"/>
      <c r="E1493" s="25"/>
      <c r="F1493" s="22"/>
      <c r="G1493" s="25"/>
      <c r="H1493" s="22"/>
      <c r="I1493" s="25"/>
      <c r="J1493" s="22"/>
    </row>
    <row r="1494" ht="15.75" customHeight="1">
      <c r="A1494" s="25"/>
      <c r="B1494" s="22"/>
      <c r="C1494" s="25"/>
      <c r="D1494" s="22"/>
      <c r="E1494" s="25"/>
      <c r="F1494" s="22"/>
      <c r="G1494" s="25"/>
      <c r="H1494" s="22"/>
      <c r="I1494" s="25"/>
      <c r="J1494" s="22"/>
    </row>
    <row r="1495" ht="15.75" customHeight="1">
      <c r="A1495" s="25"/>
      <c r="B1495" s="22"/>
      <c r="C1495" s="25"/>
      <c r="D1495" s="22"/>
      <c r="E1495" s="25"/>
      <c r="F1495" s="22"/>
      <c r="G1495" s="25"/>
      <c r="H1495" s="22"/>
      <c r="I1495" s="25"/>
      <c r="J1495" s="22"/>
    </row>
    <row r="1496" ht="15.75" customHeight="1">
      <c r="A1496" s="25"/>
      <c r="B1496" s="22"/>
      <c r="C1496" s="25"/>
      <c r="D1496" s="22"/>
      <c r="E1496" s="25"/>
      <c r="F1496" s="22"/>
      <c r="G1496" s="25"/>
      <c r="H1496" s="22"/>
      <c r="I1496" s="25"/>
      <c r="J1496" s="22"/>
    </row>
    <row r="1497" ht="15.75" customHeight="1">
      <c r="A1497" s="25"/>
      <c r="B1497" s="22"/>
      <c r="C1497" s="25"/>
      <c r="D1497" s="22"/>
      <c r="E1497" s="25"/>
      <c r="F1497" s="22"/>
      <c r="G1497" s="25"/>
      <c r="H1497" s="22"/>
      <c r="I1497" s="25"/>
      <c r="J1497" s="22"/>
    </row>
    <row r="1498" ht="15.75" customHeight="1">
      <c r="A1498" s="25"/>
      <c r="B1498" s="22"/>
      <c r="C1498" s="25"/>
      <c r="D1498" s="22"/>
      <c r="E1498" s="25"/>
      <c r="F1498" s="22"/>
      <c r="G1498" s="25"/>
      <c r="H1498" s="22"/>
      <c r="I1498" s="25"/>
      <c r="J1498" s="22"/>
    </row>
    <row r="1499" ht="15.75" customHeight="1">
      <c r="A1499" s="25"/>
      <c r="B1499" s="22"/>
      <c r="C1499" s="25"/>
      <c r="D1499" s="22"/>
      <c r="E1499" s="25"/>
      <c r="F1499" s="22"/>
      <c r="G1499" s="25"/>
      <c r="H1499" s="22"/>
      <c r="I1499" s="25"/>
      <c r="J1499" s="22"/>
    </row>
    <row r="1500" ht="15.75" customHeight="1">
      <c r="A1500" s="25"/>
      <c r="B1500" s="22"/>
      <c r="C1500" s="25"/>
      <c r="D1500" s="22"/>
      <c r="E1500" s="25"/>
      <c r="F1500" s="22"/>
      <c r="G1500" s="25"/>
      <c r="H1500" s="22"/>
      <c r="I1500" s="25"/>
      <c r="J1500" s="22"/>
    </row>
    <row r="1501" ht="15.75" customHeight="1">
      <c r="A1501" s="25"/>
      <c r="B1501" s="22"/>
      <c r="C1501" s="25"/>
      <c r="D1501" s="22"/>
      <c r="E1501" s="25"/>
      <c r="F1501" s="22"/>
      <c r="G1501" s="25"/>
      <c r="H1501" s="22"/>
      <c r="I1501" s="25"/>
      <c r="J1501" s="22"/>
    </row>
    <row r="1502" ht="15.75" customHeight="1">
      <c r="A1502" s="25"/>
      <c r="B1502" s="22"/>
      <c r="C1502" s="25"/>
      <c r="D1502" s="22"/>
      <c r="E1502" s="25"/>
      <c r="F1502" s="22"/>
      <c r="G1502" s="25"/>
      <c r="H1502" s="22"/>
      <c r="I1502" s="25"/>
      <c r="J1502" s="22"/>
    </row>
    <row r="1503" ht="15.75" customHeight="1">
      <c r="A1503" s="25"/>
      <c r="B1503" s="22"/>
      <c r="C1503" s="25"/>
      <c r="D1503" s="22"/>
      <c r="E1503" s="25"/>
      <c r="F1503" s="22"/>
      <c r="G1503" s="25"/>
      <c r="H1503" s="22"/>
      <c r="I1503" s="25"/>
      <c r="J1503" s="22"/>
    </row>
    <row r="1504" ht="15.75" customHeight="1">
      <c r="A1504" s="25"/>
      <c r="B1504" s="22"/>
      <c r="C1504" s="25"/>
      <c r="D1504" s="22"/>
      <c r="E1504" s="25"/>
      <c r="F1504" s="22"/>
      <c r="G1504" s="25"/>
      <c r="H1504" s="22"/>
      <c r="I1504" s="25"/>
      <c r="J1504" s="22"/>
    </row>
    <row r="1505" ht="15.75" customHeight="1">
      <c r="A1505" s="25"/>
      <c r="B1505" s="22"/>
      <c r="C1505" s="25"/>
      <c r="D1505" s="22"/>
      <c r="E1505" s="25"/>
      <c r="F1505" s="22"/>
      <c r="G1505" s="25"/>
      <c r="H1505" s="22"/>
      <c r="I1505" s="25"/>
      <c r="J1505" s="22"/>
    </row>
    <row r="1506" ht="15.75" customHeight="1">
      <c r="A1506" s="25"/>
      <c r="B1506" s="22"/>
      <c r="C1506" s="25"/>
      <c r="D1506" s="22"/>
      <c r="E1506" s="25"/>
      <c r="F1506" s="22"/>
      <c r="G1506" s="25"/>
      <c r="H1506" s="22"/>
      <c r="I1506" s="25"/>
      <c r="J1506" s="22"/>
    </row>
    <row r="1507" ht="15.75" customHeight="1">
      <c r="A1507" s="25"/>
      <c r="B1507" s="22"/>
      <c r="C1507" s="25"/>
      <c r="D1507" s="22"/>
      <c r="E1507" s="25"/>
      <c r="F1507" s="22"/>
      <c r="G1507" s="25"/>
      <c r="H1507" s="22"/>
      <c r="I1507" s="25"/>
      <c r="J1507" s="22"/>
    </row>
    <row r="1508" ht="15.75" customHeight="1">
      <c r="A1508" s="25"/>
      <c r="B1508" s="22"/>
      <c r="C1508" s="25"/>
      <c r="D1508" s="22"/>
      <c r="E1508" s="25"/>
      <c r="F1508" s="22"/>
      <c r="G1508" s="25"/>
      <c r="H1508" s="22"/>
      <c r="I1508" s="25"/>
      <c r="J1508" s="22"/>
    </row>
    <row r="1509" ht="15.75" customHeight="1">
      <c r="A1509" s="25"/>
      <c r="B1509" s="22"/>
      <c r="C1509" s="25"/>
      <c r="D1509" s="22"/>
      <c r="E1509" s="25"/>
      <c r="F1509" s="22"/>
      <c r="G1509" s="25"/>
      <c r="H1509" s="22"/>
      <c r="I1509" s="25"/>
      <c r="J1509" s="22"/>
    </row>
    <row r="1510" ht="15.75" customHeight="1">
      <c r="A1510" s="25"/>
      <c r="B1510" s="22"/>
      <c r="C1510" s="25"/>
      <c r="D1510" s="22"/>
      <c r="E1510" s="25"/>
      <c r="F1510" s="22"/>
      <c r="G1510" s="25"/>
      <c r="H1510" s="22"/>
      <c r="I1510" s="25"/>
      <c r="J1510" s="22"/>
    </row>
    <row r="1511" ht="15.75" customHeight="1">
      <c r="A1511" s="25"/>
      <c r="B1511" s="22"/>
      <c r="C1511" s="25"/>
      <c r="D1511" s="22"/>
      <c r="E1511" s="25"/>
      <c r="F1511" s="22"/>
      <c r="G1511" s="25"/>
      <c r="H1511" s="22"/>
      <c r="I1511" s="25"/>
      <c r="J1511" s="22"/>
    </row>
    <row r="1512" ht="15.75" customHeight="1">
      <c r="A1512" s="25"/>
      <c r="B1512" s="22"/>
      <c r="C1512" s="25"/>
      <c r="D1512" s="22"/>
      <c r="E1512" s="25"/>
      <c r="F1512" s="22"/>
      <c r="G1512" s="25"/>
      <c r="H1512" s="22"/>
      <c r="I1512" s="25"/>
      <c r="J1512" s="22"/>
    </row>
    <row r="1513" ht="15.75" customHeight="1">
      <c r="A1513" s="25"/>
      <c r="B1513" s="22"/>
      <c r="C1513" s="25"/>
      <c r="D1513" s="22"/>
      <c r="E1513" s="25"/>
      <c r="F1513" s="22"/>
      <c r="G1513" s="25"/>
      <c r="H1513" s="22"/>
      <c r="I1513" s="25"/>
      <c r="J1513" s="22"/>
    </row>
    <row r="1514" ht="15.75" customHeight="1">
      <c r="A1514" s="25"/>
      <c r="B1514" s="22"/>
      <c r="C1514" s="25"/>
      <c r="D1514" s="22"/>
      <c r="E1514" s="25"/>
      <c r="F1514" s="22"/>
      <c r="G1514" s="25"/>
      <c r="H1514" s="22"/>
      <c r="I1514" s="25"/>
      <c r="J1514" s="22"/>
    </row>
    <row r="1515" ht="15.75" customHeight="1">
      <c r="A1515" s="25"/>
      <c r="B1515" s="22"/>
      <c r="C1515" s="25"/>
      <c r="D1515" s="22"/>
      <c r="E1515" s="25"/>
      <c r="F1515" s="22"/>
      <c r="G1515" s="25"/>
      <c r="H1515" s="22"/>
      <c r="I1515" s="25"/>
      <c r="J1515" s="22"/>
    </row>
    <row r="1516" ht="15.75" customHeight="1">
      <c r="A1516" s="25"/>
      <c r="B1516" s="22"/>
      <c r="C1516" s="25"/>
      <c r="D1516" s="22"/>
      <c r="E1516" s="25"/>
      <c r="F1516" s="22"/>
      <c r="G1516" s="25"/>
      <c r="H1516" s="22"/>
      <c r="I1516" s="25"/>
      <c r="J1516" s="22"/>
    </row>
    <row r="1517" ht="15.75" customHeight="1">
      <c r="A1517" s="25"/>
      <c r="B1517" s="22"/>
      <c r="C1517" s="25"/>
      <c r="D1517" s="22"/>
      <c r="E1517" s="25"/>
      <c r="F1517" s="22"/>
      <c r="G1517" s="25"/>
      <c r="H1517" s="22"/>
      <c r="I1517" s="25"/>
      <c r="J1517" s="22"/>
    </row>
    <row r="1518" ht="15.75" customHeight="1">
      <c r="A1518" s="25"/>
      <c r="B1518" s="22"/>
      <c r="C1518" s="25"/>
      <c r="D1518" s="22"/>
      <c r="E1518" s="25"/>
      <c r="F1518" s="22"/>
      <c r="G1518" s="25"/>
      <c r="H1518" s="22"/>
      <c r="I1518" s="25"/>
      <c r="J1518" s="22"/>
    </row>
    <row r="1519" ht="15.75" customHeight="1">
      <c r="A1519" s="25"/>
      <c r="B1519" s="22"/>
      <c r="C1519" s="25"/>
      <c r="D1519" s="22"/>
      <c r="E1519" s="25"/>
      <c r="F1519" s="22"/>
      <c r="G1519" s="25"/>
      <c r="H1519" s="22"/>
      <c r="I1519" s="25"/>
      <c r="J1519" s="22"/>
    </row>
    <row r="1520" ht="15.75" customHeight="1">
      <c r="A1520" s="25"/>
      <c r="B1520" s="22"/>
      <c r="C1520" s="25"/>
      <c r="D1520" s="22"/>
      <c r="E1520" s="25"/>
      <c r="F1520" s="22"/>
      <c r="G1520" s="25"/>
      <c r="H1520" s="22"/>
      <c r="I1520" s="25"/>
      <c r="J1520" s="22"/>
    </row>
    <row r="1521" ht="15.75" customHeight="1">
      <c r="A1521" s="25"/>
      <c r="B1521" s="22"/>
      <c r="C1521" s="25"/>
      <c r="D1521" s="22"/>
      <c r="E1521" s="25"/>
      <c r="F1521" s="22"/>
      <c r="G1521" s="25"/>
      <c r="H1521" s="22"/>
      <c r="I1521" s="25"/>
      <c r="J1521" s="22"/>
    </row>
    <row r="1522" ht="15.75" customHeight="1">
      <c r="A1522" s="25"/>
      <c r="B1522" s="22"/>
      <c r="C1522" s="25"/>
      <c r="D1522" s="22"/>
      <c r="E1522" s="25"/>
      <c r="F1522" s="22"/>
      <c r="G1522" s="25"/>
      <c r="H1522" s="22"/>
      <c r="I1522" s="25"/>
      <c r="J1522" s="22"/>
    </row>
    <row r="1523" ht="15.75" customHeight="1">
      <c r="A1523" s="25"/>
      <c r="B1523" s="22"/>
      <c r="C1523" s="25"/>
      <c r="D1523" s="22"/>
      <c r="E1523" s="25"/>
      <c r="F1523" s="22"/>
      <c r="G1523" s="25"/>
      <c r="H1523" s="22"/>
      <c r="I1523" s="25"/>
      <c r="J1523" s="22"/>
    </row>
    <row r="1524" ht="15.75" customHeight="1">
      <c r="A1524" s="25"/>
      <c r="B1524" s="22"/>
      <c r="C1524" s="25"/>
      <c r="D1524" s="22"/>
      <c r="E1524" s="25"/>
      <c r="F1524" s="22"/>
      <c r="G1524" s="25"/>
      <c r="H1524" s="22"/>
      <c r="I1524" s="25"/>
      <c r="J1524" s="22"/>
    </row>
    <row r="1525" ht="15.75" customHeight="1">
      <c r="A1525" s="25"/>
      <c r="B1525" s="22"/>
      <c r="C1525" s="25"/>
      <c r="D1525" s="22"/>
      <c r="E1525" s="25"/>
      <c r="F1525" s="22"/>
      <c r="G1525" s="25"/>
      <c r="H1525" s="22"/>
      <c r="I1525" s="25"/>
      <c r="J1525" s="22"/>
    </row>
    <row r="1526" ht="15.75" customHeight="1">
      <c r="A1526" s="25"/>
      <c r="B1526" s="22"/>
      <c r="C1526" s="25"/>
      <c r="D1526" s="22"/>
      <c r="E1526" s="25"/>
      <c r="F1526" s="22"/>
      <c r="G1526" s="25"/>
      <c r="H1526" s="22"/>
      <c r="I1526" s="25"/>
      <c r="J1526" s="22"/>
    </row>
    <row r="1527" ht="15.75" customHeight="1">
      <c r="A1527" s="25"/>
      <c r="B1527" s="22"/>
      <c r="C1527" s="25"/>
      <c r="D1527" s="22"/>
      <c r="E1527" s="25"/>
      <c r="F1527" s="22"/>
      <c r="G1527" s="25"/>
      <c r="H1527" s="22"/>
      <c r="I1527" s="25"/>
      <c r="J1527" s="22"/>
    </row>
    <row r="1528" ht="15.75" customHeight="1">
      <c r="A1528" s="25"/>
      <c r="B1528" s="22"/>
      <c r="C1528" s="25"/>
      <c r="D1528" s="22"/>
      <c r="E1528" s="25"/>
      <c r="F1528" s="22"/>
      <c r="G1528" s="25"/>
      <c r="H1528" s="22"/>
      <c r="I1528" s="25"/>
      <c r="J1528" s="22"/>
    </row>
    <row r="1529" ht="15.75" customHeight="1">
      <c r="A1529" s="25"/>
      <c r="B1529" s="22"/>
      <c r="C1529" s="25"/>
      <c r="D1529" s="22"/>
      <c r="E1529" s="25"/>
      <c r="F1529" s="22"/>
      <c r="G1529" s="25"/>
      <c r="H1529" s="22"/>
      <c r="I1529" s="25"/>
      <c r="J1529" s="22"/>
    </row>
    <row r="1530" ht="15.75" customHeight="1">
      <c r="A1530" s="25"/>
      <c r="B1530" s="22"/>
      <c r="C1530" s="25"/>
      <c r="D1530" s="22"/>
      <c r="E1530" s="25"/>
      <c r="F1530" s="22"/>
      <c r="G1530" s="25"/>
      <c r="H1530" s="22"/>
      <c r="I1530" s="25"/>
      <c r="J1530" s="22"/>
    </row>
    <row r="1531" ht="15.75" customHeight="1">
      <c r="A1531" s="25"/>
      <c r="B1531" s="22"/>
      <c r="C1531" s="25"/>
      <c r="D1531" s="22"/>
      <c r="E1531" s="25"/>
      <c r="F1531" s="22"/>
      <c r="G1531" s="25"/>
      <c r="H1531" s="22"/>
      <c r="I1531" s="25"/>
      <c r="J1531" s="22"/>
    </row>
    <row r="1532" ht="15.75" customHeight="1">
      <c r="A1532" s="25"/>
      <c r="B1532" s="22"/>
      <c r="C1532" s="25"/>
      <c r="D1532" s="22"/>
      <c r="E1532" s="25"/>
      <c r="F1532" s="22"/>
      <c r="G1532" s="25"/>
      <c r="H1532" s="22"/>
      <c r="I1532" s="25"/>
      <c r="J1532" s="22"/>
    </row>
    <row r="1533" ht="15.75" customHeight="1">
      <c r="A1533" s="25"/>
      <c r="B1533" s="22"/>
      <c r="C1533" s="25"/>
      <c r="D1533" s="22"/>
      <c r="E1533" s="25"/>
      <c r="F1533" s="22"/>
      <c r="G1533" s="25"/>
      <c r="H1533" s="22"/>
      <c r="I1533" s="25"/>
      <c r="J1533" s="22"/>
    </row>
    <row r="1534" ht="15.75" customHeight="1">
      <c r="A1534" s="25"/>
      <c r="B1534" s="22"/>
      <c r="C1534" s="25"/>
      <c r="D1534" s="22"/>
      <c r="E1534" s="25"/>
      <c r="F1534" s="22"/>
      <c r="G1534" s="25"/>
      <c r="H1534" s="22"/>
      <c r="I1534" s="25"/>
      <c r="J1534" s="22"/>
    </row>
    <row r="1535" ht="15.75" customHeight="1">
      <c r="A1535" s="25"/>
      <c r="B1535" s="22"/>
      <c r="C1535" s="25"/>
      <c r="D1535" s="22"/>
      <c r="E1535" s="25"/>
      <c r="F1535" s="22"/>
      <c r="G1535" s="25"/>
      <c r="H1535" s="22"/>
      <c r="I1535" s="25"/>
      <c r="J1535" s="22"/>
    </row>
    <row r="1536" ht="15.75" customHeight="1">
      <c r="A1536" s="25"/>
      <c r="B1536" s="22"/>
      <c r="C1536" s="25"/>
      <c r="D1536" s="22"/>
      <c r="E1536" s="25"/>
      <c r="F1536" s="22"/>
      <c r="G1536" s="25"/>
      <c r="H1536" s="22"/>
      <c r="I1536" s="25"/>
      <c r="J1536" s="22"/>
    </row>
    <row r="1537" ht="15.75" customHeight="1">
      <c r="A1537" s="25"/>
      <c r="B1537" s="22"/>
      <c r="C1537" s="25"/>
      <c r="D1537" s="22"/>
      <c r="E1537" s="25"/>
      <c r="F1537" s="22"/>
      <c r="G1537" s="25"/>
      <c r="H1537" s="22"/>
      <c r="I1537" s="25"/>
      <c r="J1537" s="22"/>
    </row>
    <row r="1538" ht="15.75" customHeight="1">
      <c r="A1538" s="25"/>
      <c r="B1538" s="22"/>
      <c r="C1538" s="25"/>
      <c r="D1538" s="22"/>
      <c r="E1538" s="25"/>
      <c r="F1538" s="22"/>
      <c r="G1538" s="25"/>
      <c r="H1538" s="22"/>
      <c r="I1538" s="25"/>
      <c r="J1538" s="22"/>
    </row>
    <row r="1539" ht="15.75" customHeight="1">
      <c r="A1539" s="25"/>
      <c r="B1539" s="22"/>
      <c r="C1539" s="25"/>
      <c r="D1539" s="22"/>
      <c r="E1539" s="25"/>
      <c r="F1539" s="22"/>
      <c r="G1539" s="25"/>
      <c r="H1539" s="22"/>
      <c r="I1539" s="25"/>
      <c r="J1539" s="22"/>
    </row>
    <row r="1540" ht="15.75" customHeight="1">
      <c r="A1540" s="25"/>
      <c r="B1540" s="22"/>
      <c r="C1540" s="25"/>
      <c r="D1540" s="22"/>
      <c r="E1540" s="25"/>
      <c r="F1540" s="22"/>
      <c r="G1540" s="25"/>
      <c r="H1540" s="22"/>
      <c r="I1540" s="25"/>
      <c r="J1540" s="22"/>
    </row>
    <row r="1541" ht="15.75" customHeight="1">
      <c r="A1541" s="25"/>
      <c r="B1541" s="22"/>
      <c r="C1541" s="25"/>
      <c r="D1541" s="22"/>
      <c r="E1541" s="25"/>
      <c r="F1541" s="22"/>
      <c r="G1541" s="25"/>
      <c r="H1541" s="22"/>
      <c r="I1541" s="25"/>
      <c r="J1541" s="22"/>
    </row>
    <row r="1542" ht="15.75" customHeight="1">
      <c r="A1542" s="25"/>
      <c r="B1542" s="22"/>
      <c r="C1542" s="25"/>
      <c r="D1542" s="22"/>
      <c r="E1542" s="25"/>
      <c r="F1542" s="22"/>
      <c r="G1542" s="25"/>
      <c r="H1542" s="22"/>
      <c r="I1542" s="25"/>
      <c r="J1542" s="22"/>
    </row>
    <row r="1543" ht="15.75" customHeight="1">
      <c r="A1543" s="25"/>
      <c r="B1543" s="22"/>
      <c r="C1543" s="25"/>
      <c r="D1543" s="22"/>
      <c r="E1543" s="25"/>
      <c r="F1543" s="22"/>
      <c r="G1543" s="25"/>
      <c r="H1543" s="22"/>
      <c r="I1543" s="25"/>
      <c r="J1543" s="22"/>
    </row>
    <row r="1544" ht="15.75" customHeight="1">
      <c r="A1544" s="25"/>
      <c r="B1544" s="22"/>
      <c r="C1544" s="25"/>
      <c r="D1544" s="22"/>
      <c r="E1544" s="25"/>
      <c r="F1544" s="22"/>
      <c r="G1544" s="25"/>
      <c r="H1544" s="22"/>
      <c r="I1544" s="25"/>
      <c r="J1544" s="22"/>
    </row>
    <row r="1545" ht="15.75" customHeight="1">
      <c r="A1545" s="25"/>
      <c r="B1545" s="22"/>
      <c r="C1545" s="25"/>
      <c r="D1545" s="22"/>
      <c r="E1545" s="25"/>
      <c r="F1545" s="22"/>
      <c r="G1545" s="25"/>
      <c r="H1545" s="22"/>
      <c r="I1545" s="25"/>
      <c r="J1545" s="22"/>
    </row>
    <row r="1546" ht="15.75" customHeight="1">
      <c r="A1546" s="25"/>
      <c r="B1546" s="22"/>
      <c r="C1546" s="25"/>
      <c r="D1546" s="22"/>
      <c r="E1546" s="25"/>
      <c r="F1546" s="22"/>
      <c r="G1546" s="25"/>
      <c r="H1546" s="22"/>
      <c r="I1546" s="25"/>
      <c r="J1546" s="22"/>
    </row>
    <row r="1547" ht="15.75" customHeight="1">
      <c r="A1547" s="25"/>
      <c r="B1547" s="22"/>
      <c r="C1547" s="25"/>
      <c r="D1547" s="22"/>
      <c r="E1547" s="25"/>
      <c r="F1547" s="22"/>
      <c r="G1547" s="25"/>
      <c r="H1547" s="22"/>
      <c r="I1547" s="25"/>
      <c r="J1547" s="22"/>
    </row>
    <row r="1548" ht="15.75" customHeight="1">
      <c r="A1548" s="25"/>
      <c r="B1548" s="22"/>
      <c r="C1548" s="25"/>
      <c r="D1548" s="22"/>
      <c r="E1548" s="25"/>
      <c r="F1548" s="22"/>
      <c r="G1548" s="25"/>
      <c r="H1548" s="22"/>
      <c r="I1548" s="25"/>
      <c r="J1548" s="22"/>
    </row>
    <row r="1549" ht="15.75" customHeight="1">
      <c r="A1549" s="25"/>
      <c r="B1549" s="22"/>
      <c r="C1549" s="25"/>
      <c r="D1549" s="22"/>
      <c r="E1549" s="25"/>
      <c r="F1549" s="22"/>
      <c r="G1549" s="25"/>
      <c r="H1549" s="22"/>
      <c r="I1549" s="25"/>
      <c r="J1549" s="22"/>
    </row>
    <row r="1550" ht="15.75" customHeight="1">
      <c r="A1550" s="25"/>
      <c r="B1550" s="22"/>
      <c r="C1550" s="25"/>
      <c r="D1550" s="22"/>
      <c r="E1550" s="25"/>
      <c r="F1550" s="22"/>
      <c r="G1550" s="25"/>
      <c r="H1550" s="22"/>
      <c r="I1550" s="25"/>
      <c r="J1550" s="22"/>
    </row>
    <row r="1551" ht="15.75" customHeight="1">
      <c r="A1551" s="25"/>
      <c r="B1551" s="22"/>
      <c r="C1551" s="25"/>
      <c r="D1551" s="22"/>
      <c r="E1551" s="25"/>
      <c r="F1551" s="22"/>
      <c r="G1551" s="25"/>
      <c r="H1551" s="22"/>
      <c r="I1551" s="25"/>
      <c r="J1551" s="22"/>
    </row>
    <row r="1552" ht="15.75" customHeight="1">
      <c r="A1552" s="25"/>
      <c r="B1552" s="22"/>
      <c r="C1552" s="25"/>
      <c r="D1552" s="22"/>
      <c r="E1552" s="25"/>
      <c r="F1552" s="22"/>
      <c r="G1552" s="25"/>
      <c r="H1552" s="22"/>
      <c r="I1552" s="25"/>
      <c r="J1552" s="22"/>
    </row>
    <row r="1553" ht="15.75" customHeight="1">
      <c r="A1553" s="25"/>
      <c r="B1553" s="22"/>
      <c r="C1553" s="25"/>
      <c r="D1553" s="22"/>
      <c r="E1553" s="25"/>
      <c r="F1553" s="22"/>
      <c r="G1553" s="25"/>
      <c r="H1553" s="22"/>
      <c r="I1553" s="25"/>
      <c r="J1553" s="22"/>
    </row>
    <row r="1554" ht="15.75" customHeight="1">
      <c r="A1554" s="25"/>
      <c r="B1554" s="22"/>
      <c r="C1554" s="25"/>
      <c r="D1554" s="22"/>
      <c r="E1554" s="25"/>
      <c r="F1554" s="22"/>
      <c r="G1554" s="25"/>
      <c r="H1554" s="22"/>
      <c r="I1554" s="25"/>
      <c r="J1554" s="22"/>
    </row>
    <row r="1555" ht="15.75" customHeight="1">
      <c r="A1555" s="25"/>
      <c r="B1555" s="22"/>
      <c r="C1555" s="25"/>
      <c r="D1555" s="22"/>
      <c r="E1555" s="25"/>
      <c r="F1555" s="22"/>
      <c r="G1555" s="25"/>
      <c r="H1555" s="22"/>
      <c r="I1555" s="25"/>
      <c r="J1555" s="22"/>
    </row>
    <row r="1556" ht="15.75" customHeight="1">
      <c r="A1556" s="25"/>
      <c r="B1556" s="22"/>
      <c r="C1556" s="25"/>
      <c r="D1556" s="22"/>
      <c r="E1556" s="25"/>
      <c r="F1556" s="22"/>
      <c r="G1556" s="25"/>
      <c r="H1556" s="22"/>
      <c r="I1556" s="25"/>
      <c r="J1556" s="22"/>
    </row>
    <row r="1557" ht="15.75" customHeight="1">
      <c r="A1557" s="25"/>
      <c r="B1557" s="22"/>
      <c r="C1557" s="25"/>
      <c r="D1557" s="22"/>
      <c r="E1557" s="25"/>
      <c r="F1557" s="22"/>
      <c r="G1557" s="25"/>
      <c r="H1557" s="22"/>
      <c r="I1557" s="25"/>
      <c r="J1557" s="22"/>
    </row>
    <row r="1558" ht="15.75" customHeight="1">
      <c r="A1558" s="25"/>
      <c r="B1558" s="22"/>
      <c r="C1558" s="25"/>
      <c r="D1558" s="22"/>
      <c r="E1558" s="25"/>
      <c r="F1558" s="22"/>
      <c r="G1558" s="25"/>
      <c r="H1558" s="22"/>
      <c r="I1558" s="25"/>
      <c r="J1558" s="22"/>
    </row>
    <row r="1559" ht="15.75" customHeight="1">
      <c r="A1559" s="25"/>
      <c r="B1559" s="22"/>
      <c r="C1559" s="25"/>
      <c r="D1559" s="22"/>
      <c r="E1559" s="25"/>
      <c r="F1559" s="22"/>
      <c r="G1559" s="25"/>
      <c r="H1559" s="22"/>
      <c r="I1559" s="25"/>
      <c r="J1559" s="22"/>
    </row>
    <row r="1560" ht="15.75" customHeight="1">
      <c r="A1560" s="25"/>
      <c r="B1560" s="22"/>
      <c r="C1560" s="25"/>
      <c r="D1560" s="22"/>
      <c r="E1560" s="25"/>
      <c r="F1560" s="22"/>
      <c r="G1560" s="25"/>
      <c r="H1560" s="22"/>
      <c r="I1560" s="25"/>
      <c r="J1560" s="22"/>
    </row>
    <row r="1561" ht="15.75" customHeight="1">
      <c r="A1561" s="25"/>
      <c r="B1561" s="22"/>
      <c r="C1561" s="25"/>
      <c r="D1561" s="22"/>
      <c r="E1561" s="25"/>
      <c r="F1561" s="22"/>
      <c r="G1561" s="25"/>
      <c r="H1561" s="22"/>
      <c r="I1561" s="25"/>
      <c r="J1561" s="22"/>
    </row>
    <row r="1562" ht="15.75" customHeight="1">
      <c r="A1562" s="25"/>
      <c r="B1562" s="22"/>
      <c r="C1562" s="25"/>
      <c r="D1562" s="22"/>
      <c r="E1562" s="25"/>
      <c r="F1562" s="22"/>
      <c r="G1562" s="25"/>
      <c r="H1562" s="22"/>
      <c r="I1562" s="25"/>
      <c r="J1562" s="22"/>
    </row>
    <row r="1563" ht="15.75" customHeight="1">
      <c r="A1563" s="25"/>
      <c r="B1563" s="22"/>
      <c r="C1563" s="25"/>
      <c r="D1563" s="22"/>
      <c r="E1563" s="25"/>
      <c r="F1563" s="22"/>
      <c r="G1563" s="25"/>
      <c r="H1563" s="22"/>
      <c r="I1563" s="25"/>
      <c r="J1563" s="22"/>
    </row>
    <row r="1564" ht="15.75" customHeight="1">
      <c r="A1564" s="25"/>
      <c r="B1564" s="22"/>
      <c r="C1564" s="25"/>
      <c r="D1564" s="22"/>
      <c r="E1564" s="25"/>
      <c r="F1564" s="22"/>
      <c r="G1564" s="25"/>
      <c r="H1564" s="22"/>
      <c r="I1564" s="25"/>
      <c r="J1564" s="22"/>
    </row>
    <row r="1565" ht="15.75" customHeight="1">
      <c r="A1565" s="25"/>
      <c r="B1565" s="22"/>
      <c r="C1565" s="25"/>
      <c r="D1565" s="22"/>
      <c r="E1565" s="25"/>
      <c r="F1565" s="22"/>
      <c r="G1565" s="25"/>
      <c r="H1565" s="22"/>
      <c r="I1565" s="25"/>
      <c r="J1565" s="22"/>
    </row>
    <row r="1566" ht="15.75" customHeight="1">
      <c r="A1566" s="25"/>
      <c r="B1566" s="22"/>
      <c r="C1566" s="25"/>
      <c r="D1566" s="22"/>
      <c r="E1566" s="25"/>
      <c r="F1566" s="22"/>
      <c r="G1566" s="25"/>
      <c r="H1566" s="22"/>
      <c r="I1566" s="25"/>
      <c r="J1566" s="22"/>
    </row>
    <row r="1567" ht="15.75" customHeight="1">
      <c r="A1567" s="25"/>
      <c r="B1567" s="22"/>
      <c r="C1567" s="25"/>
      <c r="D1567" s="22"/>
      <c r="E1567" s="25"/>
      <c r="F1567" s="22"/>
      <c r="G1567" s="25"/>
      <c r="H1567" s="22"/>
      <c r="I1567" s="25"/>
      <c r="J1567" s="22"/>
    </row>
    <row r="1568" ht="15.75" customHeight="1">
      <c r="A1568" s="25"/>
      <c r="B1568" s="22"/>
      <c r="C1568" s="25"/>
      <c r="D1568" s="22"/>
      <c r="E1568" s="25"/>
      <c r="F1568" s="22"/>
      <c r="G1568" s="25"/>
      <c r="H1568" s="22"/>
      <c r="I1568" s="25"/>
      <c r="J1568" s="22"/>
    </row>
    <row r="1569" ht="15.75" customHeight="1">
      <c r="A1569" s="25"/>
      <c r="B1569" s="22"/>
      <c r="C1569" s="25"/>
      <c r="D1569" s="22"/>
      <c r="E1569" s="25"/>
      <c r="F1569" s="22"/>
      <c r="G1569" s="25"/>
      <c r="H1569" s="22"/>
      <c r="I1569" s="25"/>
      <c r="J1569" s="22"/>
    </row>
    <row r="1570" ht="15.75" customHeight="1">
      <c r="A1570" s="25"/>
      <c r="B1570" s="22"/>
      <c r="C1570" s="25"/>
      <c r="D1570" s="22"/>
      <c r="E1570" s="25"/>
      <c r="F1570" s="22"/>
      <c r="G1570" s="25"/>
      <c r="H1570" s="22"/>
      <c r="I1570" s="25"/>
      <c r="J1570" s="22"/>
    </row>
    <row r="1571" ht="15.75" customHeight="1">
      <c r="A1571" s="25"/>
      <c r="B1571" s="22"/>
      <c r="C1571" s="25"/>
      <c r="D1571" s="22"/>
      <c r="E1571" s="25"/>
      <c r="F1571" s="22"/>
      <c r="G1571" s="25"/>
      <c r="H1571" s="22"/>
      <c r="I1571" s="25"/>
      <c r="J1571" s="22"/>
    </row>
    <row r="1572" ht="15.75" customHeight="1">
      <c r="A1572" s="25"/>
      <c r="B1572" s="22"/>
      <c r="C1572" s="25"/>
      <c r="D1572" s="22"/>
      <c r="E1572" s="25"/>
      <c r="F1572" s="22"/>
      <c r="G1572" s="25"/>
      <c r="H1572" s="22"/>
      <c r="I1572" s="25"/>
      <c r="J1572" s="22"/>
    </row>
    <row r="1573" ht="15.75" customHeight="1">
      <c r="A1573" s="25"/>
      <c r="B1573" s="22"/>
      <c r="C1573" s="25"/>
      <c r="D1573" s="22"/>
      <c r="E1573" s="25"/>
      <c r="F1573" s="22"/>
      <c r="G1573" s="25"/>
      <c r="H1573" s="22"/>
      <c r="I1573" s="25"/>
      <c r="J1573" s="22"/>
    </row>
    <row r="1574" ht="15.75" customHeight="1">
      <c r="A1574" s="25"/>
      <c r="B1574" s="22"/>
      <c r="C1574" s="25"/>
      <c r="D1574" s="22"/>
      <c r="E1574" s="25"/>
      <c r="F1574" s="22"/>
      <c r="G1574" s="25"/>
      <c r="H1574" s="22"/>
      <c r="I1574" s="25"/>
      <c r="J1574" s="22"/>
    </row>
    <row r="1575" ht="15.75" customHeight="1">
      <c r="A1575" s="25"/>
      <c r="B1575" s="22"/>
      <c r="C1575" s="25"/>
      <c r="D1575" s="22"/>
      <c r="E1575" s="25"/>
      <c r="F1575" s="22"/>
      <c r="G1575" s="25"/>
      <c r="H1575" s="22"/>
      <c r="I1575" s="25"/>
      <c r="J1575" s="22"/>
    </row>
    <row r="1576" ht="15.75" customHeight="1">
      <c r="A1576" s="25"/>
      <c r="B1576" s="22"/>
      <c r="C1576" s="25"/>
      <c r="D1576" s="22"/>
      <c r="E1576" s="25"/>
      <c r="F1576" s="22"/>
      <c r="G1576" s="25"/>
      <c r="H1576" s="22"/>
      <c r="I1576" s="25"/>
      <c r="J1576" s="22"/>
    </row>
    <row r="1577" ht="15.75" customHeight="1">
      <c r="A1577" s="25"/>
      <c r="B1577" s="22"/>
      <c r="C1577" s="25"/>
      <c r="D1577" s="22"/>
      <c r="E1577" s="25"/>
      <c r="F1577" s="22"/>
      <c r="G1577" s="25"/>
      <c r="H1577" s="22"/>
      <c r="I1577" s="25"/>
      <c r="J1577" s="22"/>
    </row>
    <row r="1578" ht="15.75" customHeight="1">
      <c r="A1578" s="25"/>
      <c r="B1578" s="22"/>
      <c r="C1578" s="25"/>
      <c r="D1578" s="22"/>
      <c r="E1578" s="25"/>
      <c r="F1578" s="22"/>
      <c r="G1578" s="25"/>
      <c r="H1578" s="22"/>
      <c r="I1578" s="25"/>
      <c r="J1578" s="22"/>
    </row>
    <row r="1579" ht="15.75" customHeight="1">
      <c r="A1579" s="25"/>
      <c r="B1579" s="22"/>
      <c r="C1579" s="25"/>
      <c r="D1579" s="22"/>
      <c r="E1579" s="25"/>
      <c r="F1579" s="22"/>
      <c r="G1579" s="25"/>
      <c r="H1579" s="22"/>
      <c r="I1579" s="25"/>
      <c r="J1579" s="22"/>
    </row>
    <row r="1580" ht="15.75" customHeight="1">
      <c r="A1580" s="25"/>
      <c r="B1580" s="22"/>
      <c r="C1580" s="25"/>
      <c r="D1580" s="22"/>
      <c r="E1580" s="25"/>
      <c r="F1580" s="22"/>
      <c r="G1580" s="25"/>
      <c r="H1580" s="22"/>
      <c r="I1580" s="25"/>
      <c r="J1580" s="22"/>
    </row>
    <row r="1581" ht="15.75" customHeight="1">
      <c r="A1581" s="25"/>
      <c r="B1581" s="22"/>
      <c r="C1581" s="25"/>
      <c r="D1581" s="22"/>
      <c r="E1581" s="25"/>
      <c r="F1581" s="22"/>
      <c r="G1581" s="25"/>
      <c r="H1581" s="22"/>
      <c r="I1581" s="25"/>
      <c r="J1581" s="22"/>
    </row>
    <row r="1582" ht="15.75" customHeight="1">
      <c r="A1582" s="25"/>
      <c r="B1582" s="22"/>
      <c r="C1582" s="25"/>
      <c r="D1582" s="22"/>
      <c r="E1582" s="25"/>
      <c r="F1582" s="22"/>
      <c r="G1582" s="25"/>
      <c r="H1582" s="22"/>
      <c r="I1582" s="25"/>
      <c r="J1582" s="22"/>
    </row>
    <row r="1583" ht="15.75" customHeight="1">
      <c r="A1583" s="25"/>
      <c r="B1583" s="22"/>
      <c r="C1583" s="25"/>
      <c r="D1583" s="22"/>
      <c r="E1583" s="25"/>
      <c r="F1583" s="22"/>
      <c r="G1583" s="25"/>
      <c r="H1583" s="22"/>
      <c r="I1583" s="25"/>
      <c r="J1583" s="22"/>
    </row>
    <row r="1584" ht="15.75" customHeight="1">
      <c r="A1584" s="25"/>
      <c r="B1584" s="22"/>
      <c r="C1584" s="25"/>
      <c r="D1584" s="22"/>
      <c r="E1584" s="25"/>
      <c r="F1584" s="22"/>
      <c r="G1584" s="25"/>
      <c r="H1584" s="22"/>
      <c r="I1584" s="25"/>
      <c r="J1584" s="22"/>
    </row>
    <row r="1585" ht="15.75" customHeight="1">
      <c r="A1585" s="25"/>
      <c r="B1585" s="22"/>
      <c r="C1585" s="25"/>
      <c r="D1585" s="22"/>
      <c r="E1585" s="25"/>
      <c r="F1585" s="22"/>
      <c r="G1585" s="25"/>
      <c r="H1585" s="22"/>
      <c r="I1585" s="25"/>
      <c r="J1585" s="22"/>
    </row>
    <row r="1586" ht="15.75" customHeight="1">
      <c r="A1586" s="25"/>
      <c r="B1586" s="22"/>
      <c r="C1586" s="25"/>
      <c r="D1586" s="22"/>
      <c r="E1586" s="25"/>
      <c r="F1586" s="22"/>
      <c r="G1586" s="25"/>
      <c r="H1586" s="22"/>
      <c r="I1586" s="25"/>
      <c r="J1586" s="22"/>
    </row>
    <row r="1587" ht="15.75" customHeight="1">
      <c r="A1587" s="25"/>
      <c r="B1587" s="22"/>
      <c r="C1587" s="25"/>
      <c r="D1587" s="22"/>
      <c r="E1587" s="25"/>
      <c r="F1587" s="22"/>
      <c r="G1587" s="25"/>
      <c r="H1587" s="22"/>
      <c r="I1587" s="25"/>
      <c r="J1587" s="22"/>
    </row>
    <row r="1588" ht="15.75" customHeight="1">
      <c r="A1588" s="25"/>
      <c r="B1588" s="22"/>
      <c r="C1588" s="25"/>
      <c r="D1588" s="22"/>
      <c r="E1588" s="25"/>
      <c r="F1588" s="22"/>
      <c r="G1588" s="25"/>
      <c r="H1588" s="22"/>
      <c r="I1588" s="25"/>
      <c r="J1588" s="22"/>
    </row>
    <row r="1589" ht="15.75" customHeight="1">
      <c r="A1589" s="25"/>
      <c r="B1589" s="22"/>
      <c r="C1589" s="25"/>
      <c r="D1589" s="22"/>
      <c r="E1589" s="25"/>
      <c r="F1589" s="22"/>
      <c r="G1589" s="25"/>
      <c r="H1589" s="22"/>
      <c r="I1589" s="25"/>
      <c r="J1589" s="22"/>
    </row>
    <row r="1590" ht="15.75" customHeight="1">
      <c r="A1590" s="25"/>
      <c r="B1590" s="22"/>
      <c r="C1590" s="25"/>
      <c r="D1590" s="22"/>
      <c r="E1590" s="25"/>
      <c r="F1590" s="22"/>
      <c r="G1590" s="25"/>
      <c r="H1590" s="22"/>
      <c r="I1590" s="25"/>
      <c r="J1590" s="22"/>
    </row>
    <row r="1591" ht="15.75" customHeight="1">
      <c r="A1591" s="25"/>
      <c r="B1591" s="22"/>
      <c r="C1591" s="25"/>
      <c r="D1591" s="22"/>
      <c r="E1591" s="25"/>
      <c r="F1591" s="22"/>
      <c r="G1591" s="25"/>
      <c r="H1591" s="22"/>
      <c r="I1591" s="25"/>
      <c r="J1591" s="22"/>
    </row>
    <row r="1592" ht="15.75" customHeight="1">
      <c r="A1592" s="25"/>
      <c r="B1592" s="22"/>
      <c r="C1592" s="25"/>
      <c r="D1592" s="22"/>
      <c r="E1592" s="25"/>
      <c r="F1592" s="22"/>
      <c r="G1592" s="25"/>
      <c r="H1592" s="22"/>
      <c r="I1592" s="25"/>
      <c r="J1592" s="22"/>
    </row>
    <row r="1593" ht="15.75" customHeight="1">
      <c r="A1593" s="25"/>
      <c r="B1593" s="22"/>
      <c r="C1593" s="25"/>
      <c r="D1593" s="22"/>
      <c r="E1593" s="25"/>
      <c r="F1593" s="22"/>
      <c r="G1593" s="25"/>
      <c r="H1593" s="22"/>
      <c r="I1593" s="25"/>
      <c r="J1593" s="22"/>
    </row>
    <row r="1594" ht="15.75" customHeight="1">
      <c r="A1594" s="25"/>
      <c r="B1594" s="22"/>
      <c r="C1594" s="25"/>
      <c r="D1594" s="22"/>
      <c r="E1594" s="25"/>
      <c r="F1594" s="22"/>
      <c r="G1594" s="25"/>
      <c r="H1594" s="22"/>
      <c r="I1594" s="25"/>
      <c r="J1594" s="22"/>
    </row>
    <row r="1595" ht="15.75" customHeight="1">
      <c r="A1595" s="25"/>
      <c r="B1595" s="22"/>
      <c r="C1595" s="25"/>
      <c r="D1595" s="22"/>
      <c r="E1595" s="25"/>
      <c r="F1595" s="22"/>
      <c r="G1595" s="25"/>
      <c r="H1595" s="22"/>
      <c r="I1595" s="25"/>
      <c r="J1595" s="22"/>
    </row>
    <row r="1596" ht="15.75" customHeight="1">
      <c r="A1596" s="25"/>
      <c r="B1596" s="22"/>
      <c r="C1596" s="25"/>
      <c r="D1596" s="22"/>
      <c r="E1596" s="25"/>
      <c r="F1596" s="22"/>
      <c r="G1596" s="25"/>
      <c r="H1596" s="22"/>
      <c r="I1596" s="25"/>
      <c r="J1596" s="22"/>
    </row>
    <row r="1597" ht="15.75" customHeight="1">
      <c r="A1597" s="25"/>
      <c r="B1597" s="22"/>
      <c r="C1597" s="25"/>
      <c r="D1597" s="22"/>
      <c r="E1597" s="25"/>
      <c r="F1597" s="22"/>
      <c r="G1597" s="25"/>
      <c r="H1597" s="22"/>
      <c r="I1597" s="25"/>
      <c r="J1597" s="22"/>
    </row>
    <row r="1598" ht="15.75" customHeight="1">
      <c r="A1598" s="25"/>
      <c r="B1598" s="22"/>
      <c r="C1598" s="25"/>
      <c r="D1598" s="22"/>
      <c r="E1598" s="25"/>
      <c r="F1598" s="22"/>
      <c r="G1598" s="25"/>
      <c r="H1598" s="22"/>
      <c r="I1598" s="25"/>
      <c r="J1598" s="22"/>
    </row>
    <row r="1599" ht="15.75" customHeight="1">
      <c r="A1599" s="25"/>
      <c r="B1599" s="22"/>
      <c r="C1599" s="25"/>
      <c r="D1599" s="22"/>
      <c r="E1599" s="25"/>
      <c r="F1599" s="22"/>
      <c r="G1599" s="25"/>
      <c r="H1599" s="22"/>
      <c r="I1599" s="25"/>
      <c r="J1599" s="22"/>
    </row>
    <row r="1600" ht="15.75" customHeight="1">
      <c r="A1600" s="25"/>
      <c r="B1600" s="22"/>
      <c r="C1600" s="25"/>
      <c r="D1600" s="22"/>
      <c r="E1600" s="25"/>
      <c r="F1600" s="22"/>
      <c r="G1600" s="25"/>
      <c r="H1600" s="22"/>
      <c r="I1600" s="25"/>
      <c r="J1600" s="22"/>
    </row>
    <row r="1601" ht="15.75" customHeight="1">
      <c r="A1601" s="25"/>
      <c r="B1601" s="22"/>
      <c r="C1601" s="25"/>
      <c r="D1601" s="22"/>
      <c r="E1601" s="25"/>
      <c r="F1601" s="22"/>
      <c r="G1601" s="25"/>
      <c r="H1601" s="22"/>
      <c r="I1601" s="25"/>
      <c r="J1601" s="22"/>
    </row>
    <row r="1602" ht="15.75" customHeight="1">
      <c r="A1602" s="25"/>
      <c r="B1602" s="22"/>
      <c r="C1602" s="25"/>
      <c r="D1602" s="22"/>
      <c r="E1602" s="25"/>
      <c r="F1602" s="22"/>
      <c r="G1602" s="25"/>
      <c r="H1602" s="22"/>
      <c r="I1602" s="25"/>
      <c r="J1602" s="22"/>
    </row>
    <row r="1603" ht="15.75" customHeight="1">
      <c r="A1603" s="25"/>
      <c r="B1603" s="22"/>
      <c r="C1603" s="25"/>
      <c r="D1603" s="22"/>
      <c r="E1603" s="25"/>
      <c r="F1603" s="22"/>
      <c r="G1603" s="25"/>
      <c r="H1603" s="22"/>
      <c r="I1603" s="25"/>
      <c r="J1603" s="22"/>
    </row>
    <row r="1604" ht="15.75" customHeight="1">
      <c r="A1604" s="25"/>
      <c r="B1604" s="22"/>
      <c r="C1604" s="25"/>
      <c r="D1604" s="22"/>
      <c r="E1604" s="25"/>
      <c r="F1604" s="22"/>
      <c r="G1604" s="25"/>
      <c r="H1604" s="22"/>
      <c r="I1604" s="25"/>
      <c r="J1604" s="22"/>
    </row>
    <row r="1605" ht="15.75" customHeight="1">
      <c r="A1605" s="25"/>
      <c r="B1605" s="22"/>
      <c r="C1605" s="25"/>
      <c r="D1605" s="22"/>
      <c r="E1605" s="25"/>
      <c r="F1605" s="22"/>
      <c r="G1605" s="25"/>
      <c r="H1605" s="22"/>
      <c r="I1605" s="25"/>
      <c r="J1605" s="22"/>
    </row>
    <row r="1606" ht="15.75" customHeight="1">
      <c r="A1606" s="25"/>
      <c r="B1606" s="22"/>
      <c r="C1606" s="25"/>
      <c r="D1606" s="22"/>
      <c r="E1606" s="25"/>
      <c r="F1606" s="22"/>
      <c r="G1606" s="25"/>
      <c r="H1606" s="22"/>
      <c r="I1606" s="25"/>
      <c r="J1606" s="22"/>
    </row>
    <row r="1607" ht="15.75" customHeight="1">
      <c r="A1607" s="25"/>
      <c r="B1607" s="22"/>
      <c r="C1607" s="25"/>
      <c r="D1607" s="22"/>
      <c r="E1607" s="25"/>
      <c r="F1607" s="22"/>
      <c r="G1607" s="25"/>
      <c r="H1607" s="22"/>
      <c r="I1607" s="25"/>
      <c r="J1607" s="22"/>
    </row>
    <row r="1608" ht="15.75" customHeight="1">
      <c r="A1608" s="25"/>
      <c r="B1608" s="22"/>
      <c r="C1608" s="25"/>
      <c r="D1608" s="22"/>
      <c r="E1608" s="25"/>
      <c r="F1608" s="22"/>
      <c r="G1608" s="25"/>
      <c r="H1608" s="22"/>
      <c r="I1608" s="25"/>
      <c r="J1608" s="22"/>
    </row>
    <row r="1609" ht="15.75" customHeight="1">
      <c r="A1609" s="25"/>
      <c r="B1609" s="22"/>
      <c r="C1609" s="25"/>
      <c r="D1609" s="22"/>
      <c r="E1609" s="25"/>
      <c r="F1609" s="22"/>
      <c r="G1609" s="25"/>
      <c r="H1609" s="22"/>
      <c r="I1609" s="25"/>
      <c r="J1609" s="22"/>
    </row>
    <row r="1610" ht="15.75" customHeight="1">
      <c r="A1610" s="25"/>
      <c r="B1610" s="22"/>
      <c r="C1610" s="25"/>
      <c r="D1610" s="22"/>
      <c r="E1610" s="25"/>
      <c r="F1610" s="22"/>
      <c r="G1610" s="25"/>
      <c r="H1610" s="22"/>
      <c r="I1610" s="25"/>
      <c r="J1610" s="22"/>
    </row>
    <row r="1611" ht="15.75" customHeight="1">
      <c r="A1611" s="25"/>
      <c r="B1611" s="22"/>
      <c r="C1611" s="25"/>
      <c r="D1611" s="22"/>
      <c r="E1611" s="25"/>
      <c r="F1611" s="22"/>
      <c r="G1611" s="25"/>
      <c r="H1611" s="22"/>
      <c r="I1611" s="25"/>
      <c r="J1611" s="22"/>
    </row>
    <row r="1612" ht="15.75" customHeight="1">
      <c r="A1612" s="25"/>
      <c r="B1612" s="22"/>
      <c r="C1612" s="25"/>
      <c r="D1612" s="22"/>
      <c r="E1612" s="25"/>
      <c r="F1612" s="22"/>
      <c r="G1612" s="25"/>
      <c r="H1612" s="22"/>
      <c r="I1612" s="25"/>
      <c r="J1612" s="22"/>
    </row>
    <row r="1613" ht="15.75" customHeight="1">
      <c r="A1613" s="25"/>
      <c r="B1613" s="22"/>
      <c r="C1613" s="25"/>
      <c r="D1613" s="22"/>
      <c r="E1613" s="25"/>
      <c r="F1613" s="22"/>
      <c r="G1613" s="25"/>
      <c r="H1613" s="22"/>
      <c r="I1613" s="25"/>
      <c r="J1613" s="22"/>
    </row>
    <row r="1614" ht="15.75" customHeight="1">
      <c r="A1614" s="25"/>
      <c r="B1614" s="22"/>
      <c r="C1614" s="25"/>
      <c r="D1614" s="22"/>
      <c r="E1614" s="25"/>
      <c r="F1614" s="22"/>
      <c r="G1614" s="25"/>
      <c r="H1614" s="22"/>
      <c r="I1614" s="25"/>
      <c r="J1614" s="22"/>
    </row>
    <row r="1615" ht="15.75" customHeight="1">
      <c r="A1615" s="25"/>
      <c r="B1615" s="22"/>
      <c r="C1615" s="25"/>
      <c r="D1615" s="22"/>
      <c r="E1615" s="25"/>
      <c r="F1615" s="22"/>
      <c r="G1615" s="25"/>
      <c r="H1615" s="22"/>
      <c r="I1615" s="25"/>
      <c r="J1615" s="22"/>
    </row>
    <row r="1616" ht="15.75" customHeight="1">
      <c r="A1616" s="25"/>
      <c r="B1616" s="22"/>
      <c r="C1616" s="25"/>
      <c r="D1616" s="22"/>
      <c r="E1616" s="25"/>
      <c r="F1616" s="22"/>
      <c r="G1616" s="25"/>
      <c r="H1616" s="22"/>
      <c r="I1616" s="25"/>
      <c r="J1616" s="22"/>
    </row>
    <row r="1617" ht="15.75" customHeight="1">
      <c r="A1617" s="25"/>
      <c r="B1617" s="22"/>
      <c r="C1617" s="25"/>
      <c r="D1617" s="22"/>
      <c r="E1617" s="25"/>
      <c r="F1617" s="22"/>
      <c r="G1617" s="25"/>
      <c r="H1617" s="22"/>
      <c r="I1617" s="25"/>
      <c r="J1617" s="22"/>
    </row>
    <row r="1618" ht="15.75" customHeight="1">
      <c r="A1618" s="25"/>
      <c r="B1618" s="22"/>
      <c r="C1618" s="25"/>
      <c r="D1618" s="22"/>
      <c r="E1618" s="25"/>
      <c r="F1618" s="22"/>
      <c r="G1618" s="25"/>
      <c r="H1618" s="22"/>
      <c r="I1618" s="25"/>
      <c r="J1618" s="22"/>
    </row>
    <row r="1619" ht="15.75" customHeight="1">
      <c r="A1619" s="25"/>
      <c r="B1619" s="22"/>
      <c r="C1619" s="25"/>
      <c r="D1619" s="22"/>
      <c r="E1619" s="25"/>
      <c r="F1619" s="22"/>
      <c r="G1619" s="25"/>
      <c r="H1619" s="22"/>
      <c r="I1619" s="25"/>
      <c r="J1619" s="22"/>
    </row>
    <row r="1620" ht="15.75" customHeight="1">
      <c r="A1620" s="25"/>
      <c r="B1620" s="22"/>
      <c r="C1620" s="25"/>
      <c r="D1620" s="22"/>
      <c r="E1620" s="25"/>
      <c r="F1620" s="22"/>
      <c r="G1620" s="25"/>
      <c r="H1620" s="22"/>
      <c r="I1620" s="25"/>
      <c r="J1620" s="22"/>
    </row>
    <row r="1621" ht="15.75" customHeight="1">
      <c r="A1621" s="25"/>
      <c r="B1621" s="22"/>
      <c r="C1621" s="25"/>
      <c r="D1621" s="22"/>
      <c r="E1621" s="25"/>
      <c r="F1621" s="22"/>
      <c r="G1621" s="25"/>
      <c r="H1621" s="22"/>
      <c r="I1621" s="25"/>
      <c r="J1621" s="22"/>
    </row>
    <row r="1622" ht="15.75" customHeight="1">
      <c r="A1622" s="25"/>
      <c r="B1622" s="22"/>
      <c r="C1622" s="25"/>
      <c r="D1622" s="22"/>
      <c r="E1622" s="25"/>
      <c r="F1622" s="22"/>
      <c r="G1622" s="25"/>
      <c r="H1622" s="22"/>
      <c r="I1622" s="25"/>
      <c r="J1622" s="22"/>
    </row>
    <row r="1623" ht="15.75" customHeight="1">
      <c r="A1623" s="25"/>
      <c r="B1623" s="22"/>
      <c r="C1623" s="25"/>
      <c r="D1623" s="22"/>
      <c r="E1623" s="25"/>
      <c r="F1623" s="22"/>
      <c r="G1623" s="25"/>
      <c r="H1623" s="22"/>
      <c r="I1623" s="25"/>
      <c r="J1623" s="22"/>
    </row>
    <row r="1624" ht="15.75" customHeight="1">
      <c r="A1624" s="25"/>
      <c r="B1624" s="22"/>
      <c r="C1624" s="25"/>
      <c r="D1624" s="22"/>
      <c r="E1624" s="25"/>
      <c r="F1624" s="22"/>
      <c r="G1624" s="25"/>
      <c r="H1624" s="22"/>
      <c r="I1624" s="25"/>
      <c r="J1624" s="22"/>
    </row>
    <row r="1625" ht="15.75" customHeight="1">
      <c r="A1625" s="25"/>
      <c r="B1625" s="22"/>
      <c r="C1625" s="25"/>
      <c r="D1625" s="22"/>
      <c r="E1625" s="25"/>
      <c r="F1625" s="22"/>
      <c r="G1625" s="25"/>
      <c r="H1625" s="22"/>
      <c r="I1625" s="25"/>
      <c r="J1625" s="22"/>
    </row>
    <row r="1626" ht="15.75" customHeight="1">
      <c r="A1626" s="25"/>
      <c r="B1626" s="22"/>
      <c r="C1626" s="25"/>
      <c r="D1626" s="22"/>
      <c r="E1626" s="25"/>
      <c r="F1626" s="22"/>
      <c r="G1626" s="25"/>
      <c r="H1626" s="22"/>
      <c r="I1626" s="25"/>
      <c r="J1626" s="22"/>
    </row>
    <row r="1627" ht="15.75" customHeight="1">
      <c r="A1627" s="25"/>
      <c r="B1627" s="22"/>
      <c r="C1627" s="25"/>
      <c r="D1627" s="22"/>
      <c r="E1627" s="25"/>
      <c r="F1627" s="22"/>
      <c r="G1627" s="25"/>
      <c r="H1627" s="22"/>
      <c r="I1627" s="25"/>
      <c r="J1627" s="22"/>
    </row>
    <row r="1628" ht="15.75" customHeight="1">
      <c r="A1628" s="25"/>
      <c r="B1628" s="22"/>
      <c r="C1628" s="25"/>
      <c r="D1628" s="22"/>
      <c r="E1628" s="25"/>
      <c r="F1628" s="22"/>
      <c r="G1628" s="25"/>
      <c r="H1628" s="22"/>
      <c r="I1628" s="25"/>
      <c r="J1628" s="22"/>
    </row>
    <row r="1629" ht="15.75" customHeight="1">
      <c r="A1629" s="25"/>
      <c r="B1629" s="22"/>
      <c r="C1629" s="25"/>
      <c r="D1629" s="22"/>
      <c r="E1629" s="25"/>
      <c r="F1629" s="22"/>
      <c r="G1629" s="25"/>
      <c r="H1629" s="22"/>
      <c r="I1629" s="25"/>
      <c r="J1629" s="22"/>
    </row>
    <row r="1630" ht="15.75" customHeight="1">
      <c r="A1630" s="25"/>
      <c r="B1630" s="22"/>
      <c r="C1630" s="25"/>
      <c r="D1630" s="22"/>
      <c r="E1630" s="25"/>
      <c r="F1630" s="22"/>
      <c r="G1630" s="25"/>
      <c r="H1630" s="22"/>
      <c r="I1630" s="25"/>
      <c r="J1630" s="22"/>
    </row>
    <row r="1631" ht="15.75" customHeight="1">
      <c r="A1631" s="25"/>
      <c r="B1631" s="22"/>
      <c r="C1631" s="25"/>
      <c r="D1631" s="22"/>
      <c r="E1631" s="25"/>
      <c r="F1631" s="22"/>
      <c r="G1631" s="25"/>
      <c r="H1631" s="22"/>
      <c r="I1631" s="25"/>
      <c r="J1631" s="22"/>
    </row>
    <row r="1632" ht="15.75" customHeight="1">
      <c r="A1632" s="25"/>
      <c r="B1632" s="22"/>
      <c r="C1632" s="25"/>
      <c r="D1632" s="22"/>
      <c r="E1632" s="25"/>
      <c r="F1632" s="22"/>
      <c r="G1632" s="25"/>
      <c r="H1632" s="22"/>
      <c r="I1632" s="25"/>
      <c r="J1632" s="22"/>
    </row>
    <row r="1633" ht="15.75" customHeight="1">
      <c r="A1633" s="25"/>
      <c r="B1633" s="22"/>
      <c r="C1633" s="25"/>
      <c r="D1633" s="22"/>
      <c r="E1633" s="25"/>
      <c r="F1633" s="22"/>
      <c r="G1633" s="25"/>
      <c r="H1633" s="22"/>
      <c r="I1633" s="25"/>
      <c r="J1633" s="22"/>
    </row>
    <row r="1634" ht="15.75" customHeight="1">
      <c r="A1634" s="25"/>
      <c r="B1634" s="22"/>
      <c r="C1634" s="25"/>
      <c r="D1634" s="22"/>
      <c r="E1634" s="25"/>
      <c r="F1634" s="22"/>
      <c r="G1634" s="25"/>
      <c r="H1634" s="22"/>
      <c r="I1634" s="25"/>
      <c r="J1634" s="22"/>
    </row>
    <row r="1635" ht="15.75" customHeight="1">
      <c r="A1635" s="25"/>
      <c r="B1635" s="22"/>
      <c r="C1635" s="25"/>
      <c r="D1635" s="22"/>
      <c r="E1635" s="25"/>
      <c r="F1635" s="22"/>
      <c r="G1635" s="25"/>
      <c r="H1635" s="22"/>
      <c r="I1635" s="25"/>
      <c r="J1635" s="22"/>
    </row>
    <row r="1636" ht="15.75" customHeight="1">
      <c r="A1636" s="25"/>
      <c r="B1636" s="22"/>
      <c r="C1636" s="25"/>
      <c r="D1636" s="22"/>
      <c r="E1636" s="25"/>
      <c r="F1636" s="22"/>
      <c r="G1636" s="25"/>
      <c r="H1636" s="22"/>
      <c r="I1636" s="25"/>
      <c r="J1636" s="22"/>
    </row>
    <row r="1637" ht="15.75" customHeight="1">
      <c r="A1637" s="25"/>
      <c r="B1637" s="22"/>
      <c r="C1637" s="25"/>
      <c r="D1637" s="22"/>
      <c r="E1637" s="25"/>
      <c r="F1637" s="22"/>
      <c r="G1637" s="25"/>
      <c r="H1637" s="22"/>
      <c r="I1637" s="25"/>
      <c r="J1637" s="22"/>
    </row>
    <row r="1638" ht="15.75" customHeight="1">
      <c r="A1638" s="25"/>
      <c r="B1638" s="22"/>
      <c r="C1638" s="25"/>
      <c r="D1638" s="22"/>
      <c r="E1638" s="25"/>
      <c r="F1638" s="22"/>
      <c r="G1638" s="25"/>
      <c r="H1638" s="22"/>
      <c r="I1638" s="25"/>
      <c r="J1638" s="22"/>
    </row>
    <row r="1639" ht="15.75" customHeight="1">
      <c r="A1639" s="25"/>
      <c r="B1639" s="22"/>
      <c r="C1639" s="25"/>
      <c r="D1639" s="22"/>
      <c r="E1639" s="25"/>
      <c r="F1639" s="22"/>
      <c r="G1639" s="25"/>
      <c r="H1639" s="22"/>
      <c r="I1639" s="25"/>
      <c r="J1639" s="22"/>
    </row>
    <row r="1640" ht="15.75" customHeight="1">
      <c r="A1640" s="25"/>
      <c r="B1640" s="22"/>
      <c r="C1640" s="25"/>
      <c r="D1640" s="22"/>
      <c r="E1640" s="25"/>
      <c r="F1640" s="22"/>
      <c r="G1640" s="25"/>
      <c r="H1640" s="22"/>
      <c r="I1640" s="25"/>
      <c r="J1640" s="22"/>
    </row>
    <row r="1641" ht="15.75" customHeight="1">
      <c r="A1641" s="25"/>
      <c r="B1641" s="22"/>
      <c r="C1641" s="25"/>
      <c r="D1641" s="22"/>
      <c r="E1641" s="25"/>
      <c r="F1641" s="22"/>
      <c r="G1641" s="25"/>
      <c r="H1641" s="22"/>
      <c r="I1641" s="25"/>
      <c r="J1641" s="22"/>
    </row>
    <row r="1642" ht="15.75" customHeight="1">
      <c r="A1642" s="25"/>
      <c r="B1642" s="22"/>
      <c r="C1642" s="25"/>
      <c r="D1642" s="22"/>
      <c r="E1642" s="25"/>
      <c r="F1642" s="22"/>
      <c r="G1642" s="25"/>
      <c r="H1642" s="22"/>
      <c r="I1642" s="25"/>
      <c r="J1642" s="22"/>
    </row>
    <row r="1643" ht="15.75" customHeight="1">
      <c r="A1643" s="25"/>
      <c r="B1643" s="22"/>
      <c r="C1643" s="25"/>
      <c r="D1643" s="22"/>
      <c r="E1643" s="25"/>
      <c r="F1643" s="22"/>
      <c r="G1643" s="25"/>
      <c r="H1643" s="22"/>
      <c r="I1643" s="25"/>
      <c r="J1643" s="22"/>
    </row>
    <row r="1644" ht="15.75" customHeight="1">
      <c r="A1644" s="25"/>
      <c r="B1644" s="22"/>
      <c r="C1644" s="25"/>
      <c r="D1644" s="22"/>
      <c r="E1644" s="25"/>
      <c r="F1644" s="22"/>
      <c r="G1644" s="25"/>
      <c r="H1644" s="22"/>
      <c r="I1644" s="25"/>
      <c r="J1644" s="22"/>
    </row>
    <row r="1645" ht="15.75" customHeight="1">
      <c r="A1645" s="25"/>
      <c r="B1645" s="22"/>
      <c r="C1645" s="25"/>
      <c r="D1645" s="22"/>
      <c r="E1645" s="25"/>
      <c r="F1645" s="22"/>
      <c r="G1645" s="25"/>
      <c r="H1645" s="22"/>
      <c r="I1645" s="25"/>
      <c r="J1645" s="22"/>
    </row>
    <row r="1646" ht="15.75" customHeight="1">
      <c r="A1646" s="25"/>
      <c r="B1646" s="22"/>
      <c r="C1646" s="25"/>
      <c r="D1646" s="22"/>
      <c r="F1646" s="25"/>
      <c r="G1646" s="22"/>
      <c r="H1646" s="25"/>
      <c r="I1646" s="22"/>
      <c r="J1646" s="25"/>
    </row>
    <row r="1647" ht="15.75" customHeight="1">
      <c r="A1647" s="25"/>
      <c r="B1647" s="22"/>
      <c r="C1647" s="25"/>
      <c r="D1647" s="22"/>
      <c r="F1647" s="25"/>
      <c r="G1647" s="22"/>
      <c r="H1647" s="25"/>
      <c r="I1647" s="22"/>
      <c r="J1647" s="25"/>
    </row>
    <row r="1648" ht="15.75" customHeight="1">
      <c r="A1648" s="25"/>
      <c r="B1648" s="22"/>
      <c r="C1648" s="25"/>
      <c r="D1648" s="22"/>
      <c r="F1648" s="25"/>
      <c r="G1648" s="22"/>
      <c r="H1648" s="25"/>
      <c r="I1648" s="22"/>
      <c r="J1648" s="25"/>
    </row>
    <row r="1649" ht="15.75" customHeight="1">
      <c r="A1649" s="25"/>
      <c r="B1649" s="22"/>
      <c r="C1649" s="25"/>
      <c r="D1649" s="22"/>
      <c r="F1649" s="25"/>
      <c r="G1649" s="22"/>
      <c r="H1649" s="25"/>
      <c r="I1649" s="22"/>
      <c r="J1649" s="25"/>
    </row>
    <row r="1650" ht="15.75" customHeight="1">
      <c r="A1650" s="25"/>
      <c r="B1650" s="22"/>
      <c r="C1650" s="25"/>
      <c r="D1650" s="22"/>
      <c r="F1650" s="25"/>
      <c r="G1650" s="22"/>
      <c r="H1650" s="25"/>
      <c r="I1650" s="22"/>
      <c r="J1650" s="25"/>
    </row>
    <row r="1651" ht="15.75" customHeight="1">
      <c r="A1651" s="25"/>
      <c r="B1651" s="22"/>
      <c r="C1651" s="25"/>
      <c r="D1651" s="22"/>
      <c r="F1651" s="25"/>
      <c r="G1651" s="22"/>
      <c r="H1651" s="25"/>
      <c r="I1651" s="22"/>
      <c r="J1651" s="25"/>
    </row>
    <row r="1652" ht="15.75" customHeight="1">
      <c r="A1652" s="25"/>
      <c r="B1652" s="22"/>
      <c r="C1652" s="25"/>
      <c r="D1652" s="22"/>
      <c r="F1652" s="25"/>
      <c r="G1652" s="22"/>
      <c r="H1652" s="25"/>
      <c r="I1652" s="22"/>
      <c r="J1652" s="25"/>
    </row>
    <row r="1653" ht="15.75" customHeight="1">
      <c r="A1653" s="25"/>
      <c r="B1653" s="22"/>
      <c r="C1653" s="25"/>
      <c r="D1653" s="22"/>
      <c r="F1653" s="25"/>
      <c r="G1653" s="22"/>
      <c r="H1653" s="25"/>
      <c r="I1653" s="22"/>
      <c r="J1653" s="25"/>
    </row>
    <row r="1654" ht="15.75" customHeight="1">
      <c r="A1654" s="25"/>
      <c r="B1654" s="22"/>
      <c r="C1654" s="25"/>
      <c r="D1654" s="22"/>
      <c r="F1654" s="25"/>
      <c r="G1654" s="22"/>
      <c r="H1654" s="25"/>
      <c r="I1654" s="22"/>
      <c r="J1654" s="25"/>
    </row>
    <row r="1655" ht="15.75" customHeight="1">
      <c r="A1655" s="25"/>
      <c r="B1655" s="22"/>
      <c r="C1655" s="25"/>
      <c r="D1655" s="22"/>
      <c r="F1655" s="25"/>
      <c r="G1655" s="22"/>
      <c r="H1655" s="25"/>
      <c r="I1655" s="22"/>
      <c r="J1655" s="25"/>
    </row>
    <row r="1656" ht="15.75" customHeight="1">
      <c r="A1656" s="25"/>
      <c r="B1656" s="22"/>
      <c r="C1656" s="25"/>
      <c r="D1656" s="22"/>
      <c r="F1656" s="25"/>
      <c r="G1656" s="22"/>
      <c r="H1656" s="25"/>
      <c r="I1656" s="22"/>
      <c r="J1656" s="25"/>
    </row>
    <row r="1657" ht="15.75" customHeight="1">
      <c r="A1657" s="25"/>
      <c r="B1657" s="22"/>
      <c r="C1657" s="25"/>
      <c r="D1657" s="22"/>
      <c r="F1657" s="25"/>
      <c r="G1657" s="22"/>
      <c r="H1657" s="25"/>
      <c r="I1657" s="22"/>
      <c r="J1657" s="25"/>
    </row>
    <row r="1658" ht="15.75" customHeight="1">
      <c r="A1658" s="25"/>
      <c r="B1658" s="22"/>
      <c r="C1658" s="25"/>
      <c r="D1658" s="22"/>
      <c r="F1658" s="25"/>
      <c r="G1658" s="22"/>
      <c r="H1658" s="25"/>
      <c r="I1658" s="22"/>
      <c r="J1658" s="25"/>
    </row>
    <row r="1659" ht="15.75" customHeight="1">
      <c r="A1659" s="25"/>
      <c r="B1659" s="22"/>
      <c r="C1659" s="25"/>
      <c r="D1659" s="22"/>
      <c r="F1659" s="25"/>
      <c r="G1659" s="22"/>
      <c r="H1659" s="25"/>
      <c r="I1659" s="22"/>
      <c r="J1659" s="25"/>
    </row>
    <row r="1660" ht="15.75" customHeight="1">
      <c r="A1660" s="25"/>
      <c r="B1660" s="22"/>
      <c r="C1660" s="25"/>
      <c r="D1660" s="22"/>
      <c r="F1660" s="25"/>
      <c r="G1660" s="22"/>
      <c r="H1660" s="25"/>
      <c r="I1660" s="22"/>
      <c r="J1660" s="25"/>
    </row>
    <row r="1661" ht="15.75" customHeight="1">
      <c r="A1661" s="25"/>
      <c r="B1661" s="22"/>
      <c r="C1661" s="25"/>
      <c r="D1661" s="22"/>
      <c r="F1661" s="25"/>
      <c r="G1661" s="22"/>
      <c r="H1661" s="25"/>
      <c r="I1661" s="22"/>
      <c r="J1661" s="25"/>
    </row>
    <row r="1662" ht="15.75" customHeight="1">
      <c r="A1662" s="25"/>
      <c r="B1662" s="22"/>
      <c r="C1662" s="25"/>
      <c r="D1662" s="22"/>
      <c r="F1662" s="25"/>
      <c r="G1662" s="22"/>
      <c r="H1662" s="25"/>
      <c r="I1662" s="22"/>
      <c r="J1662" s="25"/>
    </row>
    <row r="1663" ht="15.75" customHeight="1">
      <c r="A1663" s="25"/>
      <c r="B1663" s="22"/>
      <c r="C1663" s="25"/>
      <c r="D1663" s="22"/>
      <c r="F1663" s="25"/>
      <c r="G1663" s="22"/>
      <c r="H1663" s="25"/>
      <c r="I1663" s="22"/>
      <c r="J1663" s="25"/>
    </row>
    <row r="1664" ht="15.75" customHeight="1">
      <c r="A1664" s="25"/>
      <c r="B1664" s="22"/>
      <c r="C1664" s="25"/>
      <c r="D1664" s="22"/>
      <c r="F1664" s="25"/>
      <c r="G1664" s="22"/>
      <c r="H1664" s="25"/>
      <c r="I1664" s="22"/>
      <c r="J1664" s="25"/>
    </row>
    <row r="1665" ht="15.75" customHeight="1">
      <c r="A1665" s="25"/>
      <c r="B1665" s="22"/>
      <c r="C1665" s="25"/>
      <c r="D1665" s="22"/>
      <c r="F1665" s="25"/>
      <c r="G1665" s="22"/>
      <c r="H1665" s="25"/>
      <c r="I1665" s="22"/>
      <c r="J1665" s="25"/>
    </row>
    <row r="1666" ht="15.75" customHeight="1">
      <c r="A1666" s="25"/>
      <c r="B1666" s="22"/>
      <c r="C1666" s="25"/>
      <c r="D1666" s="22"/>
      <c r="F1666" s="25"/>
      <c r="G1666" s="22"/>
      <c r="H1666" s="25"/>
      <c r="I1666" s="22"/>
      <c r="J1666" s="25"/>
    </row>
    <row r="1667" ht="15.75" customHeight="1">
      <c r="A1667" s="25"/>
      <c r="B1667" s="22"/>
      <c r="C1667" s="25"/>
      <c r="D1667" s="22"/>
      <c r="F1667" s="25"/>
      <c r="G1667" s="22"/>
      <c r="H1667" s="25"/>
      <c r="I1667" s="22"/>
      <c r="J1667" s="25"/>
    </row>
    <row r="1668" ht="15.75" customHeight="1">
      <c r="A1668" s="25"/>
      <c r="B1668" s="22"/>
      <c r="C1668" s="25"/>
      <c r="D1668" s="22"/>
      <c r="F1668" s="25"/>
      <c r="G1668" s="22"/>
      <c r="H1668" s="25"/>
      <c r="I1668" s="22"/>
      <c r="J1668" s="25"/>
    </row>
    <row r="1669" ht="15.75" customHeight="1">
      <c r="A1669" s="25"/>
      <c r="B1669" s="22"/>
      <c r="C1669" s="25"/>
      <c r="D1669" s="22"/>
      <c r="F1669" s="25"/>
      <c r="G1669" s="22"/>
      <c r="H1669" s="25"/>
      <c r="I1669" s="22"/>
      <c r="J1669" s="25"/>
    </row>
    <row r="1670" ht="15.75" customHeight="1">
      <c r="A1670" s="25"/>
      <c r="B1670" s="22"/>
      <c r="C1670" s="25"/>
      <c r="D1670" s="22"/>
      <c r="F1670" s="25"/>
      <c r="G1670" s="22"/>
      <c r="H1670" s="25"/>
      <c r="I1670" s="22"/>
      <c r="J1670" s="25"/>
    </row>
    <row r="1671" ht="15.75" customHeight="1">
      <c r="A1671" s="25"/>
      <c r="B1671" s="22"/>
      <c r="C1671" s="25"/>
      <c r="D1671" s="22"/>
      <c r="F1671" s="25"/>
      <c r="G1671" s="22"/>
      <c r="H1671" s="25"/>
      <c r="I1671" s="22"/>
      <c r="J1671" s="25"/>
    </row>
    <row r="1672" ht="15.75" customHeight="1">
      <c r="A1672" s="25"/>
      <c r="B1672" s="22"/>
      <c r="C1672" s="25"/>
      <c r="D1672" s="22"/>
      <c r="F1672" s="25"/>
      <c r="G1672" s="22"/>
      <c r="H1672" s="25"/>
      <c r="I1672" s="22"/>
      <c r="J1672" s="25"/>
    </row>
    <row r="1673" ht="15.75" customHeight="1">
      <c r="A1673" s="25"/>
      <c r="B1673" s="22"/>
      <c r="C1673" s="25"/>
      <c r="D1673" s="22"/>
      <c r="F1673" s="25"/>
      <c r="G1673" s="22"/>
      <c r="H1673" s="25"/>
      <c r="I1673" s="22"/>
      <c r="J1673" s="25"/>
    </row>
    <row r="1674" ht="15.75" customHeight="1">
      <c r="A1674" s="25"/>
      <c r="B1674" s="22"/>
      <c r="C1674" s="25"/>
      <c r="D1674" s="22"/>
      <c r="F1674" s="25"/>
      <c r="G1674" s="22"/>
      <c r="H1674" s="25"/>
      <c r="I1674" s="22"/>
      <c r="J1674" s="25"/>
    </row>
    <row r="1675" ht="15.75" customHeight="1">
      <c r="A1675" s="25"/>
      <c r="B1675" s="22"/>
      <c r="C1675" s="25"/>
      <c r="D1675" s="22"/>
      <c r="F1675" s="25"/>
      <c r="G1675" s="22"/>
      <c r="H1675" s="25"/>
      <c r="I1675" s="22"/>
      <c r="J1675" s="25"/>
    </row>
    <row r="1676" ht="15.75" customHeight="1">
      <c r="A1676" s="25"/>
      <c r="B1676" s="22"/>
      <c r="C1676" s="25"/>
      <c r="D1676" s="22"/>
      <c r="F1676" s="25"/>
      <c r="G1676" s="22"/>
      <c r="H1676" s="25"/>
      <c r="I1676" s="22"/>
      <c r="J1676" s="25"/>
    </row>
    <row r="1677" ht="15.75" customHeight="1">
      <c r="A1677" s="25"/>
      <c r="B1677" s="22"/>
      <c r="C1677" s="25"/>
      <c r="D1677" s="22"/>
      <c r="F1677" s="25"/>
      <c r="G1677" s="22"/>
      <c r="H1677" s="25"/>
      <c r="I1677" s="22"/>
      <c r="J1677" s="25"/>
    </row>
    <row r="1678" ht="15.75" customHeight="1">
      <c r="A1678" s="25"/>
      <c r="B1678" s="22"/>
      <c r="C1678" s="25"/>
      <c r="D1678" s="22"/>
      <c r="F1678" s="25"/>
      <c r="G1678" s="22"/>
      <c r="H1678" s="25"/>
      <c r="I1678" s="22"/>
      <c r="J1678" s="25"/>
    </row>
    <row r="1679" ht="15.75" customHeight="1">
      <c r="A1679" s="25"/>
      <c r="B1679" s="22"/>
      <c r="C1679" s="25"/>
      <c r="D1679" s="22"/>
      <c r="F1679" s="25"/>
      <c r="G1679" s="22"/>
      <c r="H1679" s="25"/>
      <c r="I1679" s="22"/>
      <c r="J1679" s="25"/>
    </row>
    <row r="1680" ht="15.75" customHeight="1">
      <c r="A1680" s="25"/>
      <c r="B1680" s="22"/>
      <c r="C1680" s="25"/>
      <c r="D1680" s="22"/>
      <c r="F1680" s="25"/>
      <c r="G1680" s="22"/>
      <c r="H1680" s="25"/>
      <c r="I1680" s="22"/>
      <c r="J1680" s="25"/>
    </row>
    <row r="1681" ht="15.75" customHeight="1">
      <c r="A1681" s="25"/>
      <c r="B1681" s="22"/>
      <c r="C1681" s="25"/>
      <c r="D1681" s="22"/>
      <c r="F1681" s="25"/>
      <c r="G1681" s="22"/>
      <c r="H1681" s="25"/>
      <c r="I1681" s="22"/>
      <c r="J1681" s="25"/>
    </row>
    <row r="1682" ht="15.75" customHeight="1">
      <c r="A1682" s="25"/>
      <c r="B1682" s="22"/>
      <c r="C1682" s="25"/>
      <c r="D1682" s="22"/>
      <c r="F1682" s="25"/>
      <c r="G1682" s="22"/>
      <c r="H1682" s="25"/>
      <c r="I1682" s="22"/>
      <c r="J1682" s="25"/>
    </row>
    <row r="1683" ht="15.75" customHeight="1">
      <c r="A1683" s="25"/>
      <c r="B1683" s="22"/>
      <c r="C1683" s="25"/>
      <c r="D1683" s="22"/>
      <c r="F1683" s="25"/>
      <c r="G1683" s="22"/>
      <c r="H1683" s="25"/>
      <c r="I1683" s="22"/>
      <c r="J1683" s="25"/>
    </row>
    <row r="1684" ht="15.75" customHeight="1">
      <c r="A1684" s="25"/>
      <c r="B1684" s="22"/>
      <c r="C1684" s="25"/>
      <c r="D1684" s="22"/>
      <c r="F1684" s="25"/>
      <c r="G1684" s="22"/>
      <c r="H1684" s="25"/>
      <c r="I1684" s="22"/>
      <c r="J1684" s="25"/>
    </row>
    <row r="1685" ht="15.75" customHeight="1">
      <c r="A1685" s="25"/>
      <c r="B1685" s="22"/>
      <c r="C1685" s="25"/>
      <c r="D1685" s="22"/>
      <c r="F1685" s="25"/>
      <c r="G1685" s="22"/>
      <c r="H1685" s="25"/>
      <c r="I1685" s="22"/>
      <c r="J1685" s="25"/>
    </row>
    <row r="1686" ht="15.75" customHeight="1">
      <c r="A1686" s="25"/>
      <c r="B1686" s="22"/>
      <c r="C1686" s="25"/>
      <c r="D1686" s="22"/>
      <c r="F1686" s="25"/>
      <c r="G1686" s="22"/>
      <c r="H1686" s="25"/>
      <c r="I1686" s="22"/>
      <c r="J1686" s="25"/>
    </row>
    <row r="1687" ht="15.75" customHeight="1">
      <c r="A1687" s="25"/>
      <c r="B1687" s="22"/>
      <c r="C1687" s="25"/>
      <c r="D1687" s="22"/>
      <c r="F1687" s="25"/>
      <c r="G1687" s="22"/>
      <c r="H1687" s="25"/>
      <c r="I1687" s="22"/>
      <c r="J1687" s="25"/>
    </row>
    <row r="1688" ht="15.75" customHeight="1">
      <c r="A1688" s="25"/>
      <c r="B1688" s="22"/>
      <c r="C1688" s="25"/>
      <c r="D1688" s="22"/>
      <c r="F1688" s="25"/>
      <c r="G1688" s="22"/>
      <c r="H1688" s="25"/>
      <c r="I1688" s="22"/>
      <c r="J1688" s="25"/>
    </row>
    <row r="1689" ht="15.75" customHeight="1">
      <c r="A1689" s="25"/>
      <c r="B1689" s="22"/>
      <c r="C1689" s="25"/>
      <c r="D1689" s="22"/>
      <c r="F1689" s="25"/>
      <c r="G1689" s="22"/>
      <c r="H1689" s="25"/>
      <c r="I1689" s="22"/>
      <c r="J1689" s="25"/>
    </row>
    <row r="1690" ht="15.75" customHeight="1">
      <c r="A1690" s="25"/>
      <c r="B1690" s="22"/>
      <c r="C1690" s="25"/>
      <c r="D1690" s="22"/>
      <c r="F1690" s="25"/>
      <c r="G1690" s="22"/>
      <c r="H1690" s="25"/>
      <c r="I1690" s="22"/>
      <c r="J1690" s="25"/>
    </row>
    <row r="1691" ht="15.75" customHeight="1">
      <c r="A1691" s="25"/>
      <c r="B1691" s="22"/>
      <c r="C1691" s="25"/>
      <c r="D1691" s="22"/>
      <c r="F1691" s="25"/>
      <c r="G1691" s="22"/>
      <c r="H1691" s="25"/>
      <c r="I1691" s="22"/>
      <c r="J1691" s="25"/>
    </row>
    <row r="1692" ht="15.75" customHeight="1">
      <c r="A1692" s="25"/>
      <c r="B1692" s="22"/>
      <c r="C1692" s="25"/>
      <c r="D1692" s="22"/>
      <c r="F1692" s="25"/>
      <c r="G1692" s="22"/>
      <c r="H1692" s="25"/>
      <c r="I1692" s="22"/>
      <c r="J1692" s="25"/>
    </row>
    <row r="1693" ht="15.75" customHeight="1">
      <c r="A1693" s="25"/>
      <c r="B1693" s="22"/>
      <c r="C1693" s="25"/>
      <c r="D1693" s="22"/>
      <c r="F1693" s="25"/>
      <c r="G1693" s="22"/>
      <c r="H1693" s="25"/>
      <c r="I1693" s="22"/>
      <c r="J1693" s="25"/>
    </row>
    <row r="1694" ht="15.75" customHeight="1">
      <c r="A1694" s="25"/>
      <c r="B1694" s="22"/>
      <c r="C1694" s="25"/>
      <c r="D1694" s="22"/>
      <c r="F1694" s="25"/>
      <c r="G1694" s="22"/>
      <c r="H1694" s="25"/>
      <c r="I1694" s="22"/>
      <c r="J1694" s="25"/>
    </row>
    <row r="1695" ht="15.75" customHeight="1">
      <c r="A1695" s="25"/>
      <c r="B1695" s="22"/>
      <c r="C1695" s="25"/>
      <c r="D1695" s="22"/>
      <c r="F1695" s="25"/>
      <c r="G1695" s="22"/>
      <c r="H1695" s="25"/>
      <c r="I1695" s="22"/>
      <c r="J1695" s="25"/>
    </row>
    <row r="1696" ht="15.75" customHeight="1">
      <c r="A1696" s="25"/>
      <c r="B1696" s="22"/>
      <c r="C1696" s="25"/>
      <c r="D1696" s="22"/>
      <c r="F1696" s="25"/>
      <c r="G1696" s="22"/>
      <c r="H1696" s="25"/>
      <c r="I1696" s="22"/>
      <c r="J1696" s="25"/>
    </row>
    <row r="1697" ht="15.75" customHeight="1">
      <c r="A1697" s="25"/>
      <c r="B1697" s="22"/>
      <c r="C1697" s="25"/>
      <c r="D1697" s="22"/>
      <c r="F1697" s="25"/>
      <c r="G1697" s="22"/>
      <c r="H1697" s="25"/>
      <c r="I1697" s="22"/>
      <c r="J1697" s="25"/>
    </row>
    <row r="1698" ht="15.75" customHeight="1">
      <c r="A1698" s="25"/>
      <c r="B1698" s="22"/>
      <c r="C1698" s="25"/>
      <c r="D1698" s="22"/>
      <c r="F1698" s="25"/>
      <c r="G1698" s="22"/>
      <c r="H1698" s="25"/>
      <c r="I1698" s="22"/>
      <c r="J1698" s="25"/>
    </row>
    <row r="1699" ht="15.75" customHeight="1">
      <c r="A1699" s="25"/>
      <c r="B1699" s="22"/>
      <c r="C1699" s="25"/>
      <c r="D1699" s="22"/>
      <c r="F1699" s="25"/>
      <c r="G1699" s="22"/>
      <c r="H1699" s="25"/>
      <c r="I1699" s="22"/>
      <c r="J1699" s="25"/>
    </row>
    <row r="1700" ht="15.75" customHeight="1">
      <c r="A1700" s="25"/>
      <c r="B1700" s="22"/>
      <c r="C1700" s="25"/>
      <c r="D1700" s="22"/>
      <c r="F1700" s="25"/>
      <c r="G1700" s="22"/>
      <c r="H1700" s="25"/>
      <c r="I1700" s="22"/>
      <c r="J1700" s="25"/>
    </row>
    <row r="1701" ht="15.75" customHeight="1">
      <c r="A1701" s="25"/>
      <c r="B1701" s="22"/>
      <c r="C1701" s="25"/>
      <c r="D1701" s="22"/>
      <c r="F1701" s="25"/>
      <c r="G1701" s="22"/>
      <c r="H1701" s="25"/>
      <c r="I1701" s="22"/>
      <c r="J1701" s="25"/>
    </row>
    <row r="1702" ht="15.75" customHeight="1">
      <c r="A1702" s="25"/>
      <c r="B1702" s="22"/>
      <c r="C1702" s="25"/>
      <c r="D1702" s="22"/>
      <c r="F1702" s="25"/>
      <c r="G1702" s="22"/>
      <c r="H1702" s="25"/>
      <c r="I1702" s="22"/>
      <c r="J1702" s="25"/>
    </row>
    <row r="1703" ht="15.75" customHeight="1">
      <c r="A1703" s="25"/>
      <c r="B1703" s="22"/>
      <c r="C1703" s="25"/>
      <c r="D1703" s="22"/>
      <c r="F1703" s="25"/>
      <c r="G1703" s="22"/>
      <c r="H1703" s="25"/>
      <c r="I1703" s="22"/>
      <c r="J1703" s="25"/>
    </row>
    <row r="1704" ht="15.75" customHeight="1">
      <c r="A1704" s="25"/>
      <c r="B1704" s="22"/>
      <c r="C1704" s="25"/>
      <c r="D1704" s="22"/>
      <c r="F1704" s="25"/>
      <c r="G1704" s="22"/>
      <c r="H1704" s="25"/>
      <c r="I1704" s="22"/>
      <c r="J1704" s="25"/>
    </row>
    <row r="1705" ht="15.75" customHeight="1">
      <c r="A1705" s="25"/>
      <c r="B1705" s="22"/>
      <c r="C1705" s="25"/>
      <c r="D1705" s="22"/>
      <c r="F1705" s="25"/>
      <c r="G1705" s="22"/>
      <c r="H1705" s="25"/>
      <c r="I1705" s="22"/>
      <c r="J1705" s="25"/>
    </row>
    <row r="1706" ht="15.75" customHeight="1">
      <c r="A1706" s="25"/>
      <c r="B1706" s="22"/>
      <c r="C1706" s="25"/>
      <c r="D1706" s="22"/>
      <c r="F1706" s="25"/>
      <c r="G1706" s="22"/>
      <c r="H1706" s="25"/>
      <c r="I1706" s="22"/>
      <c r="J1706" s="25"/>
    </row>
    <row r="1707" ht="15.75" customHeight="1">
      <c r="A1707" s="25"/>
      <c r="B1707" s="22"/>
      <c r="C1707" s="25"/>
      <c r="D1707" s="22"/>
      <c r="F1707" s="25"/>
      <c r="G1707" s="22"/>
      <c r="H1707" s="25"/>
      <c r="I1707" s="22"/>
      <c r="J1707" s="25"/>
    </row>
    <row r="1708" ht="15.75" customHeight="1">
      <c r="A1708" s="25"/>
      <c r="B1708" s="22"/>
      <c r="C1708" s="25"/>
      <c r="D1708" s="22"/>
      <c r="F1708" s="25"/>
      <c r="G1708" s="22"/>
      <c r="H1708" s="25"/>
      <c r="I1708" s="22"/>
      <c r="J1708" s="25"/>
    </row>
    <row r="1709" ht="15.75" customHeight="1">
      <c r="A1709" s="25"/>
      <c r="B1709" s="22"/>
      <c r="C1709" s="25"/>
      <c r="D1709" s="22"/>
      <c r="F1709" s="25"/>
      <c r="G1709" s="22"/>
      <c r="H1709" s="25"/>
      <c r="I1709" s="22"/>
      <c r="J1709" s="25"/>
    </row>
    <row r="1710" ht="15.75" customHeight="1">
      <c r="A1710" s="25"/>
      <c r="B1710" s="22"/>
      <c r="C1710" s="25"/>
      <c r="D1710" s="22"/>
      <c r="F1710" s="25"/>
      <c r="G1710" s="22"/>
      <c r="H1710" s="25"/>
      <c r="I1710" s="22"/>
      <c r="J1710" s="25"/>
    </row>
    <row r="1711" ht="15.75" customHeight="1">
      <c r="A1711" s="25"/>
      <c r="B1711" s="22"/>
      <c r="C1711" s="25"/>
      <c r="D1711" s="22"/>
      <c r="F1711" s="25"/>
      <c r="G1711" s="22"/>
      <c r="H1711" s="25"/>
      <c r="I1711" s="22"/>
      <c r="J1711" s="25"/>
    </row>
    <row r="1712" ht="15.75" customHeight="1">
      <c r="A1712" s="25"/>
      <c r="B1712" s="22"/>
      <c r="C1712" s="25"/>
      <c r="D1712" s="22"/>
      <c r="F1712" s="25"/>
      <c r="G1712" s="22"/>
      <c r="H1712" s="25"/>
      <c r="I1712" s="22"/>
      <c r="J1712" s="25"/>
    </row>
    <row r="1713" ht="15.75" customHeight="1">
      <c r="A1713" s="25"/>
      <c r="B1713" s="22"/>
      <c r="C1713" s="25"/>
      <c r="D1713" s="22"/>
      <c r="F1713" s="25"/>
      <c r="G1713" s="22"/>
      <c r="H1713" s="25"/>
      <c r="I1713" s="22"/>
      <c r="J1713" s="25"/>
    </row>
    <row r="1714" ht="15.75" customHeight="1">
      <c r="A1714" s="25"/>
      <c r="B1714" s="22"/>
      <c r="C1714" s="25"/>
      <c r="D1714" s="22"/>
      <c r="F1714" s="25"/>
      <c r="G1714" s="22"/>
      <c r="H1714" s="25"/>
      <c r="I1714" s="22"/>
      <c r="J1714" s="25"/>
    </row>
    <row r="1715" ht="15.75" customHeight="1">
      <c r="A1715" s="25"/>
      <c r="B1715" s="22"/>
      <c r="C1715" s="25"/>
      <c r="D1715" s="22"/>
      <c r="F1715" s="25"/>
      <c r="G1715" s="22"/>
      <c r="H1715" s="25"/>
      <c r="I1715" s="22"/>
      <c r="J1715" s="25"/>
    </row>
    <row r="1716" ht="15.75" customHeight="1">
      <c r="A1716" s="25"/>
      <c r="B1716" s="22"/>
      <c r="C1716" s="25"/>
      <c r="D1716" s="22"/>
      <c r="F1716" s="25"/>
      <c r="G1716" s="22"/>
      <c r="H1716" s="25"/>
      <c r="I1716" s="22"/>
      <c r="J1716" s="25"/>
    </row>
    <row r="1717" ht="15.75" customHeight="1">
      <c r="A1717" s="25"/>
      <c r="B1717" s="22"/>
      <c r="C1717" s="25"/>
      <c r="D1717" s="22"/>
      <c r="F1717" s="25"/>
      <c r="G1717" s="22"/>
      <c r="H1717" s="25"/>
      <c r="I1717" s="22"/>
      <c r="J1717" s="25"/>
    </row>
    <row r="1718" ht="15.75" customHeight="1">
      <c r="A1718" s="25"/>
      <c r="B1718" s="22"/>
      <c r="C1718" s="25"/>
      <c r="D1718" s="22"/>
      <c r="F1718" s="25"/>
      <c r="G1718" s="22"/>
      <c r="H1718" s="25"/>
      <c r="I1718" s="22"/>
      <c r="J1718" s="25"/>
    </row>
    <row r="1719" ht="15.75" customHeight="1">
      <c r="A1719" s="25"/>
      <c r="B1719" s="22"/>
      <c r="C1719" s="25"/>
      <c r="D1719" s="22"/>
      <c r="F1719" s="25"/>
      <c r="G1719" s="22"/>
      <c r="H1719" s="25"/>
      <c r="I1719" s="22"/>
      <c r="J1719" s="25"/>
    </row>
    <row r="1720" ht="15.75" customHeight="1">
      <c r="A1720" s="25"/>
      <c r="B1720" s="22"/>
      <c r="C1720" s="25"/>
      <c r="D1720" s="22"/>
      <c r="F1720" s="25"/>
      <c r="G1720" s="22"/>
      <c r="H1720" s="25"/>
      <c r="I1720" s="22"/>
      <c r="J1720" s="25"/>
    </row>
    <row r="1721" ht="15.75" customHeight="1">
      <c r="A1721" s="25"/>
      <c r="B1721" s="22"/>
      <c r="C1721" s="25"/>
      <c r="D1721" s="22"/>
      <c r="F1721" s="25"/>
      <c r="G1721" s="22"/>
      <c r="H1721" s="25"/>
      <c r="I1721" s="22"/>
      <c r="J1721" s="25"/>
    </row>
    <row r="1722" ht="15.75" customHeight="1">
      <c r="A1722" s="25"/>
      <c r="B1722" s="22"/>
      <c r="C1722" s="25"/>
      <c r="D1722" s="22"/>
      <c r="F1722" s="25"/>
      <c r="G1722" s="22"/>
      <c r="H1722" s="25"/>
      <c r="I1722" s="22"/>
      <c r="J1722" s="25"/>
    </row>
    <row r="1723" ht="15.75" customHeight="1">
      <c r="A1723" s="25"/>
      <c r="B1723" s="22"/>
      <c r="C1723" s="25"/>
      <c r="D1723" s="22"/>
      <c r="F1723" s="25"/>
      <c r="G1723" s="22"/>
      <c r="H1723" s="25"/>
      <c r="I1723" s="22"/>
      <c r="J1723" s="25"/>
    </row>
    <row r="1724" ht="15.75" customHeight="1">
      <c r="A1724" s="25"/>
      <c r="B1724" s="22"/>
      <c r="C1724" s="25"/>
      <c r="D1724" s="22"/>
      <c r="F1724" s="25"/>
      <c r="G1724" s="22"/>
      <c r="H1724" s="25"/>
      <c r="I1724" s="22"/>
      <c r="J1724" s="25"/>
    </row>
    <row r="1725" ht="15.75" customHeight="1">
      <c r="A1725" s="25"/>
      <c r="B1725" s="22"/>
      <c r="C1725" s="25"/>
      <c r="D1725" s="22"/>
      <c r="F1725" s="25"/>
      <c r="G1725" s="22"/>
      <c r="H1725" s="25"/>
      <c r="I1725" s="22"/>
      <c r="J1725" s="25"/>
    </row>
    <row r="1726" ht="15.75" customHeight="1">
      <c r="A1726" s="25"/>
      <c r="B1726" s="22"/>
      <c r="C1726" s="25"/>
      <c r="D1726" s="22"/>
      <c r="F1726" s="25"/>
      <c r="G1726" s="22"/>
      <c r="H1726" s="25"/>
      <c r="I1726" s="22"/>
      <c r="J1726" s="25"/>
    </row>
    <row r="1727" ht="15.75" customHeight="1">
      <c r="A1727" s="25"/>
      <c r="B1727" s="22"/>
      <c r="C1727" s="25"/>
      <c r="D1727" s="22"/>
      <c r="F1727" s="25"/>
      <c r="G1727" s="22"/>
      <c r="H1727" s="25"/>
      <c r="I1727" s="22"/>
      <c r="J1727" s="25"/>
    </row>
    <row r="1728" ht="15.75" customHeight="1">
      <c r="A1728" s="25"/>
      <c r="B1728" s="22"/>
      <c r="C1728" s="25"/>
      <c r="D1728" s="22"/>
      <c r="F1728" s="25"/>
      <c r="G1728" s="22"/>
      <c r="H1728" s="25"/>
      <c r="I1728" s="22"/>
      <c r="J1728" s="25"/>
    </row>
    <row r="1729" ht="15.75" customHeight="1">
      <c r="A1729" s="25"/>
      <c r="B1729" s="22"/>
      <c r="C1729" s="25"/>
      <c r="D1729" s="22"/>
      <c r="F1729" s="25"/>
      <c r="G1729" s="22"/>
      <c r="H1729" s="25"/>
      <c r="I1729" s="22"/>
      <c r="J1729" s="25"/>
    </row>
    <row r="1730" ht="15.75" customHeight="1">
      <c r="A1730" s="25"/>
      <c r="B1730" s="22"/>
      <c r="C1730" s="25"/>
      <c r="D1730" s="22"/>
      <c r="F1730" s="25"/>
      <c r="G1730" s="22"/>
      <c r="H1730" s="25"/>
      <c r="I1730" s="22"/>
      <c r="J1730" s="25"/>
    </row>
    <row r="1731" ht="15.75" customHeight="1">
      <c r="A1731" s="25"/>
      <c r="B1731" s="22"/>
      <c r="C1731" s="25"/>
      <c r="D1731" s="22"/>
      <c r="F1731" s="25"/>
      <c r="G1731" s="22"/>
      <c r="H1731" s="25"/>
      <c r="I1731" s="22"/>
      <c r="J1731" s="25"/>
    </row>
    <row r="1732" ht="15.75" customHeight="1">
      <c r="A1732" s="25"/>
      <c r="B1732" s="22"/>
      <c r="C1732" s="25"/>
      <c r="D1732" s="22"/>
      <c r="F1732" s="25"/>
      <c r="G1732" s="22"/>
      <c r="H1732" s="25"/>
      <c r="I1732" s="22"/>
      <c r="J1732" s="25"/>
    </row>
    <row r="1733" ht="15.75" customHeight="1">
      <c r="A1733" s="25"/>
      <c r="B1733" s="22"/>
      <c r="C1733" s="25"/>
      <c r="D1733" s="22"/>
      <c r="F1733" s="25"/>
      <c r="G1733" s="22"/>
      <c r="H1733" s="25"/>
      <c r="I1733" s="22"/>
      <c r="J1733" s="25"/>
    </row>
    <row r="1734" ht="15.75" customHeight="1">
      <c r="A1734" s="25"/>
      <c r="B1734" s="22"/>
      <c r="C1734" s="25"/>
      <c r="D1734" s="22"/>
      <c r="F1734" s="25"/>
      <c r="G1734" s="22"/>
      <c r="H1734" s="25"/>
      <c r="I1734" s="22"/>
      <c r="J1734" s="25"/>
    </row>
    <row r="1735" ht="15.75" customHeight="1">
      <c r="A1735" s="25"/>
      <c r="B1735" s="22"/>
      <c r="C1735" s="25"/>
      <c r="D1735" s="22"/>
      <c r="F1735" s="25"/>
      <c r="G1735" s="22"/>
      <c r="H1735" s="25"/>
      <c r="I1735" s="22"/>
      <c r="J1735" s="25"/>
    </row>
    <row r="1736" ht="15.75" customHeight="1">
      <c r="A1736" s="25"/>
      <c r="B1736" s="22"/>
      <c r="C1736" s="25"/>
      <c r="D1736" s="22"/>
      <c r="F1736" s="25"/>
      <c r="G1736" s="22"/>
      <c r="H1736" s="25"/>
      <c r="I1736" s="22"/>
      <c r="J1736" s="25"/>
    </row>
    <row r="1737" ht="15.75" customHeight="1">
      <c r="A1737" s="25"/>
      <c r="B1737" s="22"/>
      <c r="C1737" s="25"/>
      <c r="D1737" s="22"/>
      <c r="F1737" s="25"/>
      <c r="G1737" s="22"/>
      <c r="H1737" s="25"/>
      <c r="I1737" s="22"/>
      <c r="J1737" s="25"/>
    </row>
    <row r="1738" ht="15.75" customHeight="1">
      <c r="A1738" s="25"/>
      <c r="B1738" s="22"/>
      <c r="C1738" s="25"/>
      <c r="D1738" s="22"/>
      <c r="F1738" s="25"/>
      <c r="G1738" s="22"/>
      <c r="H1738" s="25"/>
      <c r="I1738" s="22"/>
      <c r="J1738" s="25"/>
    </row>
    <row r="1739" ht="15.75" customHeight="1">
      <c r="A1739" s="25"/>
      <c r="B1739" s="22"/>
      <c r="C1739" s="25"/>
      <c r="D1739" s="22"/>
      <c r="F1739" s="25"/>
      <c r="G1739" s="22"/>
      <c r="H1739" s="25"/>
      <c r="I1739" s="22"/>
      <c r="J1739" s="25"/>
    </row>
    <row r="1740" ht="15.75" customHeight="1">
      <c r="A1740" s="25"/>
      <c r="B1740" s="22"/>
      <c r="C1740" s="25"/>
      <c r="D1740" s="22"/>
      <c r="F1740" s="25"/>
      <c r="G1740" s="22"/>
      <c r="H1740" s="25"/>
      <c r="I1740" s="22"/>
      <c r="J1740" s="25"/>
    </row>
    <row r="1741" ht="15.75" customHeight="1">
      <c r="A1741" s="25"/>
      <c r="B1741" s="22"/>
      <c r="C1741" s="25"/>
      <c r="D1741" s="22"/>
      <c r="F1741" s="25"/>
      <c r="G1741" s="22"/>
      <c r="H1741" s="25"/>
      <c r="I1741" s="22"/>
      <c r="J1741" s="25"/>
    </row>
    <row r="1742" ht="15.75" customHeight="1">
      <c r="A1742" s="25"/>
      <c r="B1742" s="22"/>
      <c r="C1742" s="25"/>
      <c r="D1742" s="22"/>
      <c r="F1742" s="25"/>
      <c r="G1742" s="22"/>
      <c r="H1742" s="25"/>
      <c r="I1742" s="22"/>
      <c r="J1742" s="25"/>
    </row>
    <row r="1743" ht="15.75" customHeight="1">
      <c r="A1743" s="25"/>
      <c r="B1743" s="22"/>
      <c r="C1743" s="25"/>
      <c r="D1743" s="22"/>
      <c r="F1743" s="25"/>
      <c r="G1743" s="22"/>
      <c r="H1743" s="25"/>
      <c r="I1743" s="22"/>
      <c r="J1743" s="25"/>
    </row>
    <row r="1744" ht="15.75" customHeight="1">
      <c r="A1744" s="25"/>
      <c r="B1744" s="22"/>
      <c r="C1744" s="25"/>
      <c r="D1744" s="22"/>
      <c r="F1744" s="25"/>
      <c r="G1744" s="22"/>
      <c r="H1744" s="25"/>
      <c r="I1744" s="22"/>
      <c r="J1744" s="25"/>
    </row>
    <row r="1745" ht="15.75" customHeight="1">
      <c r="A1745" s="25"/>
      <c r="B1745" s="22"/>
      <c r="C1745" s="25"/>
      <c r="D1745" s="22"/>
      <c r="F1745" s="25"/>
      <c r="G1745" s="22"/>
      <c r="H1745" s="25"/>
      <c r="I1745" s="22"/>
      <c r="J1745" s="25"/>
    </row>
    <row r="1746" ht="15.75" customHeight="1">
      <c r="A1746" s="25"/>
      <c r="B1746" s="22"/>
      <c r="C1746" s="25"/>
      <c r="D1746" s="22"/>
      <c r="F1746" s="25"/>
      <c r="G1746" s="22"/>
      <c r="H1746" s="25"/>
      <c r="I1746" s="22"/>
      <c r="J1746" s="25"/>
    </row>
    <row r="1747" ht="15.75" customHeight="1">
      <c r="A1747" s="25"/>
      <c r="B1747" s="22"/>
      <c r="C1747" s="25"/>
      <c r="D1747" s="22"/>
      <c r="F1747" s="25"/>
      <c r="G1747" s="22"/>
      <c r="H1747" s="25"/>
      <c r="I1747" s="22"/>
      <c r="J1747" s="25"/>
    </row>
    <row r="1748" ht="15.75" customHeight="1">
      <c r="A1748" s="25"/>
      <c r="B1748" s="22"/>
      <c r="C1748" s="25"/>
      <c r="D1748" s="22"/>
      <c r="F1748" s="25"/>
      <c r="G1748" s="22"/>
      <c r="H1748" s="25"/>
      <c r="I1748" s="22"/>
      <c r="J1748" s="25"/>
    </row>
    <row r="1749" ht="15.75" customHeight="1">
      <c r="A1749" s="25"/>
      <c r="B1749" s="22"/>
      <c r="C1749" s="25"/>
      <c r="D1749" s="22"/>
      <c r="F1749" s="25"/>
      <c r="G1749" s="22"/>
      <c r="H1749" s="25"/>
      <c r="I1749" s="22"/>
      <c r="J1749" s="25"/>
    </row>
    <row r="1750" ht="15.75" customHeight="1">
      <c r="A1750" s="25"/>
      <c r="B1750" s="22"/>
      <c r="C1750" s="25"/>
      <c r="D1750" s="22"/>
      <c r="F1750" s="25"/>
      <c r="G1750" s="22"/>
      <c r="H1750" s="25"/>
      <c r="I1750" s="22"/>
      <c r="J1750" s="25"/>
    </row>
    <row r="1751" ht="15.75" customHeight="1">
      <c r="A1751" s="25"/>
      <c r="B1751" s="22"/>
      <c r="C1751" s="25"/>
      <c r="D1751" s="22"/>
      <c r="F1751" s="25"/>
      <c r="G1751" s="22"/>
      <c r="H1751" s="25"/>
      <c r="I1751" s="22"/>
      <c r="J1751" s="25"/>
    </row>
    <row r="1752" ht="15.75" customHeight="1">
      <c r="A1752" s="25"/>
      <c r="B1752" s="22"/>
      <c r="C1752" s="25"/>
      <c r="D1752" s="22"/>
      <c r="F1752" s="25"/>
      <c r="G1752" s="22"/>
      <c r="H1752" s="25"/>
      <c r="I1752" s="22"/>
      <c r="J1752" s="25"/>
    </row>
    <row r="1753" ht="15.75" customHeight="1">
      <c r="A1753" s="25"/>
      <c r="B1753" s="22"/>
      <c r="C1753" s="25"/>
      <c r="D1753" s="22"/>
      <c r="F1753" s="25"/>
      <c r="G1753" s="22"/>
      <c r="H1753" s="25"/>
      <c r="I1753" s="22"/>
      <c r="J1753" s="25"/>
    </row>
    <row r="1754" ht="15.75" customHeight="1">
      <c r="A1754" s="25"/>
      <c r="B1754" s="22"/>
      <c r="C1754" s="25"/>
      <c r="D1754" s="22"/>
      <c r="F1754" s="25"/>
      <c r="G1754" s="22"/>
      <c r="H1754" s="25"/>
      <c r="I1754" s="22"/>
      <c r="J1754" s="25"/>
    </row>
    <row r="1755" ht="15.75" customHeight="1">
      <c r="A1755" s="25"/>
      <c r="B1755" s="22"/>
      <c r="C1755" s="25"/>
      <c r="D1755" s="22"/>
      <c r="F1755" s="25"/>
      <c r="G1755" s="22"/>
      <c r="H1755" s="25"/>
      <c r="I1755" s="22"/>
      <c r="J1755" s="25"/>
    </row>
    <row r="1756" ht="15.75" customHeight="1">
      <c r="A1756" s="25"/>
      <c r="B1756" s="22"/>
      <c r="C1756" s="25"/>
      <c r="D1756" s="22"/>
      <c r="F1756" s="25"/>
      <c r="G1756" s="22"/>
      <c r="H1756" s="25"/>
      <c r="I1756" s="22"/>
      <c r="J1756" s="25"/>
    </row>
    <row r="1757" ht="15.75" customHeight="1">
      <c r="A1757" s="25"/>
      <c r="B1757" s="22"/>
      <c r="C1757" s="25"/>
      <c r="D1757" s="22"/>
      <c r="F1757" s="25"/>
      <c r="G1757" s="22"/>
      <c r="H1757" s="25"/>
      <c r="I1757" s="22"/>
      <c r="J1757" s="25"/>
    </row>
    <row r="1758" ht="15.75" customHeight="1">
      <c r="A1758" s="25"/>
      <c r="B1758" s="22"/>
      <c r="C1758" s="25"/>
      <c r="D1758" s="22"/>
      <c r="F1758" s="25"/>
      <c r="G1758" s="22"/>
      <c r="H1758" s="25"/>
      <c r="I1758" s="22"/>
      <c r="J1758" s="25"/>
    </row>
    <row r="1759" ht="15.75" customHeight="1">
      <c r="A1759" s="25"/>
      <c r="B1759" s="22"/>
      <c r="C1759" s="25"/>
      <c r="D1759" s="22"/>
      <c r="F1759" s="25"/>
      <c r="G1759" s="22"/>
      <c r="H1759" s="25"/>
      <c r="I1759" s="22"/>
      <c r="J1759" s="25"/>
    </row>
    <row r="1760" ht="15.75" customHeight="1">
      <c r="A1760" s="25"/>
      <c r="B1760" s="22"/>
      <c r="C1760" s="25"/>
      <c r="D1760" s="22"/>
      <c r="F1760" s="25"/>
      <c r="G1760" s="22"/>
      <c r="H1760" s="25"/>
      <c r="I1760" s="22"/>
      <c r="J1760" s="25"/>
    </row>
    <row r="1761" ht="15.75" customHeight="1">
      <c r="A1761" s="25"/>
      <c r="B1761" s="22"/>
      <c r="C1761" s="25"/>
      <c r="D1761" s="22"/>
      <c r="F1761" s="25"/>
      <c r="G1761" s="22"/>
      <c r="H1761" s="25"/>
      <c r="I1761" s="22"/>
      <c r="J1761" s="25"/>
    </row>
    <row r="1762" ht="15.75" customHeight="1">
      <c r="A1762" s="25"/>
      <c r="B1762" s="22"/>
      <c r="C1762" s="25"/>
      <c r="D1762" s="22"/>
      <c r="F1762" s="25"/>
      <c r="G1762" s="22"/>
      <c r="H1762" s="25"/>
      <c r="I1762" s="22"/>
      <c r="J1762" s="25"/>
    </row>
    <row r="1763" ht="15.75" customHeight="1">
      <c r="A1763" s="25"/>
      <c r="B1763" s="22"/>
      <c r="C1763" s="25"/>
      <c r="D1763" s="22"/>
      <c r="F1763" s="25"/>
      <c r="G1763" s="22"/>
      <c r="H1763" s="25"/>
      <c r="I1763" s="22"/>
      <c r="J1763" s="25"/>
    </row>
    <row r="1764" ht="15.75" customHeight="1">
      <c r="A1764" s="25"/>
      <c r="B1764" s="22"/>
      <c r="C1764" s="25"/>
      <c r="D1764" s="22"/>
      <c r="F1764" s="25"/>
      <c r="G1764" s="22"/>
      <c r="H1764" s="25"/>
      <c r="I1764" s="22"/>
      <c r="J1764" s="25"/>
    </row>
    <row r="1765" ht="15.75" customHeight="1">
      <c r="A1765" s="25"/>
      <c r="B1765" s="22"/>
      <c r="C1765" s="25"/>
      <c r="D1765" s="22"/>
      <c r="F1765" s="25"/>
      <c r="G1765" s="22"/>
      <c r="H1765" s="25"/>
      <c r="I1765" s="22"/>
      <c r="J1765" s="25"/>
    </row>
    <row r="1766" ht="15.75" customHeight="1">
      <c r="A1766" s="25"/>
      <c r="B1766" s="22"/>
      <c r="C1766" s="25"/>
      <c r="D1766" s="22"/>
      <c r="F1766" s="25"/>
      <c r="G1766" s="22"/>
      <c r="H1766" s="25"/>
      <c r="I1766" s="22"/>
      <c r="J1766" s="25"/>
    </row>
    <row r="1767" ht="15.75" customHeight="1">
      <c r="A1767" s="25"/>
      <c r="B1767" s="22"/>
      <c r="C1767" s="25"/>
      <c r="D1767" s="22"/>
      <c r="F1767" s="25"/>
      <c r="G1767" s="22"/>
      <c r="H1767" s="25"/>
      <c r="I1767" s="22"/>
      <c r="J1767" s="25"/>
    </row>
    <row r="1768" ht="15.75" customHeight="1">
      <c r="A1768" s="25"/>
      <c r="B1768" s="22"/>
      <c r="C1768" s="25"/>
      <c r="D1768" s="22"/>
      <c r="F1768" s="25"/>
      <c r="G1768" s="22"/>
      <c r="H1768" s="25"/>
      <c r="I1768" s="22"/>
      <c r="J1768" s="25"/>
    </row>
    <row r="1769" ht="15.75" customHeight="1">
      <c r="A1769" s="25"/>
      <c r="B1769" s="22"/>
      <c r="C1769" s="25"/>
      <c r="D1769" s="22"/>
      <c r="F1769" s="25"/>
      <c r="G1769" s="22"/>
      <c r="H1769" s="25"/>
      <c r="I1769" s="22"/>
      <c r="J1769" s="25"/>
    </row>
    <row r="1770" ht="15.75" customHeight="1">
      <c r="A1770" s="25"/>
      <c r="B1770" s="22"/>
      <c r="C1770" s="25"/>
      <c r="D1770" s="22"/>
      <c r="F1770" s="25"/>
      <c r="G1770" s="22"/>
      <c r="H1770" s="25"/>
      <c r="I1770" s="22"/>
      <c r="J1770" s="25"/>
    </row>
    <row r="1771" ht="15.75" customHeight="1">
      <c r="A1771" s="25"/>
      <c r="B1771" s="22"/>
      <c r="C1771" s="25"/>
      <c r="D1771" s="22"/>
      <c r="F1771" s="25"/>
      <c r="G1771" s="22"/>
      <c r="H1771" s="25"/>
      <c r="I1771" s="22"/>
      <c r="J1771" s="25"/>
    </row>
    <row r="1772" ht="15.75" customHeight="1">
      <c r="A1772" s="25"/>
      <c r="B1772" s="22"/>
      <c r="C1772" s="25"/>
      <c r="D1772" s="22"/>
      <c r="F1772" s="25"/>
      <c r="G1772" s="22"/>
      <c r="H1772" s="25"/>
      <c r="I1772" s="22"/>
      <c r="J1772" s="25"/>
    </row>
    <row r="1773" ht="15.75" customHeight="1">
      <c r="A1773" s="25"/>
      <c r="B1773" s="22"/>
      <c r="C1773" s="25"/>
      <c r="D1773" s="22"/>
      <c r="F1773" s="25"/>
      <c r="G1773" s="22"/>
      <c r="H1773" s="25"/>
      <c r="I1773" s="22"/>
      <c r="J1773" s="25"/>
    </row>
    <row r="1774" ht="15.75" customHeight="1">
      <c r="A1774" s="25"/>
      <c r="B1774" s="22"/>
      <c r="C1774" s="25"/>
      <c r="D1774" s="22"/>
      <c r="F1774" s="25"/>
      <c r="G1774" s="22"/>
      <c r="H1774" s="25"/>
      <c r="I1774" s="22"/>
      <c r="J1774" s="25"/>
    </row>
    <row r="1775" ht="15.75" customHeight="1">
      <c r="A1775" s="25"/>
      <c r="B1775" s="22"/>
      <c r="C1775" s="25"/>
      <c r="D1775" s="22"/>
      <c r="F1775" s="25"/>
      <c r="G1775" s="22"/>
      <c r="H1775" s="25"/>
      <c r="I1775" s="22"/>
      <c r="J1775" s="25"/>
    </row>
    <row r="1776" ht="15.75" customHeight="1">
      <c r="A1776" s="25"/>
      <c r="B1776" s="22"/>
      <c r="C1776" s="25"/>
      <c r="D1776" s="22"/>
      <c r="F1776" s="25"/>
      <c r="G1776" s="22"/>
      <c r="H1776" s="25"/>
      <c r="I1776" s="22"/>
      <c r="J1776" s="25"/>
    </row>
    <row r="1777" ht="15.75" customHeight="1">
      <c r="A1777" s="25"/>
      <c r="B1777" s="22"/>
      <c r="C1777" s="25"/>
      <c r="D1777" s="22"/>
      <c r="F1777" s="25"/>
      <c r="G1777" s="22"/>
      <c r="H1777" s="25"/>
      <c r="I1777" s="22"/>
      <c r="J1777" s="25"/>
    </row>
    <row r="1778" ht="15.75" customHeight="1">
      <c r="A1778" s="25"/>
      <c r="B1778" s="22"/>
      <c r="C1778" s="25"/>
      <c r="D1778" s="22"/>
      <c r="F1778" s="25"/>
      <c r="G1778" s="22"/>
      <c r="H1778" s="25"/>
      <c r="I1778" s="22"/>
      <c r="J1778" s="25"/>
    </row>
    <row r="1779" ht="15.75" customHeight="1">
      <c r="A1779" s="25"/>
      <c r="B1779" s="22"/>
      <c r="C1779" s="25"/>
      <c r="D1779" s="22"/>
      <c r="F1779" s="25"/>
      <c r="G1779" s="22"/>
      <c r="H1779" s="25"/>
      <c r="I1779" s="22"/>
      <c r="J1779" s="25"/>
    </row>
    <row r="1780" ht="15.75" customHeight="1">
      <c r="A1780" s="25"/>
      <c r="B1780" s="22"/>
      <c r="C1780" s="25"/>
      <c r="D1780" s="22"/>
      <c r="F1780" s="25"/>
      <c r="G1780" s="22"/>
      <c r="H1780" s="25"/>
      <c r="I1780" s="22"/>
      <c r="J1780" s="25"/>
    </row>
    <row r="1781" ht="15.75" customHeight="1">
      <c r="A1781" s="25"/>
      <c r="B1781" s="22"/>
      <c r="C1781" s="25"/>
      <c r="D1781" s="22"/>
      <c r="F1781" s="25"/>
      <c r="G1781" s="22"/>
      <c r="H1781" s="25"/>
      <c r="I1781" s="22"/>
      <c r="J1781" s="25"/>
    </row>
    <row r="1782" ht="15.75" customHeight="1">
      <c r="A1782" s="25"/>
      <c r="B1782" s="22"/>
      <c r="C1782" s="25"/>
      <c r="D1782" s="22"/>
      <c r="F1782" s="25"/>
      <c r="G1782" s="22"/>
      <c r="H1782" s="25"/>
      <c r="I1782" s="22"/>
      <c r="J1782" s="25"/>
    </row>
    <row r="1783" ht="15.75" customHeight="1">
      <c r="A1783" s="25"/>
      <c r="B1783" s="22"/>
      <c r="C1783" s="25"/>
      <c r="D1783" s="22"/>
      <c r="F1783" s="25"/>
      <c r="G1783" s="22"/>
      <c r="H1783" s="25"/>
      <c r="I1783" s="22"/>
      <c r="J1783" s="25"/>
    </row>
    <row r="1784" ht="15.75" customHeight="1">
      <c r="A1784" s="25"/>
      <c r="B1784" s="22"/>
      <c r="C1784" s="25"/>
      <c r="D1784" s="22"/>
      <c r="F1784" s="25"/>
      <c r="G1784" s="22"/>
      <c r="H1784" s="25"/>
      <c r="I1784" s="22"/>
      <c r="J1784" s="25"/>
    </row>
    <row r="1785" ht="15.75" customHeight="1">
      <c r="A1785" s="25"/>
      <c r="B1785" s="22"/>
      <c r="C1785" s="25"/>
      <c r="D1785" s="22"/>
      <c r="F1785" s="25"/>
      <c r="G1785" s="22"/>
      <c r="H1785" s="25"/>
      <c r="I1785" s="22"/>
      <c r="J1785" s="25"/>
    </row>
    <row r="1786" ht="15.75" customHeight="1">
      <c r="A1786" s="25"/>
      <c r="B1786" s="22"/>
      <c r="C1786" s="25"/>
      <c r="D1786" s="22"/>
      <c r="F1786" s="25"/>
      <c r="G1786" s="22"/>
      <c r="H1786" s="25"/>
      <c r="I1786" s="22"/>
      <c r="J1786" s="25"/>
    </row>
    <row r="1787" ht="15.75" customHeight="1">
      <c r="A1787" s="25"/>
      <c r="B1787" s="22"/>
      <c r="C1787" s="25"/>
      <c r="D1787" s="22"/>
      <c r="F1787" s="25"/>
      <c r="G1787" s="22"/>
      <c r="H1787" s="25"/>
      <c r="I1787" s="22"/>
      <c r="J1787" s="25"/>
    </row>
    <row r="1788" ht="15.75" customHeight="1">
      <c r="A1788" s="25"/>
      <c r="B1788" s="22"/>
      <c r="C1788" s="25"/>
      <c r="D1788" s="22"/>
      <c r="F1788" s="25"/>
      <c r="G1788" s="22"/>
      <c r="H1788" s="25"/>
      <c r="I1788" s="22"/>
      <c r="J1788" s="25"/>
    </row>
    <row r="1789" ht="15.75" customHeight="1">
      <c r="A1789" s="25"/>
      <c r="B1789" s="22"/>
      <c r="C1789" s="25"/>
      <c r="D1789" s="22"/>
      <c r="F1789" s="25"/>
      <c r="G1789" s="22"/>
      <c r="H1789" s="25"/>
      <c r="I1789" s="22"/>
      <c r="J1789" s="25"/>
    </row>
    <row r="1790" ht="15.75" customHeight="1">
      <c r="A1790" s="25"/>
      <c r="B1790" s="22"/>
      <c r="C1790" s="25"/>
      <c r="D1790" s="22"/>
      <c r="F1790" s="25"/>
      <c r="G1790" s="22"/>
      <c r="H1790" s="25"/>
      <c r="I1790" s="22"/>
      <c r="J1790" s="25"/>
    </row>
    <row r="1791" ht="15.75" customHeight="1">
      <c r="A1791" s="25"/>
      <c r="B1791" s="22"/>
      <c r="C1791" s="25"/>
      <c r="D1791" s="22"/>
      <c r="F1791" s="25"/>
      <c r="G1791" s="22"/>
      <c r="H1791" s="25"/>
      <c r="I1791" s="22"/>
      <c r="J1791" s="25"/>
    </row>
    <row r="1792" ht="15.75" customHeight="1">
      <c r="A1792" s="25"/>
      <c r="B1792" s="22"/>
      <c r="C1792" s="25"/>
      <c r="D1792" s="22"/>
      <c r="F1792" s="25"/>
      <c r="G1792" s="22"/>
      <c r="H1792" s="25"/>
      <c r="I1792" s="22"/>
      <c r="J1792" s="25"/>
    </row>
    <row r="1793" ht="15.75" customHeight="1">
      <c r="A1793" s="25"/>
      <c r="B1793" s="22"/>
      <c r="C1793" s="25"/>
      <c r="D1793" s="22"/>
      <c r="F1793" s="25"/>
      <c r="G1793" s="22"/>
      <c r="H1793" s="25"/>
      <c r="I1793" s="22"/>
      <c r="J1793" s="25"/>
    </row>
    <row r="1794" ht="15.75" customHeight="1">
      <c r="A1794" s="25"/>
      <c r="B1794" s="22"/>
      <c r="C1794" s="25"/>
      <c r="D1794" s="22"/>
      <c r="F1794" s="25"/>
      <c r="G1794" s="22"/>
      <c r="H1794" s="25"/>
      <c r="I1794" s="22"/>
      <c r="J1794" s="25"/>
    </row>
    <row r="1795" ht="15.75" customHeight="1">
      <c r="A1795" s="25"/>
      <c r="B1795" s="22"/>
      <c r="C1795" s="25"/>
      <c r="D1795" s="22"/>
      <c r="F1795" s="25"/>
      <c r="G1795" s="22"/>
      <c r="H1795" s="25"/>
      <c r="I1795" s="22"/>
      <c r="J1795" s="25"/>
    </row>
    <row r="1796" ht="15.75" customHeight="1">
      <c r="A1796" s="25"/>
      <c r="B1796" s="22"/>
      <c r="C1796" s="25"/>
      <c r="D1796" s="22"/>
      <c r="F1796" s="25"/>
      <c r="G1796" s="22"/>
      <c r="H1796" s="25"/>
      <c r="I1796" s="22"/>
      <c r="J1796" s="25"/>
    </row>
    <row r="1797" ht="15.75" customHeight="1">
      <c r="A1797" s="25"/>
      <c r="B1797" s="22"/>
      <c r="C1797" s="25"/>
      <c r="D1797" s="22"/>
      <c r="F1797" s="25"/>
      <c r="G1797" s="22"/>
      <c r="H1797" s="25"/>
      <c r="I1797" s="22"/>
      <c r="J1797" s="25"/>
    </row>
    <row r="1798" ht="15.75" customHeight="1">
      <c r="A1798" s="25"/>
      <c r="B1798" s="22"/>
      <c r="C1798" s="25"/>
      <c r="D1798" s="22"/>
      <c r="F1798" s="25"/>
      <c r="G1798" s="22"/>
      <c r="H1798" s="25"/>
      <c r="I1798" s="22"/>
      <c r="J1798" s="25"/>
    </row>
    <row r="1799" ht="15.75" customHeight="1">
      <c r="A1799" s="25"/>
      <c r="B1799" s="22"/>
      <c r="C1799" s="25"/>
      <c r="D1799" s="22"/>
      <c r="F1799" s="25"/>
      <c r="G1799" s="22"/>
      <c r="H1799" s="25"/>
      <c r="I1799" s="22"/>
      <c r="J1799" s="25"/>
    </row>
    <row r="1800" ht="15.75" customHeight="1">
      <c r="A1800" s="25"/>
      <c r="B1800" s="22"/>
      <c r="C1800" s="25"/>
      <c r="D1800" s="22"/>
      <c r="F1800" s="25"/>
      <c r="G1800" s="22"/>
      <c r="H1800" s="25"/>
      <c r="I1800" s="22"/>
      <c r="J1800" s="25"/>
    </row>
    <row r="1801" ht="15.75" customHeight="1">
      <c r="A1801" s="25"/>
      <c r="B1801" s="22"/>
      <c r="C1801" s="25"/>
      <c r="D1801" s="22"/>
      <c r="F1801" s="25"/>
      <c r="G1801" s="22"/>
      <c r="H1801" s="25"/>
      <c r="I1801" s="22"/>
      <c r="J1801" s="25"/>
    </row>
    <row r="1802" ht="15.75" customHeight="1">
      <c r="A1802" s="25"/>
      <c r="B1802" s="22"/>
      <c r="C1802" s="25"/>
      <c r="D1802" s="22"/>
      <c r="F1802" s="25"/>
      <c r="G1802" s="22"/>
      <c r="H1802" s="25"/>
      <c r="I1802" s="22"/>
      <c r="J1802" s="25"/>
    </row>
    <row r="1803" ht="15.75" customHeight="1">
      <c r="A1803" s="25"/>
      <c r="B1803" s="22"/>
      <c r="C1803" s="25"/>
      <c r="D1803" s="22"/>
      <c r="F1803" s="25"/>
      <c r="G1803" s="22"/>
      <c r="H1803" s="25"/>
      <c r="I1803" s="22"/>
      <c r="J1803" s="25"/>
    </row>
    <row r="1804" ht="15.75" customHeight="1">
      <c r="A1804" s="25"/>
      <c r="B1804" s="22"/>
      <c r="C1804" s="25"/>
      <c r="D1804" s="22"/>
      <c r="F1804" s="25"/>
      <c r="G1804" s="22"/>
      <c r="H1804" s="25"/>
      <c r="I1804" s="22"/>
      <c r="J1804" s="25"/>
    </row>
    <row r="1805" ht="15.75" customHeight="1">
      <c r="A1805" s="25"/>
      <c r="B1805" s="22"/>
      <c r="C1805" s="25"/>
      <c r="D1805" s="22"/>
      <c r="F1805" s="25"/>
      <c r="G1805" s="22"/>
      <c r="H1805" s="25"/>
      <c r="I1805" s="22"/>
      <c r="J1805" s="25"/>
    </row>
    <row r="1806" ht="15.75" customHeight="1">
      <c r="A1806" s="25"/>
      <c r="B1806" s="22"/>
      <c r="C1806" s="25"/>
      <c r="D1806" s="22"/>
      <c r="F1806" s="25"/>
      <c r="G1806" s="22"/>
      <c r="H1806" s="25"/>
      <c r="I1806" s="22"/>
      <c r="J1806" s="25"/>
    </row>
    <row r="1807" ht="15.75" customHeight="1">
      <c r="A1807" s="25"/>
      <c r="B1807" s="22"/>
      <c r="C1807" s="25"/>
      <c r="D1807" s="22"/>
      <c r="F1807" s="25"/>
      <c r="G1807" s="22"/>
      <c r="H1807" s="25"/>
      <c r="I1807" s="22"/>
      <c r="J1807" s="25"/>
    </row>
    <row r="1808" ht="15.75" customHeight="1">
      <c r="A1808" s="25"/>
      <c r="B1808" s="22"/>
      <c r="C1808" s="25"/>
      <c r="D1808" s="22"/>
      <c r="F1808" s="25"/>
      <c r="G1808" s="22"/>
      <c r="H1808" s="25"/>
      <c r="I1808" s="22"/>
      <c r="J1808" s="25"/>
    </row>
    <row r="1809" ht="15.75" customHeight="1">
      <c r="A1809" s="25"/>
      <c r="B1809" s="22"/>
      <c r="C1809" s="25"/>
      <c r="D1809" s="22"/>
      <c r="F1809" s="25"/>
      <c r="G1809" s="22"/>
      <c r="H1809" s="25"/>
      <c r="I1809" s="22"/>
      <c r="J1809" s="25"/>
    </row>
    <row r="1810" ht="15.75" customHeight="1">
      <c r="A1810" s="25"/>
      <c r="B1810" s="22"/>
      <c r="C1810" s="25"/>
      <c r="D1810" s="22"/>
      <c r="F1810" s="25"/>
      <c r="G1810" s="22"/>
      <c r="H1810" s="25"/>
      <c r="I1810" s="22"/>
      <c r="J1810" s="25"/>
    </row>
    <row r="1811" ht="15.75" customHeight="1">
      <c r="A1811" s="25"/>
      <c r="B1811" s="22"/>
      <c r="C1811" s="25"/>
      <c r="D1811" s="22"/>
      <c r="F1811" s="25"/>
      <c r="G1811" s="22"/>
      <c r="H1811" s="25"/>
      <c r="I1811" s="22"/>
      <c r="J1811" s="25"/>
    </row>
    <row r="1812" ht="15.75" customHeight="1">
      <c r="A1812" s="25"/>
      <c r="B1812" s="22"/>
      <c r="C1812" s="25"/>
      <c r="D1812" s="22"/>
      <c r="F1812" s="25"/>
      <c r="G1812" s="22"/>
      <c r="H1812" s="25"/>
      <c r="I1812" s="22"/>
      <c r="J1812" s="25"/>
    </row>
    <row r="1813" ht="15.75" customHeight="1">
      <c r="A1813" s="25"/>
      <c r="B1813" s="22"/>
      <c r="C1813" s="25"/>
      <c r="D1813" s="22"/>
      <c r="F1813" s="25"/>
      <c r="G1813" s="22"/>
      <c r="H1813" s="25"/>
      <c r="I1813" s="22"/>
      <c r="J1813" s="25"/>
    </row>
    <row r="1814" ht="15.75" customHeight="1">
      <c r="A1814" s="25"/>
      <c r="B1814" s="22"/>
      <c r="C1814" s="25"/>
      <c r="D1814" s="22"/>
      <c r="F1814" s="25"/>
      <c r="G1814" s="22"/>
      <c r="H1814" s="25"/>
      <c r="I1814" s="22"/>
      <c r="J1814" s="25"/>
    </row>
    <row r="1815" ht="15.75" customHeight="1">
      <c r="A1815" s="25"/>
      <c r="B1815" s="22"/>
      <c r="C1815" s="25"/>
      <c r="D1815" s="22"/>
      <c r="F1815" s="25"/>
      <c r="G1815" s="22"/>
      <c r="H1815" s="25"/>
      <c r="I1815" s="22"/>
      <c r="J1815" s="25"/>
    </row>
    <row r="1816" ht="15.75" customHeight="1">
      <c r="A1816" s="25"/>
      <c r="B1816" s="22"/>
      <c r="C1816" s="25"/>
      <c r="D1816" s="22"/>
      <c r="F1816" s="25"/>
      <c r="G1816" s="22"/>
      <c r="H1816" s="25"/>
      <c r="I1816" s="22"/>
      <c r="J1816" s="25"/>
    </row>
    <row r="1817" ht="15.75" customHeight="1">
      <c r="A1817" s="25"/>
      <c r="B1817" s="22"/>
      <c r="C1817" s="25"/>
      <c r="D1817" s="22"/>
      <c r="F1817" s="25"/>
      <c r="G1817" s="22"/>
      <c r="H1817" s="25"/>
      <c r="I1817" s="22"/>
      <c r="J1817" s="25"/>
    </row>
    <row r="1818" ht="15.75" customHeight="1">
      <c r="A1818" s="25"/>
      <c r="B1818" s="22"/>
      <c r="C1818" s="25"/>
      <c r="D1818" s="22"/>
      <c r="F1818" s="25"/>
      <c r="G1818" s="22"/>
      <c r="H1818" s="25"/>
      <c r="I1818" s="22"/>
      <c r="J1818" s="25"/>
    </row>
    <row r="1819" ht="15.75" customHeight="1">
      <c r="A1819" s="25"/>
      <c r="B1819" s="22"/>
      <c r="C1819" s="25"/>
      <c r="D1819" s="22"/>
      <c r="F1819" s="25"/>
      <c r="G1819" s="22"/>
      <c r="H1819" s="25"/>
      <c r="I1819" s="22"/>
      <c r="J1819" s="25"/>
    </row>
    <row r="1820" ht="15.75" customHeight="1">
      <c r="A1820" s="25"/>
      <c r="B1820" s="22"/>
      <c r="C1820" s="25"/>
      <c r="D1820" s="22"/>
      <c r="F1820" s="25"/>
      <c r="G1820" s="22"/>
      <c r="H1820" s="25"/>
      <c r="I1820" s="22"/>
      <c r="J1820" s="25"/>
    </row>
    <row r="1821" ht="15.75" customHeight="1">
      <c r="A1821" s="25"/>
      <c r="B1821" s="22"/>
      <c r="C1821" s="25"/>
      <c r="D1821" s="22"/>
      <c r="F1821" s="25"/>
      <c r="G1821" s="22"/>
      <c r="H1821" s="25"/>
      <c r="I1821" s="22"/>
      <c r="J1821" s="25"/>
    </row>
    <row r="1822" ht="15.75" customHeight="1">
      <c r="A1822" s="25"/>
      <c r="B1822" s="22"/>
      <c r="C1822" s="25"/>
      <c r="D1822" s="22"/>
      <c r="F1822" s="25"/>
      <c r="G1822" s="22"/>
      <c r="H1822" s="25"/>
      <c r="I1822" s="22"/>
      <c r="J1822" s="25"/>
    </row>
    <row r="1823" ht="15.75" customHeight="1">
      <c r="A1823" s="25"/>
      <c r="B1823" s="22"/>
      <c r="C1823" s="25"/>
      <c r="D1823" s="22"/>
      <c r="F1823" s="25"/>
      <c r="G1823" s="22"/>
      <c r="H1823" s="25"/>
      <c r="I1823" s="22"/>
      <c r="J1823" s="25"/>
    </row>
    <row r="1824" ht="15.75" customHeight="1">
      <c r="A1824" s="25"/>
      <c r="B1824" s="22"/>
      <c r="C1824" s="25"/>
      <c r="D1824" s="22"/>
      <c r="F1824" s="25"/>
      <c r="G1824" s="22"/>
      <c r="H1824" s="25"/>
      <c r="I1824" s="22"/>
      <c r="J1824" s="25"/>
    </row>
    <row r="1825" ht="15.75" customHeight="1">
      <c r="A1825" s="25"/>
      <c r="B1825" s="22"/>
      <c r="C1825" s="25"/>
      <c r="D1825" s="22"/>
      <c r="F1825" s="25"/>
      <c r="G1825" s="22"/>
      <c r="H1825" s="25"/>
      <c r="I1825" s="22"/>
      <c r="J1825" s="25"/>
    </row>
    <row r="1826" ht="15.75" customHeight="1">
      <c r="A1826" s="25"/>
      <c r="B1826" s="22"/>
      <c r="C1826" s="25"/>
      <c r="D1826" s="22"/>
      <c r="F1826" s="25"/>
      <c r="G1826" s="22"/>
      <c r="H1826" s="25"/>
      <c r="I1826" s="22"/>
      <c r="J1826" s="25"/>
    </row>
    <row r="1827" ht="15.75" customHeight="1">
      <c r="A1827" s="25"/>
      <c r="B1827" s="22"/>
      <c r="C1827" s="25"/>
      <c r="D1827" s="22"/>
      <c r="F1827" s="25"/>
      <c r="G1827" s="22"/>
      <c r="H1827" s="25"/>
      <c r="I1827" s="22"/>
      <c r="J1827" s="25"/>
    </row>
    <row r="1828" ht="15.75" customHeight="1">
      <c r="A1828" s="25"/>
      <c r="B1828" s="22"/>
      <c r="C1828" s="25"/>
      <c r="D1828" s="22"/>
      <c r="F1828" s="25"/>
      <c r="G1828" s="22"/>
      <c r="H1828" s="25"/>
      <c r="I1828" s="22"/>
      <c r="J1828" s="25"/>
    </row>
    <row r="1829" ht="15.75" customHeight="1">
      <c r="A1829" s="25"/>
      <c r="B1829" s="22"/>
      <c r="C1829" s="25"/>
      <c r="D1829" s="22"/>
      <c r="F1829" s="25"/>
      <c r="G1829" s="22"/>
      <c r="H1829" s="25"/>
      <c r="I1829" s="22"/>
      <c r="J1829" s="25"/>
    </row>
    <row r="1830" ht="15.75" customHeight="1">
      <c r="A1830" s="25"/>
      <c r="B1830" s="22"/>
      <c r="C1830" s="25"/>
      <c r="D1830" s="22"/>
      <c r="F1830" s="25"/>
      <c r="G1830" s="22"/>
      <c r="H1830" s="25"/>
      <c r="I1830" s="22"/>
      <c r="J1830" s="25"/>
    </row>
    <row r="1831" ht="15.75" customHeight="1">
      <c r="A1831" s="25"/>
      <c r="B1831" s="22"/>
      <c r="C1831" s="25"/>
      <c r="D1831" s="22"/>
      <c r="F1831" s="25"/>
      <c r="G1831" s="22"/>
      <c r="H1831" s="25"/>
      <c r="I1831" s="22"/>
      <c r="J1831" s="25"/>
    </row>
    <row r="1832" ht="15.75" customHeight="1">
      <c r="A1832" s="25"/>
      <c r="B1832" s="22"/>
      <c r="C1832" s="25"/>
      <c r="D1832" s="22"/>
      <c r="F1832" s="25"/>
      <c r="G1832" s="22"/>
      <c r="H1832" s="25"/>
      <c r="I1832" s="22"/>
      <c r="J1832" s="25"/>
    </row>
    <row r="1833" ht="15.75" customHeight="1">
      <c r="A1833" s="25"/>
      <c r="B1833" s="22"/>
      <c r="C1833" s="25"/>
      <c r="D1833" s="22"/>
      <c r="F1833" s="25"/>
      <c r="G1833" s="22"/>
      <c r="H1833" s="25"/>
      <c r="I1833" s="22"/>
      <c r="J1833" s="25"/>
    </row>
    <row r="1834" ht="15.75" customHeight="1">
      <c r="A1834" s="25"/>
      <c r="B1834" s="22"/>
      <c r="C1834" s="25"/>
      <c r="D1834" s="22"/>
      <c r="F1834" s="25"/>
      <c r="G1834" s="22"/>
      <c r="H1834" s="25"/>
      <c r="I1834" s="22"/>
      <c r="J1834" s="25"/>
    </row>
    <row r="1835" ht="15.75" customHeight="1">
      <c r="A1835" s="25"/>
      <c r="B1835" s="22"/>
      <c r="C1835" s="25"/>
      <c r="D1835" s="22"/>
      <c r="F1835" s="25"/>
      <c r="G1835" s="22"/>
      <c r="H1835" s="25"/>
      <c r="I1835" s="22"/>
      <c r="J1835" s="25"/>
    </row>
    <row r="1836" ht="15.75" customHeight="1">
      <c r="A1836" s="25"/>
      <c r="B1836" s="22"/>
      <c r="C1836" s="25"/>
      <c r="D1836" s="22"/>
      <c r="F1836" s="25"/>
      <c r="G1836" s="22"/>
      <c r="H1836" s="25"/>
      <c r="I1836" s="22"/>
      <c r="J1836" s="25"/>
    </row>
    <row r="1837" ht="15.75" customHeight="1">
      <c r="A1837" s="25"/>
      <c r="B1837" s="22"/>
      <c r="C1837" s="25"/>
      <c r="D1837" s="22"/>
      <c r="F1837" s="25"/>
      <c r="G1837" s="22"/>
      <c r="H1837" s="25"/>
      <c r="I1837" s="22"/>
      <c r="J1837" s="25"/>
    </row>
    <row r="1838" ht="15.75" customHeight="1">
      <c r="A1838" s="25"/>
      <c r="B1838" s="22"/>
      <c r="C1838" s="25"/>
      <c r="D1838" s="22"/>
      <c r="F1838" s="25"/>
      <c r="G1838" s="22"/>
      <c r="H1838" s="25"/>
      <c r="I1838" s="22"/>
      <c r="J1838" s="25"/>
    </row>
    <row r="1839" ht="15.75" customHeight="1">
      <c r="A1839" s="25"/>
      <c r="B1839" s="22"/>
      <c r="C1839" s="25"/>
      <c r="D1839" s="22"/>
      <c r="F1839" s="25"/>
      <c r="G1839" s="22"/>
      <c r="H1839" s="25"/>
      <c r="I1839" s="22"/>
      <c r="J1839" s="25"/>
    </row>
    <row r="1840" ht="15.75" customHeight="1">
      <c r="A1840" s="25"/>
      <c r="B1840" s="22"/>
      <c r="C1840" s="25"/>
      <c r="D1840" s="22"/>
      <c r="F1840" s="25"/>
      <c r="G1840" s="22"/>
      <c r="H1840" s="25"/>
      <c r="I1840" s="22"/>
      <c r="J1840" s="25"/>
    </row>
    <row r="1841" ht="15.75" customHeight="1">
      <c r="A1841" s="25"/>
      <c r="B1841" s="22"/>
      <c r="C1841" s="25"/>
      <c r="D1841" s="22"/>
      <c r="F1841" s="25"/>
      <c r="G1841" s="22"/>
      <c r="H1841" s="25"/>
      <c r="I1841" s="22"/>
      <c r="J1841" s="25"/>
    </row>
    <row r="1842" ht="15.75" customHeight="1">
      <c r="A1842" s="25"/>
      <c r="B1842" s="22"/>
      <c r="C1842" s="25"/>
      <c r="D1842" s="22"/>
      <c r="F1842" s="25"/>
      <c r="G1842" s="22"/>
      <c r="H1842" s="25"/>
      <c r="I1842" s="22"/>
      <c r="J1842" s="25"/>
    </row>
    <row r="1843" ht="15.75" customHeight="1">
      <c r="A1843" s="25"/>
      <c r="B1843" s="22"/>
      <c r="C1843" s="25"/>
      <c r="D1843" s="22"/>
      <c r="F1843" s="25"/>
      <c r="G1843" s="22"/>
      <c r="H1843" s="25"/>
      <c r="I1843" s="22"/>
      <c r="J1843" s="25"/>
    </row>
    <row r="1844" ht="15.75" customHeight="1">
      <c r="A1844" s="25"/>
      <c r="B1844" s="22"/>
      <c r="C1844" s="25"/>
      <c r="D1844" s="22"/>
      <c r="F1844" s="25"/>
      <c r="G1844" s="22"/>
      <c r="H1844" s="25"/>
      <c r="I1844" s="22"/>
      <c r="J1844" s="25"/>
    </row>
    <row r="1845" ht="15.75" customHeight="1">
      <c r="A1845" s="25"/>
      <c r="B1845" s="22"/>
      <c r="C1845" s="25"/>
      <c r="D1845" s="22"/>
      <c r="F1845" s="25"/>
      <c r="G1845" s="22"/>
      <c r="H1845" s="25"/>
      <c r="I1845" s="22"/>
      <c r="J1845" s="25"/>
    </row>
    <row r="1846" ht="15.75" customHeight="1">
      <c r="A1846" s="25"/>
      <c r="B1846" s="22"/>
      <c r="C1846" s="25"/>
      <c r="D1846" s="22"/>
      <c r="F1846" s="25"/>
      <c r="G1846" s="22"/>
      <c r="H1846" s="25"/>
      <c r="I1846" s="22"/>
      <c r="J1846" s="25"/>
    </row>
    <row r="1847" ht="15.75" customHeight="1">
      <c r="A1847" s="25"/>
      <c r="B1847" s="22"/>
      <c r="C1847" s="25"/>
      <c r="D1847" s="22"/>
      <c r="F1847" s="25"/>
      <c r="G1847" s="22"/>
      <c r="H1847" s="25"/>
      <c r="I1847" s="22"/>
      <c r="J1847" s="25"/>
    </row>
    <row r="1848" ht="15.75" customHeight="1">
      <c r="A1848" s="25"/>
      <c r="B1848" s="22"/>
      <c r="C1848" s="25"/>
      <c r="D1848" s="22"/>
      <c r="F1848" s="25"/>
      <c r="G1848" s="22"/>
      <c r="H1848" s="25"/>
      <c r="I1848" s="22"/>
      <c r="J1848" s="25"/>
    </row>
    <row r="1849" ht="15.75" customHeight="1">
      <c r="A1849" s="25"/>
      <c r="B1849" s="22"/>
      <c r="C1849" s="25"/>
      <c r="D1849" s="22"/>
      <c r="F1849" s="25"/>
      <c r="G1849" s="22"/>
      <c r="H1849" s="25"/>
      <c r="I1849" s="22"/>
      <c r="J1849" s="25"/>
    </row>
    <row r="1850" ht="15.75" customHeight="1">
      <c r="A1850" s="25"/>
      <c r="B1850" s="22"/>
      <c r="C1850" s="25"/>
      <c r="D1850" s="22"/>
      <c r="F1850" s="25"/>
      <c r="G1850" s="22"/>
      <c r="H1850" s="25"/>
      <c r="I1850" s="22"/>
      <c r="J1850" s="25"/>
    </row>
    <row r="1851" ht="15.75" customHeight="1">
      <c r="A1851" s="25"/>
      <c r="B1851" s="22"/>
      <c r="C1851" s="25"/>
      <c r="D1851" s="22"/>
      <c r="F1851" s="25"/>
      <c r="G1851" s="22"/>
      <c r="H1851" s="25"/>
      <c r="I1851" s="22"/>
      <c r="J1851" s="25"/>
    </row>
    <row r="1852" ht="15.75" customHeight="1">
      <c r="A1852" s="25"/>
      <c r="B1852" s="22"/>
      <c r="C1852" s="25"/>
      <c r="D1852" s="22"/>
      <c r="F1852" s="25"/>
      <c r="G1852" s="22"/>
      <c r="H1852" s="25"/>
      <c r="I1852" s="22"/>
      <c r="J1852" s="25"/>
    </row>
    <row r="1853" ht="15.75" customHeight="1">
      <c r="A1853" s="25"/>
      <c r="B1853" s="22"/>
      <c r="C1853" s="25"/>
      <c r="D1853" s="22"/>
      <c r="F1853" s="25"/>
      <c r="G1853" s="22"/>
      <c r="H1853" s="25"/>
      <c r="I1853" s="22"/>
      <c r="J1853" s="25"/>
    </row>
    <row r="1854" ht="15.75" customHeight="1">
      <c r="A1854" s="25"/>
      <c r="B1854" s="22"/>
      <c r="C1854" s="25"/>
      <c r="D1854" s="22"/>
      <c r="F1854" s="25"/>
      <c r="G1854" s="22"/>
      <c r="H1854" s="25"/>
      <c r="I1854" s="22"/>
      <c r="J1854" s="25"/>
    </row>
    <row r="1855" ht="15.75" customHeight="1">
      <c r="A1855" s="25"/>
      <c r="B1855" s="22"/>
      <c r="C1855" s="25"/>
      <c r="D1855" s="22"/>
      <c r="F1855" s="25"/>
      <c r="G1855" s="22"/>
      <c r="H1855" s="25"/>
      <c r="I1855" s="22"/>
      <c r="J1855" s="25"/>
    </row>
    <row r="1856" ht="15.75" customHeight="1">
      <c r="A1856" s="25"/>
      <c r="B1856" s="22"/>
      <c r="C1856" s="25"/>
      <c r="D1856" s="22"/>
      <c r="F1856" s="25"/>
      <c r="G1856" s="22"/>
      <c r="H1856" s="25"/>
      <c r="I1856" s="22"/>
      <c r="J1856" s="25"/>
    </row>
    <row r="1857" ht="15.75" customHeight="1">
      <c r="A1857" s="25"/>
      <c r="B1857" s="22"/>
      <c r="C1857" s="25"/>
      <c r="D1857" s="22"/>
      <c r="F1857" s="25"/>
      <c r="G1857" s="22"/>
      <c r="H1857" s="25"/>
      <c r="I1857" s="22"/>
      <c r="J1857" s="25"/>
    </row>
    <row r="1858" ht="15.75" customHeight="1">
      <c r="A1858" s="25"/>
      <c r="B1858" s="22"/>
      <c r="C1858" s="25"/>
      <c r="D1858" s="22"/>
      <c r="F1858" s="25"/>
      <c r="G1858" s="22"/>
      <c r="H1858" s="25"/>
      <c r="I1858" s="22"/>
      <c r="J1858" s="25"/>
    </row>
    <row r="1859" ht="15.75" customHeight="1">
      <c r="A1859" s="25"/>
      <c r="B1859" s="22"/>
      <c r="C1859" s="25"/>
      <c r="D1859" s="22"/>
      <c r="F1859" s="25"/>
      <c r="G1859" s="22"/>
      <c r="H1859" s="25"/>
      <c r="I1859" s="22"/>
      <c r="J1859" s="25"/>
    </row>
    <row r="1860" ht="15.75" customHeight="1">
      <c r="A1860" s="25"/>
      <c r="B1860" s="22"/>
      <c r="C1860" s="25"/>
      <c r="D1860" s="22"/>
      <c r="F1860" s="25"/>
      <c r="G1860" s="22"/>
      <c r="H1860" s="25"/>
      <c r="I1860" s="22"/>
      <c r="J1860" s="25"/>
    </row>
    <row r="1861" ht="15.75" customHeight="1">
      <c r="A1861" s="25"/>
      <c r="B1861" s="22"/>
      <c r="C1861" s="25"/>
      <c r="D1861" s="22"/>
      <c r="F1861" s="25"/>
      <c r="G1861" s="22"/>
      <c r="H1861" s="25"/>
      <c r="I1861" s="22"/>
      <c r="J1861" s="25"/>
    </row>
    <row r="1862" ht="15.75" customHeight="1">
      <c r="A1862" s="25"/>
      <c r="B1862" s="22"/>
      <c r="C1862" s="25"/>
      <c r="D1862" s="22"/>
      <c r="F1862" s="25"/>
      <c r="G1862" s="22"/>
      <c r="H1862" s="25"/>
      <c r="I1862" s="22"/>
      <c r="J1862" s="25"/>
    </row>
    <row r="1863" ht="15.75" customHeight="1">
      <c r="A1863" s="25"/>
      <c r="B1863" s="22"/>
      <c r="C1863" s="25"/>
      <c r="D1863" s="22"/>
      <c r="F1863" s="25"/>
      <c r="G1863" s="22"/>
      <c r="H1863" s="25"/>
      <c r="I1863" s="22"/>
      <c r="J1863" s="25"/>
    </row>
    <row r="1864" ht="15.75" customHeight="1">
      <c r="A1864" s="25"/>
      <c r="B1864" s="22"/>
      <c r="C1864" s="25"/>
      <c r="D1864" s="22"/>
      <c r="F1864" s="25"/>
      <c r="G1864" s="22"/>
      <c r="H1864" s="25"/>
      <c r="I1864" s="22"/>
      <c r="J1864" s="25"/>
    </row>
    <row r="1865" ht="15.75" customHeight="1">
      <c r="A1865" s="25"/>
      <c r="B1865" s="22"/>
      <c r="C1865" s="25"/>
      <c r="D1865" s="22"/>
      <c r="F1865" s="25"/>
      <c r="G1865" s="22"/>
      <c r="H1865" s="25"/>
      <c r="I1865" s="22"/>
      <c r="J1865" s="25"/>
    </row>
    <row r="1866" ht="15.75" customHeight="1">
      <c r="A1866" s="25"/>
      <c r="B1866" s="22"/>
      <c r="C1866" s="25"/>
      <c r="D1866" s="22"/>
      <c r="F1866" s="25"/>
      <c r="G1866" s="22"/>
      <c r="H1866" s="25"/>
      <c r="I1866" s="22"/>
      <c r="J1866" s="25"/>
    </row>
    <row r="1867" ht="15.75" customHeight="1">
      <c r="A1867" s="25"/>
      <c r="B1867" s="22"/>
      <c r="C1867" s="25"/>
      <c r="D1867" s="22"/>
      <c r="F1867" s="25"/>
      <c r="G1867" s="22"/>
      <c r="H1867" s="25"/>
      <c r="I1867" s="22"/>
      <c r="J1867" s="25"/>
    </row>
    <row r="1868" ht="15.75" customHeight="1">
      <c r="A1868" s="25"/>
      <c r="B1868" s="22"/>
      <c r="C1868" s="25"/>
      <c r="D1868" s="22"/>
      <c r="F1868" s="25"/>
      <c r="G1868" s="22"/>
      <c r="H1868" s="25"/>
      <c r="I1868" s="22"/>
      <c r="J1868" s="25"/>
    </row>
    <row r="1869" ht="15.75" customHeight="1">
      <c r="A1869" s="25"/>
      <c r="B1869" s="22"/>
      <c r="C1869" s="25"/>
      <c r="D1869" s="22"/>
      <c r="F1869" s="25"/>
      <c r="G1869" s="22"/>
      <c r="H1869" s="25"/>
      <c r="I1869" s="22"/>
      <c r="J1869" s="25"/>
    </row>
    <row r="1870" ht="15.75" customHeight="1">
      <c r="A1870" s="25"/>
      <c r="B1870" s="22"/>
      <c r="C1870" s="25"/>
      <c r="D1870" s="22"/>
      <c r="F1870" s="25"/>
      <c r="G1870" s="22"/>
      <c r="H1870" s="25"/>
      <c r="I1870" s="22"/>
      <c r="J1870" s="25"/>
    </row>
    <row r="1871" ht="15.75" customHeight="1">
      <c r="A1871" s="25"/>
      <c r="B1871" s="22"/>
      <c r="C1871" s="25"/>
      <c r="D1871" s="22"/>
      <c r="F1871" s="25"/>
      <c r="G1871" s="22"/>
      <c r="H1871" s="25"/>
      <c r="I1871" s="22"/>
      <c r="J1871" s="25"/>
    </row>
    <row r="1872" ht="15.75" customHeight="1">
      <c r="A1872" s="25"/>
      <c r="B1872" s="22"/>
      <c r="C1872" s="25"/>
      <c r="D1872" s="22"/>
      <c r="F1872" s="25"/>
      <c r="G1872" s="22"/>
      <c r="H1872" s="25"/>
      <c r="I1872" s="22"/>
      <c r="J1872" s="25"/>
    </row>
    <row r="1873" ht="15.75" customHeight="1">
      <c r="A1873" s="25"/>
      <c r="B1873" s="22"/>
      <c r="C1873" s="25"/>
      <c r="D1873" s="22"/>
      <c r="F1873" s="25"/>
      <c r="G1873" s="22"/>
      <c r="H1873" s="25"/>
      <c r="I1873" s="22"/>
      <c r="J1873" s="25"/>
    </row>
    <row r="1874" ht="15.75" customHeight="1">
      <c r="A1874" s="25"/>
      <c r="B1874" s="22"/>
      <c r="C1874" s="25"/>
      <c r="D1874" s="22"/>
      <c r="F1874" s="25"/>
      <c r="G1874" s="22"/>
      <c r="H1874" s="25"/>
      <c r="I1874" s="22"/>
      <c r="J1874" s="25"/>
    </row>
    <row r="1875" ht="15.75" customHeight="1">
      <c r="A1875" s="25"/>
      <c r="B1875" s="22"/>
      <c r="C1875" s="25"/>
      <c r="D1875" s="22"/>
      <c r="F1875" s="25"/>
      <c r="G1875" s="22"/>
      <c r="H1875" s="25"/>
      <c r="I1875" s="22"/>
      <c r="J1875" s="25"/>
    </row>
    <row r="1876" ht="15.75" customHeight="1">
      <c r="A1876" s="25"/>
      <c r="B1876" s="22"/>
      <c r="C1876" s="25"/>
      <c r="D1876" s="22"/>
      <c r="F1876" s="25"/>
      <c r="G1876" s="22"/>
      <c r="H1876" s="25"/>
      <c r="I1876" s="22"/>
      <c r="J1876" s="25"/>
    </row>
    <row r="1877" ht="15.75" customHeight="1">
      <c r="A1877" s="25"/>
      <c r="B1877" s="22"/>
      <c r="C1877" s="25"/>
      <c r="D1877" s="22"/>
      <c r="F1877" s="25"/>
      <c r="G1877" s="22"/>
      <c r="H1877" s="25"/>
      <c r="I1877" s="22"/>
      <c r="J1877" s="25"/>
    </row>
    <row r="1878" ht="15.75" customHeight="1">
      <c r="A1878" s="25"/>
      <c r="B1878" s="22"/>
      <c r="C1878" s="25"/>
      <c r="D1878" s="22"/>
      <c r="F1878" s="25"/>
      <c r="G1878" s="22"/>
      <c r="H1878" s="25"/>
      <c r="I1878" s="22"/>
      <c r="J1878" s="25"/>
    </row>
    <row r="1879" ht="15.75" customHeight="1">
      <c r="A1879" s="25"/>
      <c r="B1879" s="22"/>
      <c r="C1879" s="25"/>
      <c r="D1879" s="22"/>
      <c r="F1879" s="25"/>
      <c r="G1879" s="22"/>
      <c r="H1879" s="25"/>
      <c r="I1879" s="22"/>
      <c r="J1879" s="25"/>
    </row>
    <row r="1880" ht="15.75" customHeight="1">
      <c r="A1880" s="25"/>
      <c r="B1880" s="22"/>
      <c r="C1880" s="25"/>
      <c r="D1880" s="22"/>
      <c r="F1880" s="25"/>
      <c r="G1880" s="22"/>
      <c r="H1880" s="25"/>
      <c r="I1880" s="22"/>
      <c r="J1880" s="25"/>
    </row>
    <row r="1881" ht="15.75" customHeight="1">
      <c r="A1881" s="25"/>
      <c r="B1881" s="22"/>
      <c r="C1881" s="25"/>
      <c r="D1881" s="22"/>
      <c r="F1881" s="25"/>
      <c r="G1881" s="22"/>
      <c r="H1881" s="25"/>
      <c r="I1881" s="22"/>
      <c r="J1881" s="25"/>
    </row>
    <row r="1882" ht="15.75" customHeight="1">
      <c r="A1882" s="25"/>
      <c r="B1882" s="22"/>
      <c r="C1882" s="25"/>
      <c r="D1882" s="22"/>
      <c r="F1882" s="25"/>
      <c r="G1882" s="22"/>
      <c r="H1882" s="25"/>
      <c r="I1882" s="22"/>
      <c r="J1882" s="25"/>
    </row>
    <row r="1883" ht="15.75" customHeight="1">
      <c r="A1883" s="25"/>
      <c r="B1883" s="22"/>
      <c r="C1883" s="25"/>
      <c r="D1883" s="22"/>
      <c r="F1883" s="25"/>
      <c r="G1883" s="22"/>
      <c r="H1883" s="25"/>
      <c r="I1883" s="22"/>
      <c r="J1883" s="25"/>
    </row>
    <row r="1884" ht="15.75" customHeight="1">
      <c r="A1884" s="25"/>
      <c r="B1884" s="22"/>
      <c r="C1884" s="25"/>
      <c r="D1884" s="22"/>
      <c r="F1884" s="25"/>
      <c r="G1884" s="22"/>
      <c r="H1884" s="25"/>
      <c r="I1884" s="22"/>
      <c r="J1884" s="25"/>
    </row>
    <row r="1885" ht="15.75" customHeight="1">
      <c r="A1885" s="25"/>
      <c r="B1885" s="22"/>
      <c r="C1885" s="25"/>
      <c r="D1885" s="22"/>
      <c r="F1885" s="25"/>
      <c r="G1885" s="22"/>
      <c r="H1885" s="25"/>
      <c r="I1885" s="22"/>
      <c r="J1885" s="25"/>
    </row>
    <row r="1886" ht="15.75" customHeight="1">
      <c r="A1886" s="25"/>
      <c r="B1886" s="22"/>
      <c r="C1886" s="25"/>
      <c r="D1886" s="22"/>
      <c r="F1886" s="25"/>
      <c r="G1886" s="22"/>
      <c r="H1886" s="25"/>
      <c r="I1886" s="22"/>
      <c r="J1886" s="25"/>
    </row>
    <row r="1887" ht="15.75" customHeight="1">
      <c r="A1887" s="25"/>
      <c r="B1887" s="22"/>
      <c r="C1887" s="25"/>
      <c r="D1887" s="22"/>
      <c r="F1887" s="25"/>
      <c r="G1887" s="22"/>
      <c r="H1887" s="25"/>
      <c r="I1887" s="22"/>
      <c r="J1887" s="25"/>
    </row>
    <row r="1888" ht="15.75" customHeight="1">
      <c r="A1888" s="25"/>
      <c r="B1888" s="22"/>
      <c r="C1888" s="25"/>
      <c r="D1888" s="22"/>
      <c r="F1888" s="25"/>
      <c r="G1888" s="22"/>
      <c r="H1888" s="25"/>
      <c r="I1888" s="22"/>
      <c r="J1888" s="25"/>
    </row>
    <row r="1889" ht="15.75" customHeight="1">
      <c r="A1889" s="25"/>
      <c r="B1889" s="22"/>
      <c r="C1889" s="25"/>
      <c r="D1889" s="22"/>
      <c r="F1889" s="25"/>
      <c r="G1889" s="22"/>
      <c r="H1889" s="25"/>
      <c r="I1889" s="22"/>
      <c r="J1889" s="25"/>
    </row>
    <row r="1890" ht="15.75" customHeight="1">
      <c r="A1890" s="25"/>
      <c r="B1890" s="22"/>
      <c r="C1890" s="25"/>
      <c r="D1890" s="22"/>
      <c r="F1890" s="25"/>
      <c r="G1890" s="22"/>
      <c r="H1890" s="25"/>
      <c r="I1890" s="22"/>
      <c r="J1890" s="25"/>
    </row>
    <row r="1891" ht="15.75" customHeight="1">
      <c r="A1891" s="25"/>
      <c r="B1891" s="22"/>
      <c r="C1891" s="25"/>
      <c r="D1891" s="22"/>
      <c r="F1891" s="25"/>
      <c r="G1891" s="22"/>
      <c r="H1891" s="25"/>
      <c r="I1891" s="22"/>
      <c r="J1891" s="25"/>
    </row>
    <row r="1892" ht="15.75" customHeight="1">
      <c r="A1892" s="25"/>
      <c r="B1892" s="22"/>
      <c r="C1892" s="25"/>
      <c r="D1892" s="22"/>
      <c r="F1892" s="25"/>
      <c r="G1892" s="22"/>
      <c r="H1892" s="25"/>
      <c r="I1892" s="22"/>
      <c r="J1892" s="25"/>
    </row>
    <row r="1893" ht="15.75" customHeight="1">
      <c r="A1893" s="25"/>
      <c r="B1893" s="22"/>
      <c r="C1893" s="25"/>
      <c r="D1893" s="22"/>
      <c r="F1893" s="25"/>
      <c r="G1893" s="22"/>
      <c r="H1893" s="25"/>
      <c r="I1893" s="22"/>
      <c r="J1893" s="25"/>
    </row>
    <row r="1894" ht="15.75" customHeight="1">
      <c r="A1894" s="25"/>
      <c r="B1894" s="22"/>
      <c r="C1894" s="25"/>
      <c r="D1894" s="22"/>
      <c r="F1894" s="25"/>
      <c r="G1894" s="22"/>
      <c r="H1894" s="25"/>
      <c r="I1894" s="22"/>
      <c r="J1894" s="25"/>
    </row>
    <row r="1895" ht="15.75" customHeight="1">
      <c r="A1895" s="25"/>
      <c r="B1895" s="22"/>
      <c r="C1895" s="25"/>
      <c r="D1895" s="22"/>
      <c r="F1895" s="25"/>
      <c r="G1895" s="22"/>
      <c r="H1895" s="25"/>
      <c r="I1895" s="22"/>
      <c r="J1895" s="25"/>
    </row>
    <row r="1896" ht="15.75" customHeight="1">
      <c r="A1896" s="25"/>
      <c r="B1896" s="22"/>
      <c r="C1896" s="25"/>
      <c r="D1896" s="22"/>
      <c r="F1896" s="25"/>
      <c r="G1896" s="22"/>
      <c r="H1896" s="25"/>
      <c r="I1896" s="22"/>
      <c r="J1896" s="25"/>
    </row>
    <row r="1897" ht="15.75" customHeight="1">
      <c r="A1897" s="25"/>
      <c r="B1897" s="22"/>
      <c r="C1897" s="25"/>
      <c r="D1897" s="22"/>
      <c r="F1897" s="25"/>
      <c r="G1897" s="22"/>
      <c r="H1897" s="25"/>
      <c r="I1897" s="22"/>
      <c r="J1897" s="25"/>
    </row>
    <row r="1898" ht="15.75" customHeight="1">
      <c r="A1898" s="25"/>
      <c r="B1898" s="22"/>
      <c r="C1898" s="25"/>
      <c r="D1898" s="22"/>
      <c r="F1898" s="25"/>
      <c r="G1898" s="22"/>
      <c r="H1898" s="25"/>
      <c r="I1898" s="22"/>
      <c r="J1898" s="25"/>
    </row>
    <row r="1899" ht="15.75" customHeight="1">
      <c r="A1899" s="25"/>
      <c r="B1899" s="22"/>
      <c r="C1899" s="25"/>
      <c r="D1899" s="22"/>
      <c r="F1899" s="25"/>
      <c r="G1899" s="22"/>
      <c r="H1899" s="25"/>
      <c r="I1899" s="22"/>
      <c r="J1899" s="25"/>
    </row>
    <row r="1900" ht="15.75" customHeight="1">
      <c r="A1900" s="25"/>
      <c r="B1900" s="22"/>
      <c r="C1900" s="25"/>
      <c r="D1900" s="22"/>
      <c r="F1900" s="25"/>
      <c r="G1900" s="22"/>
      <c r="H1900" s="25"/>
      <c r="I1900" s="22"/>
      <c r="J1900" s="25"/>
    </row>
    <row r="1901" ht="15.75" customHeight="1">
      <c r="A1901" s="25"/>
      <c r="B1901" s="22"/>
      <c r="C1901" s="25"/>
      <c r="D1901" s="22"/>
      <c r="F1901" s="25"/>
      <c r="G1901" s="22"/>
      <c r="H1901" s="25"/>
      <c r="I1901" s="22"/>
      <c r="J1901" s="25"/>
    </row>
    <row r="1902" ht="15.75" customHeight="1">
      <c r="A1902" s="25"/>
      <c r="B1902" s="22"/>
      <c r="C1902" s="25"/>
      <c r="D1902" s="22"/>
      <c r="F1902" s="25"/>
      <c r="G1902" s="22"/>
      <c r="H1902" s="25"/>
      <c r="I1902" s="22"/>
      <c r="J1902" s="25"/>
    </row>
    <row r="1903" ht="15.75" customHeight="1">
      <c r="A1903" s="25"/>
      <c r="B1903" s="22"/>
      <c r="C1903" s="25"/>
      <c r="D1903" s="22"/>
      <c r="F1903" s="25"/>
      <c r="G1903" s="22"/>
      <c r="H1903" s="25"/>
      <c r="I1903" s="22"/>
      <c r="J1903" s="25"/>
    </row>
    <row r="1904" ht="15.75" customHeight="1">
      <c r="A1904" s="25"/>
      <c r="B1904" s="22"/>
      <c r="C1904" s="25"/>
      <c r="D1904" s="22"/>
      <c r="F1904" s="25"/>
      <c r="G1904" s="22"/>
      <c r="H1904" s="25"/>
      <c r="I1904" s="22"/>
      <c r="J1904" s="25"/>
    </row>
    <row r="1905" ht="15.75" customHeight="1">
      <c r="A1905" s="25"/>
      <c r="B1905" s="22"/>
      <c r="C1905" s="25"/>
      <c r="D1905" s="22"/>
      <c r="F1905" s="25"/>
      <c r="G1905" s="22"/>
      <c r="H1905" s="25"/>
      <c r="I1905" s="22"/>
      <c r="J1905" s="25"/>
    </row>
    <row r="1906" ht="15.75" customHeight="1">
      <c r="A1906" s="25"/>
      <c r="B1906" s="22"/>
      <c r="C1906" s="25"/>
      <c r="D1906" s="22"/>
      <c r="F1906" s="25"/>
      <c r="G1906" s="22"/>
      <c r="H1906" s="25"/>
      <c r="I1906" s="22"/>
      <c r="J1906" s="25"/>
    </row>
    <row r="1907" ht="15.75" customHeight="1">
      <c r="A1907" s="25"/>
      <c r="B1907" s="22"/>
      <c r="C1907" s="25"/>
      <c r="D1907" s="22"/>
      <c r="F1907" s="25"/>
      <c r="G1907" s="22"/>
      <c r="H1907" s="25"/>
      <c r="I1907" s="22"/>
      <c r="J1907" s="25"/>
    </row>
    <row r="1908" ht="15.75" customHeight="1">
      <c r="A1908" s="25"/>
      <c r="B1908" s="22"/>
      <c r="C1908" s="25"/>
      <c r="D1908" s="22"/>
      <c r="F1908" s="25"/>
      <c r="G1908" s="22"/>
      <c r="H1908" s="25"/>
      <c r="I1908" s="22"/>
      <c r="J1908" s="25"/>
    </row>
    <row r="1909" ht="15.75" customHeight="1">
      <c r="A1909" s="25"/>
      <c r="B1909" s="22"/>
      <c r="C1909" s="25"/>
      <c r="D1909" s="22"/>
      <c r="F1909" s="25"/>
      <c r="G1909" s="22"/>
      <c r="H1909" s="25"/>
      <c r="I1909" s="22"/>
      <c r="J1909" s="25"/>
    </row>
    <row r="1910" ht="15.75" customHeight="1">
      <c r="A1910" s="25"/>
      <c r="B1910" s="22"/>
      <c r="C1910" s="25"/>
      <c r="D1910" s="22"/>
      <c r="F1910" s="25"/>
      <c r="G1910" s="22"/>
      <c r="H1910" s="25"/>
      <c r="I1910" s="22"/>
      <c r="J1910" s="25"/>
    </row>
    <row r="1911" ht="15.75" customHeight="1">
      <c r="A1911" s="25"/>
      <c r="B1911" s="22"/>
      <c r="C1911" s="25"/>
      <c r="D1911" s="22"/>
      <c r="F1911" s="25"/>
      <c r="G1911" s="22"/>
      <c r="H1911" s="25"/>
      <c r="I1911" s="22"/>
      <c r="J1911" s="25"/>
    </row>
    <row r="1912" ht="15.75" customHeight="1">
      <c r="A1912" s="25"/>
      <c r="B1912" s="22"/>
      <c r="C1912" s="25"/>
      <c r="D1912" s="22"/>
      <c r="F1912" s="25"/>
      <c r="G1912" s="22"/>
      <c r="H1912" s="25"/>
      <c r="I1912" s="22"/>
      <c r="J1912" s="25"/>
    </row>
    <row r="1913" ht="15.75" customHeight="1">
      <c r="A1913" s="25"/>
      <c r="B1913" s="22"/>
      <c r="C1913" s="25"/>
      <c r="D1913" s="22"/>
      <c r="F1913" s="25"/>
      <c r="G1913" s="22"/>
      <c r="H1913" s="25"/>
      <c r="I1913" s="22"/>
      <c r="J1913" s="25"/>
    </row>
    <row r="1914" ht="15.75" customHeight="1">
      <c r="A1914" s="25"/>
      <c r="B1914" s="22"/>
      <c r="C1914" s="25"/>
      <c r="D1914" s="22"/>
      <c r="F1914" s="25"/>
      <c r="G1914" s="22"/>
      <c r="H1914" s="25"/>
      <c r="I1914" s="22"/>
      <c r="J1914" s="25"/>
    </row>
    <row r="1915" ht="15.75" customHeight="1">
      <c r="A1915" s="25"/>
      <c r="B1915" s="22"/>
      <c r="C1915" s="25"/>
      <c r="D1915" s="22"/>
      <c r="F1915" s="25"/>
      <c r="G1915" s="22"/>
      <c r="H1915" s="25"/>
      <c r="I1915" s="22"/>
      <c r="J1915" s="25"/>
    </row>
    <row r="1916" ht="15.75" customHeight="1">
      <c r="A1916" s="25"/>
      <c r="B1916" s="22"/>
      <c r="C1916" s="25"/>
      <c r="D1916" s="22"/>
      <c r="F1916" s="25"/>
      <c r="G1916" s="22"/>
      <c r="H1916" s="25"/>
      <c r="I1916" s="22"/>
      <c r="J1916" s="25"/>
    </row>
    <row r="1917" ht="15.75" customHeight="1">
      <c r="A1917" s="25"/>
      <c r="B1917" s="22"/>
      <c r="C1917" s="25"/>
      <c r="D1917" s="22"/>
      <c r="F1917" s="25"/>
      <c r="G1917" s="22"/>
      <c r="H1917" s="25"/>
      <c r="I1917" s="22"/>
      <c r="J1917" s="25"/>
    </row>
    <row r="1918" ht="15.75" customHeight="1">
      <c r="A1918" s="25"/>
      <c r="B1918" s="22"/>
      <c r="C1918" s="25"/>
      <c r="D1918" s="22"/>
      <c r="F1918" s="25"/>
      <c r="G1918" s="22"/>
      <c r="H1918" s="25"/>
      <c r="I1918" s="22"/>
      <c r="J1918" s="25"/>
    </row>
    <row r="1919" ht="15.75" customHeight="1">
      <c r="A1919" s="25"/>
      <c r="B1919" s="22"/>
      <c r="C1919" s="25"/>
      <c r="D1919" s="22"/>
      <c r="F1919" s="25"/>
      <c r="G1919" s="22"/>
      <c r="H1919" s="25"/>
      <c r="I1919" s="22"/>
      <c r="J1919" s="25"/>
    </row>
    <row r="1920" ht="15.75" customHeight="1">
      <c r="A1920" s="25"/>
      <c r="B1920" s="22"/>
      <c r="C1920" s="25"/>
      <c r="D1920" s="22"/>
      <c r="F1920" s="25"/>
      <c r="G1920" s="22"/>
      <c r="H1920" s="25"/>
      <c r="I1920" s="22"/>
      <c r="J1920" s="25"/>
    </row>
    <row r="1921" ht="15.75" customHeight="1">
      <c r="A1921" s="25"/>
      <c r="B1921" s="22"/>
      <c r="C1921" s="25"/>
      <c r="D1921" s="22"/>
      <c r="F1921" s="25"/>
      <c r="G1921" s="22"/>
      <c r="H1921" s="25"/>
      <c r="I1921" s="22"/>
      <c r="J1921" s="25"/>
    </row>
    <row r="1922" ht="15.75" customHeight="1">
      <c r="A1922" s="25"/>
      <c r="B1922" s="22"/>
      <c r="C1922" s="25"/>
      <c r="D1922" s="22"/>
      <c r="F1922" s="25"/>
      <c r="G1922" s="22"/>
      <c r="H1922" s="25"/>
      <c r="I1922" s="22"/>
      <c r="J1922" s="25"/>
    </row>
    <row r="1923" ht="15.75" customHeight="1">
      <c r="A1923" s="25"/>
      <c r="B1923" s="22"/>
      <c r="C1923" s="25"/>
      <c r="D1923" s="22"/>
      <c r="F1923" s="25"/>
      <c r="G1923" s="22"/>
      <c r="H1923" s="25"/>
      <c r="I1923" s="22"/>
      <c r="J1923" s="25"/>
    </row>
    <row r="1924" ht="15.75" customHeight="1">
      <c r="A1924" s="25"/>
      <c r="B1924" s="22"/>
      <c r="C1924" s="25"/>
      <c r="D1924" s="22"/>
      <c r="F1924" s="25"/>
      <c r="G1924" s="22"/>
      <c r="H1924" s="25"/>
      <c r="I1924" s="22"/>
      <c r="J1924" s="25"/>
    </row>
    <row r="1925" ht="15.75" customHeight="1">
      <c r="A1925" s="25"/>
      <c r="B1925" s="22"/>
      <c r="C1925" s="25"/>
      <c r="D1925" s="22"/>
      <c r="F1925" s="25"/>
      <c r="G1925" s="22"/>
      <c r="H1925" s="25"/>
      <c r="I1925" s="22"/>
      <c r="J1925" s="25"/>
    </row>
    <row r="1926" ht="15.75" customHeight="1">
      <c r="A1926" s="25"/>
      <c r="B1926" s="22"/>
      <c r="C1926" s="25"/>
      <c r="D1926" s="22"/>
      <c r="F1926" s="25"/>
      <c r="G1926" s="22"/>
      <c r="H1926" s="25"/>
      <c r="I1926" s="22"/>
      <c r="J1926" s="25"/>
    </row>
    <row r="1927" ht="15.75" customHeight="1">
      <c r="A1927" s="25"/>
      <c r="B1927" s="22"/>
      <c r="C1927" s="25"/>
      <c r="D1927" s="22"/>
      <c r="F1927" s="25"/>
      <c r="G1927" s="22"/>
      <c r="H1927" s="25"/>
      <c r="I1927" s="22"/>
      <c r="J1927" s="25"/>
    </row>
    <row r="1928" ht="15.75" customHeight="1">
      <c r="A1928" s="25"/>
      <c r="B1928" s="22"/>
      <c r="C1928" s="25"/>
      <c r="D1928" s="22"/>
      <c r="F1928" s="25"/>
      <c r="G1928" s="22"/>
      <c r="H1928" s="25"/>
      <c r="I1928" s="22"/>
      <c r="J1928" s="25"/>
    </row>
    <row r="1929" ht="15.75" customHeight="1">
      <c r="A1929" s="25"/>
      <c r="B1929" s="22"/>
      <c r="C1929" s="25"/>
      <c r="D1929" s="22"/>
      <c r="F1929" s="25"/>
      <c r="G1929" s="22"/>
      <c r="H1929" s="25"/>
      <c r="I1929" s="22"/>
      <c r="J1929" s="25"/>
    </row>
    <row r="1930" ht="15.75" customHeight="1">
      <c r="A1930" s="25"/>
      <c r="B1930" s="22"/>
      <c r="C1930" s="25"/>
      <c r="D1930" s="22"/>
      <c r="F1930" s="25"/>
      <c r="G1930" s="22"/>
      <c r="H1930" s="25"/>
      <c r="I1930" s="22"/>
      <c r="J1930" s="25"/>
    </row>
    <row r="1931" ht="15.75" customHeight="1">
      <c r="A1931" s="25"/>
      <c r="B1931" s="22"/>
      <c r="C1931" s="25"/>
      <c r="D1931" s="22"/>
      <c r="F1931" s="25"/>
      <c r="G1931" s="22"/>
      <c r="H1931" s="25"/>
      <c r="I1931" s="22"/>
      <c r="J1931" s="25"/>
    </row>
    <row r="1932" ht="15.75" customHeight="1">
      <c r="A1932" s="25"/>
      <c r="B1932" s="22"/>
      <c r="C1932" s="25"/>
      <c r="D1932" s="22"/>
      <c r="F1932" s="25"/>
      <c r="G1932" s="22"/>
      <c r="H1932" s="25"/>
      <c r="I1932" s="22"/>
      <c r="J1932" s="25"/>
    </row>
    <row r="1933" ht="15.75" customHeight="1">
      <c r="A1933" s="25"/>
      <c r="B1933" s="22"/>
      <c r="C1933" s="25"/>
      <c r="D1933" s="22"/>
      <c r="F1933" s="25"/>
      <c r="G1933" s="22"/>
      <c r="H1933" s="25"/>
      <c r="I1933" s="22"/>
      <c r="J1933" s="25"/>
    </row>
    <row r="1934" ht="15.75" customHeight="1">
      <c r="A1934" s="25"/>
      <c r="B1934" s="22"/>
      <c r="C1934" s="25"/>
      <c r="D1934" s="22"/>
      <c r="F1934" s="25"/>
      <c r="G1934" s="22"/>
      <c r="H1934" s="25"/>
      <c r="I1934" s="22"/>
      <c r="J1934" s="25"/>
    </row>
    <row r="1935" ht="15.75" customHeight="1">
      <c r="A1935" s="25"/>
      <c r="B1935" s="22"/>
      <c r="C1935" s="25"/>
      <c r="D1935" s="22"/>
      <c r="F1935" s="25"/>
      <c r="G1935" s="22"/>
      <c r="H1935" s="25"/>
      <c r="I1935" s="22"/>
      <c r="J1935" s="25"/>
    </row>
    <row r="1936" ht="15.75" customHeight="1">
      <c r="A1936" s="25"/>
      <c r="B1936" s="22"/>
      <c r="C1936" s="25"/>
      <c r="D1936" s="22"/>
      <c r="F1936" s="25"/>
      <c r="G1936" s="22"/>
      <c r="H1936" s="25"/>
      <c r="I1936" s="22"/>
      <c r="J1936" s="25"/>
    </row>
    <row r="1937" ht="15.75" customHeight="1">
      <c r="A1937" s="25"/>
      <c r="B1937" s="22"/>
      <c r="C1937" s="25"/>
      <c r="D1937" s="22"/>
      <c r="F1937" s="25"/>
      <c r="G1937" s="22"/>
      <c r="H1937" s="25"/>
      <c r="I1937" s="22"/>
      <c r="J1937" s="25"/>
    </row>
    <row r="1938" ht="15.75" customHeight="1">
      <c r="A1938" s="25"/>
      <c r="B1938" s="22"/>
      <c r="C1938" s="25"/>
      <c r="D1938" s="22"/>
      <c r="F1938" s="25"/>
      <c r="G1938" s="22"/>
      <c r="H1938" s="25"/>
      <c r="I1938" s="22"/>
      <c r="J1938" s="25"/>
    </row>
    <row r="1939" ht="15.75" customHeight="1">
      <c r="A1939" s="25"/>
      <c r="B1939" s="22"/>
      <c r="C1939" s="25"/>
      <c r="D1939" s="22"/>
      <c r="F1939" s="25"/>
      <c r="G1939" s="22"/>
      <c r="H1939" s="25"/>
      <c r="I1939" s="22"/>
      <c r="J1939" s="25"/>
    </row>
    <row r="1940" ht="15.75" customHeight="1">
      <c r="A1940" s="25"/>
      <c r="B1940" s="22"/>
      <c r="C1940" s="25"/>
      <c r="D1940" s="22"/>
      <c r="F1940" s="25"/>
      <c r="G1940" s="22"/>
      <c r="H1940" s="25"/>
      <c r="I1940" s="22"/>
      <c r="J1940" s="25"/>
    </row>
    <row r="1941" ht="15.75" customHeight="1">
      <c r="A1941" s="25"/>
      <c r="B1941" s="22"/>
      <c r="C1941" s="25"/>
      <c r="D1941" s="22"/>
      <c r="F1941" s="25"/>
      <c r="G1941" s="22"/>
      <c r="H1941" s="25"/>
      <c r="I1941" s="22"/>
      <c r="J1941" s="25"/>
    </row>
    <row r="1942" ht="15.75" customHeight="1">
      <c r="A1942" s="25"/>
      <c r="B1942" s="22"/>
      <c r="C1942" s="25"/>
      <c r="D1942" s="22"/>
      <c r="F1942" s="25"/>
      <c r="G1942" s="22"/>
      <c r="H1942" s="25"/>
      <c r="I1942" s="22"/>
      <c r="J1942" s="25"/>
    </row>
    <row r="1943" ht="15.75" customHeight="1">
      <c r="A1943" s="25"/>
      <c r="B1943" s="22"/>
      <c r="C1943" s="25"/>
      <c r="D1943" s="22"/>
      <c r="F1943" s="25"/>
      <c r="G1943" s="22"/>
      <c r="H1943" s="25"/>
      <c r="I1943" s="22"/>
      <c r="J1943" s="25"/>
    </row>
    <row r="1944" ht="15.75" customHeight="1">
      <c r="A1944" s="25"/>
      <c r="B1944" s="22"/>
      <c r="C1944" s="25"/>
      <c r="D1944" s="22"/>
      <c r="F1944" s="25"/>
      <c r="G1944" s="22"/>
      <c r="H1944" s="25"/>
      <c r="I1944" s="22"/>
      <c r="J1944" s="25"/>
    </row>
    <row r="1945" ht="15.75" customHeight="1">
      <c r="A1945" s="25"/>
      <c r="B1945" s="22"/>
      <c r="C1945" s="25"/>
      <c r="D1945" s="22"/>
      <c r="F1945" s="25"/>
      <c r="G1945" s="22"/>
      <c r="H1945" s="25"/>
      <c r="I1945" s="22"/>
      <c r="J1945" s="25"/>
    </row>
    <row r="1946" ht="15.75" customHeight="1">
      <c r="A1946" s="25"/>
      <c r="B1946" s="22"/>
      <c r="C1946" s="25"/>
      <c r="D1946" s="22"/>
      <c r="F1946" s="25"/>
      <c r="G1946" s="22"/>
      <c r="H1946" s="25"/>
      <c r="I1946" s="22"/>
      <c r="J1946" s="25"/>
    </row>
    <row r="1947" ht="15.75" customHeight="1">
      <c r="A1947" s="25"/>
      <c r="B1947" s="22"/>
      <c r="C1947" s="25"/>
      <c r="D1947" s="22"/>
      <c r="F1947" s="25"/>
      <c r="G1947" s="22"/>
      <c r="H1947" s="25"/>
      <c r="I1947" s="22"/>
      <c r="J1947" s="25"/>
    </row>
    <row r="1948" ht="15.75" customHeight="1">
      <c r="A1948" s="25"/>
      <c r="B1948" s="22"/>
      <c r="C1948" s="25"/>
      <c r="D1948" s="22"/>
      <c r="F1948" s="25"/>
      <c r="G1948" s="22"/>
      <c r="H1948" s="25"/>
      <c r="I1948" s="22"/>
      <c r="J1948" s="25"/>
    </row>
    <row r="1949" ht="15.75" customHeight="1">
      <c r="A1949" s="25"/>
      <c r="B1949" s="22"/>
      <c r="C1949" s="25"/>
      <c r="D1949" s="22"/>
      <c r="F1949" s="25"/>
      <c r="G1949" s="22"/>
      <c r="H1949" s="25"/>
      <c r="I1949" s="22"/>
      <c r="J1949" s="25"/>
    </row>
    <row r="1950" ht="15.75" customHeight="1">
      <c r="A1950" s="25"/>
      <c r="B1950" s="22"/>
      <c r="C1950" s="25"/>
      <c r="D1950" s="22"/>
      <c r="F1950" s="25"/>
      <c r="G1950" s="22"/>
      <c r="H1950" s="25"/>
      <c r="I1950" s="22"/>
      <c r="J1950" s="25"/>
    </row>
    <row r="1951" ht="15.75" customHeight="1">
      <c r="A1951" s="25"/>
      <c r="B1951" s="22"/>
      <c r="C1951" s="25"/>
      <c r="D1951" s="22"/>
      <c r="F1951" s="25"/>
      <c r="G1951" s="22"/>
      <c r="H1951" s="25"/>
      <c r="I1951" s="22"/>
      <c r="J1951" s="25"/>
    </row>
    <row r="1952" ht="15.75" customHeight="1">
      <c r="A1952" s="25"/>
      <c r="B1952" s="22"/>
      <c r="C1952" s="25"/>
      <c r="D1952" s="22"/>
      <c r="F1952" s="25"/>
      <c r="G1952" s="22"/>
      <c r="H1952" s="25"/>
      <c r="I1952" s="22"/>
      <c r="J1952" s="25"/>
    </row>
    <row r="1953" ht="15.75" customHeight="1">
      <c r="A1953" s="25"/>
      <c r="B1953" s="22"/>
      <c r="C1953" s="25"/>
      <c r="D1953" s="22"/>
      <c r="F1953" s="25"/>
      <c r="G1953" s="22"/>
      <c r="H1953" s="25"/>
      <c r="I1953" s="22"/>
      <c r="J1953" s="25"/>
    </row>
    <row r="1954" ht="15.75" customHeight="1">
      <c r="A1954" s="25"/>
      <c r="B1954" s="22"/>
      <c r="C1954" s="25"/>
      <c r="D1954" s="22"/>
      <c r="F1954" s="25"/>
      <c r="G1954" s="22"/>
      <c r="H1954" s="25"/>
      <c r="I1954" s="22"/>
      <c r="J1954" s="25"/>
    </row>
    <row r="1955" ht="15.75" customHeight="1">
      <c r="A1955" s="25"/>
      <c r="B1955" s="22"/>
      <c r="C1955" s="25"/>
      <c r="D1955" s="22"/>
      <c r="F1955" s="25"/>
      <c r="G1955" s="22"/>
      <c r="H1955" s="25"/>
      <c r="I1955" s="22"/>
      <c r="J1955" s="25"/>
    </row>
    <row r="1956" ht="15.75" customHeight="1">
      <c r="A1956" s="25"/>
      <c r="B1956" s="22"/>
      <c r="C1956" s="25"/>
      <c r="D1956" s="22"/>
      <c r="F1956" s="25"/>
      <c r="G1956" s="22"/>
      <c r="H1956" s="25"/>
      <c r="I1956" s="22"/>
      <c r="J1956" s="25"/>
    </row>
    <row r="1957" ht="15.75" customHeight="1">
      <c r="A1957" s="25"/>
      <c r="B1957" s="22"/>
      <c r="C1957" s="25"/>
      <c r="D1957" s="22"/>
      <c r="F1957" s="25"/>
      <c r="G1957" s="22"/>
      <c r="H1957" s="25"/>
      <c r="I1957" s="22"/>
      <c r="J1957" s="25"/>
    </row>
    <row r="1958" ht="15.75" customHeight="1">
      <c r="A1958" s="25"/>
      <c r="B1958" s="22"/>
      <c r="C1958" s="25"/>
      <c r="D1958" s="22"/>
      <c r="F1958" s="25"/>
      <c r="G1958" s="22"/>
      <c r="H1958" s="25"/>
      <c r="I1958" s="22"/>
      <c r="J1958" s="25"/>
    </row>
    <row r="1959" ht="15.75" customHeight="1">
      <c r="A1959" s="25"/>
      <c r="B1959" s="22"/>
      <c r="C1959" s="25"/>
      <c r="D1959" s="22"/>
      <c r="F1959" s="25"/>
      <c r="G1959" s="22"/>
      <c r="H1959" s="25"/>
      <c r="I1959" s="22"/>
      <c r="J1959" s="25"/>
    </row>
    <row r="1960" ht="15.75" customHeight="1">
      <c r="A1960" s="25"/>
      <c r="B1960" s="22"/>
      <c r="C1960" s="25"/>
      <c r="D1960" s="22"/>
      <c r="F1960" s="25"/>
      <c r="G1960" s="22"/>
      <c r="H1960" s="25"/>
      <c r="I1960" s="22"/>
      <c r="J1960" s="25"/>
    </row>
    <row r="1961" ht="15.75" customHeight="1">
      <c r="A1961" s="25"/>
      <c r="B1961" s="22"/>
      <c r="C1961" s="25"/>
      <c r="D1961" s="22"/>
      <c r="F1961" s="25"/>
      <c r="G1961" s="22"/>
      <c r="H1961" s="25"/>
      <c r="I1961" s="22"/>
      <c r="J1961" s="25"/>
    </row>
    <row r="1962" ht="15.75" customHeight="1">
      <c r="A1962" s="25"/>
      <c r="B1962" s="22"/>
      <c r="C1962" s="25"/>
      <c r="D1962" s="22"/>
      <c r="F1962" s="25"/>
      <c r="G1962" s="22"/>
      <c r="H1962" s="25"/>
      <c r="I1962" s="22"/>
      <c r="J1962" s="25"/>
    </row>
    <row r="1963" ht="15.75" customHeight="1">
      <c r="A1963" s="25"/>
      <c r="B1963" s="22"/>
      <c r="C1963" s="25"/>
      <c r="D1963" s="22"/>
      <c r="F1963" s="25"/>
      <c r="G1963" s="22"/>
      <c r="H1963" s="25"/>
      <c r="I1963" s="22"/>
      <c r="J1963" s="25"/>
    </row>
    <row r="1964" ht="15.75" customHeight="1">
      <c r="A1964" s="25"/>
      <c r="B1964" s="22"/>
      <c r="C1964" s="25"/>
      <c r="D1964" s="22"/>
      <c r="F1964" s="25"/>
      <c r="G1964" s="22"/>
      <c r="H1964" s="25"/>
      <c r="I1964" s="22"/>
      <c r="J1964" s="25"/>
    </row>
    <row r="1965" ht="15.75" customHeight="1">
      <c r="A1965" s="25"/>
      <c r="B1965" s="22"/>
      <c r="C1965" s="25"/>
      <c r="D1965" s="22"/>
      <c r="F1965" s="25"/>
      <c r="G1965" s="22"/>
      <c r="H1965" s="25"/>
      <c r="I1965" s="22"/>
      <c r="J1965" s="25"/>
    </row>
    <row r="1966" ht="15.75" customHeight="1">
      <c r="A1966" s="25"/>
      <c r="B1966" s="22"/>
      <c r="C1966" s="25"/>
      <c r="D1966" s="22"/>
      <c r="F1966" s="25"/>
      <c r="G1966" s="22"/>
      <c r="H1966" s="25"/>
      <c r="I1966" s="22"/>
      <c r="J1966" s="25"/>
    </row>
    <row r="1967" ht="15.75" customHeight="1">
      <c r="A1967" s="25"/>
      <c r="B1967" s="22"/>
      <c r="C1967" s="25"/>
      <c r="D1967" s="22"/>
      <c r="F1967" s="25"/>
      <c r="G1967" s="22"/>
      <c r="H1967" s="25"/>
      <c r="I1967" s="22"/>
      <c r="J1967" s="25"/>
    </row>
    <row r="1968" ht="15.75" customHeight="1">
      <c r="A1968" s="25"/>
      <c r="B1968" s="22"/>
      <c r="C1968" s="25"/>
      <c r="D1968" s="22"/>
      <c r="F1968" s="25"/>
      <c r="G1968" s="22"/>
      <c r="H1968" s="25"/>
      <c r="I1968" s="22"/>
      <c r="J1968" s="25"/>
    </row>
    <row r="1969" ht="15.75" customHeight="1">
      <c r="A1969" s="25"/>
      <c r="B1969" s="22"/>
      <c r="C1969" s="25"/>
      <c r="D1969" s="22"/>
      <c r="F1969" s="25"/>
      <c r="G1969" s="22"/>
      <c r="H1969" s="25"/>
      <c r="I1969" s="22"/>
      <c r="J1969" s="25"/>
    </row>
    <row r="1970" ht="15.75" customHeight="1">
      <c r="A1970" s="25"/>
      <c r="B1970" s="22"/>
      <c r="C1970" s="25"/>
      <c r="D1970" s="22"/>
      <c r="F1970" s="25"/>
      <c r="G1970" s="22"/>
      <c r="H1970" s="25"/>
      <c r="I1970" s="22"/>
      <c r="J1970" s="25"/>
    </row>
    <row r="1971" ht="15.75" customHeight="1">
      <c r="A1971" s="25"/>
      <c r="B1971" s="22"/>
      <c r="C1971" s="25"/>
      <c r="D1971" s="22"/>
      <c r="F1971" s="25"/>
      <c r="G1971" s="22"/>
      <c r="H1971" s="25"/>
      <c r="I1971" s="22"/>
      <c r="J1971" s="25"/>
    </row>
    <row r="1972" ht="15.75" customHeight="1">
      <c r="A1972" s="25"/>
      <c r="B1972" s="22"/>
      <c r="C1972" s="25"/>
      <c r="D1972" s="22"/>
      <c r="F1972" s="25"/>
      <c r="G1972" s="22"/>
      <c r="H1972" s="25"/>
      <c r="I1972" s="22"/>
      <c r="J1972" s="25"/>
    </row>
    <row r="1973" ht="15.75" customHeight="1">
      <c r="A1973" s="25"/>
      <c r="B1973" s="22"/>
      <c r="C1973" s="25"/>
      <c r="D1973" s="22"/>
      <c r="F1973" s="25"/>
      <c r="G1973" s="22"/>
      <c r="H1973" s="25"/>
      <c r="I1973" s="22"/>
      <c r="J1973" s="25"/>
    </row>
    <row r="1974" ht="15.75" customHeight="1">
      <c r="A1974" s="25"/>
      <c r="B1974" s="22"/>
      <c r="C1974" s="25"/>
      <c r="D1974" s="22"/>
      <c r="F1974" s="25"/>
      <c r="G1974" s="22"/>
      <c r="H1974" s="25"/>
      <c r="I1974" s="22"/>
      <c r="J1974" s="25"/>
    </row>
    <row r="1975" ht="15.75" customHeight="1">
      <c r="A1975" s="25"/>
      <c r="B1975" s="22"/>
      <c r="C1975" s="25"/>
      <c r="D1975" s="22"/>
      <c r="F1975" s="25"/>
      <c r="G1975" s="22"/>
      <c r="H1975" s="25"/>
      <c r="I1975" s="22"/>
      <c r="J1975" s="25"/>
    </row>
    <row r="1976" ht="15.75" customHeight="1">
      <c r="A1976" s="25"/>
      <c r="B1976" s="22"/>
      <c r="C1976" s="25"/>
      <c r="D1976" s="22"/>
      <c r="F1976" s="25"/>
      <c r="G1976" s="22"/>
      <c r="H1976" s="25"/>
      <c r="I1976" s="22"/>
      <c r="J1976" s="25"/>
    </row>
    <row r="1977" ht="15.75" customHeight="1">
      <c r="A1977" s="25"/>
      <c r="B1977" s="22"/>
      <c r="C1977" s="25"/>
      <c r="D1977" s="22"/>
      <c r="F1977" s="25"/>
      <c r="G1977" s="22"/>
      <c r="H1977" s="25"/>
      <c r="I1977" s="22"/>
      <c r="J1977" s="25"/>
    </row>
    <row r="1978" ht="15.75" customHeight="1">
      <c r="A1978" s="25"/>
      <c r="B1978" s="22"/>
      <c r="C1978" s="25"/>
      <c r="D1978" s="22"/>
      <c r="F1978" s="25"/>
      <c r="G1978" s="22"/>
      <c r="H1978" s="25"/>
      <c r="I1978" s="22"/>
      <c r="J1978" s="25"/>
    </row>
    <row r="1979" ht="15.75" customHeight="1">
      <c r="A1979" s="25"/>
      <c r="B1979" s="22"/>
      <c r="C1979" s="25"/>
      <c r="D1979" s="22"/>
      <c r="F1979" s="25"/>
      <c r="G1979" s="22"/>
      <c r="H1979" s="25"/>
      <c r="I1979" s="22"/>
      <c r="J1979" s="25"/>
    </row>
    <row r="1980" ht="15.75" customHeight="1">
      <c r="A1980" s="25"/>
      <c r="B1980" s="22"/>
      <c r="C1980" s="25"/>
      <c r="D1980" s="22"/>
      <c r="F1980" s="25"/>
      <c r="G1980" s="22"/>
      <c r="H1980" s="25"/>
      <c r="I1980" s="22"/>
      <c r="J1980" s="25"/>
    </row>
    <row r="1981" ht="15.75" customHeight="1">
      <c r="A1981" s="25"/>
      <c r="B1981" s="22"/>
      <c r="C1981" s="25"/>
      <c r="D1981" s="22"/>
      <c r="F1981" s="25"/>
      <c r="G1981" s="22"/>
      <c r="H1981" s="25"/>
      <c r="I1981" s="22"/>
      <c r="J1981" s="25"/>
    </row>
    <row r="1982" ht="15.75" customHeight="1">
      <c r="A1982" s="25"/>
      <c r="B1982" s="22"/>
      <c r="C1982" s="25"/>
      <c r="D1982" s="22"/>
      <c r="F1982" s="25"/>
      <c r="G1982" s="22"/>
      <c r="H1982" s="25"/>
      <c r="I1982" s="22"/>
      <c r="J1982" s="25"/>
    </row>
    <row r="1983" ht="15.75" customHeight="1">
      <c r="A1983" s="25"/>
      <c r="B1983" s="22"/>
      <c r="C1983" s="25"/>
      <c r="D1983" s="22"/>
      <c r="F1983" s="25"/>
      <c r="G1983" s="22"/>
      <c r="H1983" s="25"/>
      <c r="I1983" s="22"/>
      <c r="J1983" s="25"/>
    </row>
    <row r="1984" ht="15.75" customHeight="1">
      <c r="A1984" s="25"/>
      <c r="B1984" s="22"/>
      <c r="C1984" s="25"/>
      <c r="D1984" s="22"/>
      <c r="F1984" s="25"/>
      <c r="G1984" s="22"/>
      <c r="H1984" s="25"/>
      <c r="I1984" s="22"/>
      <c r="J1984" s="25"/>
    </row>
    <row r="1985" ht="15.75" customHeight="1">
      <c r="A1985" s="25"/>
      <c r="B1985" s="22"/>
      <c r="C1985" s="25"/>
      <c r="D1985" s="22"/>
      <c r="F1985" s="25"/>
      <c r="G1985" s="22"/>
      <c r="H1985" s="25"/>
      <c r="I1985" s="22"/>
      <c r="J1985" s="25"/>
    </row>
    <row r="1986" ht="15.75" customHeight="1">
      <c r="A1986" s="25"/>
      <c r="B1986" s="22"/>
      <c r="C1986" s="25"/>
      <c r="D1986" s="22"/>
      <c r="F1986" s="25"/>
      <c r="G1986" s="22"/>
      <c r="H1986" s="25"/>
      <c r="I1986" s="22"/>
      <c r="J1986" s="25"/>
    </row>
    <row r="1987" ht="15.75" customHeight="1">
      <c r="A1987" s="25"/>
      <c r="B1987" s="22"/>
      <c r="C1987" s="25"/>
      <c r="D1987" s="22"/>
      <c r="F1987" s="25"/>
      <c r="G1987" s="22"/>
      <c r="H1987" s="25"/>
      <c r="I1987" s="22"/>
      <c r="J1987" s="25"/>
    </row>
    <row r="1988" ht="15.75" customHeight="1">
      <c r="A1988" s="25"/>
      <c r="B1988" s="22"/>
      <c r="C1988" s="25"/>
      <c r="D1988" s="22"/>
      <c r="F1988" s="25"/>
      <c r="G1988" s="22"/>
      <c r="H1988" s="25"/>
      <c r="I1988" s="22"/>
      <c r="J1988" s="25"/>
    </row>
    <row r="1989" ht="15.75" customHeight="1">
      <c r="A1989" s="25"/>
      <c r="B1989" s="22"/>
      <c r="C1989" s="25"/>
      <c r="D1989" s="22"/>
      <c r="F1989" s="25"/>
      <c r="G1989" s="22"/>
      <c r="H1989" s="25"/>
      <c r="I1989" s="22"/>
      <c r="J1989" s="25"/>
    </row>
    <row r="1990" ht="15.75" customHeight="1">
      <c r="A1990" s="25"/>
      <c r="B1990" s="22"/>
      <c r="C1990" s="25"/>
      <c r="D1990" s="22"/>
      <c r="F1990" s="25"/>
      <c r="G1990" s="22"/>
      <c r="H1990" s="25"/>
      <c r="I1990" s="22"/>
      <c r="J1990" s="25"/>
    </row>
    <row r="1991" ht="15.75" customHeight="1">
      <c r="A1991" s="25"/>
      <c r="B1991" s="22"/>
      <c r="C1991" s="25"/>
      <c r="D1991" s="22"/>
      <c r="F1991" s="25"/>
      <c r="G1991" s="22"/>
      <c r="H1991" s="25"/>
      <c r="I1991" s="22"/>
      <c r="J1991" s="25"/>
    </row>
    <row r="1992" ht="15.75" customHeight="1">
      <c r="A1992" s="25"/>
      <c r="B1992" s="22"/>
      <c r="C1992" s="25"/>
      <c r="D1992" s="22"/>
      <c r="F1992" s="25"/>
      <c r="G1992" s="22"/>
      <c r="H1992" s="25"/>
      <c r="I1992" s="22"/>
      <c r="J1992" s="25"/>
    </row>
    <row r="1993" ht="15.75" customHeight="1">
      <c r="A1993" s="25"/>
      <c r="B1993" s="22"/>
      <c r="C1993" s="25"/>
      <c r="D1993" s="22"/>
      <c r="F1993" s="25"/>
      <c r="G1993" s="22"/>
      <c r="H1993" s="25"/>
      <c r="I1993" s="22"/>
      <c r="J1993" s="25"/>
    </row>
    <row r="1994" ht="15.75" customHeight="1">
      <c r="A1994" s="25"/>
      <c r="B1994" s="22"/>
      <c r="C1994" s="25"/>
      <c r="D1994" s="22"/>
      <c r="F1994" s="25"/>
      <c r="G1994" s="22"/>
      <c r="H1994" s="25"/>
      <c r="I1994" s="22"/>
      <c r="J1994" s="25"/>
    </row>
    <row r="1995" ht="15.75" customHeight="1">
      <c r="A1995" s="25"/>
      <c r="B1995" s="22"/>
      <c r="C1995" s="25"/>
      <c r="D1995" s="22"/>
      <c r="F1995" s="25"/>
      <c r="G1995" s="22"/>
      <c r="H1995" s="25"/>
      <c r="I1995" s="22"/>
      <c r="J1995" s="25"/>
    </row>
    <row r="1996" ht="15.75" customHeight="1">
      <c r="A1996" s="25"/>
      <c r="B1996" s="22"/>
      <c r="C1996" s="25"/>
      <c r="D1996" s="22"/>
      <c r="F1996" s="25"/>
      <c r="G1996" s="22"/>
      <c r="H1996" s="25"/>
      <c r="I1996" s="22"/>
      <c r="J1996" s="25"/>
    </row>
    <row r="1997" ht="15.75" customHeight="1">
      <c r="A1997" s="25"/>
      <c r="B1997" s="22"/>
      <c r="C1997" s="25"/>
      <c r="D1997" s="22"/>
      <c r="F1997" s="25"/>
      <c r="G1997" s="22"/>
      <c r="H1997" s="25"/>
      <c r="I1997" s="22"/>
      <c r="J1997" s="25"/>
    </row>
    <row r="1998" ht="15.75" customHeight="1">
      <c r="A1998" s="25"/>
      <c r="B1998" s="22"/>
      <c r="C1998" s="25"/>
      <c r="D1998" s="22"/>
      <c r="F1998" s="25"/>
      <c r="G1998" s="22"/>
      <c r="H1998" s="25"/>
      <c r="I1998" s="22"/>
      <c r="J1998" s="25"/>
    </row>
    <row r="1999" ht="15.75" customHeight="1">
      <c r="A1999" s="25"/>
      <c r="B1999" s="22"/>
      <c r="C1999" s="25"/>
      <c r="D1999" s="22"/>
      <c r="F1999" s="25"/>
      <c r="G1999" s="22"/>
      <c r="H1999" s="25"/>
      <c r="I1999" s="22"/>
      <c r="J1999" s="25"/>
    </row>
    <row r="2000" ht="15.75" customHeight="1">
      <c r="A2000" s="25"/>
      <c r="B2000" s="22"/>
      <c r="C2000" s="25"/>
      <c r="D2000" s="22"/>
      <c r="F2000" s="25"/>
      <c r="G2000" s="22"/>
      <c r="H2000" s="25"/>
      <c r="I2000" s="22"/>
      <c r="J2000" s="25"/>
    </row>
    <row r="2001" ht="15.75" customHeight="1">
      <c r="A2001" s="25"/>
      <c r="B2001" s="22"/>
      <c r="C2001" s="25"/>
      <c r="D2001" s="22"/>
      <c r="F2001" s="25"/>
      <c r="G2001" s="22"/>
      <c r="H2001" s="25"/>
      <c r="I2001" s="22"/>
      <c r="J2001" s="25"/>
    </row>
    <row r="2002" ht="15.75" customHeight="1">
      <c r="A2002" s="25"/>
      <c r="B2002" s="22"/>
      <c r="C2002" s="25"/>
      <c r="D2002" s="22"/>
      <c r="F2002" s="25"/>
      <c r="G2002" s="22"/>
      <c r="H2002" s="25"/>
      <c r="I2002" s="22"/>
      <c r="J2002" s="25"/>
    </row>
    <row r="2003" ht="15.75" customHeight="1">
      <c r="A2003" s="25"/>
      <c r="B2003" s="22"/>
      <c r="C2003" s="25"/>
      <c r="D2003" s="22"/>
      <c r="F2003" s="25"/>
      <c r="G2003" s="22"/>
      <c r="H2003" s="25"/>
      <c r="I2003" s="22"/>
      <c r="J2003" s="25"/>
    </row>
    <row r="2004" ht="15.75" customHeight="1">
      <c r="A2004" s="25"/>
      <c r="B2004" s="22"/>
      <c r="C2004" s="25"/>
      <c r="D2004" s="22"/>
      <c r="F2004" s="25"/>
      <c r="G2004" s="22"/>
      <c r="H2004" s="25"/>
      <c r="I2004" s="22"/>
      <c r="J2004" s="25"/>
    </row>
    <row r="2005" ht="15.75" customHeight="1">
      <c r="A2005" s="25"/>
      <c r="B2005" s="22"/>
      <c r="C2005" s="25"/>
      <c r="D2005" s="22"/>
      <c r="F2005" s="25"/>
      <c r="G2005" s="22"/>
      <c r="H2005" s="25"/>
      <c r="I2005" s="22"/>
      <c r="J2005" s="25"/>
    </row>
    <row r="2006" ht="15.75" customHeight="1">
      <c r="A2006" s="25"/>
      <c r="B2006" s="22"/>
      <c r="C2006" s="25"/>
      <c r="D2006" s="22"/>
      <c r="F2006" s="25"/>
      <c r="G2006" s="22"/>
      <c r="H2006" s="25"/>
      <c r="I2006" s="22"/>
      <c r="J2006" s="25"/>
    </row>
    <row r="2007" ht="15.75" customHeight="1">
      <c r="A2007" s="25"/>
      <c r="B2007" s="22"/>
      <c r="C2007" s="25"/>
      <c r="D2007" s="22"/>
      <c r="F2007" s="25"/>
      <c r="G2007" s="22"/>
      <c r="H2007" s="25"/>
      <c r="I2007" s="22"/>
      <c r="J2007" s="25"/>
    </row>
    <row r="2008" ht="15.75" customHeight="1">
      <c r="A2008" s="25"/>
      <c r="B2008" s="22"/>
      <c r="C2008" s="25"/>
      <c r="D2008" s="22"/>
      <c r="F2008" s="25"/>
      <c r="G2008" s="22"/>
      <c r="H2008" s="25"/>
      <c r="I2008" s="22"/>
      <c r="J2008" s="25"/>
    </row>
    <row r="2009" ht="15.75" customHeight="1">
      <c r="A2009" s="25"/>
      <c r="B2009" s="22"/>
      <c r="C2009" s="25"/>
      <c r="D2009" s="22"/>
      <c r="F2009" s="25"/>
      <c r="G2009" s="22"/>
      <c r="H2009" s="25"/>
      <c r="I2009" s="22"/>
      <c r="J2009" s="25"/>
    </row>
    <row r="2010" ht="15.75" customHeight="1">
      <c r="A2010" s="25"/>
      <c r="B2010" s="22"/>
      <c r="C2010" s="25"/>
      <c r="D2010" s="22"/>
      <c r="F2010" s="25"/>
      <c r="G2010" s="22"/>
      <c r="H2010" s="25"/>
      <c r="I2010" s="22"/>
      <c r="J2010" s="25"/>
    </row>
    <row r="2011" ht="15.75" customHeight="1">
      <c r="A2011" s="25"/>
      <c r="B2011" s="22"/>
      <c r="C2011" s="25"/>
      <c r="D2011" s="22"/>
      <c r="F2011" s="25"/>
      <c r="G2011" s="22"/>
      <c r="H2011" s="25"/>
      <c r="I2011" s="22"/>
      <c r="J2011" s="25"/>
    </row>
    <row r="2012" ht="15.75" customHeight="1">
      <c r="A2012" s="25"/>
      <c r="B2012" s="22"/>
      <c r="C2012" s="25"/>
      <c r="D2012" s="22"/>
      <c r="F2012" s="25"/>
      <c r="G2012" s="22"/>
      <c r="H2012" s="25"/>
      <c r="I2012" s="22"/>
      <c r="J2012" s="25"/>
    </row>
    <row r="2013" ht="15.75" customHeight="1">
      <c r="A2013" s="25"/>
      <c r="B2013" s="22"/>
      <c r="C2013" s="25"/>
      <c r="D2013" s="22"/>
      <c r="F2013" s="25"/>
      <c r="G2013" s="22"/>
      <c r="H2013" s="25"/>
      <c r="I2013" s="22"/>
      <c r="J2013" s="25"/>
    </row>
    <row r="2014" ht="15.75" customHeight="1">
      <c r="A2014" s="25"/>
      <c r="B2014" s="22"/>
      <c r="C2014" s="25"/>
      <c r="D2014" s="22"/>
      <c r="F2014" s="25"/>
      <c r="G2014" s="22"/>
      <c r="H2014" s="25"/>
      <c r="I2014" s="22"/>
      <c r="J2014" s="25"/>
    </row>
    <row r="2015" ht="15.75" customHeight="1">
      <c r="A2015" s="25"/>
      <c r="B2015" s="22"/>
      <c r="C2015" s="25"/>
      <c r="D2015" s="22"/>
      <c r="F2015" s="25"/>
      <c r="G2015" s="22"/>
      <c r="H2015" s="25"/>
      <c r="I2015" s="22"/>
      <c r="J2015" s="25"/>
    </row>
    <row r="2016" ht="15.75" customHeight="1">
      <c r="A2016" s="25"/>
      <c r="B2016" s="22"/>
      <c r="C2016" s="25"/>
      <c r="D2016" s="22"/>
      <c r="F2016" s="25"/>
      <c r="G2016" s="22"/>
      <c r="H2016" s="25"/>
      <c r="I2016" s="22"/>
      <c r="J2016" s="25"/>
    </row>
    <row r="2017" ht="15.75" customHeight="1">
      <c r="A2017" s="25"/>
      <c r="B2017" s="22"/>
      <c r="C2017" s="25"/>
      <c r="D2017" s="22"/>
      <c r="F2017" s="25"/>
      <c r="G2017" s="22"/>
      <c r="H2017" s="25"/>
      <c r="I2017" s="22"/>
      <c r="J2017" s="25"/>
    </row>
    <row r="2018" ht="15.75" customHeight="1">
      <c r="A2018" s="25"/>
      <c r="B2018" s="22"/>
      <c r="C2018" s="25"/>
      <c r="D2018" s="22"/>
      <c r="F2018" s="25"/>
      <c r="G2018" s="22"/>
      <c r="H2018" s="25"/>
      <c r="I2018" s="22"/>
      <c r="J2018" s="25"/>
    </row>
    <row r="2019" ht="15.75" customHeight="1">
      <c r="A2019" s="25"/>
      <c r="B2019" s="22"/>
      <c r="C2019" s="25"/>
      <c r="D2019" s="22"/>
      <c r="F2019" s="25"/>
      <c r="G2019" s="22"/>
      <c r="H2019" s="25"/>
      <c r="I2019" s="22"/>
      <c r="J2019" s="25"/>
    </row>
    <row r="2020" ht="15.75" customHeight="1">
      <c r="A2020" s="25"/>
      <c r="B2020" s="22"/>
      <c r="C2020" s="25"/>
      <c r="D2020" s="22"/>
      <c r="F2020" s="25"/>
      <c r="G2020" s="22"/>
      <c r="H2020" s="25"/>
      <c r="I2020" s="22"/>
      <c r="J2020" s="25"/>
    </row>
    <row r="2021" ht="15.75" customHeight="1">
      <c r="A2021" s="25"/>
      <c r="B2021" s="22"/>
      <c r="C2021" s="25"/>
      <c r="D2021" s="22"/>
      <c r="F2021" s="25"/>
      <c r="G2021" s="22"/>
      <c r="H2021" s="25"/>
      <c r="I2021" s="22"/>
      <c r="J2021" s="25"/>
    </row>
    <row r="2022" ht="15.75" customHeight="1">
      <c r="A2022" s="25"/>
      <c r="B2022" s="22"/>
      <c r="C2022" s="25"/>
      <c r="D2022" s="22"/>
      <c r="F2022" s="25"/>
      <c r="G2022" s="22"/>
      <c r="H2022" s="25"/>
      <c r="I2022" s="22"/>
      <c r="J2022" s="25"/>
    </row>
    <row r="2023" ht="15.75" customHeight="1">
      <c r="A2023" s="25"/>
      <c r="B2023" s="22"/>
      <c r="C2023" s="25"/>
      <c r="D2023" s="22"/>
      <c r="F2023" s="25"/>
      <c r="G2023" s="22"/>
      <c r="H2023" s="25"/>
      <c r="I2023" s="22"/>
      <c r="J2023" s="25"/>
    </row>
    <row r="2024" ht="15.75" customHeight="1">
      <c r="A2024" s="25"/>
      <c r="B2024" s="22"/>
      <c r="C2024" s="25"/>
      <c r="D2024" s="22"/>
      <c r="F2024" s="25"/>
      <c r="G2024" s="22"/>
      <c r="H2024" s="25"/>
      <c r="I2024" s="22"/>
      <c r="J2024" s="25"/>
    </row>
    <row r="2025" ht="15.75" customHeight="1">
      <c r="A2025" s="25"/>
      <c r="B2025" s="22"/>
      <c r="C2025" s="25"/>
      <c r="D2025" s="22"/>
      <c r="F2025" s="25"/>
      <c r="G2025" s="22"/>
      <c r="H2025" s="25"/>
      <c r="I2025" s="22"/>
      <c r="J2025" s="25"/>
    </row>
    <row r="2026" ht="15.75" customHeight="1">
      <c r="A2026" s="25"/>
      <c r="B2026" s="22"/>
      <c r="C2026" s="25"/>
      <c r="D2026" s="22"/>
      <c r="F2026" s="25"/>
      <c r="G2026" s="22"/>
      <c r="H2026" s="25"/>
      <c r="I2026" s="22"/>
      <c r="J2026" s="25"/>
    </row>
    <row r="2027" ht="15.75" customHeight="1">
      <c r="A2027" s="25"/>
      <c r="B2027" s="22"/>
      <c r="C2027" s="25"/>
      <c r="D2027" s="22"/>
      <c r="F2027" s="25"/>
      <c r="G2027" s="22"/>
      <c r="H2027" s="25"/>
      <c r="I2027" s="22"/>
      <c r="J2027" s="25"/>
    </row>
    <row r="2028" ht="15.75" customHeight="1">
      <c r="A2028" s="25"/>
      <c r="B2028" s="22"/>
      <c r="C2028" s="25"/>
      <c r="D2028" s="22"/>
      <c r="F2028" s="25"/>
      <c r="G2028" s="22"/>
      <c r="H2028" s="25"/>
      <c r="I2028" s="22"/>
      <c r="J2028" s="25"/>
    </row>
    <row r="2029" ht="15.75" customHeight="1">
      <c r="A2029" s="25"/>
      <c r="B2029" s="22"/>
      <c r="C2029" s="25"/>
      <c r="D2029" s="22"/>
      <c r="F2029" s="25"/>
      <c r="G2029" s="22"/>
      <c r="H2029" s="25"/>
      <c r="I2029" s="22"/>
      <c r="J2029" s="25"/>
    </row>
    <row r="2030" ht="15.75" customHeight="1">
      <c r="A2030" s="25"/>
      <c r="B2030" s="22"/>
      <c r="C2030" s="25"/>
      <c r="D2030" s="22"/>
      <c r="F2030" s="25"/>
      <c r="G2030" s="22"/>
      <c r="H2030" s="25"/>
      <c r="I2030" s="22"/>
      <c r="J2030" s="25"/>
    </row>
    <row r="2031" ht="15.75" customHeight="1">
      <c r="A2031" s="25"/>
      <c r="B2031" s="22"/>
      <c r="C2031" s="25"/>
      <c r="D2031" s="22"/>
      <c r="F2031" s="25"/>
      <c r="G2031" s="22"/>
      <c r="H2031" s="25"/>
      <c r="I2031" s="22"/>
      <c r="J2031" s="25"/>
    </row>
    <row r="2032" ht="15.75" customHeight="1">
      <c r="A2032" s="25"/>
      <c r="B2032" s="22"/>
      <c r="C2032" s="25"/>
      <c r="D2032" s="22"/>
      <c r="F2032" s="25"/>
      <c r="G2032" s="22"/>
      <c r="H2032" s="25"/>
      <c r="I2032" s="22"/>
      <c r="J2032" s="25"/>
    </row>
    <row r="2033" ht="15.75" customHeight="1">
      <c r="A2033" s="25"/>
      <c r="B2033" s="22"/>
      <c r="C2033" s="25"/>
      <c r="D2033" s="22"/>
      <c r="F2033" s="25"/>
      <c r="G2033" s="22"/>
      <c r="H2033" s="25"/>
      <c r="I2033" s="22"/>
      <c r="J2033" s="25"/>
    </row>
    <row r="2034" ht="15.75" customHeight="1">
      <c r="A2034" s="25"/>
      <c r="B2034" s="22"/>
      <c r="C2034" s="25"/>
      <c r="D2034" s="22"/>
      <c r="F2034" s="25"/>
      <c r="G2034" s="22"/>
      <c r="H2034" s="25"/>
      <c r="I2034" s="22"/>
      <c r="J2034" s="25"/>
    </row>
    <row r="2035" ht="15.75" customHeight="1">
      <c r="A2035" s="25"/>
      <c r="B2035" s="22"/>
      <c r="C2035" s="25"/>
      <c r="D2035" s="22"/>
      <c r="F2035" s="25"/>
      <c r="G2035" s="22"/>
      <c r="H2035" s="25"/>
      <c r="I2035" s="22"/>
      <c r="J2035" s="25"/>
    </row>
    <row r="2036" ht="15.75" customHeight="1">
      <c r="A2036" s="25"/>
      <c r="B2036" s="22"/>
      <c r="C2036" s="25"/>
      <c r="D2036" s="22"/>
      <c r="F2036" s="25"/>
      <c r="G2036" s="22"/>
      <c r="H2036" s="25"/>
      <c r="I2036" s="22"/>
      <c r="J2036" s="25"/>
    </row>
    <row r="2037" ht="15.75" customHeight="1">
      <c r="A2037" s="25"/>
      <c r="B2037" s="22"/>
      <c r="C2037" s="25"/>
      <c r="D2037" s="22"/>
      <c r="F2037" s="25"/>
      <c r="G2037" s="22"/>
      <c r="H2037" s="25"/>
      <c r="I2037" s="22"/>
      <c r="J2037" s="25"/>
    </row>
    <row r="2038" ht="15.75" customHeight="1">
      <c r="A2038" s="25"/>
      <c r="B2038" s="22"/>
      <c r="C2038" s="25"/>
      <c r="D2038" s="22"/>
      <c r="F2038" s="25"/>
      <c r="G2038" s="22"/>
      <c r="H2038" s="25"/>
      <c r="I2038" s="22"/>
      <c r="J2038" s="25"/>
    </row>
    <row r="2039" ht="15.75" customHeight="1">
      <c r="A2039" s="25"/>
      <c r="B2039" s="22"/>
      <c r="C2039" s="25"/>
      <c r="D2039" s="22"/>
      <c r="F2039" s="25"/>
      <c r="G2039" s="22"/>
      <c r="H2039" s="25"/>
      <c r="I2039" s="22"/>
      <c r="J2039" s="25"/>
    </row>
    <row r="2040" ht="15.75" customHeight="1">
      <c r="A2040" s="25"/>
      <c r="B2040" s="22"/>
      <c r="C2040" s="25"/>
      <c r="D2040" s="22"/>
      <c r="F2040" s="25"/>
      <c r="G2040" s="22"/>
      <c r="H2040" s="25"/>
      <c r="I2040" s="22"/>
      <c r="J2040" s="25"/>
    </row>
    <row r="2041" ht="15.75" customHeight="1">
      <c r="A2041" s="25"/>
      <c r="B2041" s="22"/>
      <c r="C2041" s="25"/>
      <c r="D2041" s="22"/>
      <c r="F2041" s="25"/>
      <c r="G2041" s="22"/>
      <c r="H2041" s="25"/>
      <c r="I2041" s="22"/>
      <c r="J2041" s="25"/>
    </row>
    <row r="2042" ht="15.75" customHeight="1">
      <c r="A2042" s="25"/>
      <c r="B2042" s="22"/>
      <c r="C2042" s="25"/>
      <c r="D2042" s="22"/>
      <c r="F2042" s="25"/>
      <c r="G2042" s="22"/>
      <c r="H2042" s="25"/>
      <c r="I2042" s="22"/>
      <c r="J2042" s="25"/>
    </row>
    <row r="2043" ht="15.75" customHeight="1">
      <c r="A2043" s="25"/>
      <c r="B2043" s="22"/>
      <c r="C2043" s="25"/>
      <c r="D2043" s="22"/>
      <c r="F2043" s="25"/>
      <c r="G2043" s="22"/>
      <c r="H2043" s="25"/>
      <c r="I2043" s="22"/>
      <c r="J2043" s="25"/>
    </row>
    <row r="2044" ht="15.75" customHeight="1">
      <c r="A2044" s="25"/>
      <c r="B2044" s="22"/>
      <c r="C2044" s="25"/>
      <c r="D2044" s="22"/>
      <c r="F2044" s="25"/>
      <c r="G2044" s="22"/>
      <c r="H2044" s="25"/>
      <c r="I2044" s="22"/>
      <c r="J2044" s="25"/>
    </row>
    <row r="2045" ht="15.75" customHeight="1">
      <c r="A2045" s="25"/>
      <c r="B2045" s="22"/>
      <c r="C2045" s="25"/>
      <c r="D2045" s="22"/>
      <c r="F2045" s="25"/>
      <c r="G2045" s="22"/>
      <c r="H2045" s="25"/>
      <c r="I2045" s="22"/>
      <c r="J2045" s="25"/>
    </row>
    <row r="2046" ht="15.75" customHeight="1">
      <c r="A2046" s="25"/>
      <c r="B2046" s="22"/>
      <c r="C2046" s="25"/>
      <c r="D2046" s="22"/>
      <c r="F2046" s="25"/>
      <c r="G2046" s="22"/>
      <c r="H2046" s="25"/>
      <c r="I2046" s="22"/>
      <c r="J2046" s="25"/>
    </row>
    <row r="2047" ht="15.75" customHeight="1">
      <c r="A2047" s="25"/>
      <c r="B2047" s="22"/>
      <c r="C2047" s="25"/>
      <c r="D2047" s="22"/>
      <c r="F2047" s="25"/>
      <c r="G2047" s="22"/>
      <c r="H2047" s="25"/>
      <c r="I2047" s="22"/>
      <c r="J2047" s="25"/>
    </row>
    <row r="2048" ht="15.75" customHeight="1">
      <c r="A2048" s="25"/>
      <c r="B2048" s="22"/>
      <c r="C2048" s="25"/>
      <c r="D2048" s="22"/>
      <c r="F2048" s="25"/>
      <c r="G2048" s="22"/>
      <c r="H2048" s="25"/>
      <c r="I2048" s="22"/>
      <c r="J2048" s="25"/>
    </row>
    <row r="2049" ht="15.75" customHeight="1">
      <c r="A2049" s="25"/>
      <c r="B2049" s="22"/>
      <c r="C2049" s="25"/>
      <c r="D2049" s="22"/>
      <c r="F2049" s="25"/>
      <c r="G2049" s="22"/>
      <c r="H2049" s="25"/>
      <c r="I2049" s="22"/>
      <c r="J2049" s="25"/>
    </row>
    <row r="2050" ht="15.75" customHeight="1">
      <c r="A2050" s="25"/>
      <c r="B2050" s="22"/>
      <c r="C2050" s="25"/>
      <c r="D2050" s="22"/>
      <c r="F2050" s="25"/>
      <c r="G2050" s="22"/>
      <c r="H2050" s="25"/>
      <c r="I2050" s="22"/>
      <c r="J2050" s="25"/>
    </row>
    <row r="2051" ht="15.75" customHeight="1">
      <c r="A2051" s="25"/>
      <c r="B2051" s="22"/>
      <c r="C2051" s="25"/>
      <c r="D2051" s="22"/>
      <c r="F2051" s="25"/>
      <c r="G2051" s="22"/>
      <c r="H2051" s="25"/>
      <c r="I2051" s="22"/>
      <c r="J2051" s="25"/>
    </row>
    <row r="2052" ht="15.75" customHeight="1">
      <c r="A2052" s="25"/>
      <c r="B2052" s="22"/>
      <c r="C2052" s="25"/>
      <c r="D2052" s="22"/>
      <c r="F2052" s="25"/>
      <c r="G2052" s="22"/>
      <c r="H2052" s="25"/>
      <c r="I2052" s="22"/>
      <c r="J2052" s="25"/>
    </row>
    <row r="2053" ht="15.75" customHeight="1">
      <c r="A2053" s="25"/>
      <c r="B2053" s="22"/>
      <c r="C2053" s="25"/>
      <c r="D2053" s="22"/>
      <c r="F2053" s="25"/>
      <c r="G2053" s="22"/>
      <c r="H2053" s="25"/>
      <c r="I2053" s="22"/>
      <c r="J2053" s="25"/>
    </row>
    <row r="2054" ht="15.75" customHeight="1">
      <c r="A2054" s="25"/>
      <c r="B2054" s="22"/>
      <c r="C2054" s="25"/>
      <c r="D2054" s="22"/>
      <c r="F2054" s="25"/>
      <c r="G2054" s="22"/>
      <c r="H2054" s="25"/>
      <c r="I2054" s="22"/>
      <c r="J2054" s="25"/>
    </row>
    <row r="2055" ht="15.75" customHeight="1">
      <c r="A2055" s="25"/>
      <c r="B2055" s="22"/>
      <c r="C2055" s="25"/>
      <c r="D2055" s="22"/>
      <c r="F2055" s="25"/>
      <c r="G2055" s="22"/>
      <c r="H2055" s="25"/>
      <c r="I2055" s="22"/>
      <c r="J2055" s="25"/>
    </row>
    <row r="2056" ht="15.75" customHeight="1">
      <c r="A2056" s="25"/>
      <c r="B2056" s="22"/>
      <c r="C2056" s="25"/>
      <c r="D2056" s="22"/>
      <c r="F2056" s="25"/>
      <c r="G2056" s="22"/>
      <c r="H2056" s="25"/>
      <c r="I2056" s="22"/>
      <c r="J2056" s="25"/>
    </row>
    <row r="2057" ht="15.75" customHeight="1">
      <c r="A2057" s="25"/>
      <c r="B2057" s="22"/>
      <c r="C2057" s="25"/>
      <c r="D2057" s="22"/>
      <c r="F2057" s="25"/>
      <c r="G2057" s="22"/>
      <c r="H2057" s="25"/>
      <c r="I2057" s="22"/>
      <c r="J2057" s="25"/>
    </row>
    <row r="2058" ht="15.75" customHeight="1">
      <c r="A2058" s="25"/>
      <c r="B2058" s="22"/>
      <c r="C2058" s="25"/>
      <c r="D2058" s="22"/>
      <c r="F2058" s="25"/>
      <c r="G2058" s="22"/>
      <c r="H2058" s="25"/>
      <c r="I2058" s="22"/>
      <c r="J2058" s="25"/>
    </row>
    <row r="2059" ht="15.75" customHeight="1">
      <c r="A2059" s="25"/>
      <c r="B2059" s="22"/>
      <c r="C2059" s="25"/>
      <c r="D2059" s="22"/>
      <c r="F2059" s="25"/>
      <c r="G2059" s="22"/>
      <c r="H2059" s="25"/>
      <c r="I2059" s="22"/>
      <c r="J2059" s="25"/>
    </row>
    <row r="2060" ht="15.75" customHeight="1">
      <c r="A2060" s="25"/>
      <c r="B2060" s="22"/>
      <c r="C2060" s="25"/>
      <c r="D2060" s="22"/>
      <c r="F2060" s="25"/>
      <c r="G2060" s="22"/>
      <c r="H2060" s="25"/>
      <c r="I2060" s="22"/>
      <c r="J2060" s="25"/>
    </row>
    <row r="2061" ht="15.75" customHeight="1">
      <c r="A2061" s="25"/>
      <c r="B2061" s="22"/>
      <c r="C2061" s="25"/>
      <c r="D2061" s="22"/>
      <c r="F2061" s="25"/>
      <c r="G2061" s="22"/>
      <c r="H2061" s="25"/>
      <c r="I2061" s="22"/>
      <c r="J2061" s="25"/>
    </row>
    <row r="2062" ht="15.75" customHeight="1">
      <c r="A2062" s="25"/>
      <c r="B2062" s="22"/>
      <c r="C2062" s="25"/>
      <c r="D2062" s="22"/>
      <c r="F2062" s="25"/>
      <c r="G2062" s="22"/>
      <c r="H2062" s="25"/>
      <c r="I2062" s="22"/>
      <c r="J2062" s="25"/>
    </row>
    <row r="2063" ht="15.75" customHeight="1">
      <c r="A2063" s="25"/>
      <c r="B2063" s="22"/>
      <c r="C2063" s="25"/>
      <c r="D2063" s="22"/>
      <c r="F2063" s="25"/>
      <c r="G2063" s="22"/>
      <c r="H2063" s="25"/>
      <c r="I2063" s="22"/>
      <c r="J2063" s="25"/>
    </row>
    <row r="2064" ht="15.75" customHeight="1">
      <c r="A2064" s="25"/>
      <c r="B2064" s="22"/>
      <c r="C2064" s="25"/>
      <c r="D2064" s="22"/>
      <c r="F2064" s="25"/>
      <c r="G2064" s="22"/>
      <c r="H2064" s="25"/>
      <c r="I2064" s="22"/>
      <c r="J2064" s="25"/>
    </row>
    <row r="2065" ht="15.75" customHeight="1">
      <c r="A2065" s="25"/>
      <c r="B2065" s="22"/>
      <c r="C2065" s="25"/>
      <c r="D2065" s="22"/>
      <c r="F2065" s="25"/>
      <c r="G2065" s="22"/>
      <c r="H2065" s="25"/>
      <c r="I2065" s="22"/>
      <c r="J2065" s="25"/>
    </row>
    <row r="2066" ht="15.75" customHeight="1">
      <c r="A2066" s="25"/>
      <c r="B2066" s="22"/>
      <c r="C2066" s="25"/>
      <c r="D2066" s="22"/>
      <c r="F2066" s="25"/>
      <c r="G2066" s="22"/>
      <c r="H2066" s="25"/>
      <c r="I2066" s="22"/>
      <c r="J2066" s="25"/>
    </row>
    <row r="2067" ht="15.75" customHeight="1">
      <c r="A2067" s="25"/>
      <c r="B2067" s="22"/>
      <c r="C2067" s="25"/>
      <c r="D2067" s="22"/>
      <c r="F2067" s="25"/>
      <c r="G2067" s="22"/>
      <c r="H2067" s="25"/>
      <c r="I2067" s="22"/>
      <c r="J2067" s="25"/>
    </row>
    <row r="2068" ht="15.75" customHeight="1">
      <c r="A2068" s="25"/>
      <c r="B2068" s="22"/>
      <c r="C2068" s="25"/>
      <c r="D2068" s="22"/>
      <c r="F2068" s="25"/>
      <c r="G2068" s="22"/>
      <c r="H2068" s="25"/>
      <c r="I2068" s="22"/>
      <c r="J2068" s="25"/>
    </row>
    <row r="2069" ht="15.75" customHeight="1">
      <c r="A2069" s="25"/>
      <c r="B2069" s="22"/>
      <c r="C2069" s="25"/>
      <c r="D2069" s="22"/>
      <c r="F2069" s="25"/>
      <c r="G2069" s="22"/>
      <c r="H2069" s="25"/>
      <c r="I2069" s="22"/>
      <c r="J2069" s="25"/>
    </row>
    <row r="2070" ht="15.75" customHeight="1">
      <c r="A2070" s="25"/>
      <c r="B2070" s="22"/>
      <c r="C2070" s="25"/>
      <c r="D2070" s="22"/>
      <c r="F2070" s="25"/>
      <c r="G2070" s="22"/>
      <c r="H2070" s="25"/>
      <c r="I2070" s="22"/>
      <c r="J2070" s="25"/>
    </row>
    <row r="2071" ht="15.75" customHeight="1">
      <c r="A2071" s="25"/>
      <c r="B2071" s="22"/>
      <c r="C2071" s="25"/>
      <c r="D2071" s="22"/>
      <c r="F2071" s="25"/>
      <c r="G2071" s="22"/>
      <c r="H2071" s="25"/>
      <c r="I2071" s="22"/>
      <c r="J2071" s="25"/>
    </row>
    <row r="2072" ht="15.75" customHeight="1">
      <c r="A2072" s="25"/>
      <c r="B2072" s="22"/>
      <c r="C2072" s="25"/>
      <c r="D2072" s="22"/>
      <c r="F2072" s="25"/>
      <c r="G2072" s="22"/>
      <c r="H2072" s="25"/>
      <c r="I2072" s="22"/>
      <c r="J2072" s="25"/>
    </row>
    <row r="2073" ht="15.75" customHeight="1">
      <c r="A2073" s="25"/>
      <c r="B2073" s="22"/>
      <c r="C2073" s="25"/>
      <c r="D2073" s="22"/>
      <c r="F2073" s="25"/>
      <c r="G2073" s="22"/>
      <c r="H2073" s="25"/>
      <c r="I2073" s="22"/>
      <c r="J2073" s="25"/>
    </row>
    <row r="2074" ht="15.75" customHeight="1">
      <c r="A2074" s="25"/>
      <c r="B2074" s="22"/>
      <c r="C2074" s="25"/>
      <c r="D2074" s="22"/>
      <c r="F2074" s="25"/>
      <c r="G2074" s="22"/>
      <c r="H2074" s="25"/>
      <c r="I2074" s="22"/>
      <c r="J2074" s="25"/>
    </row>
    <row r="2075" ht="15.75" customHeight="1">
      <c r="A2075" s="25"/>
      <c r="B2075" s="22"/>
      <c r="C2075" s="25"/>
      <c r="D2075" s="22"/>
      <c r="F2075" s="25"/>
      <c r="G2075" s="22"/>
      <c r="H2075" s="25"/>
      <c r="I2075" s="22"/>
      <c r="J2075" s="25"/>
    </row>
    <row r="2076" ht="15.75" customHeight="1">
      <c r="A2076" s="25"/>
      <c r="B2076" s="22"/>
      <c r="C2076" s="25"/>
      <c r="D2076" s="22"/>
      <c r="F2076" s="25"/>
      <c r="G2076" s="22"/>
      <c r="H2076" s="25"/>
      <c r="I2076" s="22"/>
      <c r="J2076" s="25"/>
    </row>
    <row r="2077" ht="15.75" customHeight="1">
      <c r="A2077" s="25"/>
      <c r="B2077" s="22"/>
      <c r="C2077" s="25"/>
      <c r="D2077" s="22"/>
      <c r="F2077" s="25"/>
      <c r="G2077" s="22"/>
      <c r="H2077" s="25"/>
      <c r="I2077" s="22"/>
      <c r="J2077" s="25"/>
    </row>
    <row r="2078" ht="15.75" customHeight="1">
      <c r="A2078" s="25"/>
      <c r="B2078" s="22"/>
      <c r="C2078" s="25"/>
      <c r="D2078" s="22"/>
      <c r="F2078" s="25"/>
      <c r="G2078" s="22"/>
      <c r="H2078" s="25"/>
      <c r="I2078" s="22"/>
      <c r="J2078" s="25"/>
    </row>
    <row r="2079" ht="15.75" customHeight="1">
      <c r="A2079" s="25"/>
      <c r="B2079" s="22"/>
      <c r="C2079" s="25"/>
      <c r="D2079" s="22"/>
      <c r="F2079" s="25"/>
      <c r="G2079" s="22"/>
      <c r="H2079" s="25"/>
      <c r="I2079" s="22"/>
      <c r="J2079" s="25"/>
    </row>
    <row r="2080" ht="15.75" customHeight="1">
      <c r="A2080" s="25"/>
      <c r="B2080" s="22"/>
      <c r="C2080" s="25"/>
      <c r="D2080" s="22"/>
      <c r="F2080" s="25"/>
      <c r="G2080" s="22"/>
      <c r="H2080" s="25"/>
      <c r="I2080" s="22"/>
      <c r="J2080" s="25"/>
    </row>
    <row r="2081" ht="15.75" customHeight="1">
      <c r="A2081" s="25"/>
      <c r="B2081" s="22"/>
      <c r="C2081" s="25"/>
      <c r="D2081" s="22"/>
      <c r="F2081" s="25"/>
      <c r="G2081" s="22"/>
      <c r="H2081" s="25"/>
      <c r="I2081" s="22"/>
      <c r="J2081" s="25"/>
    </row>
    <row r="2082" ht="15.75" customHeight="1">
      <c r="A2082" s="25"/>
      <c r="B2082" s="22"/>
      <c r="C2082" s="25"/>
      <c r="D2082" s="22"/>
      <c r="F2082" s="25"/>
      <c r="G2082" s="22"/>
      <c r="H2082" s="25"/>
      <c r="I2082" s="22"/>
      <c r="J2082" s="25"/>
    </row>
    <row r="2083" ht="15.75" customHeight="1">
      <c r="A2083" s="25"/>
      <c r="B2083" s="22"/>
      <c r="C2083" s="25"/>
      <c r="D2083" s="22"/>
      <c r="F2083" s="25"/>
      <c r="G2083" s="22"/>
      <c r="H2083" s="25"/>
      <c r="I2083" s="22"/>
      <c r="J2083" s="25"/>
    </row>
    <row r="2084" ht="15.75" customHeight="1">
      <c r="A2084" s="25"/>
      <c r="B2084" s="22"/>
      <c r="C2084" s="25"/>
      <c r="D2084" s="22"/>
      <c r="F2084" s="25"/>
      <c r="G2084" s="22"/>
      <c r="H2084" s="25"/>
      <c r="I2084" s="22"/>
      <c r="J2084" s="25"/>
    </row>
    <row r="2085" ht="15.75" customHeight="1">
      <c r="A2085" s="25"/>
      <c r="B2085" s="22"/>
      <c r="C2085" s="25"/>
      <c r="D2085" s="22"/>
      <c r="F2085" s="25"/>
      <c r="G2085" s="22"/>
      <c r="H2085" s="25"/>
      <c r="I2085" s="22"/>
      <c r="J2085" s="25"/>
    </row>
    <row r="2086" ht="15.75" customHeight="1">
      <c r="A2086" s="25"/>
      <c r="B2086" s="22"/>
      <c r="C2086" s="25"/>
      <c r="D2086" s="22"/>
      <c r="F2086" s="25"/>
      <c r="G2086" s="22"/>
      <c r="H2086" s="25"/>
      <c r="I2086" s="22"/>
      <c r="J2086" s="25"/>
    </row>
    <row r="2087" ht="15.75" customHeight="1">
      <c r="A2087" s="25"/>
      <c r="B2087" s="22"/>
      <c r="C2087" s="25"/>
      <c r="D2087" s="22"/>
      <c r="F2087" s="25"/>
      <c r="G2087" s="22"/>
      <c r="H2087" s="25"/>
      <c r="I2087" s="22"/>
      <c r="J2087" s="25"/>
    </row>
    <row r="2088" ht="15.75" customHeight="1">
      <c r="A2088" s="25"/>
      <c r="B2088" s="22"/>
      <c r="C2088" s="25"/>
      <c r="D2088" s="22"/>
      <c r="F2088" s="25"/>
      <c r="G2088" s="22"/>
      <c r="H2088" s="25"/>
      <c r="I2088" s="22"/>
      <c r="J2088" s="25"/>
    </row>
    <row r="2089" ht="15.75" customHeight="1">
      <c r="A2089" s="25"/>
      <c r="B2089" s="22"/>
      <c r="C2089" s="25"/>
      <c r="D2089" s="22"/>
      <c r="F2089" s="25"/>
      <c r="G2089" s="22"/>
      <c r="H2089" s="25"/>
      <c r="I2089" s="22"/>
      <c r="J2089" s="25"/>
    </row>
    <row r="2090" ht="15.75" customHeight="1">
      <c r="A2090" s="25"/>
      <c r="B2090" s="22"/>
      <c r="C2090" s="25"/>
      <c r="D2090" s="22"/>
      <c r="F2090" s="25"/>
      <c r="G2090" s="22"/>
      <c r="H2090" s="25"/>
      <c r="I2090" s="22"/>
      <c r="J2090" s="25"/>
    </row>
    <row r="2091" ht="15.75" customHeight="1">
      <c r="A2091" s="25"/>
      <c r="B2091" s="22"/>
      <c r="C2091" s="25"/>
      <c r="D2091" s="22"/>
      <c r="F2091" s="25"/>
      <c r="G2091" s="22"/>
      <c r="H2091" s="25"/>
      <c r="I2091" s="22"/>
      <c r="J2091" s="25"/>
    </row>
    <row r="2092" ht="15.75" customHeight="1">
      <c r="A2092" s="25"/>
      <c r="B2092" s="22"/>
      <c r="C2092" s="25"/>
      <c r="D2092" s="22"/>
      <c r="F2092" s="25"/>
      <c r="G2092" s="22"/>
      <c r="H2092" s="25"/>
      <c r="I2092" s="22"/>
      <c r="J2092" s="25"/>
    </row>
    <row r="2093" ht="15.75" customHeight="1">
      <c r="A2093" s="25"/>
      <c r="B2093" s="22"/>
      <c r="C2093" s="25"/>
      <c r="D2093" s="22"/>
      <c r="F2093" s="25"/>
      <c r="G2093" s="22"/>
      <c r="H2093" s="25"/>
      <c r="I2093" s="22"/>
      <c r="J2093" s="25"/>
    </row>
    <row r="2094" ht="15.75" customHeight="1">
      <c r="A2094" s="25"/>
      <c r="B2094" s="22"/>
      <c r="C2094" s="25"/>
      <c r="D2094" s="22"/>
      <c r="F2094" s="25"/>
      <c r="G2094" s="22"/>
      <c r="H2094" s="25"/>
      <c r="I2094" s="22"/>
      <c r="J2094" s="25"/>
    </row>
    <row r="2095" ht="15.75" customHeight="1">
      <c r="A2095" s="25"/>
      <c r="B2095" s="22"/>
      <c r="C2095" s="25"/>
      <c r="D2095" s="22"/>
      <c r="F2095" s="25"/>
      <c r="G2095" s="22"/>
      <c r="H2095" s="25"/>
      <c r="I2095" s="22"/>
      <c r="J2095" s="25"/>
    </row>
    <row r="2096" ht="15.75" customHeight="1">
      <c r="A2096" s="25"/>
      <c r="B2096" s="22"/>
      <c r="C2096" s="25"/>
      <c r="D2096" s="22"/>
      <c r="F2096" s="25"/>
      <c r="G2096" s="22"/>
      <c r="H2096" s="25"/>
      <c r="I2096" s="22"/>
      <c r="J2096" s="25"/>
    </row>
    <row r="2097" ht="15.75" customHeight="1">
      <c r="A2097" s="25"/>
      <c r="B2097" s="22"/>
      <c r="C2097" s="25"/>
      <c r="D2097" s="22"/>
      <c r="F2097" s="25"/>
      <c r="G2097" s="22"/>
      <c r="H2097" s="25"/>
      <c r="I2097" s="22"/>
      <c r="J2097" s="25"/>
    </row>
    <row r="2098" ht="15.75" customHeight="1">
      <c r="A2098" s="25"/>
      <c r="B2098" s="22"/>
      <c r="C2098" s="25"/>
      <c r="D2098" s="22"/>
      <c r="F2098" s="25"/>
      <c r="G2098" s="22"/>
      <c r="H2098" s="25"/>
      <c r="I2098" s="22"/>
      <c r="J2098" s="25"/>
    </row>
    <row r="2099" ht="15.75" customHeight="1">
      <c r="A2099" s="25"/>
      <c r="B2099" s="22"/>
      <c r="C2099" s="25"/>
      <c r="D2099" s="22"/>
      <c r="F2099" s="25"/>
      <c r="G2099" s="22"/>
      <c r="H2099" s="25"/>
      <c r="I2099" s="22"/>
      <c r="J2099" s="25"/>
    </row>
    <row r="2100" ht="15.75" customHeight="1">
      <c r="A2100" s="25"/>
      <c r="B2100" s="22"/>
      <c r="C2100" s="25"/>
      <c r="D2100" s="22"/>
      <c r="F2100" s="25"/>
      <c r="G2100" s="22"/>
      <c r="H2100" s="25"/>
      <c r="I2100" s="22"/>
      <c r="J2100" s="25"/>
    </row>
    <row r="2101" ht="15.75" customHeight="1">
      <c r="A2101" s="25"/>
      <c r="B2101" s="22"/>
      <c r="C2101" s="25"/>
      <c r="D2101" s="22"/>
      <c r="F2101" s="25"/>
      <c r="G2101" s="22"/>
      <c r="H2101" s="25"/>
      <c r="I2101" s="22"/>
      <c r="J2101" s="25"/>
    </row>
    <row r="2102" ht="15.75" customHeight="1">
      <c r="A2102" s="25"/>
      <c r="B2102" s="22"/>
      <c r="C2102" s="25"/>
      <c r="D2102" s="22"/>
      <c r="F2102" s="25"/>
      <c r="G2102" s="22"/>
      <c r="H2102" s="25"/>
      <c r="I2102" s="22"/>
      <c r="J2102" s="25"/>
    </row>
    <row r="2103" ht="15.75" customHeight="1">
      <c r="A2103" s="25"/>
      <c r="B2103" s="22"/>
      <c r="C2103" s="25"/>
      <c r="D2103" s="22"/>
      <c r="F2103" s="25"/>
      <c r="G2103" s="22"/>
      <c r="H2103" s="25"/>
      <c r="I2103" s="22"/>
      <c r="J2103" s="25"/>
    </row>
    <row r="2104" ht="15.75" customHeight="1">
      <c r="A2104" s="25"/>
      <c r="B2104" s="22"/>
      <c r="C2104" s="25"/>
      <c r="D2104" s="22"/>
      <c r="F2104" s="25"/>
      <c r="G2104" s="22"/>
      <c r="H2104" s="25"/>
      <c r="I2104" s="22"/>
      <c r="J2104" s="25"/>
    </row>
    <row r="2105" ht="15.75" customHeight="1">
      <c r="A2105" s="25"/>
      <c r="B2105" s="22"/>
      <c r="C2105" s="25"/>
      <c r="D2105" s="22"/>
      <c r="F2105" s="25"/>
      <c r="G2105" s="22"/>
      <c r="H2105" s="25"/>
      <c r="I2105" s="22"/>
      <c r="J2105" s="25"/>
    </row>
    <row r="2106" ht="15.75" customHeight="1">
      <c r="A2106" s="25"/>
      <c r="B2106" s="22"/>
      <c r="C2106" s="25"/>
      <c r="D2106" s="22"/>
      <c r="F2106" s="25"/>
      <c r="G2106" s="22"/>
      <c r="H2106" s="25"/>
      <c r="I2106" s="22"/>
      <c r="J2106" s="25"/>
    </row>
    <row r="2107" ht="15.75" customHeight="1">
      <c r="A2107" s="25"/>
      <c r="B2107" s="22"/>
      <c r="C2107" s="25"/>
      <c r="D2107" s="22"/>
      <c r="F2107" s="25"/>
      <c r="G2107" s="22"/>
      <c r="H2107" s="25"/>
      <c r="I2107" s="22"/>
      <c r="J2107" s="25"/>
    </row>
    <row r="2108" ht="15.75" customHeight="1">
      <c r="A2108" s="25"/>
      <c r="B2108" s="22"/>
      <c r="C2108" s="25"/>
      <c r="D2108" s="22"/>
      <c r="F2108" s="25"/>
      <c r="G2108" s="22"/>
      <c r="H2108" s="25"/>
      <c r="I2108" s="22"/>
      <c r="J2108" s="25"/>
    </row>
    <row r="2109" ht="15.75" customHeight="1">
      <c r="A2109" s="25"/>
      <c r="B2109" s="22"/>
      <c r="C2109" s="25"/>
      <c r="D2109" s="22"/>
      <c r="F2109" s="25"/>
      <c r="G2109" s="22"/>
      <c r="H2109" s="25"/>
      <c r="I2109" s="22"/>
      <c r="J2109" s="25"/>
    </row>
    <row r="2110" ht="15.75" customHeight="1">
      <c r="A2110" s="25"/>
      <c r="B2110" s="22"/>
      <c r="C2110" s="25"/>
      <c r="D2110" s="22"/>
      <c r="F2110" s="25"/>
      <c r="G2110" s="22"/>
      <c r="H2110" s="25"/>
      <c r="I2110" s="22"/>
      <c r="J2110" s="25"/>
    </row>
    <row r="2111" ht="15.75" customHeight="1">
      <c r="A2111" s="25"/>
      <c r="B2111" s="22"/>
      <c r="C2111" s="25"/>
      <c r="D2111" s="22"/>
      <c r="F2111" s="25"/>
      <c r="G2111" s="22"/>
      <c r="H2111" s="25"/>
      <c r="I2111" s="22"/>
      <c r="J2111" s="25"/>
    </row>
    <row r="2112" ht="15.75" customHeight="1">
      <c r="A2112" s="25"/>
      <c r="B2112" s="22"/>
      <c r="C2112" s="25"/>
      <c r="D2112" s="22"/>
      <c r="F2112" s="25"/>
      <c r="G2112" s="22"/>
      <c r="H2112" s="25"/>
      <c r="I2112" s="22"/>
      <c r="J2112" s="25"/>
    </row>
    <row r="2113" ht="15.75" customHeight="1">
      <c r="A2113" s="25"/>
      <c r="B2113" s="22"/>
      <c r="C2113" s="25"/>
      <c r="D2113" s="22"/>
      <c r="F2113" s="25"/>
      <c r="G2113" s="22"/>
      <c r="H2113" s="25"/>
      <c r="I2113" s="22"/>
      <c r="J2113" s="25"/>
    </row>
    <row r="2114" ht="15.75" customHeight="1">
      <c r="A2114" s="25"/>
      <c r="B2114" s="22"/>
      <c r="C2114" s="25"/>
      <c r="D2114" s="22"/>
      <c r="F2114" s="25"/>
      <c r="G2114" s="22"/>
      <c r="H2114" s="25"/>
      <c r="I2114" s="22"/>
      <c r="J2114" s="25"/>
    </row>
    <row r="2115" ht="15.75" customHeight="1">
      <c r="A2115" s="25"/>
      <c r="B2115" s="22"/>
      <c r="C2115" s="25"/>
      <c r="D2115" s="22"/>
      <c r="F2115" s="25"/>
      <c r="G2115" s="22"/>
      <c r="H2115" s="25"/>
      <c r="I2115" s="22"/>
      <c r="J2115" s="25"/>
    </row>
    <row r="2116" ht="15.75" customHeight="1">
      <c r="A2116" s="25"/>
      <c r="B2116" s="22"/>
      <c r="C2116" s="25"/>
      <c r="D2116" s="22"/>
      <c r="F2116" s="25"/>
      <c r="G2116" s="22"/>
      <c r="H2116" s="25"/>
      <c r="I2116" s="22"/>
      <c r="J2116" s="25"/>
    </row>
    <row r="2117" ht="15.75" customHeight="1">
      <c r="A2117" s="25"/>
      <c r="B2117" s="22"/>
      <c r="C2117" s="25"/>
      <c r="D2117" s="22"/>
      <c r="F2117" s="25"/>
      <c r="G2117" s="22"/>
      <c r="H2117" s="25"/>
      <c r="I2117" s="22"/>
      <c r="J2117" s="25"/>
    </row>
    <row r="2118" ht="15.75" customHeight="1">
      <c r="A2118" s="25"/>
      <c r="B2118" s="22"/>
      <c r="C2118" s="25"/>
      <c r="D2118" s="22"/>
      <c r="F2118" s="25"/>
      <c r="G2118" s="22"/>
      <c r="H2118" s="25"/>
      <c r="I2118" s="22"/>
      <c r="J2118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3" max="3" width="14.38"/>
  </cols>
  <sheetData>
    <row r="1" ht="15.75" customHeight="1">
      <c r="A1" s="22" t="s">
        <v>103</v>
      </c>
      <c r="B1" s="22" t="s">
        <v>104</v>
      </c>
      <c r="C1" s="22" t="s">
        <v>98</v>
      </c>
      <c r="D1" s="22" t="s">
        <v>99</v>
      </c>
      <c r="E1" s="22" t="s">
        <v>100</v>
      </c>
      <c r="F1" s="22" t="s">
        <v>101</v>
      </c>
    </row>
    <row r="2" ht="15.75" customHeight="1">
      <c r="A2" s="25" t="str">
        <f>'VIX HISTORIQUE'!A5</f>
        <v/>
      </c>
      <c r="B2" s="22" t="str">
        <f>'VIX HISTORIQUE'!B5</f>
        <v/>
      </c>
      <c r="C2" s="22" t="str">
        <f>'VIX HISTORIQUE'!D5</f>
        <v/>
      </c>
      <c r="D2" s="22" t="str">
        <f>'VIX HISTORIQUE'!F5</f>
        <v/>
      </c>
      <c r="E2" s="22" t="str">
        <f>'VIX HISTORIQUE'!H5</f>
        <v/>
      </c>
      <c r="F2" s="22" t="str">
        <f>'VIX HISTORIQUE'!J5</f>
        <v/>
      </c>
    </row>
    <row r="3" ht="15.75" customHeight="1">
      <c r="A3" s="25" t="str">
        <f>'VIX HISTORIQUE'!A6</f>
        <v/>
      </c>
      <c r="B3" s="22" t="str">
        <f>'VIX HISTORIQUE'!B6</f>
        <v/>
      </c>
      <c r="C3" s="22" t="str">
        <f>'VIX HISTORIQUE'!D6</f>
        <v/>
      </c>
      <c r="D3" s="22" t="str">
        <f>'VIX HISTORIQUE'!F6</f>
        <v/>
      </c>
      <c r="E3" s="22" t="str">
        <f>'VIX HISTORIQUE'!H6</f>
        <v/>
      </c>
      <c r="F3" s="22" t="str">
        <f>'VIX HISTORIQUE'!J6</f>
        <v/>
      </c>
    </row>
    <row r="4" ht="15.75" customHeight="1">
      <c r="A4" s="25" t="str">
        <f>'VIX HISTORIQUE'!A7</f>
        <v/>
      </c>
      <c r="B4" s="22" t="str">
        <f>'VIX HISTORIQUE'!B7</f>
        <v/>
      </c>
      <c r="C4" s="22" t="str">
        <f>'VIX HISTORIQUE'!D7</f>
        <v/>
      </c>
      <c r="D4" s="22" t="str">
        <f>'VIX HISTORIQUE'!F7</f>
        <v/>
      </c>
      <c r="E4" s="22" t="str">
        <f>'VIX HISTORIQUE'!H7</f>
        <v/>
      </c>
      <c r="F4" s="22" t="str">
        <f>'VIX HISTORIQUE'!J7</f>
        <v/>
      </c>
    </row>
    <row r="5" ht="15.75" customHeight="1">
      <c r="A5" s="25" t="str">
        <f>'VIX HISTORIQUE'!A8</f>
        <v/>
      </c>
      <c r="B5" s="22" t="str">
        <f>'VIX HISTORIQUE'!B8</f>
        <v/>
      </c>
      <c r="C5" s="22" t="str">
        <f>'VIX HISTORIQUE'!D8</f>
        <v/>
      </c>
      <c r="D5" s="22" t="str">
        <f>'VIX HISTORIQUE'!F8</f>
        <v/>
      </c>
      <c r="E5" s="22" t="str">
        <f>'VIX HISTORIQUE'!H8</f>
        <v/>
      </c>
      <c r="F5" s="22" t="str">
        <f>'VIX HISTORIQUE'!J8</f>
        <v/>
      </c>
    </row>
    <row r="6" ht="15.75" customHeight="1">
      <c r="A6" s="25" t="str">
        <f>'VIX HISTORIQUE'!A9</f>
        <v/>
      </c>
      <c r="B6" s="22" t="str">
        <f>'VIX HISTORIQUE'!B9</f>
        <v/>
      </c>
      <c r="C6" s="22" t="str">
        <f>'VIX HISTORIQUE'!D9</f>
        <v/>
      </c>
      <c r="D6" s="22" t="str">
        <f>'VIX HISTORIQUE'!F9</f>
        <v/>
      </c>
      <c r="E6" s="22" t="str">
        <f>'VIX HISTORIQUE'!H9</f>
        <v/>
      </c>
      <c r="F6" s="22" t="str">
        <f>'VIX HISTORIQUE'!J9</f>
        <v/>
      </c>
    </row>
    <row r="7" ht="15.75" customHeight="1">
      <c r="A7" s="25" t="str">
        <f>'VIX HISTORIQUE'!A10</f>
        <v/>
      </c>
      <c r="B7" s="22" t="str">
        <f>'VIX HISTORIQUE'!B10</f>
        <v/>
      </c>
      <c r="C7" s="22" t="str">
        <f>'VIX HISTORIQUE'!D10</f>
        <v/>
      </c>
      <c r="D7" s="22" t="str">
        <f>'VIX HISTORIQUE'!F10</f>
        <v/>
      </c>
      <c r="E7" s="22" t="str">
        <f>'VIX HISTORIQUE'!H10</f>
        <v/>
      </c>
      <c r="F7" s="22" t="str">
        <f>'VIX HISTORIQUE'!J10</f>
        <v/>
      </c>
    </row>
    <row r="8" ht="15.75" customHeight="1">
      <c r="A8" s="25" t="str">
        <f>'VIX HISTORIQUE'!A11</f>
        <v/>
      </c>
      <c r="B8" s="22" t="str">
        <f>'VIX HISTORIQUE'!B11</f>
        <v/>
      </c>
      <c r="C8" s="22" t="str">
        <f>'VIX HISTORIQUE'!D11</f>
        <v/>
      </c>
      <c r="D8" s="22" t="str">
        <f>'VIX HISTORIQUE'!F11</f>
        <v/>
      </c>
      <c r="E8" s="22" t="str">
        <f>'VIX HISTORIQUE'!H11</f>
        <v/>
      </c>
      <c r="F8" s="22" t="str">
        <f>'VIX HISTORIQUE'!J11</f>
        <v/>
      </c>
    </row>
    <row r="9" ht="15.75" customHeight="1">
      <c r="A9" s="25" t="str">
        <f>'VIX HISTORIQUE'!A12</f>
        <v/>
      </c>
      <c r="B9" s="22" t="str">
        <f>'VIX HISTORIQUE'!B12</f>
        <v/>
      </c>
      <c r="C9" s="22" t="str">
        <f>'VIX HISTORIQUE'!D12</f>
        <v/>
      </c>
      <c r="D9" s="22" t="str">
        <f>'VIX HISTORIQUE'!F12</f>
        <v/>
      </c>
      <c r="E9" s="22" t="str">
        <f>'VIX HISTORIQUE'!H12</f>
        <v/>
      </c>
      <c r="F9" s="22" t="str">
        <f>'VIX HISTORIQUE'!J12</f>
        <v/>
      </c>
    </row>
    <row r="10" ht="15.75" customHeight="1">
      <c r="A10" s="25" t="str">
        <f>'VIX HISTORIQUE'!A13</f>
        <v/>
      </c>
      <c r="B10" s="22" t="str">
        <f>'VIX HISTORIQUE'!B13</f>
        <v/>
      </c>
      <c r="C10" s="22" t="str">
        <f>'VIX HISTORIQUE'!D13</f>
        <v/>
      </c>
      <c r="D10" s="22" t="str">
        <f>'VIX HISTORIQUE'!F13</f>
        <v/>
      </c>
      <c r="E10" s="22" t="str">
        <f>'VIX HISTORIQUE'!H13</f>
        <v/>
      </c>
      <c r="F10" s="22" t="str">
        <f>'VIX HISTORIQUE'!J13</f>
        <v/>
      </c>
    </row>
    <row r="11" ht="15.75" customHeight="1">
      <c r="A11" s="25" t="str">
        <f>'VIX HISTORIQUE'!A14</f>
        <v/>
      </c>
      <c r="B11" s="22" t="str">
        <f>'VIX HISTORIQUE'!B14</f>
        <v/>
      </c>
      <c r="C11" s="22" t="str">
        <f>'VIX HISTORIQUE'!D14</f>
        <v/>
      </c>
      <c r="D11" s="22" t="str">
        <f>'VIX HISTORIQUE'!F14</f>
        <v/>
      </c>
      <c r="E11" s="22" t="str">
        <f>'VIX HISTORIQUE'!H14</f>
        <v/>
      </c>
      <c r="F11" s="22" t="str">
        <f>'VIX HISTORIQUE'!J14</f>
        <v/>
      </c>
    </row>
    <row r="12" ht="15.75" customHeight="1">
      <c r="A12" s="25" t="str">
        <f>'VIX HISTORIQUE'!A15</f>
        <v/>
      </c>
      <c r="B12" s="22" t="str">
        <f>'VIX HISTORIQUE'!B15</f>
        <v/>
      </c>
      <c r="C12" s="22" t="str">
        <f>'VIX HISTORIQUE'!D15</f>
        <v/>
      </c>
      <c r="D12" s="22" t="str">
        <f>'VIX HISTORIQUE'!F15</f>
        <v/>
      </c>
      <c r="E12" s="22" t="str">
        <f>'VIX HISTORIQUE'!H15</f>
        <v/>
      </c>
      <c r="F12" s="22" t="str">
        <f>'VIX HISTORIQUE'!J15</f>
        <v/>
      </c>
    </row>
    <row r="13" ht="15.75" customHeight="1">
      <c r="A13" s="25" t="str">
        <f>'VIX HISTORIQUE'!A16</f>
        <v/>
      </c>
      <c r="B13" s="22" t="str">
        <f>'VIX HISTORIQUE'!B16</f>
        <v/>
      </c>
      <c r="C13" s="22" t="str">
        <f>'VIX HISTORIQUE'!D16</f>
        <v/>
      </c>
      <c r="D13" s="22" t="str">
        <f>'VIX HISTORIQUE'!F16</f>
        <v/>
      </c>
      <c r="E13" s="22" t="str">
        <f>'VIX HISTORIQUE'!H16</f>
        <v/>
      </c>
      <c r="F13" s="22" t="str">
        <f>'VIX HISTORIQUE'!J16</f>
        <v/>
      </c>
    </row>
    <row r="14" ht="15.75" customHeight="1">
      <c r="A14" s="25" t="str">
        <f>'VIX HISTORIQUE'!A17</f>
        <v/>
      </c>
      <c r="B14" s="22" t="str">
        <f>'VIX HISTORIQUE'!B17</f>
        <v/>
      </c>
      <c r="C14" s="22" t="str">
        <f>'VIX HISTORIQUE'!D17</f>
        <v/>
      </c>
      <c r="D14" s="22" t="str">
        <f>'VIX HISTORIQUE'!F17</f>
        <v/>
      </c>
      <c r="E14" s="22" t="str">
        <f>'VIX HISTORIQUE'!H17</f>
        <v/>
      </c>
      <c r="F14" s="22" t="str">
        <f>'VIX HISTORIQUE'!J17</f>
        <v/>
      </c>
    </row>
    <row r="15" ht="15.75" customHeight="1">
      <c r="A15" s="25" t="str">
        <f>'VIX HISTORIQUE'!A18</f>
        <v/>
      </c>
      <c r="B15" s="22" t="str">
        <f>'VIX HISTORIQUE'!B18</f>
        <v/>
      </c>
      <c r="C15" s="22" t="str">
        <f>'VIX HISTORIQUE'!D18</f>
        <v/>
      </c>
      <c r="D15" s="22" t="str">
        <f>'VIX HISTORIQUE'!F18</f>
        <v/>
      </c>
      <c r="E15" s="22" t="str">
        <f>'VIX HISTORIQUE'!H18</f>
        <v/>
      </c>
      <c r="F15" s="22" t="str">
        <f>'VIX HISTORIQUE'!J18</f>
        <v/>
      </c>
    </row>
    <row r="16" ht="15.75" customHeight="1">
      <c r="A16" s="25" t="str">
        <f>'VIX HISTORIQUE'!A19</f>
        <v/>
      </c>
      <c r="B16" s="22" t="str">
        <f>'VIX HISTORIQUE'!B19</f>
        <v/>
      </c>
      <c r="C16" s="22" t="str">
        <f>'VIX HISTORIQUE'!D19</f>
        <v/>
      </c>
      <c r="D16" s="22" t="str">
        <f>'VIX HISTORIQUE'!F19</f>
        <v/>
      </c>
      <c r="E16" s="22" t="str">
        <f>'VIX HISTORIQUE'!H19</f>
        <v/>
      </c>
      <c r="F16" s="22" t="str">
        <f>'VIX HISTORIQUE'!J19</f>
        <v/>
      </c>
    </row>
    <row r="17" ht="15.75" customHeight="1">
      <c r="A17" s="25" t="str">
        <f>'VIX HISTORIQUE'!A20</f>
        <v/>
      </c>
      <c r="B17" s="22" t="str">
        <f>'VIX HISTORIQUE'!B20</f>
        <v/>
      </c>
      <c r="C17" s="22" t="str">
        <f>'VIX HISTORIQUE'!D20</f>
        <v/>
      </c>
      <c r="D17" s="22" t="str">
        <f>'VIX HISTORIQUE'!F20</f>
        <v/>
      </c>
      <c r="E17" s="22" t="str">
        <f>'VIX HISTORIQUE'!H20</f>
        <v/>
      </c>
      <c r="F17" s="22" t="str">
        <f>'VIX HISTORIQUE'!J20</f>
        <v/>
      </c>
    </row>
    <row r="18" ht="15.75" customHeight="1">
      <c r="A18" s="25" t="str">
        <f>'VIX HISTORIQUE'!A21</f>
        <v/>
      </c>
      <c r="B18" s="22" t="str">
        <f>'VIX HISTORIQUE'!B21</f>
        <v/>
      </c>
      <c r="C18" s="22" t="str">
        <f>'VIX HISTORIQUE'!D21</f>
        <v/>
      </c>
      <c r="D18" s="22" t="str">
        <f>'VIX HISTORIQUE'!F21</f>
        <v/>
      </c>
      <c r="E18" s="22" t="str">
        <f>'VIX HISTORIQUE'!H21</f>
        <v/>
      </c>
      <c r="F18" s="22" t="str">
        <f>'VIX HISTORIQUE'!J21</f>
        <v/>
      </c>
    </row>
    <row r="19" ht="15.75" customHeight="1">
      <c r="A19" s="25" t="str">
        <f>'VIX HISTORIQUE'!A22</f>
        <v/>
      </c>
      <c r="B19" s="22" t="str">
        <f>'VIX HISTORIQUE'!B22</f>
        <v/>
      </c>
      <c r="C19" s="22" t="str">
        <f>'VIX HISTORIQUE'!D22</f>
        <v/>
      </c>
      <c r="D19" s="22" t="str">
        <f>'VIX HISTORIQUE'!F22</f>
        <v/>
      </c>
      <c r="E19" s="22" t="str">
        <f>'VIX HISTORIQUE'!H22</f>
        <v/>
      </c>
      <c r="F19" s="22" t="str">
        <f>'VIX HISTORIQUE'!J22</f>
        <v/>
      </c>
    </row>
    <row r="20" ht="15.75" customHeight="1">
      <c r="A20" s="25" t="str">
        <f>'VIX HISTORIQUE'!A23</f>
        <v/>
      </c>
      <c r="B20" s="22" t="str">
        <f>'VIX HISTORIQUE'!B23</f>
        <v/>
      </c>
      <c r="C20" s="22" t="str">
        <f>'VIX HISTORIQUE'!D23</f>
        <v/>
      </c>
      <c r="D20" s="22" t="str">
        <f>'VIX HISTORIQUE'!F23</f>
        <v/>
      </c>
      <c r="E20" s="22" t="str">
        <f>'VIX HISTORIQUE'!H23</f>
        <v/>
      </c>
      <c r="F20" s="22" t="str">
        <f>'VIX HISTORIQUE'!J23</f>
        <v/>
      </c>
    </row>
    <row r="21" ht="15.75" customHeight="1">
      <c r="A21" s="25" t="str">
        <f>'VIX HISTORIQUE'!A24</f>
        <v/>
      </c>
      <c r="B21" s="22" t="str">
        <f>'VIX HISTORIQUE'!B24</f>
        <v/>
      </c>
      <c r="C21" s="22" t="str">
        <f>'VIX HISTORIQUE'!D24</f>
        <v/>
      </c>
      <c r="D21" s="22" t="str">
        <f>'VIX HISTORIQUE'!F24</f>
        <v/>
      </c>
      <c r="E21" s="22" t="str">
        <f>'VIX HISTORIQUE'!H24</f>
        <v/>
      </c>
      <c r="F21" s="22" t="str">
        <f>'VIX HISTORIQUE'!J24</f>
        <v/>
      </c>
    </row>
    <row r="22" ht="15.75" customHeight="1">
      <c r="A22" s="25" t="str">
        <f>'VIX HISTORIQUE'!A25</f>
        <v/>
      </c>
      <c r="B22" s="22" t="str">
        <f>'VIX HISTORIQUE'!B25</f>
        <v/>
      </c>
      <c r="C22" s="22" t="str">
        <f>'VIX HISTORIQUE'!D25</f>
        <v/>
      </c>
      <c r="D22" s="22" t="str">
        <f>'VIX HISTORIQUE'!F25</f>
        <v/>
      </c>
      <c r="E22" s="22" t="str">
        <f>'VIX HISTORIQUE'!H25</f>
        <v/>
      </c>
      <c r="F22" s="22" t="str">
        <f>'VIX HISTORIQUE'!J25</f>
        <v/>
      </c>
    </row>
    <row r="23" ht="15.75" customHeight="1">
      <c r="A23" s="25" t="str">
        <f>'VIX HISTORIQUE'!A26</f>
        <v/>
      </c>
      <c r="B23" s="22" t="str">
        <f>'VIX HISTORIQUE'!B26</f>
        <v/>
      </c>
      <c r="C23" s="22" t="str">
        <f>'VIX HISTORIQUE'!D26</f>
        <v/>
      </c>
      <c r="D23" s="22" t="str">
        <f>'VIX HISTORIQUE'!F26</f>
        <v/>
      </c>
      <c r="E23" s="22" t="str">
        <f>'VIX HISTORIQUE'!H26</f>
        <v/>
      </c>
      <c r="F23" s="22" t="str">
        <f>'VIX HISTORIQUE'!J26</f>
        <v/>
      </c>
    </row>
    <row r="24" ht="15.75" customHeight="1">
      <c r="A24" s="25" t="str">
        <f>'VIX HISTORIQUE'!A27</f>
        <v/>
      </c>
      <c r="B24" s="22" t="str">
        <f>'VIX HISTORIQUE'!B27</f>
        <v/>
      </c>
      <c r="C24" s="22" t="str">
        <f>'VIX HISTORIQUE'!D27</f>
        <v/>
      </c>
      <c r="D24" s="22" t="str">
        <f>'VIX HISTORIQUE'!F27</f>
        <v/>
      </c>
      <c r="E24" s="22" t="str">
        <f>'VIX HISTORIQUE'!H27</f>
        <v/>
      </c>
      <c r="F24" s="22" t="str">
        <f>'VIX HISTORIQUE'!J27</f>
        <v/>
      </c>
    </row>
    <row r="25" ht="15.75" customHeight="1">
      <c r="A25" s="25" t="str">
        <f>'VIX HISTORIQUE'!A28</f>
        <v/>
      </c>
      <c r="B25" s="22" t="str">
        <f>'VIX HISTORIQUE'!B28</f>
        <v/>
      </c>
      <c r="C25" s="22" t="str">
        <f>'VIX HISTORIQUE'!D28</f>
        <v/>
      </c>
      <c r="D25" s="22" t="str">
        <f>'VIX HISTORIQUE'!F28</f>
        <v/>
      </c>
      <c r="E25" s="22" t="str">
        <f>'VIX HISTORIQUE'!H28</f>
        <v/>
      </c>
      <c r="F25" s="22" t="str">
        <f>'VIX HISTORIQUE'!J28</f>
        <v/>
      </c>
    </row>
    <row r="26" ht="15.75" customHeight="1">
      <c r="A26" s="25" t="str">
        <f>'VIX HISTORIQUE'!A29</f>
        <v/>
      </c>
      <c r="B26" s="22" t="str">
        <f>'VIX HISTORIQUE'!B29</f>
        <v/>
      </c>
      <c r="C26" s="22" t="str">
        <f>'VIX HISTORIQUE'!D29</f>
        <v/>
      </c>
      <c r="D26" s="22" t="str">
        <f>'VIX HISTORIQUE'!F29</f>
        <v/>
      </c>
      <c r="E26" s="22" t="str">
        <f>'VIX HISTORIQUE'!H29</f>
        <v/>
      </c>
      <c r="F26" s="22" t="str">
        <f>'VIX HISTORIQUE'!J29</f>
        <v/>
      </c>
    </row>
    <row r="27" ht="15.75" customHeight="1">
      <c r="A27" s="25" t="str">
        <f>'VIX HISTORIQUE'!A30</f>
        <v/>
      </c>
      <c r="B27" s="22" t="str">
        <f>'VIX HISTORIQUE'!B30</f>
        <v/>
      </c>
      <c r="C27" s="22" t="str">
        <f>'VIX HISTORIQUE'!D30</f>
        <v/>
      </c>
      <c r="D27" s="22" t="str">
        <f>'VIX HISTORIQUE'!F30</f>
        <v/>
      </c>
      <c r="E27" s="22" t="str">
        <f>'VIX HISTORIQUE'!H30</f>
        <v/>
      </c>
      <c r="F27" s="22" t="str">
        <f>'VIX HISTORIQUE'!J30</f>
        <v/>
      </c>
    </row>
    <row r="28" ht="15.75" customHeight="1">
      <c r="A28" s="25" t="str">
        <f>'VIX HISTORIQUE'!A31</f>
        <v/>
      </c>
      <c r="B28" s="22" t="str">
        <f>'VIX HISTORIQUE'!B31</f>
        <v/>
      </c>
      <c r="C28" s="22" t="str">
        <f>'VIX HISTORIQUE'!D31</f>
        <v/>
      </c>
      <c r="D28" s="22" t="str">
        <f>'VIX HISTORIQUE'!F31</f>
        <v/>
      </c>
      <c r="E28" s="22" t="str">
        <f>'VIX HISTORIQUE'!H31</f>
        <v/>
      </c>
      <c r="F28" s="22" t="str">
        <f>'VIX HISTORIQUE'!J31</f>
        <v/>
      </c>
    </row>
    <row r="29" ht="15.75" customHeight="1">
      <c r="A29" s="25" t="str">
        <f>'VIX HISTORIQUE'!A32</f>
        <v/>
      </c>
      <c r="B29" s="22" t="str">
        <f>'VIX HISTORIQUE'!B32</f>
        <v/>
      </c>
      <c r="C29" s="22" t="str">
        <f>'VIX HISTORIQUE'!D32</f>
        <v/>
      </c>
      <c r="D29" s="22" t="str">
        <f>'VIX HISTORIQUE'!F32</f>
        <v/>
      </c>
      <c r="E29" s="22" t="str">
        <f>'VIX HISTORIQUE'!H32</f>
        <v/>
      </c>
      <c r="F29" s="22" t="str">
        <f>'VIX HISTORIQUE'!J32</f>
        <v/>
      </c>
    </row>
    <row r="30" ht="15.75" customHeight="1">
      <c r="A30" s="25" t="str">
        <f>'VIX HISTORIQUE'!A33</f>
        <v/>
      </c>
      <c r="B30" s="22" t="str">
        <f>'VIX HISTORIQUE'!B33</f>
        <v/>
      </c>
      <c r="C30" s="22" t="str">
        <f>'VIX HISTORIQUE'!D33</f>
        <v/>
      </c>
      <c r="D30" s="22" t="str">
        <f>'VIX HISTORIQUE'!F33</f>
        <v/>
      </c>
      <c r="E30" s="22" t="str">
        <f>'VIX HISTORIQUE'!H33</f>
        <v/>
      </c>
      <c r="F30" s="22" t="str">
        <f>'VIX HISTORIQUE'!J33</f>
        <v/>
      </c>
    </row>
    <row r="31" ht="15.75" customHeight="1">
      <c r="A31" s="25" t="str">
        <f>'VIX HISTORIQUE'!A34</f>
        <v/>
      </c>
      <c r="B31" s="22" t="str">
        <f>'VIX HISTORIQUE'!B34</f>
        <v/>
      </c>
      <c r="C31" s="22" t="str">
        <f>'VIX HISTORIQUE'!D34</f>
        <v/>
      </c>
      <c r="D31" s="22" t="str">
        <f>'VIX HISTORIQUE'!F34</f>
        <v/>
      </c>
      <c r="E31" s="22" t="str">
        <f>'VIX HISTORIQUE'!H34</f>
        <v/>
      </c>
      <c r="F31" s="22" t="str">
        <f>'VIX HISTORIQUE'!J34</f>
        <v/>
      </c>
    </row>
    <row r="32" ht="15.75" customHeight="1">
      <c r="A32" s="25" t="str">
        <f>'VIX HISTORIQUE'!A35</f>
        <v/>
      </c>
      <c r="B32" s="22" t="str">
        <f>'VIX HISTORIQUE'!B35</f>
        <v/>
      </c>
      <c r="C32" s="22" t="str">
        <f>'VIX HISTORIQUE'!D35</f>
        <v/>
      </c>
      <c r="D32" s="22" t="str">
        <f>'VIX HISTORIQUE'!F35</f>
        <v/>
      </c>
      <c r="E32" s="22" t="str">
        <f>'VIX HISTORIQUE'!H35</f>
        <v/>
      </c>
      <c r="F32" s="22" t="str">
        <f>'VIX HISTORIQUE'!J35</f>
        <v/>
      </c>
    </row>
    <row r="33" ht="15.75" customHeight="1">
      <c r="A33" s="25" t="str">
        <f>'VIX HISTORIQUE'!A36</f>
        <v/>
      </c>
      <c r="B33" s="22" t="str">
        <f>'VIX HISTORIQUE'!B36</f>
        <v/>
      </c>
      <c r="C33" s="22" t="str">
        <f>'VIX HISTORIQUE'!D36</f>
        <v/>
      </c>
      <c r="D33" s="22" t="str">
        <f>'VIX HISTORIQUE'!F36</f>
        <v/>
      </c>
      <c r="E33" s="22" t="str">
        <f>'VIX HISTORIQUE'!H36</f>
        <v/>
      </c>
      <c r="F33" s="22" t="str">
        <f>'VIX HISTORIQUE'!J36</f>
        <v/>
      </c>
    </row>
    <row r="34" ht="15.75" customHeight="1">
      <c r="A34" s="25" t="str">
        <f>'VIX HISTORIQUE'!A37</f>
        <v/>
      </c>
      <c r="B34" s="22" t="str">
        <f>'VIX HISTORIQUE'!B37</f>
        <v/>
      </c>
      <c r="C34" s="22" t="str">
        <f>'VIX HISTORIQUE'!D37</f>
        <v/>
      </c>
      <c r="D34" s="22" t="str">
        <f>'VIX HISTORIQUE'!F37</f>
        <v/>
      </c>
      <c r="E34" s="22" t="str">
        <f>'VIX HISTORIQUE'!H37</f>
        <v/>
      </c>
      <c r="F34" s="22" t="str">
        <f>'VIX HISTORIQUE'!J37</f>
        <v/>
      </c>
    </row>
    <row r="35" ht="15.75" customHeight="1">
      <c r="A35" s="25" t="str">
        <f>'VIX HISTORIQUE'!A38</f>
        <v/>
      </c>
      <c r="B35" s="22" t="str">
        <f>'VIX HISTORIQUE'!B38</f>
        <v/>
      </c>
      <c r="C35" s="22" t="str">
        <f>'VIX HISTORIQUE'!D38</f>
        <v/>
      </c>
      <c r="D35" s="22" t="str">
        <f>'VIX HISTORIQUE'!F38</f>
        <v/>
      </c>
      <c r="E35" s="22" t="str">
        <f>'VIX HISTORIQUE'!H38</f>
        <v/>
      </c>
      <c r="F35" s="22" t="str">
        <f>'VIX HISTORIQUE'!J38</f>
        <v/>
      </c>
    </row>
    <row r="36" ht="15.75" customHeight="1">
      <c r="A36" s="25" t="str">
        <f>'VIX HISTORIQUE'!A39</f>
        <v/>
      </c>
      <c r="B36" s="22" t="str">
        <f>'VIX HISTORIQUE'!B39</f>
        <v/>
      </c>
      <c r="C36" s="22" t="str">
        <f>'VIX HISTORIQUE'!D39</f>
        <v/>
      </c>
      <c r="D36" s="22" t="str">
        <f>'VIX HISTORIQUE'!F39</f>
        <v/>
      </c>
      <c r="E36" s="22" t="str">
        <f>'VIX HISTORIQUE'!H39</f>
        <v/>
      </c>
      <c r="F36" s="22" t="str">
        <f>'VIX HISTORIQUE'!J39</f>
        <v/>
      </c>
    </row>
    <row r="37" ht="15.75" customHeight="1">
      <c r="A37" s="25" t="str">
        <f>'VIX HISTORIQUE'!A40</f>
        <v/>
      </c>
      <c r="B37" s="22" t="str">
        <f>'VIX HISTORIQUE'!B40</f>
        <v/>
      </c>
      <c r="C37" s="22" t="str">
        <f>'VIX HISTORIQUE'!D40</f>
        <v/>
      </c>
      <c r="D37" s="22" t="str">
        <f>'VIX HISTORIQUE'!F40</f>
        <v/>
      </c>
      <c r="E37" s="22" t="str">
        <f>'VIX HISTORIQUE'!H40</f>
        <v/>
      </c>
      <c r="F37" s="22" t="str">
        <f>'VIX HISTORIQUE'!J40</f>
        <v/>
      </c>
    </row>
    <row r="38" ht="15.75" customHeight="1">
      <c r="A38" s="25" t="str">
        <f>'VIX HISTORIQUE'!A41</f>
        <v/>
      </c>
      <c r="B38" s="22" t="str">
        <f>'VIX HISTORIQUE'!B41</f>
        <v/>
      </c>
      <c r="C38" s="22" t="str">
        <f>'VIX HISTORIQUE'!D41</f>
        <v/>
      </c>
      <c r="D38" s="22" t="str">
        <f>'VIX HISTORIQUE'!F41</f>
        <v/>
      </c>
      <c r="E38" s="22" t="str">
        <f>'VIX HISTORIQUE'!H41</f>
        <v/>
      </c>
      <c r="F38" s="22" t="str">
        <f>'VIX HISTORIQUE'!J41</f>
        <v/>
      </c>
    </row>
    <row r="39" ht="15.75" customHeight="1">
      <c r="A39" s="25" t="str">
        <f>'VIX HISTORIQUE'!A42</f>
        <v/>
      </c>
      <c r="B39" s="22" t="str">
        <f>'VIX HISTORIQUE'!B42</f>
        <v/>
      </c>
      <c r="C39" s="22" t="str">
        <f>'VIX HISTORIQUE'!D42</f>
        <v/>
      </c>
      <c r="D39" s="22" t="str">
        <f>'VIX HISTORIQUE'!F42</f>
        <v/>
      </c>
      <c r="E39" s="22" t="str">
        <f>'VIX HISTORIQUE'!H42</f>
        <v/>
      </c>
      <c r="F39" s="22" t="str">
        <f>'VIX HISTORIQUE'!J42</f>
        <v/>
      </c>
    </row>
    <row r="40" ht="15.75" customHeight="1">
      <c r="A40" s="25" t="str">
        <f>'VIX HISTORIQUE'!A43</f>
        <v/>
      </c>
      <c r="B40" s="22" t="str">
        <f>'VIX HISTORIQUE'!B43</f>
        <v/>
      </c>
      <c r="C40" s="22" t="str">
        <f>'VIX HISTORIQUE'!D43</f>
        <v/>
      </c>
      <c r="D40" s="22" t="str">
        <f>'VIX HISTORIQUE'!F43</f>
        <v/>
      </c>
      <c r="E40" s="22" t="str">
        <f>'VIX HISTORIQUE'!H43</f>
        <v/>
      </c>
      <c r="F40" s="22" t="str">
        <f>'VIX HISTORIQUE'!J43</f>
        <v/>
      </c>
    </row>
    <row r="41" ht="15.75" customHeight="1">
      <c r="A41" s="25" t="str">
        <f>'VIX HISTORIQUE'!A44</f>
        <v/>
      </c>
      <c r="B41" s="22" t="str">
        <f>'VIX HISTORIQUE'!B44</f>
        <v/>
      </c>
      <c r="C41" s="22" t="str">
        <f>'VIX HISTORIQUE'!D44</f>
        <v/>
      </c>
      <c r="D41" s="22" t="str">
        <f>'VIX HISTORIQUE'!F44</f>
        <v/>
      </c>
      <c r="E41" s="22" t="str">
        <f>'VIX HISTORIQUE'!H44</f>
        <v/>
      </c>
      <c r="F41" s="22" t="str">
        <f>'VIX HISTORIQUE'!J44</f>
        <v/>
      </c>
    </row>
    <row r="42" ht="15.75" customHeight="1">
      <c r="A42" s="25" t="str">
        <f>'VIX HISTORIQUE'!A45</f>
        <v/>
      </c>
      <c r="B42" s="22" t="str">
        <f>'VIX HISTORIQUE'!B45</f>
        <v/>
      </c>
      <c r="C42" s="22" t="str">
        <f>'VIX HISTORIQUE'!D45</f>
        <v/>
      </c>
      <c r="D42" s="22" t="str">
        <f>'VIX HISTORIQUE'!F45</f>
        <v/>
      </c>
      <c r="E42" s="22" t="str">
        <f>'VIX HISTORIQUE'!H45</f>
        <v/>
      </c>
      <c r="F42" s="22" t="str">
        <f>'VIX HISTORIQUE'!J45</f>
        <v/>
      </c>
    </row>
    <row r="43" ht="15.75" customHeight="1">
      <c r="A43" s="25" t="str">
        <f>'VIX HISTORIQUE'!A46</f>
        <v/>
      </c>
      <c r="B43" s="22" t="str">
        <f>'VIX HISTORIQUE'!B46</f>
        <v/>
      </c>
      <c r="C43" s="22" t="str">
        <f>'VIX HISTORIQUE'!D46</f>
        <v/>
      </c>
      <c r="D43" s="22" t="str">
        <f>'VIX HISTORIQUE'!F46</f>
        <v/>
      </c>
      <c r="E43" s="22" t="str">
        <f>'VIX HISTORIQUE'!H46</f>
        <v/>
      </c>
      <c r="F43" s="22" t="str">
        <f>'VIX HISTORIQUE'!J46</f>
        <v/>
      </c>
    </row>
    <row r="44" ht="15.75" customHeight="1">
      <c r="A44" s="25" t="str">
        <f>'VIX HISTORIQUE'!A47</f>
        <v/>
      </c>
      <c r="B44" s="22" t="str">
        <f>'VIX HISTORIQUE'!B47</f>
        <v/>
      </c>
      <c r="C44" s="22" t="str">
        <f>'VIX HISTORIQUE'!D47</f>
        <v/>
      </c>
      <c r="D44" s="22" t="str">
        <f>'VIX HISTORIQUE'!F47</f>
        <v/>
      </c>
      <c r="E44" s="22" t="str">
        <f>'VIX HISTORIQUE'!H47</f>
        <v/>
      </c>
      <c r="F44" s="22" t="str">
        <f>'VIX HISTORIQUE'!J47</f>
        <v/>
      </c>
    </row>
    <row r="45" ht="15.75" customHeight="1">
      <c r="A45" s="25" t="str">
        <f>'VIX HISTORIQUE'!A48</f>
        <v/>
      </c>
      <c r="B45" s="22" t="str">
        <f>'VIX HISTORIQUE'!B48</f>
        <v/>
      </c>
      <c r="C45" s="22" t="str">
        <f>'VIX HISTORIQUE'!D48</f>
        <v/>
      </c>
      <c r="D45" s="22" t="str">
        <f>'VIX HISTORIQUE'!F48</f>
        <v/>
      </c>
      <c r="E45" s="22" t="str">
        <f>'VIX HISTORIQUE'!H48</f>
        <v/>
      </c>
      <c r="F45" s="22" t="str">
        <f>'VIX HISTORIQUE'!J48</f>
        <v/>
      </c>
    </row>
    <row r="46" ht="15.75" customHeight="1">
      <c r="A46" s="25" t="str">
        <f>'VIX HISTORIQUE'!A49</f>
        <v/>
      </c>
      <c r="B46" s="22" t="str">
        <f>'VIX HISTORIQUE'!B49</f>
        <v/>
      </c>
      <c r="C46" s="22" t="str">
        <f>'VIX HISTORIQUE'!D49</f>
        <v/>
      </c>
      <c r="D46" s="22" t="str">
        <f>'VIX HISTORIQUE'!F49</f>
        <v/>
      </c>
      <c r="E46" s="22" t="str">
        <f>'VIX HISTORIQUE'!H49</f>
        <v/>
      </c>
      <c r="F46" s="22" t="str">
        <f>'VIX HISTORIQUE'!J49</f>
        <v/>
      </c>
    </row>
    <row r="47" ht="15.75" customHeight="1">
      <c r="A47" s="25" t="str">
        <f>'VIX HISTORIQUE'!A50</f>
        <v/>
      </c>
      <c r="B47" s="22" t="str">
        <f>'VIX HISTORIQUE'!B50</f>
        <v/>
      </c>
      <c r="C47" s="22" t="str">
        <f>'VIX HISTORIQUE'!D50</f>
        <v/>
      </c>
      <c r="D47" s="22" t="str">
        <f>'VIX HISTORIQUE'!F50</f>
        <v/>
      </c>
      <c r="E47" s="22" t="str">
        <f>'VIX HISTORIQUE'!H50</f>
        <v/>
      </c>
      <c r="F47" s="22" t="str">
        <f>'VIX HISTORIQUE'!J50</f>
        <v/>
      </c>
    </row>
    <row r="48" ht="15.75" customHeight="1">
      <c r="A48" s="25" t="str">
        <f>'VIX HISTORIQUE'!A51</f>
        <v/>
      </c>
      <c r="B48" s="22" t="str">
        <f>'VIX HISTORIQUE'!B51</f>
        <v/>
      </c>
      <c r="C48" s="22" t="str">
        <f>'VIX HISTORIQUE'!D51</f>
        <v/>
      </c>
      <c r="D48" s="22" t="str">
        <f>'VIX HISTORIQUE'!F51</f>
        <v/>
      </c>
      <c r="E48" s="22" t="str">
        <f>'VIX HISTORIQUE'!H51</f>
        <v/>
      </c>
      <c r="F48" s="22" t="str">
        <f>'VIX HISTORIQUE'!J51</f>
        <v/>
      </c>
    </row>
    <row r="49" ht="15.75" customHeight="1">
      <c r="A49" s="25" t="str">
        <f>'VIX HISTORIQUE'!A52</f>
        <v/>
      </c>
      <c r="B49" s="22" t="str">
        <f>'VIX HISTORIQUE'!B52</f>
        <v/>
      </c>
      <c r="C49" s="22" t="str">
        <f>'VIX HISTORIQUE'!D52</f>
        <v/>
      </c>
      <c r="D49" s="22" t="str">
        <f>'VIX HISTORIQUE'!F52</f>
        <v/>
      </c>
      <c r="E49" s="22" t="str">
        <f>'VIX HISTORIQUE'!H52</f>
        <v/>
      </c>
      <c r="F49" s="22" t="str">
        <f>'VIX HISTORIQUE'!J52</f>
        <v/>
      </c>
    </row>
    <row r="50" ht="15.75" customHeight="1">
      <c r="A50" s="25" t="str">
        <f>'VIX HISTORIQUE'!A53</f>
        <v/>
      </c>
      <c r="B50" s="22" t="str">
        <f>'VIX HISTORIQUE'!B53</f>
        <v/>
      </c>
      <c r="C50" s="22" t="str">
        <f>'VIX HISTORIQUE'!D53</f>
        <v/>
      </c>
      <c r="D50" s="22" t="str">
        <f>'VIX HISTORIQUE'!F53</f>
        <v/>
      </c>
      <c r="E50" s="22" t="str">
        <f>'VIX HISTORIQUE'!H53</f>
        <v/>
      </c>
      <c r="F50" s="22" t="str">
        <f>'VIX HISTORIQUE'!J53</f>
        <v/>
      </c>
    </row>
    <row r="51" ht="15.75" customHeight="1">
      <c r="A51" s="25" t="str">
        <f>'VIX HISTORIQUE'!A54</f>
        <v/>
      </c>
      <c r="B51" s="22" t="str">
        <f>'VIX HISTORIQUE'!B54</f>
        <v/>
      </c>
      <c r="C51" s="22" t="str">
        <f>'VIX HISTORIQUE'!D54</f>
        <v/>
      </c>
      <c r="D51" s="22" t="str">
        <f>'VIX HISTORIQUE'!F54</f>
        <v/>
      </c>
      <c r="E51" s="22" t="str">
        <f>'VIX HISTORIQUE'!H54</f>
        <v/>
      </c>
      <c r="F51" s="22" t="str">
        <f>'VIX HISTORIQUE'!J54</f>
        <v/>
      </c>
    </row>
    <row r="52" ht="15.75" customHeight="1">
      <c r="A52" s="25" t="str">
        <f>'VIX HISTORIQUE'!A55</f>
        <v/>
      </c>
      <c r="B52" s="22" t="str">
        <f>'VIX HISTORIQUE'!B55</f>
        <v/>
      </c>
      <c r="C52" s="22" t="str">
        <f>'VIX HISTORIQUE'!D55</f>
        <v/>
      </c>
      <c r="D52" s="22" t="str">
        <f>'VIX HISTORIQUE'!F55</f>
        <v/>
      </c>
      <c r="E52" s="22" t="str">
        <f>'VIX HISTORIQUE'!H55</f>
        <v/>
      </c>
      <c r="F52" s="22" t="str">
        <f>'VIX HISTORIQUE'!J55</f>
        <v/>
      </c>
    </row>
    <row r="53" ht="15.75" customHeight="1">
      <c r="A53" s="25" t="str">
        <f>'VIX HISTORIQUE'!A56</f>
        <v/>
      </c>
      <c r="B53" s="22" t="str">
        <f>'VIX HISTORIQUE'!B56</f>
        <v/>
      </c>
      <c r="C53" s="22" t="str">
        <f>'VIX HISTORIQUE'!D56</f>
        <v/>
      </c>
      <c r="D53" s="22" t="str">
        <f>'VIX HISTORIQUE'!F56</f>
        <v/>
      </c>
      <c r="E53" s="22" t="str">
        <f>'VIX HISTORIQUE'!H56</f>
        <v/>
      </c>
      <c r="F53" s="22" t="str">
        <f>'VIX HISTORIQUE'!J56</f>
        <v/>
      </c>
    </row>
    <row r="54" ht="15.75" customHeight="1">
      <c r="A54" s="25" t="str">
        <f>'VIX HISTORIQUE'!A57</f>
        <v/>
      </c>
      <c r="B54" s="22" t="str">
        <f>'VIX HISTORIQUE'!B57</f>
        <v/>
      </c>
      <c r="C54" s="22" t="str">
        <f>'VIX HISTORIQUE'!D57</f>
        <v/>
      </c>
      <c r="D54" s="22" t="str">
        <f>'VIX HISTORIQUE'!F57</f>
        <v/>
      </c>
      <c r="E54" s="22" t="str">
        <f>'VIX HISTORIQUE'!H57</f>
        <v/>
      </c>
      <c r="F54" s="22" t="str">
        <f>'VIX HISTORIQUE'!J57</f>
        <v/>
      </c>
    </row>
    <row r="55" ht="15.75" customHeight="1">
      <c r="A55" s="25" t="str">
        <f>'VIX HISTORIQUE'!A58</f>
        <v/>
      </c>
      <c r="B55" s="22" t="str">
        <f>'VIX HISTORIQUE'!B58</f>
        <v/>
      </c>
      <c r="C55" s="22" t="str">
        <f>'VIX HISTORIQUE'!D58</f>
        <v/>
      </c>
      <c r="D55" s="22" t="str">
        <f>'VIX HISTORIQUE'!F58</f>
        <v/>
      </c>
      <c r="E55" s="22" t="str">
        <f>'VIX HISTORIQUE'!H58</f>
        <v/>
      </c>
      <c r="F55" s="22" t="str">
        <f>'VIX HISTORIQUE'!J58</f>
        <v/>
      </c>
    </row>
    <row r="56" ht="15.75" customHeight="1">
      <c r="A56" s="25" t="str">
        <f>'VIX HISTORIQUE'!A59</f>
        <v/>
      </c>
      <c r="B56" s="22" t="str">
        <f>'VIX HISTORIQUE'!B59</f>
        <v/>
      </c>
      <c r="C56" s="22" t="str">
        <f>'VIX HISTORIQUE'!D59</f>
        <v/>
      </c>
      <c r="D56" s="22" t="str">
        <f>'VIX HISTORIQUE'!F59</f>
        <v/>
      </c>
      <c r="E56" s="22" t="str">
        <f>'VIX HISTORIQUE'!H59</f>
        <v/>
      </c>
      <c r="F56" s="22" t="str">
        <f>'VIX HISTORIQUE'!J59</f>
        <v/>
      </c>
    </row>
    <row r="57" ht="15.75" customHeight="1">
      <c r="A57" s="25" t="str">
        <f>'VIX HISTORIQUE'!A60</f>
        <v/>
      </c>
      <c r="B57" s="22" t="str">
        <f>'VIX HISTORIQUE'!B60</f>
        <v/>
      </c>
      <c r="C57" s="22" t="str">
        <f>'VIX HISTORIQUE'!D60</f>
        <v/>
      </c>
      <c r="D57" s="22" t="str">
        <f>'VIX HISTORIQUE'!F60</f>
        <v/>
      </c>
      <c r="E57" s="22" t="str">
        <f>'VIX HISTORIQUE'!H60</f>
        <v/>
      </c>
      <c r="F57" s="22" t="str">
        <f>'VIX HISTORIQUE'!J60</f>
        <v/>
      </c>
    </row>
    <row r="58" ht="15.75" customHeight="1">
      <c r="A58" s="25" t="str">
        <f>'VIX HISTORIQUE'!A61</f>
        <v/>
      </c>
      <c r="B58" s="22" t="str">
        <f>'VIX HISTORIQUE'!B61</f>
        <v/>
      </c>
      <c r="C58" s="22" t="str">
        <f>'VIX HISTORIQUE'!D61</f>
        <v/>
      </c>
      <c r="D58" s="22" t="str">
        <f>'VIX HISTORIQUE'!F61</f>
        <v/>
      </c>
      <c r="E58" s="22" t="str">
        <f>'VIX HISTORIQUE'!H61</f>
        <v/>
      </c>
      <c r="F58" s="22" t="str">
        <f>'VIX HISTORIQUE'!J61</f>
        <v/>
      </c>
    </row>
    <row r="59" ht="15.75" customHeight="1">
      <c r="A59" s="25" t="str">
        <f>'VIX HISTORIQUE'!A62</f>
        <v/>
      </c>
      <c r="B59" s="22" t="str">
        <f>'VIX HISTORIQUE'!B62</f>
        <v/>
      </c>
      <c r="C59" s="22" t="str">
        <f>'VIX HISTORIQUE'!D62</f>
        <v/>
      </c>
      <c r="D59" s="22" t="str">
        <f>'VIX HISTORIQUE'!F62</f>
        <v/>
      </c>
      <c r="E59" s="22" t="str">
        <f>'VIX HISTORIQUE'!H62</f>
        <v/>
      </c>
      <c r="F59" s="22" t="str">
        <f>'VIX HISTORIQUE'!J62</f>
        <v/>
      </c>
    </row>
    <row r="60" ht="15.75" customHeight="1">
      <c r="A60" s="25" t="str">
        <f>'VIX HISTORIQUE'!A63</f>
        <v/>
      </c>
      <c r="B60" s="22" t="str">
        <f>'VIX HISTORIQUE'!B63</f>
        <v/>
      </c>
      <c r="C60" s="22" t="str">
        <f>'VIX HISTORIQUE'!D63</f>
        <v/>
      </c>
      <c r="D60" s="22" t="str">
        <f>'VIX HISTORIQUE'!F63</f>
        <v/>
      </c>
      <c r="E60" s="22" t="str">
        <f>'VIX HISTORIQUE'!H63</f>
        <v/>
      </c>
      <c r="F60" s="22" t="str">
        <f>'VIX HISTORIQUE'!J63</f>
        <v/>
      </c>
    </row>
    <row r="61" ht="15.75" customHeight="1">
      <c r="A61" s="25" t="str">
        <f>'VIX HISTORIQUE'!A64</f>
        <v/>
      </c>
      <c r="B61" s="22" t="str">
        <f>'VIX HISTORIQUE'!B64</f>
        <v/>
      </c>
      <c r="C61" s="22" t="str">
        <f>'VIX HISTORIQUE'!D64</f>
        <v/>
      </c>
      <c r="D61" s="22" t="str">
        <f>'VIX HISTORIQUE'!F64</f>
        <v/>
      </c>
      <c r="E61" s="22" t="str">
        <f>'VIX HISTORIQUE'!H64</f>
        <v/>
      </c>
      <c r="F61" s="22" t="str">
        <f>'VIX HISTORIQUE'!J64</f>
        <v/>
      </c>
    </row>
    <row r="62" ht="15.75" customHeight="1">
      <c r="A62" s="25" t="str">
        <f>'VIX HISTORIQUE'!A65</f>
        <v/>
      </c>
      <c r="B62" s="22" t="str">
        <f>'VIX HISTORIQUE'!B65</f>
        <v/>
      </c>
      <c r="C62" s="22" t="str">
        <f>'VIX HISTORIQUE'!D65</f>
        <v/>
      </c>
      <c r="D62" s="22" t="str">
        <f>'VIX HISTORIQUE'!F65</f>
        <v/>
      </c>
      <c r="E62" s="22" t="str">
        <f>'VIX HISTORIQUE'!H65</f>
        <v/>
      </c>
      <c r="F62" s="22" t="str">
        <f>'VIX HISTORIQUE'!J65</f>
        <v/>
      </c>
    </row>
    <row r="63" ht="15.75" customHeight="1">
      <c r="A63" s="25" t="str">
        <f>'VIX HISTORIQUE'!A66</f>
        <v/>
      </c>
      <c r="B63" s="22" t="str">
        <f>'VIX HISTORIQUE'!B66</f>
        <v/>
      </c>
      <c r="C63" s="22" t="str">
        <f>'VIX HISTORIQUE'!D66</f>
        <v/>
      </c>
      <c r="D63" s="22" t="str">
        <f>'VIX HISTORIQUE'!F66</f>
        <v/>
      </c>
      <c r="E63" s="22" t="str">
        <f>'VIX HISTORIQUE'!H66</f>
        <v/>
      </c>
      <c r="F63" s="22" t="str">
        <f>'VIX HISTORIQUE'!J66</f>
        <v/>
      </c>
    </row>
    <row r="64" ht="15.75" customHeight="1">
      <c r="A64" s="25" t="str">
        <f>'VIX HISTORIQUE'!A67</f>
        <v/>
      </c>
      <c r="B64" s="22" t="str">
        <f>'VIX HISTORIQUE'!B67</f>
        <v/>
      </c>
      <c r="C64" s="22" t="str">
        <f>'VIX HISTORIQUE'!D67</f>
        <v/>
      </c>
      <c r="D64" s="22" t="str">
        <f>'VIX HISTORIQUE'!F67</f>
        <v/>
      </c>
      <c r="E64" s="22" t="str">
        <f>'VIX HISTORIQUE'!H67</f>
        <v/>
      </c>
      <c r="F64" s="22" t="str">
        <f>'VIX HISTORIQUE'!J67</f>
        <v/>
      </c>
    </row>
    <row r="65" ht="15.75" customHeight="1">
      <c r="A65" s="25" t="str">
        <f>'VIX HISTORIQUE'!A68</f>
        <v/>
      </c>
      <c r="B65" s="22" t="str">
        <f>'VIX HISTORIQUE'!B68</f>
        <v/>
      </c>
      <c r="C65" s="22" t="str">
        <f>'VIX HISTORIQUE'!D68</f>
        <v/>
      </c>
      <c r="D65" s="22" t="str">
        <f>'VIX HISTORIQUE'!F68</f>
        <v/>
      </c>
      <c r="E65" s="22" t="str">
        <f>'VIX HISTORIQUE'!H68</f>
        <v/>
      </c>
      <c r="F65" s="22" t="str">
        <f>'VIX HISTORIQUE'!J68</f>
        <v/>
      </c>
    </row>
    <row r="66" ht="15.75" customHeight="1">
      <c r="A66" s="25" t="str">
        <f>'VIX HISTORIQUE'!A69</f>
        <v/>
      </c>
      <c r="B66" s="22" t="str">
        <f>'VIX HISTORIQUE'!B69</f>
        <v/>
      </c>
      <c r="C66" s="22" t="str">
        <f>'VIX HISTORIQUE'!D69</f>
        <v/>
      </c>
      <c r="D66" s="22" t="str">
        <f>'VIX HISTORIQUE'!F69</f>
        <v/>
      </c>
      <c r="E66" s="22" t="str">
        <f>'VIX HISTORIQUE'!H69</f>
        <v/>
      </c>
      <c r="F66" s="22" t="str">
        <f>'VIX HISTORIQUE'!J69</f>
        <v/>
      </c>
    </row>
    <row r="67" ht="15.75" customHeight="1">
      <c r="A67" s="25" t="str">
        <f>'VIX HISTORIQUE'!A70</f>
        <v/>
      </c>
      <c r="B67" s="22" t="str">
        <f>'VIX HISTORIQUE'!B70</f>
        <v/>
      </c>
      <c r="C67" s="22" t="str">
        <f>'VIX HISTORIQUE'!D70</f>
        <v/>
      </c>
      <c r="D67" s="22" t="str">
        <f>'VIX HISTORIQUE'!F70</f>
        <v/>
      </c>
      <c r="E67" s="22" t="str">
        <f>'VIX HISTORIQUE'!H70</f>
        <v/>
      </c>
      <c r="F67" s="22" t="str">
        <f>'VIX HISTORIQUE'!J70</f>
        <v/>
      </c>
    </row>
    <row r="68" ht="15.75" customHeight="1">
      <c r="A68" s="25" t="str">
        <f>'VIX HISTORIQUE'!A71</f>
        <v/>
      </c>
      <c r="B68" s="22" t="str">
        <f>'VIX HISTORIQUE'!B71</f>
        <v/>
      </c>
      <c r="C68" s="22" t="str">
        <f>'VIX HISTORIQUE'!D71</f>
        <v/>
      </c>
      <c r="D68" s="22" t="str">
        <f>'VIX HISTORIQUE'!F71</f>
        <v/>
      </c>
      <c r="E68" s="22" t="str">
        <f>'VIX HISTORIQUE'!H71</f>
        <v/>
      </c>
      <c r="F68" s="22" t="str">
        <f>'VIX HISTORIQUE'!J71</f>
        <v/>
      </c>
    </row>
    <row r="69" ht="15.75" customHeight="1">
      <c r="A69" s="25" t="str">
        <f>'VIX HISTORIQUE'!A72</f>
        <v/>
      </c>
      <c r="B69" s="22" t="str">
        <f>'VIX HISTORIQUE'!B72</f>
        <v/>
      </c>
      <c r="C69" s="22" t="str">
        <f>'VIX HISTORIQUE'!D72</f>
        <v/>
      </c>
      <c r="D69" s="22" t="str">
        <f>'VIX HISTORIQUE'!F72</f>
        <v/>
      </c>
      <c r="E69" s="22" t="str">
        <f>'VIX HISTORIQUE'!H72</f>
        <v/>
      </c>
      <c r="F69" s="22" t="str">
        <f>'VIX HISTORIQUE'!J72</f>
        <v/>
      </c>
    </row>
    <row r="70" ht="15.75" customHeight="1">
      <c r="A70" s="25" t="str">
        <f>'VIX HISTORIQUE'!A73</f>
        <v/>
      </c>
      <c r="B70" s="22" t="str">
        <f>'VIX HISTORIQUE'!B73</f>
        <v/>
      </c>
      <c r="C70" s="22" t="str">
        <f>'VIX HISTORIQUE'!D73</f>
        <v/>
      </c>
      <c r="D70" s="22" t="str">
        <f>'VIX HISTORIQUE'!F73</f>
        <v/>
      </c>
      <c r="E70" s="22" t="str">
        <f>'VIX HISTORIQUE'!H73</f>
        <v/>
      </c>
      <c r="F70" s="22" t="str">
        <f>'VIX HISTORIQUE'!J73</f>
        <v/>
      </c>
    </row>
    <row r="71" ht="15.75" customHeight="1">
      <c r="A71" s="25" t="str">
        <f>'VIX HISTORIQUE'!A74</f>
        <v/>
      </c>
      <c r="B71" s="22" t="str">
        <f>'VIX HISTORIQUE'!B74</f>
        <v/>
      </c>
      <c r="C71" s="22" t="str">
        <f>'VIX HISTORIQUE'!D74</f>
        <v/>
      </c>
      <c r="D71" s="22" t="str">
        <f>'VIX HISTORIQUE'!F74</f>
        <v/>
      </c>
      <c r="E71" s="22" t="str">
        <f>'VIX HISTORIQUE'!H74</f>
        <v/>
      </c>
      <c r="F71" s="22" t="str">
        <f>'VIX HISTORIQUE'!J74</f>
        <v/>
      </c>
    </row>
    <row r="72" ht="15.75" customHeight="1">
      <c r="A72" s="25" t="str">
        <f>'VIX HISTORIQUE'!A75</f>
        <v/>
      </c>
      <c r="B72" s="22" t="str">
        <f>'VIX HISTORIQUE'!B75</f>
        <v/>
      </c>
      <c r="C72" s="22" t="str">
        <f>'VIX HISTORIQUE'!D75</f>
        <v/>
      </c>
      <c r="D72" s="22" t="str">
        <f>'VIX HISTORIQUE'!F75</f>
        <v/>
      </c>
      <c r="E72" s="22" t="str">
        <f>'VIX HISTORIQUE'!H75</f>
        <v/>
      </c>
      <c r="F72" s="22" t="str">
        <f>'VIX HISTORIQUE'!J75</f>
        <v/>
      </c>
    </row>
    <row r="73" ht="15.75" customHeight="1">
      <c r="A73" s="25" t="str">
        <f>'VIX HISTORIQUE'!A76</f>
        <v/>
      </c>
      <c r="B73" s="22" t="str">
        <f>'VIX HISTORIQUE'!B76</f>
        <v/>
      </c>
      <c r="C73" s="22" t="str">
        <f>'VIX HISTORIQUE'!D76</f>
        <v/>
      </c>
      <c r="D73" s="22" t="str">
        <f>'VIX HISTORIQUE'!F76</f>
        <v/>
      </c>
      <c r="E73" s="22" t="str">
        <f>'VIX HISTORIQUE'!H76</f>
        <v/>
      </c>
      <c r="F73" s="22" t="str">
        <f>'VIX HISTORIQUE'!J76</f>
        <v/>
      </c>
    </row>
    <row r="74" ht="15.75" customHeight="1">
      <c r="A74" s="25" t="str">
        <f>'VIX HISTORIQUE'!A77</f>
        <v/>
      </c>
      <c r="B74" s="22" t="str">
        <f>'VIX HISTORIQUE'!B77</f>
        <v/>
      </c>
      <c r="C74" s="22" t="str">
        <f>'VIX HISTORIQUE'!D77</f>
        <v/>
      </c>
      <c r="D74" s="22" t="str">
        <f>'VIX HISTORIQUE'!F77</f>
        <v/>
      </c>
      <c r="E74" s="22" t="str">
        <f>'VIX HISTORIQUE'!H77</f>
        <v/>
      </c>
      <c r="F74" s="22" t="str">
        <f>'VIX HISTORIQUE'!J77</f>
        <v/>
      </c>
    </row>
    <row r="75" ht="15.75" customHeight="1">
      <c r="A75" s="25" t="str">
        <f>'VIX HISTORIQUE'!A78</f>
        <v/>
      </c>
      <c r="B75" s="22" t="str">
        <f>'VIX HISTORIQUE'!B78</f>
        <v/>
      </c>
      <c r="C75" s="22" t="str">
        <f>'VIX HISTORIQUE'!D78</f>
        <v/>
      </c>
      <c r="D75" s="22" t="str">
        <f>'VIX HISTORIQUE'!F78</f>
        <v/>
      </c>
      <c r="E75" s="22" t="str">
        <f>'VIX HISTORIQUE'!H78</f>
        <v/>
      </c>
      <c r="F75" s="22" t="str">
        <f>'VIX HISTORIQUE'!J78</f>
        <v/>
      </c>
    </row>
    <row r="76" ht="15.75" customHeight="1">
      <c r="A76" s="25" t="str">
        <f>'VIX HISTORIQUE'!A79</f>
        <v/>
      </c>
      <c r="B76" s="22" t="str">
        <f>'VIX HISTORIQUE'!B79</f>
        <v/>
      </c>
      <c r="C76" s="22" t="str">
        <f>'VIX HISTORIQUE'!D79</f>
        <v/>
      </c>
      <c r="D76" s="22" t="str">
        <f>'VIX HISTORIQUE'!F79</f>
        <v/>
      </c>
      <c r="E76" s="22" t="str">
        <f>'VIX HISTORIQUE'!H79</f>
        <v/>
      </c>
      <c r="F76" s="22" t="str">
        <f>'VIX HISTORIQUE'!J79</f>
        <v/>
      </c>
    </row>
    <row r="77" ht="15.75" customHeight="1">
      <c r="A77" s="25" t="str">
        <f>'VIX HISTORIQUE'!A80</f>
        <v/>
      </c>
      <c r="B77" s="22" t="str">
        <f>'VIX HISTORIQUE'!B80</f>
        <v/>
      </c>
      <c r="C77" s="22" t="str">
        <f>'VIX HISTORIQUE'!D80</f>
        <v/>
      </c>
      <c r="D77" s="22" t="str">
        <f>'VIX HISTORIQUE'!F80</f>
        <v/>
      </c>
      <c r="E77" s="22" t="str">
        <f>'VIX HISTORIQUE'!H80</f>
        <v/>
      </c>
      <c r="F77" s="22" t="str">
        <f>'VIX HISTORIQUE'!J80</f>
        <v/>
      </c>
    </row>
    <row r="78" ht="15.75" customHeight="1">
      <c r="A78" s="25" t="str">
        <f>'VIX HISTORIQUE'!A81</f>
        <v/>
      </c>
      <c r="B78" s="22" t="str">
        <f>'VIX HISTORIQUE'!B81</f>
        <v/>
      </c>
      <c r="C78" s="22" t="str">
        <f>'VIX HISTORIQUE'!D81</f>
        <v/>
      </c>
      <c r="D78" s="22" t="str">
        <f>'VIX HISTORIQUE'!F81</f>
        <v/>
      </c>
      <c r="E78" s="22" t="str">
        <f>'VIX HISTORIQUE'!H81</f>
        <v/>
      </c>
      <c r="F78" s="22" t="str">
        <f>'VIX HISTORIQUE'!J81</f>
        <v/>
      </c>
    </row>
    <row r="79" ht="15.75" customHeight="1">
      <c r="A79" s="25" t="str">
        <f>'VIX HISTORIQUE'!A82</f>
        <v/>
      </c>
      <c r="B79" s="22" t="str">
        <f>'VIX HISTORIQUE'!B82</f>
        <v/>
      </c>
      <c r="C79" s="22" t="str">
        <f>'VIX HISTORIQUE'!D82</f>
        <v/>
      </c>
      <c r="D79" s="22" t="str">
        <f>'VIX HISTORIQUE'!F82</f>
        <v/>
      </c>
      <c r="E79" s="22" t="str">
        <f>'VIX HISTORIQUE'!H82</f>
        <v/>
      </c>
      <c r="F79" s="22" t="str">
        <f>'VIX HISTORIQUE'!J82</f>
        <v/>
      </c>
    </row>
    <row r="80" ht="15.75" customHeight="1">
      <c r="A80" s="25" t="str">
        <f>'VIX HISTORIQUE'!A83</f>
        <v/>
      </c>
      <c r="B80" s="22" t="str">
        <f>'VIX HISTORIQUE'!B83</f>
        <v/>
      </c>
      <c r="C80" s="22" t="str">
        <f>'VIX HISTORIQUE'!D83</f>
        <v/>
      </c>
      <c r="D80" s="22" t="str">
        <f>'VIX HISTORIQUE'!F83</f>
        <v/>
      </c>
      <c r="E80" s="22" t="str">
        <f>'VIX HISTORIQUE'!H83</f>
        <v/>
      </c>
      <c r="F80" s="22" t="str">
        <f>'VIX HISTORIQUE'!J83</f>
        <v/>
      </c>
    </row>
    <row r="81" ht="15.75" customHeight="1">
      <c r="A81" s="25" t="str">
        <f>'VIX HISTORIQUE'!A84</f>
        <v/>
      </c>
      <c r="B81" s="22" t="str">
        <f>'VIX HISTORIQUE'!B84</f>
        <v/>
      </c>
      <c r="C81" s="22" t="str">
        <f>'VIX HISTORIQUE'!D84</f>
        <v/>
      </c>
      <c r="D81" s="22" t="str">
        <f>'VIX HISTORIQUE'!F84</f>
        <v/>
      </c>
      <c r="E81" s="22" t="str">
        <f>'VIX HISTORIQUE'!H84</f>
        <v/>
      </c>
      <c r="F81" s="22" t="str">
        <f>'VIX HISTORIQUE'!J84</f>
        <v/>
      </c>
    </row>
    <row r="82" ht="15.75" customHeight="1">
      <c r="A82" s="25" t="str">
        <f>'VIX HISTORIQUE'!A85</f>
        <v/>
      </c>
      <c r="B82" s="22" t="str">
        <f>'VIX HISTORIQUE'!B85</f>
        <v/>
      </c>
      <c r="C82" s="22" t="str">
        <f>'VIX HISTORIQUE'!D85</f>
        <v/>
      </c>
      <c r="D82" s="22" t="str">
        <f>'VIX HISTORIQUE'!F85</f>
        <v/>
      </c>
      <c r="E82" s="22" t="str">
        <f>'VIX HISTORIQUE'!H85</f>
        <v/>
      </c>
      <c r="F82" s="22" t="str">
        <f>'VIX HISTORIQUE'!J85</f>
        <v/>
      </c>
    </row>
    <row r="83" ht="15.75" customHeight="1">
      <c r="A83" s="25" t="str">
        <f>'VIX HISTORIQUE'!A86</f>
        <v/>
      </c>
      <c r="B83" s="22" t="str">
        <f>'VIX HISTORIQUE'!B86</f>
        <v/>
      </c>
      <c r="C83" s="22" t="str">
        <f>'VIX HISTORIQUE'!D86</f>
        <v/>
      </c>
      <c r="D83" s="22" t="str">
        <f>'VIX HISTORIQUE'!F86</f>
        <v/>
      </c>
      <c r="E83" s="22" t="str">
        <f>'VIX HISTORIQUE'!H86</f>
        <v/>
      </c>
      <c r="F83" s="22" t="str">
        <f>'VIX HISTORIQUE'!J86</f>
        <v/>
      </c>
    </row>
    <row r="84" ht="15.75" customHeight="1">
      <c r="A84" s="25" t="str">
        <f>'VIX HISTORIQUE'!A87</f>
        <v/>
      </c>
      <c r="B84" s="22" t="str">
        <f>'VIX HISTORIQUE'!B87</f>
        <v/>
      </c>
      <c r="C84" s="22" t="str">
        <f>'VIX HISTORIQUE'!D87</f>
        <v/>
      </c>
      <c r="D84" s="22" t="str">
        <f>'VIX HISTORIQUE'!F87</f>
        <v/>
      </c>
      <c r="E84" s="22" t="str">
        <f>'VIX HISTORIQUE'!H87</f>
        <v/>
      </c>
      <c r="F84" s="22" t="str">
        <f>'VIX HISTORIQUE'!J87</f>
        <v/>
      </c>
    </row>
    <row r="85" ht="15.75" customHeight="1">
      <c r="A85" s="25" t="str">
        <f>'VIX HISTORIQUE'!A88</f>
        <v/>
      </c>
      <c r="B85" s="22" t="str">
        <f>'VIX HISTORIQUE'!B88</f>
        <v/>
      </c>
      <c r="C85" s="22" t="str">
        <f>'VIX HISTORIQUE'!D88</f>
        <v/>
      </c>
      <c r="D85" s="22" t="str">
        <f>'VIX HISTORIQUE'!F88</f>
        <v/>
      </c>
      <c r="E85" s="22" t="str">
        <f>'VIX HISTORIQUE'!H88</f>
        <v/>
      </c>
      <c r="F85" s="22" t="str">
        <f>'VIX HISTORIQUE'!J88</f>
        <v/>
      </c>
    </row>
    <row r="86" ht="15.75" customHeight="1">
      <c r="A86" s="25" t="str">
        <f>'VIX HISTORIQUE'!A89</f>
        <v/>
      </c>
      <c r="B86" s="22" t="str">
        <f>'VIX HISTORIQUE'!B89</f>
        <v/>
      </c>
      <c r="C86" s="22" t="str">
        <f>'VIX HISTORIQUE'!D89</f>
        <v/>
      </c>
      <c r="D86" s="22" t="str">
        <f>'VIX HISTORIQUE'!F89</f>
        <v/>
      </c>
      <c r="E86" s="22" t="str">
        <f>'VIX HISTORIQUE'!H89</f>
        <v/>
      </c>
      <c r="F86" s="22" t="str">
        <f>'VIX HISTORIQUE'!J89</f>
        <v/>
      </c>
    </row>
    <row r="87" ht="15.75" customHeight="1">
      <c r="A87" s="25" t="str">
        <f>'VIX HISTORIQUE'!A90</f>
        <v/>
      </c>
      <c r="B87" s="22" t="str">
        <f>'VIX HISTORIQUE'!B90</f>
        <v/>
      </c>
      <c r="C87" s="22" t="str">
        <f>'VIX HISTORIQUE'!D90</f>
        <v/>
      </c>
      <c r="D87" s="22" t="str">
        <f>'VIX HISTORIQUE'!F90</f>
        <v/>
      </c>
      <c r="E87" s="22" t="str">
        <f>'VIX HISTORIQUE'!H90</f>
        <v/>
      </c>
      <c r="F87" s="22" t="str">
        <f>'VIX HISTORIQUE'!J90</f>
        <v/>
      </c>
    </row>
    <row r="88" ht="15.75" customHeight="1">
      <c r="A88" s="25" t="str">
        <f>'VIX HISTORIQUE'!A91</f>
        <v/>
      </c>
      <c r="B88" s="22" t="str">
        <f>'VIX HISTORIQUE'!B91</f>
        <v/>
      </c>
      <c r="C88" s="22" t="str">
        <f>'VIX HISTORIQUE'!D91</f>
        <v/>
      </c>
      <c r="D88" s="22" t="str">
        <f>'VIX HISTORIQUE'!F91</f>
        <v/>
      </c>
      <c r="E88" s="22" t="str">
        <f>'VIX HISTORIQUE'!H91</f>
        <v/>
      </c>
      <c r="F88" s="22" t="str">
        <f>'VIX HISTORIQUE'!J91</f>
        <v/>
      </c>
    </row>
    <row r="89" ht="15.75" customHeight="1">
      <c r="A89" s="25" t="str">
        <f>'VIX HISTORIQUE'!A92</f>
        <v/>
      </c>
      <c r="B89" s="22" t="str">
        <f>'VIX HISTORIQUE'!B92</f>
        <v/>
      </c>
      <c r="C89" s="22" t="str">
        <f>'VIX HISTORIQUE'!D92</f>
        <v/>
      </c>
      <c r="D89" s="22" t="str">
        <f>'VIX HISTORIQUE'!F92</f>
        <v/>
      </c>
      <c r="E89" s="22" t="str">
        <f>'VIX HISTORIQUE'!H92</f>
        <v/>
      </c>
      <c r="F89" s="22" t="str">
        <f>'VIX HISTORIQUE'!J92</f>
        <v/>
      </c>
    </row>
    <row r="90" ht="15.75" customHeight="1">
      <c r="A90" s="25" t="str">
        <f>'VIX HISTORIQUE'!A93</f>
        <v/>
      </c>
      <c r="B90" s="22" t="str">
        <f>'VIX HISTORIQUE'!B93</f>
        <v/>
      </c>
      <c r="C90" s="22" t="str">
        <f>'VIX HISTORIQUE'!D93</f>
        <v/>
      </c>
      <c r="D90" s="22" t="str">
        <f>'VIX HISTORIQUE'!F93</f>
        <v/>
      </c>
      <c r="E90" s="22" t="str">
        <f>'VIX HISTORIQUE'!H93</f>
        <v/>
      </c>
      <c r="F90" s="22" t="str">
        <f>'VIX HISTORIQUE'!J93</f>
        <v/>
      </c>
    </row>
    <row r="91" ht="15.75" customHeight="1">
      <c r="A91" s="25" t="str">
        <f>'VIX HISTORIQUE'!A94</f>
        <v/>
      </c>
      <c r="B91" s="22" t="str">
        <f>'VIX HISTORIQUE'!B94</f>
        <v/>
      </c>
      <c r="C91" s="22" t="str">
        <f>'VIX HISTORIQUE'!D94</f>
        <v/>
      </c>
      <c r="D91" s="22" t="str">
        <f>'VIX HISTORIQUE'!F94</f>
        <v/>
      </c>
      <c r="E91" s="22" t="str">
        <f>'VIX HISTORIQUE'!H94</f>
        <v/>
      </c>
      <c r="F91" s="22" t="str">
        <f>'VIX HISTORIQUE'!J94</f>
        <v/>
      </c>
    </row>
    <row r="92" ht="15.75" customHeight="1">
      <c r="A92" s="25" t="str">
        <f>'VIX HISTORIQUE'!A95</f>
        <v/>
      </c>
      <c r="B92" s="22" t="str">
        <f>'VIX HISTORIQUE'!B95</f>
        <v/>
      </c>
      <c r="C92" s="22" t="str">
        <f>'VIX HISTORIQUE'!D95</f>
        <v/>
      </c>
      <c r="D92" s="22" t="str">
        <f>'VIX HISTORIQUE'!F95</f>
        <v/>
      </c>
      <c r="E92" s="22" t="str">
        <f>'VIX HISTORIQUE'!H95</f>
        <v/>
      </c>
      <c r="F92" s="22" t="str">
        <f>'VIX HISTORIQUE'!J95</f>
        <v/>
      </c>
    </row>
    <row r="93" ht="15.75" customHeight="1">
      <c r="A93" s="25" t="str">
        <f>'VIX HISTORIQUE'!A96</f>
        <v/>
      </c>
      <c r="B93" s="22" t="str">
        <f>'VIX HISTORIQUE'!B96</f>
        <v/>
      </c>
      <c r="C93" s="22" t="str">
        <f>'VIX HISTORIQUE'!D96</f>
        <v/>
      </c>
      <c r="D93" s="22" t="str">
        <f>'VIX HISTORIQUE'!F96</f>
        <v/>
      </c>
      <c r="E93" s="22" t="str">
        <f>'VIX HISTORIQUE'!H96</f>
        <v/>
      </c>
      <c r="F93" s="22" t="str">
        <f>'VIX HISTORIQUE'!J96</f>
        <v/>
      </c>
    </row>
    <row r="94" ht="15.75" customHeight="1">
      <c r="A94" s="25" t="str">
        <f>'VIX HISTORIQUE'!A97</f>
        <v/>
      </c>
      <c r="B94" s="22" t="str">
        <f>'VIX HISTORIQUE'!B97</f>
        <v/>
      </c>
      <c r="C94" s="22" t="str">
        <f>'VIX HISTORIQUE'!D97</f>
        <v/>
      </c>
      <c r="D94" s="22" t="str">
        <f>'VIX HISTORIQUE'!F97</f>
        <v/>
      </c>
      <c r="E94" s="22" t="str">
        <f>'VIX HISTORIQUE'!H97</f>
        <v/>
      </c>
      <c r="F94" s="22" t="str">
        <f>'VIX HISTORIQUE'!J97</f>
        <v/>
      </c>
    </row>
    <row r="95" ht="15.75" customHeight="1">
      <c r="A95" s="25" t="str">
        <f>'VIX HISTORIQUE'!A98</f>
        <v/>
      </c>
      <c r="B95" s="22" t="str">
        <f>'VIX HISTORIQUE'!B98</f>
        <v/>
      </c>
      <c r="C95" s="22" t="str">
        <f>'VIX HISTORIQUE'!D98</f>
        <v/>
      </c>
      <c r="D95" s="22" t="str">
        <f>'VIX HISTORIQUE'!F98</f>
        <v/>
      </c>
      <c r="E95" s="22" t="str">
        <f>'VIX HISTORIQUE'!H98</f>
        <v/>
      </c>
      <c r="F95" s="22" t="str">
        <f>'VIX HISTORIQUE'!J98</f>
        <v/>
      </c>
    </row>
    <row r="96" ht="15.75" customHeight="1">
      <c r="A96" s="25" t="str">
        <f>'VIX HISTORIQUE'!A99</f>
        <v/>
      </c>
      <c r="B96" s="22" t="str">
        <f>'VIX HISTORIQUE'!B99</f>
        <v/>
      </c>
      <c r="C96" s="22" t="str">
        <f>'VIX HISTORIQUE'!D99</f>
        <v/>
      </c>
      <c r="D96" s="22" t="str">
        <f>'VIX HISTORIQUE'!F99</f>
        <v/>
      </c>
      <c r="E96" s="22" t="str">
        <f>'VIX HISTORIQUE'!H99</f>
        <v/>
      </c>
      <c r="F96" s="22" t="str">
        <f>'VIX HISTORIQUE'!J99</f>
        <v/>
      </c>
    </row>
    <row r="97" ht="15.75" customHeight="1">
      <c r="A97" s="25" t="str">
        <f>'VIX HISTORIQUE'!A100</f>
        <v/>
      </c>
      <c r="B97" s="22" t="str">
        <f>'VIX HISTORIQUE'!B100</f>
        <v/>
      </c>
      <c r="C97" s="22" t="str">
        <f>'VIX HISTORIQUE'!D100</f>
        <v/>
      </c>
      <c r="D97" s="22" t="str">
        <f>'VIX HISTORIQUE'!F100</f>
        <v/>
      </c>
      <c r="E97" s="22" t="str">
        <f>'VIX HISTORIQUE'!H100</f>
        <v/>
      </c>
      <c r="F97" s="22" t="str">
        <f>'VIX HISTORIQUE'!J100</f>
        <v/>
      </c>
    </row>
    <row r="98" ht="15.75" customHeight="1">
      <c r="A98" s="25" t="str">
        <f>'VIX HISTORIQUE'!A101</f>
        <v/>
      </c>
      <c r="B98" s="22" t="str">
        <f>'VIX HISTORIQUE'!B101</f>
        <v/>
      </c>
      <c r="C98" s="22" t="str">
        <f>'VIX HISTORIQUE'!D101</f>
        <v/>
      </c>
      <c r="D98" s="22" t="str">
        <f>'VIX HISTORIQUE'!F101</f>
        <v/>
      </c>
      <c r="E98" s="22" t="str">
        <f>'VIX HISTORIQUE'!H101</f>
        <v/>
      </c>
      <c r="F98" s="22" t="str">
        <f>'VIX HISTORIQUE'!J101</f>
        <v/>
      </c>
    </row>
    <row r="99" ht="15.75" customHeight="1">
      <c r="A99" s="25" t="str">
        <f>'VIX HISTORIQUE'!A102</f>
        <v/>
      </c>
      <c r="B99" s="22" t="str">
        <f>'VIX HISTORIQUE'!B102</f>
        <v/>
      </c>
      <c r="C99" s="22" t="str">
        <f>'VIX HISTORIQUE'!D102</f>
        <v/>
      </c>
      <c r="D99" s="22" t="str">
        <f>'VIX HISTORIQUE'!F102</f>
        <v/>
      </c>
      <c r="E99" s="22" t="str">
        <f>'VIX HISTORIQUE'!H102</f>
        <v/>
      </c>
      <c r="F99" s="22" t="str">
        <f>'VIX HISTORIQUE'!J102</f>
        <v/>
      </c>
    </row>
    <row r="100" ht="15.75" customHeight="1">
      <c r="A100" s="25" t="str">
        <f>'VIX HISTORIQUE'!A103</f>
        <v/>
      </c>
      <c r="B100" s="22" t="str">
        <f>'VIX HISTORIQUE'!B103</f>
        <v/>
      </c>
      <c r="C100" s="22" t="str">
        <f>'VIX HISTORIQUE'!D103</f>
        <v/>
      </c>
      <c r="D100" s="22" t="str">
        <f>'VIX HISTORIQUE'!F103</f>
        <v/>
      </c>
      <c r="E100" s="22" t="str">
        <f>'VIX HISTORIQUE'!H103</f>
        <v/>
      </c>
      <c r="F100" s="22" t="str">
        <f>'VIX HISTORIQUE'!J103</f>
        <v/>
      </c>
    </row>
    <row r="101" ht="15.75" customHeight="1">
      <c r="A101" s="25" t="str">
        <f>'VIX HISTORIQUE'!A104</f>
        <v/>
      </c>
      <c r="B101" s="22" t="str">
        <f>'VIX HISTORIQUE'!B104</f>
        <v/>
      </c>
      <c r="C101" s="22" t="str">
        <f>'VIX HISTORIQUE'!D104</f>
        <v/>
      </c>
      <c r="D101" s="22" t="str">
        <f>'VIX HISTORIQUE'!F104</f>
        <v/>
      </c>
      <c r="E101" s="22" t="str">
        <f>'VIX HISTORIQUE'!H104</f>
        <v/>
      </c>
      <c r="F101" s="22" t="str">
        <f>'VIX HISTORIQUE'!J104</f>
        <v/>
      </c>
    </row>
    <row r="102" ht="15.75" customHeight="1">
      <c r="A102" s="25" t="str">
        <f>'VIX HISTORIQUE'!A105</f>
        <v/>
      </c>
      <c r="B102" s="22" t="str">
        <f>'VIX HISTORIQUE'!B105</f>
        <v/>
      </c>
      <c r="C102" s="22" t="str">
        <f>'VIX HISTORIQUE'!D105</f>
        <v/>
      </c>
      <c r="D102" s="22" t="str">
        <f>'VIX HISTORIQUE'!F105</f>
        <v/>
      </c>
      <c r="E102" s="22" t="str">
        <f>'VIX HISTORIQUE'!H105</f>
        <v/>
      </c>
      <c r="F102" s="22" t="str">
        <f>'VIX HISTORIQUE'!J105</f>
        <v/>
      </c>
    </row>
    <row r="103" ht="15.75" customHeight="1">
      <c r="A103" s="25" t="str">
        <f>'VIX HISTORIQUE'!A106</f>
        <v/>
      </c>
      <c r="B103" s="22" t="str">
        <f>'VIX HISTORIQUE'!B106</f>
        <v/>
      </c>
      <c r="C103" s="22" t="str">
        <f>'VIX HISTORIQUE'!D106</f>
        <v/>
      </c>
      <c r="D103" s="22" t="str">
        <f>'VIX HISTORIQUE'!F106</f>
        <v/>
      </c>
      <c r="E103" s="22" t="str">
        <f>'VIX HISTORIQUE'!H106</f>
        <v/>
      </c>
      <c r="F103" s="22" t="str">
        <f>'VIX HISTORIQUE'!J106</f>
        <v/>
      </c>
    </row>
    <row r="104" ht="15.75" customHeight="1">
      <c r="A104" s="25" t="str">
        <f>'VIX HISTORIQUE'!A107</f>
        <v/>
      </c>
      <c r="B104" s="22" t="str">
        <f>'VIX HISTORIQUE'!B107</f>
        <v/>
      </c>
      <c r="C104" s="22" t="str">
        <f>'VIX HISTORIQUE'!D107</f>
        <v/>
      </c>
      <c r="D104" s="22" t="str">
        <f>'VIX HISTORIQUE'!F107</f>
        <v/>
      </c>
      <c r="E104" s="22" t="str">
        <f>'VIX HISTORIQUE'!H107</f>
        <v/>
      </c>
      <c r="F104" s="22" t="str">
        <f>'VIX HISTORIQUE'!J107</f>
        <v/>
      </c>
    </row>
    <row r="105" ht="15.75" customHeight="1">
      <c r="A105" s="25" t="str">
        <f>'VIX HISTORIQUE'!A108</f>
        <v/>
      </c>
      <c r="B105" s="22" t="str">
        <f>'VIX HISTORIQUE'!B108</f>
        <v/>
      </c>
      <c r="C105" s="22" t="str">
        <f>'VIX HISTORIQUE'!D108</f>
        <v/>
      </c>
      <c r="D105" s="22" t="str">
        <f>'VIX HISTORIQUE'!F108</f>
        <v/>
      </c>
      <c r="E105" s="22" t="str">
        <f>'VIX HISTORIQUE'!H108</f>
        <v/>
      </c>
      <c r="F105" s="22" t="str">
        <f>'VIX HISTORIQUE'!J108</f>
        <v/>
      </c>
    </row>
    <row r="106" ht="15.75" customHeight="1">
      <c r="A106" s="25" t="str">
        <f>'VIX HISTORIQUE'!A109</f>
        <v/>
      </c>
      <c r="B106" s="22" t="str">
        <f>'VIX HISTORIQUE'!B109</f>
        <v/>
      </c>
      <c r="C106" s="22" t="str">
        <f>'VIX HISTORIQUE'!D109</f>
        <v/>
      </c>
      <c r="D106" s="22" t="str">
        <f>'VIX HISTORIQUE'!F109</f>
        <v/>
      </c>
      <c r="E106" s="22" t="str">
        <f>'VIX HISTORIQUE'!H109</f>
        <v/>
      </c>
      <c r="F106" s="22" t="str">
        <f>'VIX HISTORIQUE'!J109</f>
        <v/>
      </c>
    </row>
    <row r="107" ht="15.75" customHeight="1">
      <c r="A107" s="25" t="str">
        <f>'VIX HISTORIQUE'!A110</f>
        <v/>
      </c>
      <c r="B107" s="22" t="str">
        <f>'VIX HISTORIQUE'!B110</f>
        <v/>
      </c>
      <c r="C107" s="22" t="str">
        <f>'VIX HISTORIQUE'!D110</f>
        <v/>
      </c>
      <c r="D107" s="22" t="str">
        <f>'VIX HISTORIQUE'!F110</f>
        <v/>
      </c>
      <c r="E107" s="22" t="str">
        <f>'VIX HISTORIQUE'!H110</f>
        <v/>
      </c>
      <c r="F107" s="22" t="str">
        <f>'VIX HISTORIQUE'!J110</f>
        <v/>
      </c>
    </row>
    <row r="108" ht="15.75" customHeight="1">
      <c r="A108" s="25" t="str">
        <f>'VIX HISTORIQUE'!A111</f>
        <v/>
      </c>
      <c r="B108" s="22" t="str">
        <f>'VIX HISTORIQUE'!B111</f>
        <v/>
      </c>
      <c r="C108" s="22" t="str">
        <f>'VIX HISTORIQUE'!D111</f>
        <v/>
      </c>
      <c r="D108" s="22" t="str">
        <f>'VIX HISTORIQUE'!F111</f>
        <v/>
      </c>
      <c r="E108" s="22" t="str">
        <f>'VIX HISTORIQUE'!H111</f>
        <v/>
      </c>
      <c r="F108" s="22" t="str">
        <f>'VIX HISTORIQUE'!J111</f>
        <v/>
      </c>
    </row>
    <row r="109" ht="15.75" customHeight="1">
      <c r="A109" s="25" t="str">
        <f>'VIX HISTORIQUE'!A112</f>
        <v/>
      </c>
      <c r="B109" s="22" t="str">
        <f>'VIX HISTORIQUE'!B112</f>
        <v/>
      </c>
      <c r="C109" s="22" t="str">
        <f>'VIX HISTORIQUE'!D112</f>
        <v/>
      </c>
      <c r="D109" s="22" t="str">
        <f>'VIX HISTORIQUE'!F112</f>
        <v/>
      </c>
      <c r="E109" s="22" t="str">
        <f>'VIX HISTORIQUE'!H112</f>
        <v/>
      </c>
      <c r="F109" s="22" t="str">
        <f>'VIX HISTORIQUE'!J112</f>
        <v/>
      </c>
    </row>
    <row r="110" ht="15.75" customHeight="1">
      <c r="A110" s="25" t="str">
        <f>'VIX HISTORIQUE'!A113</f>
        <v/>
      </c>
      <c r="B110" s="22" t="str">
        <f>'VIX HISTORIQUE'!B113</f>
        <v/>
      </c>
      <c r="C110" s="22" t="str">
        <f>'VIX HISTORIQUE'!D113</f>
        <v/>
      </c>
      <c r="D110" s="22" t="str">
        <f>'VIX HISTORIQUE'!F113</f>
        <v/>
      </c>
      <c r="E110" s="22" t="str">
        <f>'VIX HISTORIQUE'!H113</f>
        <v/>
      </c>
      <c r="F110" s="22" t="str">
        <f>'VIX HISTORIQUE'!J113</f>
        <v/>
      </c>
    </row>
    <row r="111" ht="15.75" customHeight="1">
      <c r="A111" s="25" t="str">
        <f>'VIX HISTORIQUE'!A114</f>
        <v/>
      </c>
      <c r="B111" s="22" t="str">
        <f>'VIX HISTORIQUE'!B114</f>
        <v/>
      </c>
      <c r="C111" s="22" t="str">
        <f>'VIX HISTORIQUE'!D114</f>
        <v/>
      </c>
      <c r="D111" s="22" t="str">
        <f>'VIX HISTORIQUE'!F114</f>
        <v/>
      </c>
      <c r="E111" s="22" t="str">
        <f>'VIX HISTORIQUE'!H114</f>
        <v/>
      </c>
      <c r="F111" s="22" t="str">
        <f>'VIX HISTORIQUE'!J114</f>
        <v/>
      </c>
    </row>
    <row r="112" ht="15.75" customHeight="1">
      <c r="A112" s="25" t="str">
        <f>'VIX HISTORIQUE'!A115</f>
        <v/>
      </c>
      <c r="B112" s="22" t="str">
        <f>'VIX HISTORIQUE'!B115</f>
        <v/>
      </c>
      <c r="C112" s="22" t="str">
        <f>'VIX HISTORIQUE'!D115</f>
        <v/>
      </c>
      <c r="D112" s="22" t="str">
        <f>'VIX HISTORIQUE'!F115</f>
        <v/>
      </c>
      <c r="E112" s="22" t="str">
        <f>'VIX HISTORIQUE'!H115</f>
        <v/>
      </c>
      <c r="F112" s="22" t="str">
        <f>'VIX HISTORIQUE'!J115</f>
        <v/>
      </c>
    </row>
    <row r="113" ht="15.75" customHeight="1">
      <c r="A113" s="25" t="str">
        <f>'VIX HISTORIQUE'!A116</f>
        <v/>
      </c>
      <c r="B113" s="22" t="str">
        <f>'VIX HISTORIQUE'!B116</f>
        <v/>
      </c>
      <c r="C113" s="22" t="str">
        <f>'VIX HISTORIQUE'!D116</f>
        <v/>
      </c>
      <c r="D113" s="22" t="str">
        <f>'VIX HISTORIQUE'!F116</f>
        <v/>
      </c>
      <c r="E113" s="22" t="str">
        <f>'VIX HISTORIQUE'!H116</f>
        <v/>
      </c>
      <c r="F113" s="22" t="str">
        <f>'VIX HISTORIQUE'!J116</f>
        <v/>
      </c>
    </row>
    <row r="114" ht="15.75" customHeight="1">
      <c r="A114" s="25" t="str">
        <f>'VIX HISTORIQUE'!A117</f>
        <v/>
      </c>
      <c r="B114" s="22" t="str">
        <f>'VIX HISTORIQUE'!B117</f>
        <v/>
      </c>
      <c r="C114" s="22" t="str">
        <f>'VIX HISTORIQUE'!D117</f>
        <v/>
      </c>
      <c r="D114" s="22" t="str">
        <f>'VIX HISTORIQUE'!F117</f>
        <v/>
      </c>
      <c r="E114" s="22" t="str">
        <f>'VIX HISTORIQUE'!H117</f>
        <v/>
      </c>
      <c r="F114" s="22" t="str">
        <f>'VIX HISTORIQUE'!J117</f>
        <v/>
      </c>
    </row>
    <row r="115" ht="15.75" customHeight="1">
      <c r="A115" s="25" t="str">
        <f>'VIX HISTORIQUE'!A118</f>
        <v/>
      </c>
      <c r="B115" s="22" t="str">
        <f>'VIX HISTORIQUE'!B118</f>
        <v/>
      </c>
      <c r="C115" s="22" t="str">
        <f>'VIX HISTORIQUE'!D118</f>
        <v/>
      </c>
      <c r="D115" s="22" t="str">
        <f>'VIX HISTORIQUE'!F118</f>
        <v/>
      </c>
      <c r="E115" s="22" t="str">
        <f>'VIX HISTORIQUE'!H118</f>
        <v/>
      </c>
      <c r="F115" s="22" t="str">
        <f>'VIX HISTORIQUE'!J118</f>
        <v/>
      </c>
    </row>
    <row r="116" ht="15.75" customHeight="1">
      <c r="A116" s="25" t="str">
        <f>'VIX HISTORIQUE'!A119</f>
        <v/>
      </c>
      <c r="B116" s="22" t="str">
        <f>'VIX HISTORIQUE'!B119</f>
        <v/>
      </c>
      <c r="C116" s="22" t="str">
        <f>'VIX HISTORIQUE'!D119</f>
        <v/>
      </c>
      <c r="D116" s="22" t="str">
        <f>'VIX HISTORIQUE'!F119</f>
        <v/>
      </c>
      <c r="E116" s="22" t="str">
        <f>'VIX HISTORIQUE'!H119</f>
        <v/>
      </c>
      <c r="F116" s="22" t="str">
        <f>'VIX HISTORIQUE'!J119</f>
        <v/>
      </c>
    </row>
    <row r="117" ht="15.75" customHeight="1">
      <c r="A117" s="25" t="str">
        <f>'VIX HISTORIQUE'!A120</f>
        <v/>
      </c>
      <c r="B117" s="22" t="str">
        <f>'VIX HISTORIQUE'!B120</f>
        <v/>
      </c>
      <c r="C117" s="22" t="str">
        <f>'VIX HISTORIQUE'!D120</f>
        <v/>
      </c>
      <c r="D117" s="22" t="str">
        <f>'VIX HISTORIQUE'!F120</f>
        <v/>
      </c>
      <c r="E117" s="22" t="str">
        <f>'VIX HISTORIQUE'!H120</f>
        <v/>
      </c>
      <c r="F117" s="22" t="str">
        <f>'VIX HISTORIQUE'!J120</f>
        <v/>
      </c>
    </row>
    <row r="118" ht="15.75" customHeight="1">
      <c r="A118" s="25" t="str">
        <f>'VIX HISTORIQUE'!A121</f>
        <v/>
      </c>
      <c r="B118" s="22" t="str">
        <f>'VIX HISTORIQUE'!B121</f>
        <v/>
      </c>
      <c r="C118" s="22" t="str">
        <f>'VIX HISTORIQUE'!D121</f>
        <v/>
      </c>
      <c r="D118" s="22" t="str">
        <f>'VIX HISTORIQUE'!F121</f>
        <v/>
      </c>
      <c r="E118" s="22" t="str">
        <f>'VIX HISTORIQUE'!H121</f>
        <v/>
      </c>
      <c r="F118" s="22" t="str">
        <f>'VIX HISTORIQUE'!J121</f>
        <v/>
      </c>
    </row>
    <row r="119" ht="15.75" customHeight="1">
      <c r="A119" s="25" t="str">
        <f>'VIX HISTORIQUE'!A122</f>
        <v/>
      </c>
      <c r="B119" s="22" t="str">
        <f>'VIX HISTORIQUE'!B122</f>
        <v/>
      </c>
      <c r="C119" s="22" t="str">
        <f>'VIX HISTORIQUE'!D122</f>
        <v/>
      </c>
      <c r="D119" s="22" t="str">
        <f>'VIX HISTORIQUE'!F122</f>
        <v/>
      </c>
      <c r="E119" s="22" t="str">
        <f>'VIX HISTORIQUE'!H122</f>
        <v/>
      </c>
      <c r="F119" s="22" t="str">
        <f>'VIX HISTORIQUE'!J122</f>
        <v/>
      </c>
    </row>
    <row r="120" ht="15.75" customHeight="1">
      <c r="A120" s="25" t="str">
        <f>'VIX HISTORIQUE'!A123</f>
        <v/>
      </c>
      <c r="B120" s="22" t="str">
        <f>'VIX HISTORIQUE'!B123</f>
        <v/>
      </c>
      <c r="C120" s="22" t="str">
        <f>'VIX HISTORIQUE'!D123</f>
        <v/>
      </c>
      <c r="D120" s="22" t="str">
        <f>'VIX HISTORIQUE'!F123</f>
        <v/>
      </c>
      <c r="E120" s="22" t="str">
        <f>'VIX HISTORIQUE'!H123</f>
        <v/>
      </c>
      <c r="F120" s="22" t="str">
        <f>'VIX HISTORIQUE'!J123</f>
        <v/>
      </c>
    </row>
    <row r="121" ht="15.75" customHeight="1">
      <c r="A121" s="25" t="str">
        <f>'VIX HISTORIQUE'!A124</f>
        <v/>
      </c>
      <c r="B121" s="22" t="str">
        <f>'VIX HISTORIQUE'!B124</f>
        <v/>
      </c>
      <c r="C121" s="22" t="str">
        <f>'VIX HISTORIQUE'!D124</f>
        <v/>
      </c>
      <c r="D121" s="22" t="str">
        <f>'VIX HISTORIQUE'!F124</f>
        <v/>
      </c>
      <c r="E121" s="22" t="str">
        <f>'VIX HISTORIQUE'!H124</f>
        <v/>
      </c>
      <c r="F121" s="22" t="str">
        <f>'VIX HISTORIQUE'!J124</f>
        <v/>
      </c>
    </row>
    <row r="122" ht="15.75" customHeight="1">
      <c r="A122" s="25" t="str">
        <f>'VIX HISTORIQUE'!A125</f>
        <v/>
      </c>
      <c r="B122" s="22" t="str">
        <f>'VIX HISTORIQUE'!B125</f>
        <v/>
      </c>
      <c r="C122" s="22" t="str">
        <f>'VIX HISTORIQUE'!D125</f>
        <v/>
      </c>
      <c r="D122" s="22" t="str">
        <f>'VIX HISTORIQUE'!F125</f>
        <v/>
      </c>
      <c r="E122" s="22" t="str">
        <f>'VIX HISTORIQUE'!H125</f>
        <v/>
      </c>
      <c r="F122" s="22" t="str">
        <f>'VIX HISTORIQUE'!J125</f>
        <v/>
      </c>
    </row>
    <row r="123" ht="15.75" customHeight="1">
      <c r="A123" s="25" t="str">
        <f>'VIX HISTORIQUE'!A126</f>
        <v/>
      </c>
      <c r="B123" s="22" t="str">
        <f>'VIX HISTORIQUE'!B126</f>
        <v/>
      </c>
      <c r="C123" s="22" t="str">
        <f>'VIX HISTORIQUE'!D126</f>
        <v/>
      </c>
      <c r="D123" s="22" t="str">
        <f>'VIX HISTORIQUE'!F126</f>
        <v/>
      </c>
      <c r="E123" s="22" t="str">
        <f>'VIX HISTORIQUE'!H126</f>
        <v/>
      </c>
      <c r="F123" s="22" t="str">
        <f>'VIX HISTORIQUE'!J126</f>
        <v/>
      </c>
    </row>
    <row r="124" ht="15.75" customHeight="1">
      <c r="A124" s="25" t="str">
        <f>'VIX HISTORIQUE'!A127</f>
        <v/>
      </c>
      <c r="B124" s="22" t="str">
        <f>'VIX HISTORIQUE'!B127</f>
        <v/>
      </c>
      <c r="C124" s="22" t="str">
        <f>'VIX HISTORIQUE'!D127</f>
        <v/>
      </c>
      <c r="D124" s="22" t="str">
        <f>'VIX HISTORIQUE'!F127</f>
        <v/>
      </c>
      <c r="E124" s="22" t="str">
        <f>'VIX HISTORIQUE'!H127</f>
        <v/>
      </c>
      <c r="F124" s="22" t="str">
        <f>'VIX HISTORIQUE'!J127</f>
        <v/>
      </c>
    </row>
    <row r="125" ht="15.75" customHeight="1">
      <c r="A125" s="25" t="str">
        <f>'VIX HISTORIQUE'!A128</f>
        <v/>
      </c>
      <c r="B125" s="22" t="str">
        <f>'VIX HISTORIQUE'!B128</f>
        <v/>
      </c>
      <c r="C125" s="22" t="str">
        <f>'VIX HISTORIQUE'!D128</f>
        <v/>
      </c>
      <c r="D125" s="22" t="str">
        <f>'VIX HISTORIQUE'!F128</f>
        <v/>
      </c>
      <c r="E125" s="22" t="str">
        <f>'VIX HISTORIQUE'!H128</f>
        <v/>
      </c>
      <c r="F125" s="22" t="str">
        <f>'VIX HISTORIQUE'!J128</f>
        <v/>
      </c>
    </row>
    <row r="126" ht="15.75" customHeight="1">
      <c r="A126" s="25" t="str">
        <f>'VIX HISTORIQUE'!A129</f>
        <v/>
      </c>
      <c r="B126" s="22" t="str">
        <f>'VIX HISTORIQUE'!B129</f>
        <v/>
      </c>
      <c r="C126" s="22" t="str">
        <f>'VIX HISTORIQUE'!D129</f>
        <v/>
      </c>
      <c r="D126" s="22" t="str">
        <f>'VIX HISTORIQUE'!F129</f>
        <v/>
      </c>
      <c r="E126" s="22" t="str">
        <f>'VIX HISTORIQUE'!H129</f>
        <v/>
      </c>
      <c r="F126" s="22" t="str">
        <f>'VIX HISTORIQUE'!J129</f>
        <v/>
      </c>
    </row>
    <row r="127" ht="15.75" customHeight="1">
      <c r="A127" s="25" t="str">
        <f>'VIX HISTORIQUE'!A130</f>
        <v/>
      </c>
      <c r="B127" s="22" t="str">
        <f>'VIX HISTORIQUE'!B130</f>
        <v/>
      </c>
      <c r="C127" s="22" t="str">
        <f>'VIX HISTORIQUE'!D130</f>
        <v/>
      </c>
      <c r="D127" s="22" t="str">
        <f>'VIX HISTORIQUE'!F130</f>
        <v/>
      </c>
      <c r="E127" s="22" t="str">
        <f>'VIX HISTORIQUE'!H130</f>
        <v/>
      </c>
      <c r="F127" s="22" t="str">
        <f>'VIX HISTORIQUE'!J130</f>
        <v/>
      </c>
    </row>
    <row r="128" ht="15.75" customHeight="1">
      <c r="A128" s="25" t="str">
        <f>'VIX HISTORIQUE'!A131</f>
        <v/>
      </c>
      <c r="B128" s="22" t="str">
        <f>'VIX HISTORIQUE'!B131</f>
        <v/>
      </c>
      <c r="C128" s="22" t="str">
        <f>'VIX HISTORIQUE'!D131</f>
        <v/>
      </c>
      <c r="D128" s="22" t="str">
        <f>'VIX HISTORIQUE'!F131</f>
        <v/>
      </c>
      <c r="E128" s="22" t="str">
        <f>'VIX HISTORIQUE'!H131</f>
        <v/>
      </c>
      <c r="F128" s="22" t="str">
        <f>'VIX HISTORIQUE'!J131</f>
        <v/>
      </c>
    </row>
    <row r="129" ht="15.75" customHeight="1">
      <c r="A129" s="25" t="str">
        <f>'VIX HISTORIQUE'!A132</f>
        <v/>
      </c>
      <c r="B129" s="22" t="str">
        <f>'VIX HISTORIQUE'!B132</f>
        <v/>
      </c>
      <c r="C129" s="22" t="str">
        <f>'VIX HISTORIQUE'!D132</f>
        <v/>
      </c>
      <c r="D129" s="22" t="str">
        <f>'VIX HISTORIQUE'!F132</f>
        <v/>
      </c>
      <c r="E129" s="22" t="str">
        <f>'VIX HISTORIQUE'!H132</f>
        <v/>
      </c>
      <c r="F129" s="22" t="str">
        <f>'VIX HISTORIQUE'!J132</f>
        <v/>
      </c>
    </row>
    <row r="130" ht="15.75" customHeight="1">
      <c r="A130" s="25" t="str">
        <f>'VIX HISTORIQUE'!A133</f>
        <v/>
      </c>
      <c r="B130" s="22" t="str">
        <f>'VIX HISTORIQUE'!B133</f>
        <v/>
      </c>
      <c r="C130" s="22" t="str">
        <f>'VIX HISTORIQUE'!D133</f>
        <v/>
      </c>
      <c r="D130" s="22" t="str">
        <f>'VIX HISTORIQUE'!F133</f>
        <v/>
      </c>
      <c r="E130" s="22" t="str">
        <f>'VIX HISTORIQUE'!H133</f>
        <v/>
      </c>
      <c r="F130" s="22" t="str">
        <f>'VIX HISTORIQUE'!J133</f>
        <v/>
      </c>
    </row>
    <row r="131" ht="15.75" customHeight="1">
      <c r="A131" s="25" t="str">
        <f>'VIX HISTORIQUE'!A134</f>
        <v/>
      </c>
      <c r="B131" s="22" t="str">
        <f>'VIX HISTORIQUE'!B134</f>
        <v/>
      </c>
      <c r="C131" s="22" t="str">
        <f>'VIX HISTORIQUE'!D134</f>
        <v/>
      </c>
      <c r="D131" s="22" t="str">
        <f>'VIX HISTORIQUE'!F134</f>
        <v/>
      </c>
      <c r="E131" s="22" t="str">
        <f>'VIX HISTORIQUE'!H134</f>
        <v/>
      </c>
      <c r="F131" s="22" t="str">
        <f>'VIX HISTORIQUE'!J134</f>
        <v/>
      </c>
    </row>
    <row r="132" ht="15.75" customHeight="1">
      <c r="A132" s="25" t="str">
        <f>'VIX HISTORIQUE'!A135</f>
        <v/>
      </c>
      <c r="B132" s="22" t="str">
        <f>'VIX HISTORIQUE'!B135</f>
        <v/>
      </c>
      <c r="C132" s="22" t="str">
        <f>'VIX HISTORIQUE'!D135</f>
        <v/>
      </c>
      <c r="D132" s="22" t="str">
        <f>'VIX HISTORIQUE'!F135</f>
        <v/>
      </c>
      <c r="E132" s="22" t="str">
        <f>'VIX HISTORIQUE'!H135</f>
        <v/>
      </c>
      <c r="F132" s="22" t="str">
        <f>'VIX HISTORIQUE'!J135</f>
        <v/>
      </c>
    </row>
    <row r="133" ht="15.75" customHeight="1">
      <c r="A133" s="25" t="str">
        <f>'VIX HISTORIQUE'!A136</f>
        <v/>
      </c>
      <c r="B133" s="22" t="str">
        <f>'VIX HISTORIQUE'!B136</f>
        <v/>
      </c>
      <c r="C133" s="22" t="str">
        <f>'VIX HISTORIQUE'!D136</f>
        <v/>
      </c>
      <c r="D133" s="22" t="str">
        <f>'VIX HISTORIQUE'!F136</f>
        <v/>
      </c>
      <c r="E133" s="22" t="str">
        <f>'VIX HISTORIQUE'!H136</f>
        <v/>
      </c>
      <c r="F133" s="22" t="str">
        <f>'VIX HISTORIQUE'!J136</f>
        <v/>
      </c>
    </row>
    <row r="134" ht="15.75" customHeight="1">
      <c r="A134" s="25" t="str">
        <f>'VIX HISTORIQUE'!A137</f>
        <v/>
      </c>
      <c r="B134" s="22" t="str">
        <f>'VIX HISTORIQUE'!B137</f>
        <v/>
      </c>
      <c r="C134" s="22" t="str">
        <f>'VIX HISTORIQUE'!D137</f>
        <v/>
      </c>
      <c r="D134" s="22" t="str">
        <f>'VIX HISTORIQUE'!F137</f>
        <v/>
      </c>
      <c r="E134" s="22" t="str">
        <f>'VIX HISTORIQUE'!H137</f>
        <v/>
      </c>
      <c r="F134" s="22" t="str">
        <f>'VIX HISTORIQUE'!J137</f>
        <v/>
      </c>
    </row>
    <row r="135" ht="15.75" customHeight="1">
      <c r="A135" s="25" t="str">
        <f>'VIX HISTORIQUE'!A138</f>
        <v/>
      </c>
      <c r="B135" s="22" t="str">
        <f>'VIX HISTORIQUE'!B138</f>
        <v/>
      </c>
      <c r="C135" s="22" t="str">
        <f>'VIX HISTORIQUE'!D138</f>
        <v/>
      </c>
      <c r="D135" s="22" t="str">
        <f>'VIX HISTORIQUE'!F138</f>
        <v/>
      </c>
      <c r="E135" s="22" t="str">
        <f>'VIX HISTORIQUE'!H138</f>
        <v/>
      </c>
      <c r="F135" s="22" t="str">
        <f>'VIX HISTORIQUE'!J138</f>
        <v/>
      </c>
    </row>
    <row r="136" ht="15.75" customHeight="1">
      <c r="A136" s="25" t="str">
        <f>'VIX HISTORIQUE'!A139</f>
        <v/>
      </c>
      <c r="B136" s="22" t="str">
        <f>'VIX HISTORIQUE'!B139</f>
        <v/>
      </c>
      <c r="C136" s="22" t="str">
        <f>'VIX HISTORIQUE'!D139</f>
        <v/>
      </c>
      <c r="D136" s="22" t="str">
        <f>'VIX HISTORIQUE'!F139</f>
        <v/>
      </c>
      <c r="E136" s="22" t="str">
        <f>'VIX HISTORIQUE'!H139</f>
        <v/>
      </c>
      <c r="F136" s="22" t="str">
        <f>'VIX HISTORIQUE'!J139</f>
        <v/>
      </c>
    </row>
    <row r="137" ht="15.75" customHeight="1">
      <c r="A137" s="25" t="str">
        <f>'VIX HISTORIQUE'!A140</f>
        <v/>
      </c>
      <c r="B137" s="22" t="str">
        <f>'VIX HISTORIQUE'!B140</f>
        <v/>
      </c>
      <c r="C137" s="22" t="str">
        <f>'VIX HISTORIQUE'!D140</f>
        <v/>
      </c>
      <c r="D137" s="22" t="str">
        <f>'VIX HISTORIQUE'!F140</f>
        <v/>
      </c>
      <c r="E137" s="22" t="str">
        <f>'VIX HISTORIQUE'!H140</f>
        <v/>
      </c>
      <c r="F137" s="22" t="str">
        <f>'VIX HISTORIQUE'!J140</f>
        <v/>
      </c>
    </row>
    <row r="138" ht="15.75" customHeight="1">
      <c r="A138" s="25" t="str">
        <f>'VIX HISTORIQUE'!A141</f>
        <v/>
      </c>
      <c r="B138" s="22" t="str">
        <f>'VIX HISTORIQUE'!B141</f>
        <v/>
      </c>
      <c r="C138" s="22" t="str">
        <f>'VIX HISTORIQUE'!D141</f>
        <v/>
      </c>
      <c r="D138" s="22" t="str">
        <f>'VIX HISTORIQUE'!F141</f>
        <v/>
      </c>
      <c r="E138" s="22" t="str">
        <f>'VIX HISTORIQUE'!H141</f>
        <v/>
      </c>
      <c r="F138" s="22" t="str">
        <f>'VIX HISTORIQUE'!J141</f>
        <v/>
      </c>
    </row>
    <row r="139" ht="15.75" customHeight="1">
      <c r="A139" s="25" t="str">
        <f>'VIX HISTORIQUE'!A142</f>
        <v/>
      </c>
      <c r="B139" s="22" t="str">
        <f>'VIX HISTORIQUE'!B142</f>
        <v/>
      </c>
      <c r="C139" s="22" t="str">
        <f>'VIX HISTORIQUE'!D142</f>
        <v/>
      </c>
      <c r="D139" s="22" t="str">
        <f>'VIX HISTORIQUE'!F142</f>
        <v/>
      </c>
      <c r="E139" s="22" t="str">
        <f>'VIX HISTORIQUE'!H142</f>
        <v/>
      </c>
      <c r="F139" s="22" t="str">
        <f>'VIX HISTORIQUE'!J142</f>
        <v/>
      </c>
    </row>
    <row r="140" ht="15.75" customHeight="1">
      <c r="A140" s="25" t="str">
        <f>'VIX HISTORIQUE'!A143</f>
        <v/>
      </c>
      <c r="B140" s="22" t="str">
        <f>'VIX HISTORIQUE'!B143</f>
        <v/>
      </c>
      <c r="C140" s="22" t="str">
        <f>'VIX HISTORIQUE'!D143</f>
        <v/>
      </c>
      <c r="D140" s="22" t="str">
        <f>'VIX HISTORIQUE'!F143</f>
        <v/>
      </c>
      <c r="E140" s="22" t="str">
        <f>'VIX HISTORIQUE'!H143</f>
        <v/>
      </c>
      <c r="F140" s="22" t="str">
        <f>'VIX HISTORIQUE'!J143</f>
        <v/>
      </c>
    </row>
    <row r="141" ht="15.75" customHeight="1">
      <c r="A141" s="25" t="str">
        <f>'VIX HISTORIQUE'!A144</f>
        <v/>
      </c>
      <c r="B141" s="22" t="str">
        <f>'VIX HISTORIQUE'!B144</f>
        <v/>
      </c>
      <c r="C141" s="22" t="str">
        <f>'VIX HISTORIQUE'!D144</f>
        <v/>
      </c>
      <c r="D141" s="22" t="str">
        <f>'VIX HISTORIQUE'!F144</f>
        <v/>
      </c>
      <c r="E141" s="22" t="str">
        <f>'VIX HISTORIQUE'!H144</f>
        <v/>
      </c>
      <c r="F141" s="22" t="str">
        <f>'VIX HISTORIQUE'!J144</f>
        <v/>
      </c>
    </row>
    <row r="142" ht="15.75" customHeight="1">
      <c r="A142" s="25" t="str">
        <f>'VIX HISTORIQUE'!A145</f>
        <v/>
      </c>
      <c r="B142" s="22" t="str">
        <f>'VIX HISTORIQUE'!B145</f>
        <v/>
      </c>
      <c r="C142" s="22" t="str">
        <f>'VIX HISTORIQUE'!D145</f>
        <v/>
      </c>
      <c r="D142" s="22" t="str">
        <f>'VIX HISTORIQUE'!F145</f>
        <v/>
      </c>
      <c r="E142" s="22" t="str">
        <f>'VIX HISTORIQUE'!H145</f>
        <v/>
      </c>
      <c r="F142" s="22" t="str">
        <f>'VIX HISTORIQUE'!J145</f>
        <v/>
      </c>
    </row>
    <row r="143" ht="15.75" customHeight="1">
      <c r="A143" s="25" t="str">
        <f>'VIX HISTORIQUE'!A146</f>
        <v/>
      </c>
      <c r="B143" s="22" t="str">
        <f>'VIX HISTORIQUE'!B146</f>
        <v/>
      </c>
      <c r="C143" s="22" t="str">
        <f>'VIX HISTORIQUE'!D146</f>
        <v/>
      </c>
      <c r="D143" s="22" t="str">
        <f>'VIX HISTORIQUE'!F146</f>
        <v/>
      </c>
      <c r="E143" s="22" t="str">
        <f>'VIX HISTORIQUE'!H146</f>
        <v/>
      </c>
      <c r="F143" s="22" t="str">
        <f>'VIX HISTORIQUE'!J146</f>
        <v/>
      </c>
    </row>
    <row r="144" ht="15.75" customHeight="1">
      <c r="A144" s="25" t="str">
        <f>'VIX HISTORIQUE'!A147</f>
        <v/>
      </c>
      <c r="B144" s="22" t="str">
        <f>'VIX HISTORIQUE'!B147</f>
        <v/>
      </c>
      <c r="C144" s="22" t="str">
        <f>'VIX HISTORIQUE'!D147</f>
        <v/>
      </c>
      <c r="D144" s="22" t="str">
        <f>'VIX HISTORIQUE'!F147</f>
        <v/>
      </c>
      <c r="E144" s="22" t="str">
        <f>'VIX HISTORIQUE'!H147</f>
        <v/>
      </c>
      <c r="F144" s="22" t="str">
        <f>'VIX HISTORIQUE'!J147</f>
        <v/>
      </c>
    </row>
    <row r="145" ht="15.75" customHeight="1">
      <c r="A145" s="25" t="str">
        <f>'VIX HISTORIQUE'!A148</f>
        <v/>
      </c>
      <c r="B145" s="22" t="str">
        <f>'VIX HISTORIQUE'!B148</f>
        <v/>
      </c>
      <c r="C145" s="22" t="str">
        <f>'VIX HISTORIQUE'!D148</f>
        <v/>
      </c>
      <c r="D145" s="22" t="str">
        <f>'VIX HISTORIQUE'!F148</f>
        <v/>
      </c>
      <c r="E145" s="22" t="str">
        <f>'VIX HISTORIQUE'!H148</f>
        <v/>
      </c>
      <c r="F145" s="22" t="str">
        <f>'VIX HISTORIQUE'!J148</f>
        <v/>
      </c>
    </row>
    <row r="146" ht="15.75" customHeight="1">
      <c r="A146" s="25" t="str">
        <f>'VIX HISTORIQUE'!A149</f>
        <v/>
      </c>
      <c r="B146" s="22" t="str">
        <f>'VIX HISTORIQUE'!B149</f>
        <v/>
      </c>
      <c r="C146" s="22" t="str">
        <f>'VIX HISTORIQUE'!D149</f>
        <v/>
      </c>
      <c r="D146" s="22" t="str">
        <f>'VIX HISTORIQUE'!F149</f>
        <v/>
      </c>
      <c r="E146" s="22" t="str">
        <f>'VIX HISTORIQUE'!H149</f>
        <v/>
      </c>
      <c r="F146" s="22" t="str">
        <f>'VIX HISTORIQUE'!J149</f>
        <v/>
      </c>
    </row>
    <row r="147" ht="15.75" customHeight="1">
      <c r="A147" s="25" t="str">
        <f>'VIX HISTORIQUE'!A150</f>
        <v/>
      </c>
      <c r="B147" s="22" t="str">
        <f>'VIX HISTORIQUE'!B150</f>
        <v/>
      </c>
      <c r="C147" s="22" t="str">
        <f>'VIX HISTORIQUE'!D150</f>
        <v/>
      </c>
      <c r="D147" s="22" t="str">
        <f>'VIX HISTORIQUE'!F150</f>
        <v/>
      </c>
      <c r="E147" s="22" t="str">
        <f>'VIX HISTORIQUE'!H150</f>
        <v/>
      </c>
      <c r="F147" s="22" t="str">
        <f>'VIX HISTORIQUE'!J150</f>
        <v/>
      </c>
    </row>
    <row r="148" ht="15.75" customHeight="1">
      <c r="A148" s="25" t="str">
        <f>'VIX HISTORIQUE'!A151</f>
        <v/>
      </c>
      <c r="B148" s="22" t="str">
        <f>'VIX HISTORIQUE'!B151</f>
        <v/>
      </c>
      <c r="C148" s="22" t="str">
        <f>'VIX HISTORIQUE'!D151</f>
        <v/>
      </c>
      <c r="D148" s="22" t="str">
        <f>'VIX HISTORIQUE'!F151</f>
        <v/>
      </c>
      <c r="E148" s="22" t="str">
        <f>'VIX HISTORIQUE'!H151</f>
        <v/>
      </c>
      <c r="F148" s="22" t="str">
        <f>'VIX HISTORIQUE'!J151</f>
        <v/>
      </c>
    </row>
    <row r="149" ht="15.75" customHeight="1">
      <c r="A149" s="25" t="str">
        <f>'VIX HISTORIQUE'!A152</f>
        <v/>
      </c>
      <c r="B149" s="22" t="str">
        <f>'VIX HISTORIQUE'!B152</f>
        <v/>
      </c>
      <c r="C149" s="22" t="str">
        <f>'VIX HISTORIQUE'!D152</f>
        <v/>
      </c>
      <c r="D149" s="22" t="str">
        <f>'VIX HISTORIQUE'!F152</f>
        <v/>
      </c>
      <c r="E149" s="22" t="str">
        <f>'VIX HISTORIQUE'!H152</f>
        <v/>
      </c>
      <c r="F149" s="22" t="str">
        <f>'VIX HISTORIQUE'!J152</f>
        <v/>
      </c>
    </row>
    <row r="150" ht="15.75" customHeight="1">
      <c r="A150" s="25" t="str">
        <f>'VIX HISTORIQUE'!A153</f>
        <v/>
      </c>
      <c r="B150" s="22" t="str">
        <f>'VIX HISTORIQUE'!B153</f>
        <v/>
      </c>
      <c r="C150" s="22" t="str">
        <f>'VIX HISTORIQUE'!D153</f>
        <v/>
      </c>
      <c r="D150" s="22" t="str">
        <f>'VIX HISTORIQUE'!F153</f>
        <v/>
      </c>
      <c r="E150" s="22" t="str">
        <f>'VIX HISTORIQUE'!H153</f>
        <v/>
      </c>
      <c r="F150" s="22" t="str">
        <f>'VIX HISTORIQUE'!J153</f>
        <v/>
      </c>
    </row>
    <row r="151" ht="15.75" customHeight="1">
      <c r="A151" s="25" t="str">
        <f>'VIX HISTORIQUE'!A154</f>
        <v/>
      </c>
      <c r="B151" s="22" t="str">
        <f>'VIX HISTORIQUE'!B154</f>
        <v/>
      </c>
      <c r="C151" s="22" t="str">
        <f>'VIX HISTORIQUE'!D154</f>
        <v/>
      </c>
      <c r="D151" s="22" t="str">
        <f>'VIX HISTORIQUE'!F154</f>
        <v/>
      </c>
      <c r="E151" s="22" t="str">
        <f>'VIX HISTORIQUE'!H154</f>
        <v/>
      </c>
      <c r="F151" s="22" t="str">
        <f>'VIX HISTORIQUE'!J154</f>
        <v/>
      </c>
    </row>
    <row r="152" ht="15.75" customHeight="1">
      <c r="A152" s="25" t="str">
        <f>'VIX HISTORIQUE'!A155</f>
        <v/>
      </c>
      <c r="B152" s="22" t="str">
        <f>'VIX HISTORIQUE'!B155</f>
        <v/>
      </c>
      <c r="C152" s="22" t="str">
        <f>'VIX HISTORIQUE'!D155</f>
        <v/>
      </c>
      <c r="D152" s="22" t="str">
        <f>'VIX HISTORIQUE'!F155</f>
        <v/>
      </c>
      <c r="E152" s="22" t="str">
        <f>'VIX HISTORIQUE'!H155</f>
        <v/>
      </c>
      <c r="F152" s="22" t="str">
        <f>'VIX HISTORIQUE'!J155</f>
        <v/>
      </c>
    </row>
    <row r="153" ht="15.75" customHeight="1">
      <c r="A153" s="25" t="str">
        <f>'VIX HISTORIQUE'!A156</f>
        <v/>
      </c>
      <c r="B153" s="22" t="str">
        <f>'VIX HISTORIQUE'!B156</f>
        <v/>
      </c>
      <c r="C153" s="22" t="str">
        <f>'VIX HISTORIQUE'!D156</f>
        <v/>
      </c>
      <c r="D153" s="22" t="str">
        <f>'VIX HISTORIQUE'!F156</f>
        <v/>
      </c>
      <c r="E153" s="22" t="str">
        <f>'VIX HISTORIQUE'!H156</f>
        <v/>
      </c>
      <c r="F153" s="22" t="str">
        <f>'VIX HISTORIQUE'!J156</f>
        <v/>
      </c>
    </row>
    <row r="154" ht="15.75" customHeight="1">
      <c r="A154" s="25" t="str">
        <f>'VIX HISTORIQUE'!A157</f>
        <v/>
      </c>
      <c r="B154" s="22" t="str">
        <f>'VIX HISTORIQUE'!B157</f>
        <v/>
      </c>
      <c r="C154" s="22" t="str">
        <f>'VIX HISTORIQUE'!D157</f>
        <v/>
      </c>
      <c r="D154" s="22" t="str">
        <f>'VIX HISTORIQUE'!F157</f>
        <v/>
      </c>
      <c r="E154" s="22" t="str">
        <f>'VIX HISTORIQUE'!H157</f>
        <v/>
      </c>
      <c r="F154" s="22" t="str">
        <f>'VIX HISTORIQUE'!J157</f>
        <v/>
      </c>
    </row>
    <row r="155" ht="15.75" customHeight="1">
      <c r="A155" s="25" t="str">
        <f>'VIX HISTORIQUE'!A158</f>
        <v/>
      </c>
      <c r="B155" s="22" t="str">
        <f>'VIX HISTORIQUE'!B158</f>
        <v/>
      </c>
      <c r="C155" s="22" t="str">
        <f>'VIX HISTORIQUE'!D158</f>
        <v/>
      </c>
      <c r="D155" s="22" t="str">
        <f>'VIX HISTORIQUE'!F158</f>
        <v/>
      </c>
      <c r="E155" s="22" t="str">
        <f>'VIX HISTORIQUE'!H158</f>
        <v/>
      </c>
      <c r="F155" s="22" t="str">
        <f>'VIX HISTORIQUE'!J158</f>
        <v/>
      </c>
    </row>
    <row r="156" ht="15.75" customHeight="1">
      <c r="A156" s="25" t="str">
        <f>'VIX HISTORIQUE'!A159</f>
        <v/>
      </c>
      <c r="B156" s="22" t="str">
        <f>'VIX HISTORIQUE'!B159</f>
        <v/>
      </c>
      <c r="C156" s="22" t="str">
        <f>'VIX HISTORIQUE'!D159</f>
        <v/>
      </c>
      <c r="D156" s="22" t="str">
        <f>'VIX HISTORIQUE'!F159</f>
        <v/>
      </c>
      <c r="E156" s="22" t="str">
        <f>'VIX HISTORIQUE'!H159</f>
        <v/>
      </c>
      <c r="F156" s="22" t="str">
        <f>'VIX HISTORIQUE'!J159</f>
        <v/>
      </c>
    </row>
    <row r="157" ht="15.75" customHeight="1">
      <c r="A157" s="25" t="str">
        <f>'VIX HISTORIQUE'!A160</f>
        <v/>
      </c>
      <c r="B157" s="22" t="str">
        <f>'VIX HISTORIQUE'!B160</f>
        <v/>
      </c>
      <c r="C157" s="22" t="str">
        <f>'VIX HISTORIQUE'!D160</f>
        <v/>
      </c>
      <c r="D157" s="22" t="str">
        <f>'VIX HISTORIQUE'!F160</f>
        <v/>
      </c>
      <c r="E157" s="22" t="str">
        <f>'VIX HISTORIQUE'!H160</f>
        <v/>
      </c>
      <c r="F157" s="22" t="str">
        <f>'VIX HISTORIQUE'!J160</f>
        <v/>
      </c>
    </row>
    <row r="158" ht="15.75" customHeight="1">
      <c r="A158" s="25" t="str">
        <f>'VIX HISTORIQUE'!A161</f>
        <v/>
      </c>
      <c r="B158" s="22" t="str">
        <f>'VIX HISTORIQUE'!B161</f>
        <v/>
      </c>
      <c r="C158" s="22" t="str">
        <f>'VIX HISTORIQUE'!D161</f>
        <v/>
      </c>
      <c r="D158" s="22" t="str">
        <f>'VIX HISTORIQUE'!F161</f>
        <v/>
      </c>
      <c r="E158" s="22" t="str">
        <f>'VIX HISTORIQUE'!H161</f>
        <v/>
      </c>
      <c r="F158" s="22" t="str">
        <f>'VIX HISTORIQUE'!J161</f>
        <v/>
      </c>
    </row>
    <row r="159" ht="15.75" customHeight="1">
      <c r="A159" s="25" t="str">
        <f>'VIX HISTORIQUE'!A162</f>
        <v/>
      </c>
      <c r="B159" s="22" t="str">
        <f>'VIX HISTORIQUE'!B162</f>
        <v/>
      </c>
      <c r="C159" s="22" t="str">
        <f>'VIX HISTORIQUE'!D162</f>
        <v/>
      </c>
      <c r="D159" s="22" t="str">
        <f>'VIX HISTORIQUE'!F162</f>
        <v/>
      </c>
      <c r="E159" s="22" t="str">
        <f>'VIX HISTORIQUE'!H162</f>
        <v/>
      </c>
      <c r="F159" s="22" t="str">
        <f>'VIX HISTORIQUE'!J162</f>
        <v/>
      </c>
    </row>
    <row r="160" ht="15.75" customHeight="1">
      <c r="A160" s="25" t="str">
        <f>'VIX HISTORIQUE'!A163</f>
        <v/>
      </c>
      <c r="B160" s="22" t="str">
        <f>'VIX HISTORIQUE'!B163</f>
        <v/>
      </c>
      <c r="C160" s="22" t="str">
        <f>'VIX HISTORIQUE'!D163</f>
        <v/>
      </c>
      <c r="D160" s="22" t="str">
        <f>'VIX HISTORIQUE'!F163</f>
        <v/>
      </c>
      <c r="E160" s="22" t="str">
        <f>'VIX HISTORIQUE'!H163</f>
        <v/>
      </c>
      <c r="F160" s="22" t="str">
        <f>'VIX HISTORIQUE'!J163</f>
        <v/>
      </c>
    </row>
    <row r="161" ht="15.75" customHeight="1">
      <c r="A161" s="25" t="str">
        <f>'VIX HISTORIQUE'!A164</f>
        <v/>
      </c>
      <c r="B161" s="22" t="str">
        <f>'VIX HISTORIQUE'!B164</f>
        <v/>
      </c>
      <c r="C161" s="22" t="str">
        <f>'VIX HISTORIQUE'!D164</f>
        <v/>
      </c>
      <c r="D161" s="22" t="str">
        <f>'VIX HISTORIQUE'!F164</f>
        <v/>
      </c>
      <c r="E161" s="22" t="str">
        <f>'VIX HISTORIQUE'!H164</f>
        <v/>
      </c>
      <c r="F161" s="22" t="str">
        <f>'VIX HISTORIQUE'!J164</f>
        <v/>
      </c>
    </row>
    <row r="162" ht="15.75" customHeight="1">
      <c r="A162" s="25" t="str">
        <f>'VIX HISTORIQUE'!A165</f>
        <v/>
      </c>
      <c r="B162" s="22" t="str">
        <f>'VIX HISTORIQUE'!B165</f>
        <v/>
      </c>
      <c r="C162" s="22" t="str">
        <f>'VIX HISTORIQUE'!D165</f>
        <v/>
      </c>
      <c r="D162" s="22" t="str">
        <f>'VIX HISTORIQUE'!F165</f>
        <v/>
      </c>
      <c r="E162" s="22" t="str">
        <f>'VIX HISTORIQUE'!H165</f>
        <v/>
      </c>
      <c r="F162" s="22" t="str">
        <f>'VIX HISTORIQUE'!J165</f>
        <v/>
      </c>
    </row>
    <row r="163" ht="15.75" customHeight="1">
      <c r="A163" s="25" t="str">
        <f>'VIX HISTORIQUE'!A166</f>
        <v/>
      </c>
      <c r="B163" s="22" t="str">
        <f>'VIX HISTORIQUE'!B166</f>
        <v/>
      </c>
      <c r="C163" s="22" t="str">
        <f>'VIX HISTORIQUE'!D166</f>
        <v/>
      </c>
      <c r="D163" s="22" t="str">
        <f>'VIX HISTORIQUE'!F166</f>
        <v/>
      </c>
      <c r="E163" s="22" t="str">
        <f>'VIX HISTORIQUE'!H166</f>
        <v/>
      </c>
      <c r="F163" s="22" t="str">
        <f>'VIX HISTORIQUE'!J166</f>
        <v/>
      </c>
    </row>
    <row r="164" ht="15.75" customHeight="1">
      <c r="A164" s="25" t="str">
        <f>'VIX HISTORIQUE'!A167</f>
        <v/>
      </c>
      <c r="B164" s="22" t="str">
        <f>'VIX HISTORIQUE'!B167</f>
        <v/>
      </c>
      <c r="C164" s="22" t="str">
        <f>'VIX HISTORIQUE'!D167</f>
        <v/>
      </c>
      <c r="D164" s="22" t="str">
        <f>'VIX HISTORIQUE'!F167</f>
        <v/>
      </c>
      <c r="E164" s="22" t="str">
        <f>'VIX HISTORIQUE'!H167</f>
        <v/>
      </c>
      <c r="F164" s="22" t="str">
        <f>'VIX HISTORIQUE'!J167</f>
        <v/>
      </c>
    </row>
    <row r="165" ht="15.75" customHeight="1">
      <c r="A165" s="25" t="str">
        <f>'VIX HISTORIQUE'!A168</f>
        <v/>
      </c>
      <c r="B165" s="22" t="str">
        <f>'VIX HISTORIQUE'!B168</f>
        <v/>
      </c>
      <c r="C165" s="22" t="str">
        <f>'VIX HISTORIQUE'!D168</f>
        <v/>
      </c>
      <c r="D165" s="22" t="str">
        <f>'VIX HISTORIQUE'!F168</f>
        <v/>
      </c>
      <c r="E165" s="22" t="str">
        <f>'VIX HISTORIQUE'!H168</f>
        <v/>
      </c>
      <c r="F165" s="22" t="str">
        <f>'VIX HISTORIQUE'!J168</f>
        <v/>
      </c>
    </row>
    <row r="166" ht="15.75" customHeight="1">
      <c r="A166" s="25" t="str">
        <f>'VIX HISTORIQUE'!A169</f>
        <v/>
      </c>
      <c r="B166" s="22" t="str">
        <f>'VIX HISTORIQUE'!B169</f>
        <v/>
      </c>
      <c r="C166" s="22" t="str">
        <f>'VIX HISTORIQUE'!D169</f>
        <v/>
      </c>
      <c r="D166" s="22" t="str">
        <f>'VIX HISTORIQUE'!F169</f>
        <v/>
      </c>
      <c r="E166" s="22" t="str">
        <f>'VIX HISTORIQUE'!H169</f>
        <v/>
      </c>
      <c r="F166" s="22" t="str">
        <f>'VIX HISTORIQUE'!J169</f>
        <v/>
      </c>
    </row>
    <row r="167" ht="15.75" customHeight="1">
      <c r="A167" s="25" t="str">
        <f>'VIX HISTORIQUE'!A170</f>
        <v/>
      </c>
      <c r="B167" s="22" t="str">
        <f>'VIX HISTORIQUE'!B170</f>
        <v/>
      </c>
      <c r="C167" s="22" t="str">
        <f>'VIX HISTORIQUE'!D170</f>
        <v/>
      </c>
      <c r="D167" s="22" t="str">
        <f>'VIX HISTORIQUE'!F170</f>
        <v/>
      </c>
      <c r="E167" s="22" t="str">
        <f>'VIX HISTORIQUE'!H170</f>
        <v/>
      </c>
      <c r="F167" s="22" t="str">
        <f>'VIX HISTORIQUE'!J170</f>
        <v/>
      </c>
    </row>
    <row r="168" ht="15.75" customHeight="1">
      <c r="A168" s="25" t="str">
        <f>'VIX HISTORIQUE'!A171</f>
        <v/>
      </c>
      <c r="B168" s="22" t="str">
        <f>'VIX HISTORIQUE'!B171</f>
        <v/>
      </c>
      <c r="C168" s="22" t="str">
        <f>'VIX HISTORIQUE'!D171</f>
        <v/>
      </c>
      <c r="D168" s="22" t="str">
        <f>'VIX HISTORIQUE'!F171</f>
        <v/>
      </c>
      <c r="E168" s="22" t="str">
        <f>'VIX HISTORIQUE'!H171</f>
        <v/>
      </c>
      <c r="F168" s="22" t="str">
        <f>'VIX HISTORIQUE'!J171</f>
        <v/>
      </c>
    </row>
    <row r="169" ht="15.75" customHeight="1">
      <c r="A169" s="25" t="str">
        <f>'VIX HISTORIQUE'!A172</f>
        <v/>
      </c>
      <c r="B169" s="22" t="str">
        <f>'VIX HISTORIQUE'!B172</f>
        <v/>
      </c>
      <c r="C169" s="22" t="str">
        <f>'VIX HISTORIQUE'!D172</f>
        <v/>
      </c>
      <c r="D169" s="22" t="str">
        <f>'VIX HISTORIQUE'!F172</f>
        <v/>
      </c>
      <c r="E169" s="22" t="str">
        <f>'VIX HISTORIQUE'!H172</f>
        <v/>
      </c>
      <c r="F169" s="22" t="str">
        <f>'VIX HISTORIQUE'!J172</f>
        <v/>
      </c>
    </row>
    <row r="170" ht="15.75" customHeight="1">
      <c r="A170" s="25" t="str">
        <f>'VIX HISTORIQUE'!A173</f>
        <v/>
      </c>
      <c r="B170" s="22" t="str">
        <f>'VIX HISTORIQUE'!B173</f>
        <v/>
      </c>
      <c r="C170" s="22" t="str">
        <f>'VIX HISTORIQUE'!D173</f>
        <v/>
      </c>
      <c r="D170" s="22" t="str">
        <f>'VIX HISTORIQUE'!F173</f>
        <v/>
      </c>
      <c r="E170" s="22" t="str">
        <f>'VIX HISTORIQUE'!H173</f>
        <v/>
      </c>
      <c r="F170" s="22" t="str">
        <f>'VIX HISTORIQUE'!J173</f>
        <v/>
      </c>
    </row>
    <row r="171" ht="15.75" customHeight="1">
      <c r="A171" s="25" t="str">
        <f>'VIX HISTORIQUE'!A174</f>
        <v/>
      </c>
      <c r="B171" s="22" t="str">
        <f>'VIX HISTORIQUE'!B174</f>
        <v/>
      </c>
      <c r="C171" s="22" t="str">
        <f>'VIX HISTORIQUE'!D174</f>
        <v/>
      </c>
      <c r="D171" s="22" t="str">
        <f>'VIX HISTORIQUE'!F174</f>
        <v/>
      </c>
      <c r="E171" s="22" t="str">
        <f>'VIX HISTORIQUE'!H174</f>
        <v/>
      </c>
      <c r="F171" s="22" t="str">
        <f>'VIX HISTORIQUE'!J174</f>
        <v/>
      </c>
    </row>
    <row r="172" ht="15.75" customHeight="1">
      <c r="A172" s="25" t="str">
        <f>'VIX HISTORIQUE'!A175</f>
        <v/>
      </c>
      <c r="B172" s="22" t="str">
        <f>'VIX HISTORIQUE'!B175</f>
        <v/>
      </c>
      <c r="C172" s="22" t="str">
        <f>'VIX HISTORIQUE'!D175</f>
        <v/>
      </c>
      <c r="D172" s="22" t="str">
        <f>'VIX HISTORIQUE'!F175</f>
        <v/>
      </c>
      <c r="E172" s="22" t="str">
        <f>'VIX HISTORIQUE'!H175</f>
        <v/>
      </c>
      <c r="F172" s="22" t="str">
        <f>'VIX HISTORIQUE'!J175</f>
        <v/>
      </c>
    </row>
    <row r="173" ht="15.75" customHeight="1">
      <c r="A173" s="25" t="str">
        <f>'VIX HISTORIQUE'!A176</f>
        <v/>
      </c>
      <c r="B173" s="22" t="str">
        <f>'VIX HISTORIQUE'!B176</f>
        <v/>
      </c>
      <c r="C173" s="22" t="str">
        <f>'VIX HISTORIQUE'!D176</f>
        <v/>
      </c>
      <c r="D173" s="22" t="str">
        <f>'VIX HISTORIQUE'!F176</f>
        <v/>
      </c>
      <c r="E173" s="22" t="str">
        <f>'VIX HISTORIQUE'!H176</f>
        <v/>
      </c>
      <c r="F173" s="22" t="str">
        <f>'VIX HISTORIQUE'!J176</f>
        <v/>
      </c>
    </row>
    <row r="174" ht="15.75" customHeight="1">
      <c r="A174" s="25" t="str">
        <f>'VIX HISTORIQUE'!A177</f>
        <v/>
      </c>
      <c r="B174" s="22" t="str">
        <f>'VIX HISTORIQUE'!B177</f>
        <v/>
      </c>
      <c r="C174" s="22" t="str">
        <f>'VIX HISTORIQUE'!D177</f>
        <v/>
      </c>
      <c r="D174" s="22" t="str">
        <f>'VIX HISTORIQUE'!F177</f>
        <v/>
      </c>
      <c r="E174" s="22" t="str">
        <f>'VIX HISTORIQUE'!H177</f>
        <v/>
      </c>
      <c r="F174" s="22" t="str">
        <f>'VIX HISTORIQUE'!J177</f>
        <v/>
      </c>
    </row>
    <row r="175" ht="15.75" customHeight="1">
      <c r="A175" s="25" t="str">
        <f>'VIX HISTORIQUE'!A178</f>
        <v/>
      </c>
      <c r="B175" s="22" t="str">
        <f>'VIX HISTORIQUE'!B178</f>
        <v/>
      </c>
      <c r="C175" s="22" t="str">
        <f>'VIX HISTORIQUE'!D178</f>
        <v/>
      </c>
      <c r="D175" s="22" t="str">
        <f>'VIX HISTORIQUE'!F178</f>
        <v/>
      </c>
      <c r="E175" s="22" t="str">
        <f>'VIX HISTORIQUE'!H178</f>
        <v/>
      </c>
      <c r="F175" s="22" t="str">
        <f>'VIX HISTORIQUE'!J178</f>
        <v/>
      </c>
    </row>
    <row r="176" ht="15.75" customHeight="1">
      <c r="A176" s="25" t="str">
        <f>'VIX HISTORIQUE'!A179</f>
        <v/>
      </c>
      <c r="B176" s="22" t="str">
        <f>'VIX HISTORIQUE'!B179</f>
        <v/>
      </c>
      <c r="C176" s="22" t="str">
        <f>'VIX HISTORIQUE'!D179</f>
        <v/>
      </c>
      <c r="D176" s="22" t="str">
        <f>'VIX HISTORIQUE'!F179</f>
        <v/>
      </c>
      <c r="E176" s="22" t="str">
        <f>'VIX HISTORIQUE'!H179</f>
        <v/>
      </c>
      <c r="F176" s="22" t="str">
        <f>'VIX HISTORIQUE'!J179</f>
        <v/>
      </c>
    </row>
    <row r="177" ht="15.75" customHeight="1">
      <c r="A177" s="25" t="str">
        <f>'VIX HISTORIQUE'!A180</f>
        <v/>
      </c>
      <c r="B177" s="22" t="str">
        <f>'VIX HISTORIQUE'!B180</f>
        <v/>
      </c>
      <c r="C177" s="22" t="str">
        <f>'VIX HISTORIQUE'!D180</f>
        <v/>
      </c>
      <c r="D177" s="22" t="str">
        <f>'VIX HISTORIQUE'!F180</f>
        <v/>
      </c>
      <c r="E177" s="22" t="str">
        <f>'VIX HISTORIQUE'!H180</f>
        <v/>
      </c>
      <c r="F177" s="22" t="str">
        <f>'VIX HISTORIQUE'!J180</f>
        <v/>
      </c>
    </row>
    <row r="178" ht="15.75" customHeight="1">
      <c r="A178" s="25" t="str">
        <f>'VIX HISTORIQUE'!A181</f>
        <v/>
      </c>
      <c r="B178" s="22" t="str">
        <f>'VIX HISTORIQUE'!B181</f>
        <v/>
      </c>
      <c r="C178" s="22" t="str">
        <f>'VIX HISTORIQUE'!D181</f>
        <v/>
      </c>
      <c r="D178" s="22" t="str">
        <f>'VIX HISTORIQUE'!F181</f>
        <v/>
      </c>
      <c r="E178" s="22" t="str">
        <f>'VIX HISTORIQUE'!H181</f>
        <v/>
      </c>
      <c r="F178" s="22" t="str">
        <f>'VIX HISTORIQUE'!J181</f>
        <v/>
      </c>
    </row>
    <row r="179" ht="15.75" customHeight="1">
      <c r="A179" s="25" t="str">
        <f>'VIX HISTORIQUE'!A182</f>
        <v/>
      </c>
      <c r="B179" s="22" t="str">
        <f>'VIX HISTORIQUE'!B182</f>
        <v/>
      </c>
      <c r="C179" s="22" t="str">
        <f>'VIX HISTORIQUE'!D182</f>
        <v/>
      </c>
      <c r="D179" s="22" t="str">
        <f>'VIX HISTORIQUE'!F182</f>
        <v/>
      </c>
      <c r="E179" s="22" t="str">
        <f>'VIX HISTORIQUE'!H182</f>
        <v/>
      </c>
      <c r="F179" s="22" t="str">
        <f>'VIX HISTORIQUE'!J182</f>
        <v/>
      </c>
    </row>
    <row r="180" ht="15.75" customHeight="1">
      <c r="A180" s="25" t="str">
        <f>'VIX HISTORIQUE'!A183</f>
        <v/>
      </c>
      <c r="B180" s="22" t="str">
        <f>'VIX HISTORIQUE'!B183</f>
        <v/>
      </c>
      <c r="C180" s="22" t="str">
        <f>'VIX HISTORIQUE'!D183</f>
        <v/>
      </c>
      <c r="D180" s="22" t="str">
        <f>'VIX HISTORIQUE'!F183</f>
        <v/>
      </c>
      <c r="E180" s="22" t="str">
        <f>'VIX HISTORIQUE'!H183</f>
        <v/>
      </c>
      <c r="F180" s="22" t="str">
        <f>'VIX HISTORIQUE'!J183</f>
        <v/>
      </c>
    </row>
    <row r="181" ht="15.75" customHeight="1">
      <c r="A181" s="25" t="str">
        <f>'VIX HISTORIQUE'!A184</f>
        <v/>
      </c>
      <c r="B181" s="22" t="str">
        <f>'VIX HISTORIQUE'!B184</f>
        <v/>
      </c>
      <c r="C181" s="22" t="str">
        <f>'VIX HISTORIQUE'!D184</f>
        <v/>
      </c>
      <c r="D181" s="22" t="str">
        <f>'VIX HISTORIQUE'!F184</f>
        <v/>
      </c>
      <c r="E181" s="22" t="str">
        <f>'VIX HISTORIQUE'!H184</f>
        <v/>
      </c>
      <c r="F181" s="22" t="str">
        <f>'VIX HISTORIQUE'!J184</f>
        <v/>
      </c>
    </row>
    <row r="182" ht="15.75" customHeight="1">
      <c r="A182" s="25" t="str">
        <f>'VIX HISTORIQUE'!A185</f>
        <v/>
      </c>
      <c r="B182" s="22" t="str">
        <f>'VIX HISTORIQUE'!B185</f>
        <v/>
      </c>
      <c r="C182" s="22" t="str">
        <f>'VIX HISTORIQUE'!D185</f>
        <v/>
      </c>
      <c r="D182" s="22" t="str">
        <f>'VIX HISTORIQUE'!F185</f>
        <v/>
      </c>
      <c r="E182" s="22" t="str">
        <f>'VIX HISTORIQUE'!H185</f>
        <v/>
      </c>
      <c r="F182" s="22" t="str">
        <f>'VIX HISTORIQUE'!J185</f>
        <v/>
      </c>
    </row>
    <row r="183" ht="15.75" customHeight="1">
      <c r="A183" s="25" t="str">
        <f>'VIX HISTORIQUE'!A186</f>
        <v/>
      </c>
      <c r="B183" s="22" t="str">
        <f>'VIX HISTORIQUE'!B186</f>
        <v/>
      </c>
      <c r="C183" s="22" t="str">
        <f>'VIX HISTORIQUE'!D186</f>
        <v/>
      </c>
      <c r="D183" s="22" t="str">
        <f>'VIX HISTORIQUE'!F186</f>
        <v/>
      </c>
      <c r="E183" s="22" t="str">
        <f>'VIX HISTORIQUE'!H186</f>
        <v/>
      </c>
      <c r="F183" s="22" t="str">
        <f>'VIX HISTORIQUE'!J186</f>
        <v/>
      </c>
    </row>
    <row r="184" ht="15.75" customHeight="1">
      <c r="A184" s="25" t="str">
        <f>'VIX HISTORIQUE'!A187</f>
        <v/>
      </c>
      <c r="B184" s="22" t="str">
        <f>'VIX HISTORIQUE'!B187</f>
        <v/>
      </c>
      <c r="C184" s="22" t="str">
        <f>'VIX HISTORIQUE'!D187</f>
        <v/>
      </c>
      <c r="D184" s="22" t="str">
        <f>'VIX HISTORIQUE'!F187</f>
        <v/>
      </c>
      <c r="E184" s="22" t="str">
        <f>'VIX HISTORIQUE'!H187</f>
        <v/>
      </c>
      <c r="F184" s="22" t="str">
        <f>'VIX HISTORIQUE'!J187</f>
        <v/>
      </c>
    </row>
    <row r="185" ht="15.75" customHeight="1">
      <c r="A185" s="25" t="str">
        <f>'VIX HISTORIQUE'!A188</f>
        <v/>
      </c>
      <c r="B185" s="22" t="str">
        <f>'VIX HISTORIQUE'!B188</f>
        <v/>
      </c>
      <c r="C185" s="22" t="str">
        <f>'VIX HISTORIQUE'!D188</f>
        <v/>
      </c>
      <c r="D185" s="22" t="str">
        <f>'VIX HISTORIQUE'!F188</f>
        <v/>
      </c>
      <c r="E185" s="22" t="str">
        <f>'VIX HISTORIQUE'!H188</f>
        <v/>
      </c>
      <c r="F185" s="22" t="str">
        <f>'VIX HISTORIQUE'!J188</f>
        <v/>
      </c>
    </row>
    <row r="186" ht="15.75" customHeight="1">
      <c r="A186" s="25" t="str">
        <f>'VIX HISTORIQUE'!A189</f>
        <v/>
      </c>
      <c r="B186" s="22" t="str">
        <f>'VIX HISTORIQUE'!B189</f>
        <v/>
      </c>
      <c r="C186" s="22" t="str">
        <f>'VIX HISTORIQUE'!D189</f>
        <v/>
      </c>
      <c r="D186" s="22" t="str">
        <f>'VIX HISTORIQUE'!F189</f>
        <v/>
      </c>
      <c r="E186" s="22" t="str">
        <f>'VIX HISTORIQUE'!H189</f>
        <v/>
      </c>
      <c r="F186" s="22" t="str">
        <f>'VIX HISTORIQUE'!J189</f>
        <v/>
      </c>
    </row>
    <row r="187" ht="15.75" customHeight="1">
      <c r="A187" s="25" t="str">
        <f>'VIX HISTORIQUE'!A190</f>
        <v/>
      </c>
      <c r="B187" s="22" t="str">
        <f>'VIX HISTORIQUE'!B190</f>
        <v/>
      </c>
      <c r="C187" s="22" t="str">
        <f>'VIX HISTORIQUE'!D190</f>
        <v/>
      </c>
      <c r="D187" s="22" t="str">
        <f>'VIX HISTORIQUE'!F190</f>
        <v/>
      </c>
      <c r="E187" s="22" t="str">
        <f>'VIX HISTORIQUE'!H190</f>
        <v/>
      </c>
      <c r="F187" s="22" t="str">
        <f>'VIX HISTORIQUE'!J190</f>
        <v/>
      </c>
    </row>
    <row r="188" ht="15.75" customHeight="1">
      <c r="A188" s="25" t="str">
        <f>'VIX HISTORIQUE'!A191</f>
        <v/>
      </c>
      <c r="B188" s="22" t="str">
        <f>'VIX HISTORIQUE'!B191</f>
        <v/>
      </c>
      <c r="C188" s="22" t="str">
        <f>'VIX HISTORIQUE'!D191</f>
        <v/>
      </c>
      <c r="D188" s="22" t="str">
        <f>'VIX HISTORIQUE'!F191</f>
        <v/>
      </c>
      <c r="E188" s="22" t="str">
        <f>'VIX HISTORIQUE'!H191</f>
        <v/>
      </c>
      <c r="F188" s="22" t="str">
        <f>'VIX HISTORIQUE'!J191</f>
        <v/>
      </c>
    </row>
    <row r="189" ht="15.75" customHeight="1">
      <c r="A189" s="25" t="str">
        <f>'VIX HISTORIQUE'!A192</f>
        <v/>
      </c>
      <c r="B189" s="22" t="str">
        <f>'VIX HISTORIQUE'!B192</f>
        <v/>
      </c>
      <c r="C189" s="22" t="str">
        <f>'VIX HISTORIQUE'!D192</f>
        <v/>
      </c>
      <c r="D189" s="22" t="str">
        <f>'VIX HISTORIQUE'!F192</f>
        <v/>
      </c>
      <c r="E189" s="22" t="str">
        <f>'VIX HISTORIQUE'!H192</f>
        <v/>
      </c>
      <c r="F189" s="22" t="str">
        <f>'VIX HISTORIQUE'!J192</f>
        <v/>
      </c>
    </row>
    <row r="190" ht="15.75" customHeight="1">
      <c r="A190" s="25" t="str">
        <f>'VIX HISTORIQUE'!A193</f>
        <v/>
      </c>
      <c r="B190" s="22" t="str">
        <f>'VIX HISTORIQUE'!B193</f>
        <v/>
      </c>
      <c r="C190" s="22" t="str">
        <f>'VIX HISTORIQUE'!D193</f>
        <v/>
      </c>
      <c r="D190" s="22" t="str">
        <f>'VIX HISTORIQUE'!F193</f>
        <v/>
      </c>
      <c r="E190" s="22" t="str">
        <f>'VIX HISTORIQUE'!H193</f>
        <v/>
      </c>
      <c r="F190" s="22" t="str">
        <f>'VIX HISTORIQUE'!J193</f>
        <v/>
      </c>
    </row>
    <row r="191" ht="15.75" customHeight="1">
      <c r="A191" s="25" t="str">
        <f>'VIX HISTORIQUE'!A194</f>
        <v/>
      </c>
      <c r="B191" s="22" t="str">
        <f>'VIX HISTORIQUE'!B194</f>
        <v/>
      </c>
      <c r="C191" s="22" t="str">
        <f>'VIX HISTORIQUE'!D194</f>
        <v/>
      </c>
      <c r="D191" s="22" t="str">
        <f>'VIX HISTORIQUE'!F194</f>
        <v/>
      </c>
      <c r="E191" s="22" t="str">
        <f>'VIX HISTORIQUE'!H194</f>
        <v/>
      </c>
      <c r="F191" s="22" t="str">
        <f>'VIX HISTORIQUE'!J194</f>
        <v/>
      </c>
    </row>
    <row r="192" ht="15.75" customHeight="1">
      <c r="A192" s="25" t="str">
        <f>'VIX HISTORIQUE'!A195</f>
        <v/>
      </c>
      <c r="B192" s="22" t="str">
        <f>'VIX HISTORIQUE'!B195</f>
        <v/>
      </c>
      <c r="C192" s="22" t="str">
        <f>'VIX HISTORIQUE'!D195</f>
        <v/>
      </c>
      <c r="D192" s="22" t="str">
        <f>'VIX HISTORIQUE'!F195</f>
        <v/>
      </c>
      <c r="E192" s="22" t="str">
        <f>'VIX HISTORIQUE'!H195</f>
        <v/>
      </c>
      <c r="F192" s="22" t="str">
        <f>'VIX HISTORIQUE'!J195</f>
        <v/>
      </c>
    </row>
    <row r="193" ht="15.75" customHeight="1">
      <c r="A193" s="25" t="str">
        <f>'VIX HISTORIQUE'!A196</f>
        <v/>
      </c>
      <c r="B193" s="22" t="str">
        <f>'VIX HISTORIQUE'!B196</f>
        <v/>
      </c>
      <c r="C193" s="22" t="str">
        <f>'VIX HISTORIQUE'!D196</f>
        <v/>
      </c>
      <c r="D193" s="22" t="str">
        <f>'VIX HISTORIQUE'!F196</f>
        <v/>
      </c>
      <c r="E193" s="22" t="str">
        <f>'VIX HISTORIQUE'!H196</f>
        <v/>
      </c>
      <c r="F193" s="22" t="str">
        <f>'VIX HISTORIQUE'!J196</f>
        <v/>
      </c>
    </row>
    <row r="194" ht="15.75" customHeight="1">
      <c r="A194" s="25" t="str">
        <f>'VIX HISTORIQUE'!A197</f>
        <v/>
      </c>
      <c r="B194" s="22" t="str">
        <f>'VIX HISTORIQUE'!B197</f>
        <v/>
      </c>
      <c r="C194" s="22" t="str">
        <f>'VIX HISTORIQUE'!D197</f>
        <v/>
      </c>
      <c r="D194" s="22" t="str">
        <f>'VIX HISTORIQUE'!F197</f>
        <v/>
      </c>
      <c r="E194" s="22" t="str">
        <f>'VIX HISTORIQUE'!H197</f>
        <v/>
      </c>
      <c r="F194" s="22" t="str">
        <f>'VIX HISTORIQUE'!J197</f>
        <v/>
      </c>
    </row>
    <row r="195" ht="15.75" customHeight="1">
      <c r="A195" s="25" t="str">
        <f>'VIX HISTORIQUE'!A198</f>
        <v/>
      </c>
      <c r="B195" s="22" t="str">
        <f>'VIX HISTORIQUE'!B198</f>
        <v/>
      </c>
      <c r="C195" s="22" t="str">
        <f>'VIX HISTORIQUE'!D198</f>
        <v/>
      </c>
      <c r="D195" s="22" t="str">
        <f>'VIX HISTORIQUE'!F198</f>
        <v/>
      </c>
      <c r="E195" s="22" t="str">
        <f>'VIX HISTORIQUE'!H198</f>
        <v/>
      </c>
      <c r="F195" s="22" t="str">
        <f>'VIX HISTORIQUE'!J198</f>
        <v/>
      </c>
    </row>
    <row r="196" ht="15.75" customHeight="1">
      <c r="A196" s="25" t="str">
        <f>'VIX HISTORIQUE'!A199</f>
        <v/>
      </c>
      <c r="B196" s="22" t="str">
        <f>'VIX HISTORIQUE'!B199</f>
        <v/>
      </c>
      <c r="C196" s="22" t="str">
        <f>'VIX HISTORIQUE'!D199</f>
        <v/>
      </c>
      <c r="D196" s="22" t="str">
        <f>'VIX HISTORIQUE'!F199</f>
        <v/>
      </c>
      <c r="E196" s="22" t="str">
        <f>'VIX HISTORIQUE'!H199</f>
        <v/>
      </c>
      <c r="F196" s="22" t="str">
        <f>'VIX HISTORIQUE'!J199</f>
        <v/>
      </c>
    </row>
    <row r="197" ht="15.75" customHeight="1">
      <c r="A197" s="25" t="str">
        <f>'VIX HISTORIQUE'!A200</f>
        <v/>
      </c>
      <c r="B197" s="22" t="str">
        <f>'VIX HISTORIQUE'!B200</f>
        <v/>
      </c>
      <c r="C197" s="22" t="str">
        <f>'VIX HISTORIQUE'!D200</f>
        <v/>
      </c>
      <c r="D197" s="22" t="str">
        <f>'VIX HISTORIQUE'!F200</f>
        <v/>
      </c>
      <c r="E197" s="22" t="str">
        <f>'VIX HISTORIQUE'!H200</f>
        <v/>
      </c>
      <c r="F197" s="22" t="str">
        <f>'VIX HISTORIQUE'!J200</f>
        <v/>
      </c>
    </row>
    <row r="198" ht="15.75" customHeight="1">
      <c r="A198" s="25" t="str">
        <f>'VIX HISTORIQUE'!A201</f>
        <v/>
      </c>
      <c r="B198" s="22" t="str">
        <f>'VIX HISTORIQUE'!B201</f>
        <v/>
      </c>
      <c r="C198" s="22" t="str">
        <f>'VIX HISTORIQUE'!D201</f>
        <v/>
      </c>
      <c r="D198" s="22" t="str">
        <f>'VIX HISTORIQUE'!F201</f>
        <v/>
      </c>
      <c r="E198" s="22" t="str">
        <f>'VIX HISTORIQUE'!H201</f>
        <v/>
      </c>
      <c r="F198" s="22" t="str">
        <f>'VIX HISTORIQUE'!J201</f>
        <v/>
      </c>
    </row>
    <row r="199" ht="15.75" customHeight="1">
      <c r="A199" s="25" t="str">
        <f>'VIX HISTORIQUE'!A202</f>
        <v/>
      </c>
      <c r="B199" s="22" t="str">
        <f>'VIX HISTORIQUE'!B202</f>
        <v/>
      </c>
      <c r="C199" s="22" t="str">
        <f>'VIX HISTORIQUE'!D202</f>
        <v/>
      </c>
      <c r="D199" s="22" t="str">
        <f>'VIX HISTORIQUE'!F202</f>
        <v/>
      </c>
      <c r="E199" s="22" t="str">
        <f>'VIX HISTORIQUE'!H202</f>
        <v/>
      </c>
      <c r="F199" s="22" t="str">
        <f>'VIX HISTORIQUE'!J202</f>
        <v/>
      </c>
    </row>
    <row r="200" ht="15.75" customHeight="1">
      <c r="A200" s="25" t="str">
        <f>'VIX HISTORIQUE'!A203</f>
        <v/>
      </c>
      <c r="B200" s="22" t="str">
        <f>'VIX HISTORIQUE'!B203</f>
        <v/>
      </c>
      <c r="C200" s="22" t="str">
        <f>'VIX HISTORIQUE'!D203</f>
        <v/>
      </c>
      <c r="D200" s="22" t="str">
        <f>'VIX HISTORIQUE'!F203</f>
        <v/>
      </c>
      <c r="E200" s="22" t="str">
        <f>'VIX HISTORIQUE'!H203</f>
        <v/>
      </c>
      <c r="F200" s="22" t="str">
        <f>'VIX HISTORIQUE'!J203</f>
        <v/>
      </c>
    </row>
    <row r="201" ht="15.75" customHeight="1">
      <c r="A201" s="25" t="str">
        <f>'VIX HISTORIQUE'!A204</f>
        <v/>
      </c>
      <c r="B201" s="22" t="str">
        <f>'VIX HISTORIQUE'!B204</f>
        <v/>
      </c>
      <c r="C201" s="22" t="str">
        <f>'VIX HISTORIQUE'!D204</f>
        <v/>
      </c>
      <c r="D201" s="22" t="str">
        <f>'VIX HISTORIQUE'!F204</f>
        <v/>
      </c>
      <c r="E201" s="22" t="str">
        <f>'VIX HISTORIQUE'!H204</f>
        <v/>
      </c>
      <c r="F201" s="22" t="str">
        <f>'VIX HISTORIQUE'!J204</f>
        <v/>
      </c>
    </row>
    <row r="202" ht="15.75" customHeight="1">
      <c r="A202" s="25" t="str">
        <f>'VIX HISTORIQUE'!A205</f>
        <v/>
      </c>
      <c r="B202" s="22" t="str">
        <f>'VIX HISTORIQUE'!B205</f>
        <v/>
      </c>
      <c r="C202" s="22" t="str">
        <f>'VIX HISTORIQUE'!D205</f>
        <v/>
      </c>
      <c r="D202" s="22" t="str">
        <f>'VIX HISTORIQUE'!F205</f>
        <v/>
      </c>
      <c r="E202" s="22" t="str">
        <f>'VIX HISTORIQUE'!H205</f>
        <v/>
      </c>
      <c r="F202" s="22" t="str">
        <f>'VIX HISTORIQUE'!J205</f>
        <v/>
      </c>
    </row>
    <row r="203" ht="15.75" customHeight="1">
      <c r="A203" s="25" t="str">
        <f>'VIX HISTORIQUE'!A206</f>
        <v/>
      </c>
      <c r="B203" s="22" t="str">
        <f>'VIX HISTORIQUE'!B206</f>
        <v/>
      </c>
      <c r="C203" s="22" t="str">
        <f>'VIX HISTORIQUE'!D206</f>
        <v/>
      </c>
      <c r="D203" s="22" t="str">
        <f>'VIX HISTORIQUE'!F206</f>
        <v/>
      </c>
      <c r="E203" s="22" t="str">
        <f>'VIX HISTORIQUE'!H206</f>
        <v/>
      </c>
      <c r="F203" s="22" t="str">
        <f>'VIX HISTORIQUE'!J206</f>
        <v/>
      </c>
    </row>
    <row r="204" ht="15.75" customHeight="1">
      <c r="A204" s="25" t="str">
        <f>'VIX HISTORIQUE'!A207</f>
        <v/>
      </c>
      <c r="B204" s="22" t="str">
        <f>'VIX HISTORIQUE'!B207</f>
        <v/>
      </c>
      <c r="C204" s="22" t="str">
        <f>'VIX HISTORIQUE'!D207</f>
        <v/>
      </c>
      <c r="D204" s="22" t="str">
        <f>'VIX HISTORIQUE'!F207</f>
        <v/>
      </c>
      <c r="E204" s="22" t="str">
        <f>'VIX HISTORIQUE'!H207</f>
        <v/>
      </c>
      <c r="F204" s="22" t="str">
        <f>'VIX HISTORIQUE'!J207</f>
        <v/>
      </c>
    </row>
    <row r="205" ht="15.75" customHeight="1">
      <c r="A205" s="25" t="str">
        <f>'VIX HISTORIQUE'!A208</f>
        <v/>
      </c>
      <c r="B205" s="22" t="str">
        <f>'VIX HISTORIQUE'!B208</f>
        <v/>
      </c>
      <c r="C205" s="22" t="str">
        <f>'VIX HISTORIQUE'!D208</f>
        <v/>
      </c>
      <c r="D205" s="22" t="str">
        <f>'VIX HISTORIQUE'!F208</f>
        <v/>
      </c>
      <c r="E205" s="22" t="str">
        <f>'VIX HISTORIQUE'!H208</f>
        <v/>
      </c>
      <c r="F205" s="22" t="str">
        <f>'VIX HISTORIQUE'!J208</f>
        <v/>
      </c>
    </row>
    <row r="206" ht="15.75" customHeight="1">
      <c r="A206" s="25" t="str">
        <f>'VIX HISTORIQUE'!A209</f>
        <v/>
      </c>
      <c r="B206" s="22" t="str">
        <f>'VIX HISTORIQUE'!B209</f>
        <v/>
      </c>
      <c r="C206" s="22" t="str">
        <f>'VIX HISTORIQUE'!D209</f>
        <v/>
      </c>
      <c r="D206" s="22" t="str">
        <f>'VIX HISTORIQUE'!F209</f>
        <v/>
      </c>
      <c r="E206" s="22" t="str">
        <f>'VIX HISTORIQUE'!H209</f>
        <v/>
      </c>
      <c r="F206" s="22" t="str">
        <f>'VIX HISTORIQUE'!J209</f>
        <v/>
      </c>
    </row>
    <row r="207" ht="15.75" customHeight="1">
      <c r="A207" s="25" t="str">
        <f>'VIX HISTORIQUE'!A210</f>
        <v/>
      </c>
      <c r="B207" s="22" t="str">
        <f>'VIX HISTORIQUE'!B210</f>
        <v/>
      </c>
      <c r="C207" s="22" t="str">
        <f>'VIX HISTORIQUE'!D210</f>
        <v/>
      </c>
      <c r="D207" s="22" t="str">
        <f>'VIX HISTORIQUE'!F210</f>
        <v/>
      </c>
      <c r="E207" s="22" t="str">
        <f>'VIX HISTORIQUE'!H210</f>
        <v/>
      </c>
      <c r="F207" s="22" t="str">
        <f>'VIX HISTORIQUE'!J210</f>
        <v/>
      </c>
    </row>
    <row r="208" ht="15.75" customHeight="1">
      <c r="A208" s="25" t="str">
        <f>'VIX HISTORIQUE'!A211</f>
        <v/>
      </c>
      <c r="B208" s="22" t="str">
        <f>'VIX HISTORIQUE'!B211</f>
        <v/>
      </c>
      <c r="C208" s="22" t="str">
        <f>'VIX HISTORIQUE'!D211</f>
        <v/>
      </c>
      <c r="D208" s="22" t="str">
        <f>'VIX HISTORIQUE'!F211</f>
        <v/>
      </c>
      <c r="E208" s="22" t="str">
        <f>'VIX HISTORIQUE'!H211</f>
        <v/>
      </c>
      <c r="F208" s="22" t="str">
        <f>'VIX HISTORIQUE'!J211</f>
        <v/>
      </c>
    </row>
    <row r="209" ht="15.75" customHeight="1">
      <c r="A209" s="25" t="str">
        <f>'VIX HISTORIQUE'!A212</f>
        <v/>
      </c>
      <c r="B209" s="22" t="str">
        <f>'VIX HISTORIQUE'!B212</f>
        <v/>
      </c>
      <c r="C209" s="22" t="str">
        <f>'VIX HISTORIQUE'!D212</f>
        <v/>
      </c>
      <c r="D209" s="22" t="str">
        <f>'VIX HISTORIQUE'!F212</f>
        <v/>
      </c>
      <c r="E209" s="22" t="str">
        <f>'VIX HISTORIQUE'!H212</f>
        <v/>
      </c>
      <c r="F209" s="22" t="str">
        <f>'VIX HISTORIQUE'!J212</f>
        <v/>
      </c>
    </row>
    <row r="210" ht="15.75" customHeight="1">
      <c r="A210" s="25" t="str">
        <f>'VIX HISTORIQUE'!A213</f>
        <v/>
      </c>
      <c r="B210" s="22" t="str">
        <f>'VIX HISTORIQUE'!B213</f>
        <v/>
      </c>
      <c r="C210" s="22" t="str">
        <f>'VIX HISTORIQUE'!D213</f>
        <v/>
      </c>
      <c r="D210" s="22" t="str">
        <f>'VIX HISTORIQUE'!F213</f>
        <v/>
      </c>
      <c r="E210" s="22" t="str">
        <f>'VIX HISTORIQUE'!H213</f>
        <v/>
      </c>
      <c r="F210" s="22" t="str">
        <f>'VIX HISTORIQUE'!J213</f>
        <v/>
      </c>
    </row>
    <row r="211" ht="15.75" customHeight="1">
      <c r="A211" s="25" t="str">
        <f>'VIX HISTORIQUE'!A214</f>
        <v/>
      </c>
      <c r="B211" s="22" t="str">
        <f>'VIX HISTORIQUE'!B214</f>
        <v/>
      </c>
      <c r="C211" s="22" t="str">
        <f>'VIX HISTORIQUE'!D214</f>
        <v/>
      </c>
      <c r="D211" s="22" t="str">
        <f>'VIX HISTORIQUE'!F214</f>
        <v/>
      </c>
      <c r="E211" s="22" t="str">
        <f>'VIX HISTORIQUE'!H214</f>
        <v/>
      </c>
      <c r="F211" s="22" t="str">
        <f>'VIX HISTORIQUE'!J214</f>
        <v/>
      </c>
    </row>
    <row r="212" ht="15.75" customHeight="1">
      <c r="A212" s="25" t="str">
        <f>'VIX HISTORIQUE'!A215</f>
        <v/>
      </c>
      <c r="B212" s="22" t="str">
        <f>'VIX HISTORIQUE'!B215</f>
        <v/>
      </c>
      <c r="C212" s="22" t="str">
        <f>'VIX HISTORIQUE'!D215</f>
        <v/>
      </c>
      <c r="D212" s="22" t="str">
        <f>'VIX HISTORIQUE'!F215</f>
        <v/>
      </c>
      <c r="E212" s="22" t="str">
        <f>'VIX HISTORIQUE'!H215</f>
        <v/>
      </c>
      <c r="F212" s="22" t="str">
        <f>'VIX HISTORIQUE'!J215</f>
        <v/>
      </c>
    </row>
    <row r="213" ht="15.75" customHeight="1">
      <c r="A213" s="25" t="str">
        <f>'VIX HISTORIQUE'!A216</f>
        <v/>
      </c>
      <c r="B213" s="22" t="str">
        <f>'VIX HISTORIQUE'!B216</f>
        <v/>
      </c>
      <c r="C213" s="22" t="str">
        <f>'VIX HISTORIQUE'!D216</f>
        <v/>
      </c>
      <c r="D213" s="22" t="str">
        <f>'VIX HISTORIQUE'!F216</f>
        <v/>
      </c>
      <c r="E213" s="22" t="str">
        <f>'VIX HISTORIQUE'!H216</f>
        <v/>
      </c>
      <c r="F213" s="22" t="str">
        <f>'VIX HISTORIQUE'!J216</f>
        <v/>
      </c>
    </row>
    <row r="214" ht="15.75" customHeight="1">
      <c r="A214" s="25" t="str">
        <f>'VIX HISTORIQUE'!A217</f>
        <v/>
      </c>
      <c r="B214" s="22" t="str">
        <f>'VIX HISTORIQUE'!B217</f>
        <v/>
      </c>
      <c r="C214" s="22" t="str">
        <f>'VIX HISTORIQUE'!D217</f>
        <v/>
      </c>
      <c r="D214" s="22" t="str">
        <f>'VIX HISTORIQUE'!F217</f>
        <v/>
      </c>
      <c r="E214" s="22" t="str">
        <f>'VIX HISTORIQUE'!H217</f>
        <v/>
      </c>
      <c r="F214" s="22" t="str">
        <f>'VIX HISTORIQUE'!J217</f>
        <v/>
      </c>
    </row>
    <row r="215" ht="15.75" customHeight="1">
      <c r="A215" s="25" t="str">
        <f>'VIX HISTORIQUE'!A218</f>
        <v/>
      </c>
      <c r="B215" s="22" t="str">
        <f>'VIX HISTORIQUE'!B218</f>
        <v/>
      </c>
      <c r="C215" s="22" t="str">
        <f>'VIX HISTORIQUE'!D218</f>
        <v/>
      </c>
      <c r="D215" s="22" t="str">
        <f>'VIX HISTORIQUE'!F218</f>
        <v/>
      </c>
      <c r="E215" s="22" t="str">
        <f>'VIX HISTORIQUE'!H218</f>
        <v/>
      </c>
      <c r="F215" s="22" t="str">
        <f>'VIX HISTORIQUE'!J218</f>
        <v/>
      </c>
    </row>
    <row r="216" ht="15.75" customHeight="1">
      <c r="A216" s="25" t="str">
        <f>'VIX HISTORIQUE'!A219</f>
        <v/>
      </c>
      <c r="B216" s="22" t="str">
        <f>'VIX HISTORIQUE'!B219</f>
        <v/>
      </c>
      <c r="C216" s="22" t="str">
        <f>'VIX HISTORIQUE'!D219</f>
        <v/>
      </c>
      <c r="D216" s="22" t="str">
        <f>'VIX HISTORIQUE'!F219</f>
        <v/>
      </c>
      <c r="E216" s="22" t="str">
        <f>'VIX HISTORIQUE'!H219</f>
        <v/>
      </c>
      <c r="F216" s="22" t="str">
        <f>'VIX HISTORIQUE'!J219</f>
        <v/>
      </c>
    </row>
    <row r="217" ht="15.75" customHeight="1">
      <c r="A217" s="25" t="str">
        <f>'VIX HISTORIQUE'!A220</f>
        <v/>
      </c>
      <c r="B217" s="22" t="str">
        <f>'VIX HISTORIQUE'!B220</f>
        <v/>
      </c>
      <c r="C217" s="22" t="str">
        <f>'VIX HISTORIQUE'!D220</f>
        <v/>
      </c>
      <c r="D217" s="22" t="str">
        <f>'VIX HISTORIQUE'!F220</f>
        <v/>
      </c>
      <c r="E217" s="22" t="str">
        <f>'VIX HISTORIQUE'!H220</f>
        <v/>
      </c>
      <c r="F217" s="22" t="str">
        <f>'VIX HISTORIQUE'!J220</f>
        <v/>
      </c>
    </row>
    <row r="218" ht="15.75" customHeight="1">
      <c r="A218" s="25" t="str">
        <f>'VIX HISTORIQUE'!A221</f>
        <v/>
      </c>
      <c r="B218" s="22" t="str">
        <f>'VIX HISTORIQUE'!B221</f>
        <v/>
      </c>
      <c r="C218" s="22" t="str">
        <f>'VIX HISTORIQUE'!D221</f>
        <v/>
      </c>
      <c r="D218" s="22" t="str">
        <f>'VIX HISTORIQUE'!F221</f>
        <v/>
      </c>
      <c r="E218" s="22" t="str">
        <f>'VIX HISTORIQUE'!H221</f>
        <v/>
      </c>
      <c r="F218" s="22" t="str">
        <f>'VIX HISTORIQUE'!J221</f>
        <v/>
      </c>
    </row>
    <row r="219" ht="15.75" customHeight="1">
      <c r="A219" s="25" t="str">
        <f>'VIX HISTORIQUE'!A222</f>
        <v/>
      </c>
      <c r="B219" s="22" t="str">
        <f>'VIX HISTORIQUE'!B222</f>
        <v/>
      </c>
      <c r="C219" s="22" t="str">
        <f>'VIX HISTORIQUE'!D222</f>
        <v/>
      </c>
      <c r="D219" s="22" t="str">
        <f>'VIX HISTORIQUE'!F222</f>
        <v/>
      </c>
      <c r="E219" s="22" t="str">
        <f>'VIX HISTORIQUE'!H222</f>
        <v/>
      </c>
      <c r="F219" s="22" t="str">
        <f>'VIX HISTORIQUE'!J222</f>
        <v/>
      </c>
    </row>
    <row r="220" ht="15.75" customHeight="1">
      <c r="A220" s="25" t="str">
        <f>'VIX HISTORIQUE'!A223</f>
        <v/>
      </c>
      <c r="B220" s="22" t="str">
        <f>'VIX HISTORIQUE'!B223</f>
        <v/>
      </c>
      <c r="C220" s="22" t="str">
        <f>'VIX HISTORIQUE'!D223</f>
        <v/>
      </c>
      <c r="D220" s="22" t="str">
        <f>'VIX HISTORIQUE'!F223</f>
        <v/>
      </c>
      <c r="E220" s="22" t="str">
        <f>'VIX HISTORIQUE'!H223</f>
        <v/>
      </c>
      <c r="F220" s="22" t="str">
        <f>'VIX HISTORIQUE'!J223</f>
        <v/>
      </c>
    </row>
    <row r="221" ht="15.75" customHeight="1">
      <c r="A221" s="25" t="str">
        <f>'VIX HISTORIQUE'!A224</f>
        <v/>
      </c>
      <c r="B221" s="22" t="str">
        <f>'VIX HISTORIQUE'!B224</f>
        <v/>
      </c>
      <c r="C221" s="22" t="str">
        <f>'VIX HISTORIQUE'!D224</f>
        <v/>
      </c>
      <c r="D221" s="22" t="str">
        <f>'VIX HISTORIQUE'!F224</f>
        <v/>
      </c>
      <c r="E221" s="22" t="str">
        <f>'VIX HISTORIQUE'!H224</f>
        <v/>
      </c>
      <c r="F221" s="22" t="str">
        <f>'VIX HISTORIQUE'!J224</f>
        <v/>
      </c>
    </row>
    <row r="222" ht="15.75" customHeight="1">
      <c r="A222" s="25" t="str">
        <f>'VIX HISTORIQUE'!A225</f>
        <v/>
      </c>
      <c r="B222" s="22" t="str">
        <f>'VIX HISTORIQUE'!B225</f>
        <v/>
      </c>
      <c r="C222" s="22" t="str">
        <f>'VIX HISTORIQUE'!D225</f>
        <v/>
      </c>
      <c r="D222" s="22" t="str">
        <f>'VIX HISTORIQUE'!F225</f>
        <v/>
      </c>
      <c r="E222" s="22" t="str">
        <f>'VIX HISTORIQUE'!H225</f>
        <v/>
      </c>
      <c r="F222" s="22" t="str">
        <f>'VIX HISTORIQUE'!J225</f>
        <v/>
      </c>
    </row>
    <row r="223" ht="15.75" customHeight="1">
      <c r="A223" s="25" t="str">
        <f>'VIX HISTORIQUE'!A226</f>
        <v/>
      </c>
      <c r="B223" s="22" t="str">
        <f>'VIX HISTORIQUE'!B226</f>
        <v/>
      </c>
      <c r="C223" s="22" t="str">
        <f>'VIX HISTORIQUE'!D226</f>
        <v/>
      </c>
      <c r="D223" s="22" t="str">
        <f>'VIX HISTORIQUE'!F226</f>
        <v/>
      </c>
      <c r="E223" s="22" t="str">
        <f>'VIX HISTORIQUE'!H226</f>
        <v/>
      </c>
      <c r="F223" s="22" t="str">
        <f>'VIX HISTORIQUE'!J226</f>
        <v/>
      </c>
    </row>
    <row r="224" ht="15.75" customHeight="1">
      <c r="A224" s="25" t="str">
        <f>'VIX HISTORIQUE'!A227</f>
        <v/>
      </c>
      <c r="B224" s="22" t="str">
        <f>'VIX HISTORIQUE'!B227</f>
        <v/>
      </c>
      <c r="C224" s="22" t="str">
        <f>'VIX HISTORIQUE'!D227</f>
        <v/>
      </c>
      <c r="D224" s="22" t="str">
        <f>'VIX HISTORIQUE'!F227</f>
        <v/>
      </c>
      <c r="E224" s="22" t="str">
        <f>'VIX HISTORIQUE'!H227</f>
        <v/>
      </c>
      <c r="F224" s="22" t="str">
        <f>'VIX HISTORIQUE'!J227</f>
        <v/>
      </c>
    </row>
    <row r="225" ht="15.75" customHeight="1">
      <c r="A225" s="25" t="str">
        <f>'VIX HISTORIQUE'!A228</f>
        <v/>
      </c>
      <c r="B225" s="22" t="str">
        <f>'VIX HISTORIQUE'!B228</f>
        <v/>
      </c>
      <c r="C225" s="22" t="str">
        <f>'VIX HISTORIQUE'!D228</f>
        <v/>
      </c>
      <c r="D225" s="22" t="str">
        <f>'VIX HISTORIQUE'!F228</f>
        <v/>
      </c>
      <c r="E225" s="22" t="str">
        <f>'VIX HISTORIQUE'!H228</f>
        <v/>
      </c>
      <c r="F225" s="22" t="str">
        <f>'VIX HISTORIQUE'!J228</f>
        <v/>
      </c>
    </row>
    <row r="226" ht="15.75" customHeight="1">
      <c r="A226" s="25" t="str">
        <f>'VIX HISTORIQUE'!A229</f>
        <v/>
      </c>
      <c r="B226" s="22" t="str">
        <f>'VIX HISTORIQUE'!B229</f>
        <v/>
      </c>
      <c r="C226" s="22" t="str">
        <f>'VIX HISTORIQUE'!D229</f>
        <v/>
      </c>
      <c r="D226" s="22" t="str">
        <f>'VIX HISTORIQUE'!F229</f>
        <v/>
      </c>
      <c r="E226" s="22" t="str">
        <f>'VIX HISTORIQUE'!H229</f>
        <v/>
      </c>
      <c r="F226" s="22" t="str">
        <f>'VIX HISTORIQUE'!J229</f>
        <v/>
      </c>
    </row>
    <row r="227" ht="15.75" customHeight="1">
      <c r="A227" s="25" t="str">
        <f>'VIX HISTORIQUE'!A230</f>
        <v/>
      </c>
      <c r="B227" s="22" t="str">
        <f>'VIX HISTORIQUE'!B230</f>
        <v/>
      </c>
      <c r="C227" s="22" t="str">
        <f>'VIX HISTORIQUE'!D230</f>
        <v/>
      </c>
      <c r="D227" s="22" t="str">
        <f>'VIX HISTORIQUE'!F230</f>
        <v/>
      </c>
      <c r="E227" s="22" t="str">
        <f>'VIX HISTORIQUE'!H230</f>
        <v/>
      </c>
      <c r="F227" s="22" t="str">
        <f>'VIX HISTORIQUE'!J230</f>
        <v/>
      </c>
    </row>
    <row r="228" ht="15.75" customHeight="1">
      <c r="A228" s="25" t="str">
        <f>'VIX HISTORIQUE'!A231</f>
        <v/>
      </c>
      <c r="B228" s="22" t="str">
        <f>'VIX HISTORIQUE'!B231</f>
        <v/>
      </c>
      <c r="C228" s="22" t="str">
        <f>'VIX HISTORIQUE'!D231</f>
        <v/>
      </c>
      <c r="D228" s="22" t="str">
        <f>'VIX HISTORIQUE'!F231</f>
        <v/>
      </c>
      <c r="E228" s="22" t="str">
        <f>'VIX HISTORIQUE'!H231</f>
        <v/>
      </c>
      <c r="F228" s="22" t="str">
        <f>'VIX HISTORIQUE'!J231</f>
        <v/>
      </c>
    </row>
    <row r="229" ht="15.75" customHeight="1">
      <c r="A229" s="25" t="str">
        <f>'VIX HISTORIQUE'!A232</f>
        <v/>
      </c>
      <c r="B229" s="22" t="str">
        <f>'VIX HISTORIQUE'!B232</f>
        <v/>
      </c>
      <c r="C229" s="22" t="str">
        <f>'VIX HISTORIQUE'!D232</f>
        <v/>
      </c>
      <c r="D229" s="22" t="str">
        <f>'VIX HISTORIQUE'!F232</f>
        <v/>
      </c>
      <c r="E229" s="22" t="str">
        <f>'VIX HISTORIQUE'!H232</f>
        <v/>
      </c>
      <c r="F229" s="22" t="str">
        <f>'VIX HISTORIQUE'!J232</f>
        <v/>
      </c>
    </row>
    <row r="230" ht="15.75" customHeight="1">
      <c r="A230" s="25" t="str">
        <f>'VIX HISTORIQUE'!A233</f>
        <v/>
      </c>
      <c r="B230" s="22" t="str">
        <f>'VIX HISTORIQUE'!B233</f>
        <v/>
      </c>
      <c r="C230" s="22" t="str">
        <f>'VIX HISTORIQUE'!D233</f>
        <v/>
      </c>
      <c r="D230" s="22" t="str">
        <f>'VIX HISTORIQUE'!F233</f>
        <v/>
      </c>
      <c r="E230" s="22" t="str">
        <f>'VIX HISTORIQUE'!H233</f>
        <v/>
      </c>
      <c r="F230" s="22" t="str">
        <f>'VIX HISTORIQUE'!J233</f>
        <v/>
      </c>
    </row>
    <row r="231" ht="15.75" customHeight="1">
      <c r="A231" s="25" t="str">
        <f>'VIX HISTORIQUE'!A234</f>
        <v/>
      </c>
      <c r="B231" s="22" t="str">
        <f>'VIX HISTORIQUE'!B234</f>
        <v/>
      </c>
      <c r="C231" s="22" t="str">
        <f>'VIX HISTORIQUE'!D234</f>
        <v/>
      </c>
      <c r="D231" s="22" t="str">
        <f>'VIX HISTORIQUE'!F234</f>
        <v/>
      </c>
      <c r="E231" s="22" t="str">
        <f>'VIX HISTORIQUE'!H234</f>
        <v/>
      </c>
      <c r="F231" s="22" t="str">
        <f>'VIX HISTORIQUE'!J234</f>
        <v/>
      </c>
    </row>
    <row r="232" ht="15.75" customHeight="1">
      <c r="A232" s="25" t="str">
        <f>'VIX HISTORIQUE'!A235</f>
        <v/>
      </c>
      <c r="B232" s="22" t="str">
        <f>'VIX HISTORIQUE'!B235</f>
        <v/>
      </c>
      <c r="C232" s="22" t="str">
        <f>'VIX HISTORIQUE'!D235</f>
        <v/>
      </c>
      <c r="D232" s="22" t="str">
        <f>'VIX HISTORIQUE'!F235</f>
        <v/>
      </c>
      <c r="E232" s="22" t="str">
        <f>'VIX HISTORIQUE'!H235</f>
        <v/>
      </c>
      <c r="F232" s="22" t="str">
        <f>'VIX HISTORIQUE'!J235</f>
        <v/>
      </c>
    </row>
    <row r="233" ht="15.75" customHeight="1">
      <c r="A233" s="25" t="str">
        <f>'VIX HISTORIQUE'!A236</f>
        <v/>
      </c>
      <c r="B233" s="22" t="str">
        <f>'VIX HISTORIQUE'!B236</f>
        <v/>
      </c>
      <c r="C233" s="22" t="str">
        <f>'VIX HISTORIQUE'!D236</f>
        <v/>
      </c>
      <c r="D233" s="22" t="str">
        <f>'VIX HISTORIQUE'!F236</f>
        <v/>
      </c>
      <c r="E233" s="22" t="str">
        <f>'VIX HISTORIQUE'!H236</f>
        <v/>
      </c>
      <c r="F233" s="22" t="str">
        <f>'VIX HISTORIQUE'!J236</f>
        <v/>
      </c>
    </row>
    <row r="234" ht="15.75" customHeight="1">
      <c r="A234" s="25" t="str">
        <f>'VIX HISTORIQUE'!A237</f>
        <v/>
      </c>
      <c r="B234" s="22" t="str">
        <f>'VIX HISTORIQUE'!B237</f>
        <v/>
      </c>
      <c r="C234" s="22" t="str">
        <f>'VIX HISTORIQUE'!D237</f>
        <v/>
      </c>
      <c r="D234" s="22" t="str">
        <f>'VIX HISTORIQUE'!F237</f>
        <v/>
      </c>
      <c r="E234" s="22" t="str">
        <f>'VIX HISTORIQUE'!H237</f>
        <v/>
      </c>
      <c r="F234" s="22" t="str">
        <f>'VIX HISTORIQUE'!J237</f>
        <v/>
      </c>
    </row>
    <row r="235" ht="15.75" customHeight="1">
      <c r="A235" s="25" t="str">
        <f>'VIX HISTORIQUE'!A238</f>
        <v/>
      </c>
      <c r="B235" s="22" t="str">
        <f>'VIX HISTORIQUE'!B238</f>
        <v/>
      </c>
      <c r="C235" s="22" t="str">
        <f>'VIX HISTORIQUE'!D238</f>
        <v/>
      </c>
      <c r="D235" s="22" t="str">
        <f>'VIX HISTORIQUE'!F238</f>
        <v/>
      </c>
      <c r="E235" s="22" t="str">
        <f>'VIX HISTORIQUE'!H238</f>
        <v/>
      </c>
      <c r="F235" s="22" t="str">
        <f>'VIX HISTORIQUE'!J238</f>
        <v/>
      </c>
    </row>
    <row r="236" ht="15.75" customHeight="1">
      <c r="A236" s="25" t="str">
        <f>'VIX HISTORIQUE'!A239</f>
        <v/>
      </c>
      <c r="B236" s="22" t="str">
        <f>'VIX HISTORIQUE'!B239</f>
        <v/>
      </c>
      <c r="C236" s="22" t="str">
        <f>'VIX HISTORIQUE'!D239</f>
        <v/>
      </c>
      <c r="D236" s="22" t="str">
        <f>'VIX HISTORIQUE'!F239</f>
        <v/>
      </c>
      <c r="E236" s="22" t="str">
        <f>'VIX HISTORIQUE'!H239</f>
        <v/>
      </c>
      <c r="F236" s="22" t="str">
        <f>'VIX HISTORIQUE'!J239</f>
        <v/>
      </c>
    </row>
    <row r="237" ht="15.75" customHeight="1">
      <c r="A237" s="25" t="str">
        <f>'VIX HISTORIQUE'!A240</f>
        <v/>
      </c>
      <c r="B237" s="22" t="str">
        <f>'VIX HISTORIQUE'!B240</f>
        <v/>
      </c>
      <c r="C237" s="22" t="str">
        <f>'VIX HISTORIQUE'!D240</f>
        <v/>
      </c>
      <c r="D237" s="22" t="str">
        <f>'VIX HISTORIQUE'!F240</f>
        <v/>
      </c>
      <c r="E237" s="22" t="str">
        <f>'VIX HISTORIQUE'!H240</f>
        <v/>
      </c>
      <c r="F237" s="22" t="str">
        <f>'VIX HISTORIQUE'!J240</f>
        <v/>
      </c>
    </row>
    <row r="238" ht="15.75" customHeight="1">
      <c r="A238" s="25" t="str">
        <f>'VIX HISTORIQUE'!A241</f>
        <v/>
      </c>
      <c r="B238" s="22" t="str">
        <f>'VIX HISTORIQUE'!B241</f>
        <v/>
      </c>
      <c r="C238" s="22" t="str">
        <f>'VIX HISTORIQUE'!D241</f>
        <v/>
      </c>
      <c r="D238" s="22" t="str">
        <f>'VIX HISTORIQUE'!F241</f>
        <v/>
      </c>
      <c r="E238" s="22" t="str">
        <f>'VIX HISTORIQUE'!H241</f>
        <v/>
      </c>
      <c r="F238" s="22" t="str">
        <f>'VIX HISTORIQUE'!J241</f>
        <v/>
      </c>
    </row>
    <row r="239" ht="15.75" customHeight="1">
      <c r="A239" s="25" t="str">
        <f>'VIX HISTORIQUE'!A242</f>
        <v/>
      </c>
      <c r="B239" s="22" t="str">
        <f>'VIX HISTORIQUE'!B242</f>
        <v/>
      </c>
      <c r="C239" s="22" t="str">
        <f>'VIX HISTORIQUE'!D242</f>
        <v/>
      </c>
      <c r="D239" s="22" t="str">
        <f>'VIX HISTORIQUE'!F242</f>
        <v/>
      </c>
      <c r="E239" s="22" t="str">
        <f>'VIX HISTORIQUE'!H242</f>
        <v/>
      </c>
      <c r="F239" s="22" t="str">
        <f>'VIX HISTORIQUE'!J242</f>
        <v/>
      </c>
    </row>
    <row r="240" ht="15.75" customHeight="1">
      <c r="A240" s="25" t="str">
        <f>'VIX HISTORIQUE'!A243</f>
        <v/>
      </c>
      <c r="B240" s="22" t="str">
        <f>'VIX HISTORIQUE'!B243</f>
        <v/>
      </c>
      <c r="C240" s="22" t="str">
        <f>'VIX HISTORIQUE'!D243</f>
        <v/>
      </c>
      <c r="D240" s="22" t="str">
        <f>'VIX HISTORIQUE'!F243</f>
        <v/>
      </c>
      <c r="E240" s="22" t="str">
        <f>'VIX HISTORIQUE'!H243</f>
        <v/>
      </c>
      <c r="F240" s="22" t="str">
        <f>'VIX HISTORIQUE'!J243</f>
        <v/>
      </c>
    </row>
    <row r="241" ht="15.75" customHeight="1">
      <c r="A241" s="25" t="str">
        <f>'VIX HISTORIQUE'!A244</f>
        <v/>
      </c>
      <c r="B241" s="22" t="str">
        <f>'VIX HISTORIQUE'!B244</f>
        <v/>
      </c>
      <c r="C241" s="22" t="str">
        <f>'VIX HISTORIQUE'!D244</f>
        <v/>
      </c>
      <c r="D241" s="22" t="str">
        <f>'VIX HISTORIQUE'!F244</f>
        <v/>
      </c>
      <c r="E241" s="22" t="str">
        <f>'VIX HISTORIQUE'!H244</f>
        <v/>
      </c>
      <c r="F241" s="22" t="str">
        <f>'VIX HISTORIQUE'!J244</f>
        <v/>
      </c>
    </row>
    <row r="242" ht="15.75" customHeight="1">
      <c r="A242" s="25" t="str">
        <f>'VIX HISTORIQUE'!A245</f>
        <v/>
      </c>
      <c r="B242" s="22" t="str">
        <f>'VIX HISTORIQUE'!B245</f>
        <v/>
      </c>
      <c r="C242" s="22" t="str">
        <f>'VIX HISTORIQUE'!D245</f>
        <v/>
      </c>
      <c r="D242" s="22" t="str">
        <f>'VIX HISTORIQUE'!F245</f>
        <v/>
      </c>
      <c r="E242" s="22" t="str">
        <f>'VIX HISTORIQUE'!H245</f>
        <v/>
      </c>
      <c r="F242" s="22" t="str">
        <f>'VIX HISTORIQUE'!J245</f>
        <v/>
      </c>
    </row>
    <row r="243" ht="15.75" customHeight="1">
      <c r="A243" s="25" t="str">
        <f>'VIX HISTORIQUE'!A246</f>
        <v/>
      </c>
      <c r="B243" s="22" t="str">
        <f>'VIX HISTORIQUE'!B246</f>
        <v/>
      </c>
      <c r="C243" s="22" t="str">
        <f>'VIX HISTORIQUE'!D246</f>
        <v/>
      </c>
      <c r="D243" s="22" t="str">
        <f>'VIX HISTORIQUE'!F246</f>
        <v/>
      </c>
      <c r="E243" s="22" t="str">
        <f>'VIX HISTORIQUE'!H246</f>
        <v/>
      </c>
      <c r="F243" s="22" t="str">
        <f>'VIX HISTORIQUE'!J246</f>
        <v/>
      </c>
    </row>
    <row r="244" ht="15.75" customHeight="1">
      <c r="A244" s="25" t="str">
        <f>'VIX HISTORIQUE'!A247</f>
        <v/>
      </c>
      <c r="B244" s="22" t="str">
        <f>'VIX HISTORIQUE'!B247</f>
        <v/>
      </c>
      <c r="C244" s="22" t="str">
        <f>'VIX HISTORIQUE'!D247</f>
        <v/>
      </c>
      <c r="D244" s="22" t="str">
        <f>'VIX HISTORIQUE'!F247</f>
        <v/>
      </c>
      <c r="E244" s="22" t="str">
        <f>'VIX HISTORIQUE'!H247</f>
        <v/>
      </c>
      <c r="F244" s="22" t="str">
        <f>'VIX HISTORIQUE'!J247</f>
        <v/>
      </c>
    </row>
    <row r="245" ht="15.75" customHeight="1">
      <c r="A245" s="25" t="str">
        <f>'VIX HISTORIQUE'!A248</f>
        <v/>
      </c>
      <c r="B245" s="22" t="str">
        <f>'VIX HISTORIQUE'!B248</f>
        <v/>
      </c>
      <c r="C245" s="22" t="str">
        <f>'VIX HISTORIQUE'!D248</f>
        <v/>
      </c>
      <c r="D245" s="22" t="str">
        <f>'VIX HISTORIQUE'!F248</f>
        <v/>
      </c>
      <c r="E245" s="22" t="str">
        <f>'VIX HISTORIQUE'!H248</f>
        <v/>
      </c>
      <c r="F245" s="22" t="str">
        <f>'VIX HISTORIQUE'!J248</f>
        <v/>
      </c>
    </row>
    <row r="246" ht="15.75" customHeight="1">
      <c r="A246" s="25" t="str">
        <f>'VIX HISTORIQUE'!A249</f>
        <v/>
      </c>
      <c r="B246" s="22" t="str">
        <f>'VIX HISTORIQUE'!B249</f>
        <v/>
      </c>
      <c r="C246" s="22" t="str">
        <f>'VIX HISTORIQUE'!D249</f>
        <v/>
      </c>
      <c r="D246" s="22" t="str">
        <f>'VIX HISTORIQUE'!F249</f>
        <v/>
      </c>
      <c r="E246" s="22" t="str">
        <f>'VIX HISTORIQUE'!H249</f>
        <v/>
      </c>
      <c r="F246" s="22" t="str">
        <f>'VIX HISTORIQUE'!J249</f>
        <v/>
      </c>
    </row>
    <row r="247" ht="15.75" customHeight="1">
      <c r="A247" s="25" t="str">
        <f>'VIX HISTORIQUE'!A250</f>
        <v/>
      </c>
      <c r="B247" s="22" t="str">
        <f>'VIX HISTORIQUE'!B250</f>
        <v/>
      </c>
      <c r="C247" s="22" t="str">
        <f>'VIX HISTORIQUE'!D250</f>
        <v/>
      </c>
      <c r="D247" s="22" t="str">
        <f>'VIX HISTORIQUE'!F250</f>
        <v/>
      </c>
      <c r="E247" s="22" t="str">
        <f>'VIX HISTORIQUE'!H250</f>
        <v/>
      </c>
      <c r="F247" s="22" t="str">
        <f>'VIX HISTORIQUE'!J250</f>
        <v/>
      </c>
    </row>
    <row r="248" ht="15.75" customHeight="1">
      <c r="A248" s="25" t="str">
        <f>'VIX HISTORIQUE'!A251</f>
        <v/>
      </c>
      <c r="B248" s="22" t="str">
        <f>'VIX HISTORIQUE'!B251</f>
        <v/>
      </c>
      <c r="C248" s="22" t="str">
        <f>'VIX HISTORIQUE'!D251</f>
        <v/>
      </c>
      <c r="D248" s="22" t="str">
        <f>'VIX HISTORIQUE'!F251</f>
        <v/>
      </c>
      <c r="E248" s="22" t="str">
        <f>'VIX HISTORIQUE'!H251</f>
        <v/>
      </c>
      <c r="F248" s="22" t="str">
        <f>'VIX HISTORIQUE'!J251</f>
        <v/>
      </c>
    </row>
    <row r="249" ht="15.75" customHeight="1">
      <c r="A249" s="25" t="str">
        <f>'VIX HISTORIQUE'!A252</f>
        <v/>
      </c>
      <c r="B249" s="22" t="str">
        <f>'VIX HISTORIQUE'!B252</f>
        <v/>
      </c>
      <c r="C249" s="22" t="str">
        <f>'VIX HISTORIQUE'!D252</f>
        <v/>
      </c>
      <c r="D249" s="22" t="str">
        <f>'VIX HISTORIQUE'!F252</f>
        <v/>
      </c>
      <c r="E249" s="22" t="str">
        <f>'VIX HISTORIQUE'!H252</f>
        <v/>
      </c>
      <c r="F249" s="22" t="str">
        <f>'VIX HISTORIQUE'!J252</f>
        <v/>
      </c>
    </row>
    <row r="250" ht="15.75" customHeight="1">
      <c r="A250" s="25" t="str">
        <f>'VIX HISTORIQUE'!A253</f>
        <v/>
      </c>
      <c r="B250" s="22" t="str">
        <f>'VIX HISTORIQUE'!B253</f>
        <v/>
      </c>
      <c r="C250" s="22" t="str">
        <f>'VIX HISTORIQUE'!D253</f>
        <v/>
      </c>
      <c r="D250" s="22" t="str">
        <f>'VIX HISTORIQUE'!F253</f>
        <v/>
      </c>
      <c r="E250" s="22" t="str">
        <f>'VIX HISTORIQUE'!H253</f>
        <v/>
      </c>
      <c r="F250" s="22" t="str">
        <f>'VIX HISTORIQUE'!J253</f>
        <v/>
      </c>
    </row>
    <row r="251" ht="15.75" customHeight="1">
      <c r="A251" s="25" t="str">
        <f>'VIX HISTORIQUE'!A254</f>
        <v/>
      </c>
      <c r="B251" s="22" t="str">
        <f>'VIX HISTORIQUE'!B254</f>
        <v/>
      </c>
      <c r="C251" s="22" t="str">
        <f>'VIX HISTORIQUE'!D254</f>
        <v/>
      </c>
      <c r="D251" s="22" t="str">
        <f>'VIX HISTORIQUE'!F254</f>
        <v/>
      </c>
      <c r="E251" s="22" t="str">
        <f>'VIX HISTORIQUE'!H254</f>
        <v/>
      </c>
      <c r="F251" s="22" t="str">
        <f>'VIX HISTORIQUE'!J254</f>
        <v/>
      </c>
    </row>
    <row r="252" ht="15.75" customHeight="1">
      <c r="A252" s="25" t="str">
        <f>'VIX HISTORIQUE'!A255</f>
        <v/>
      </c>
      <c r="B252" s="22" t="str">
        <f>'VIX HISTORIQUE'!B255</f>
        <v/>
      </c>
      <c r="C252" s="22" t="str">
        <f>'VIX HISTORIQUE'!D255</f>
        <v/>
      </c>
      <c r="D252" s="22" t="str">
        <f>'VIX HISTORIQUE'!F255</f>
        <v/>
      </c>
      <c r="E252" s="22" t="str">
        <f>'VIX HISTORIQUE'!H255</f>
        <v/>
      </c>
      <c r="F252" s="22" t="str">
        <f>'VIX HISTORIQUE'!J255</f>
        <v/>
      </c>
    </row>
    <row r="253" ht="15.75" customHeight="1">
      <c r="A253" s="25" t="str">
        <f>'VIX HISTORIQUE'!A256</f>
        <v/>
      </c>
      <c r="B253" s="22" t="str">
        <f>'VIX HISTORIQUE'!B256</f>
        <v/>
      </c>
      <c r="C253" s="22" t="str">
        <f>'VIX HISTORIQUE'!D256</f>
        <v/>
      </c>
      <c r="D253" s="22" t="str">
        <f>'VIX HISTORIQUE'!F256</f>
        <v/>
      </c>
      <c r="E253" s="22" t="str">
        <f>'VIX HISTORIQUE'!H256</f>
        <v/>
      </c>
      <c r="F253" s="22" t="str">
        <f>'VIX HISTORIQUE'!J256</f>
        <v/>
      </c>
    </row>
    <row r="254" ht="15.75" customHeight="1">
      <c r="A254" s="25" t="str">
        <f>'VIX HISTORIQUE'!A257</f>
        <v/>
      </c>
      <c r="B254" s="22" t="str">
        <f>'VIX HISTORIQUE'!B257</f>
        <v/>
      </c>
      <c r="C254" s="22" t="str">
        <f>'VIX HISTORIQUE'!D257</f>
        <v/>
      </c>
      <c r="D254" s="22" t="str">
        <f>'VIX HISTORIQUE'!F257</f>
        <v/>
      </c>
      <c r="E254" s="22" t="str">
        <f>'VIX HISTORIQUE'!H257</f>
        <v/>
      </c>
      <c r="F254" s="22" t="str">
        <f>'VIX HISTORIQUE'!J257</f>
        <v/>
      </c>
    </row>
    <row r="255" ht="15.75" customHeight="1">
      <c r="A255" s="25" t="str">
        <f>'VIX HISTORIQUE'!A258</f>
        <v/>
      </c>
      <c r="B255" s="22" t="str">
        <f>'VIX HISTORIQUE'!B258</f>
        <v/>
      </c>
      <c r="C255" s="22" t="str">
        <f>'VIX HISTORIQUE'!D258</f>
        <v/>
      </c>
      <c r="D255" s="22" t="str">
        <f>'VIX HISTORIQUE'!F258</f>
        <v/>
      </c>
      <c r="E255" s="22" t="str">
        <f>'VIX HISTORIQUE'!H258</f>
        <v/>
      </c>
      <c r="F255" s="22" t="str">
        <f>'VIX HISTORIQUE'!J258</f>
        <v/>
      </c>
    </row>
    <row r="256" ht="15.75" customHeight="1">
      <c r="A256" s="25" t="str">
        <f>'VIX HISTORIQUE'!A259</f>
        <v/>
      </c>
      <c r="B256" s="22" t="str">
        <f>'VIX HISTORIQUE'!B259</f>
        <v/>
      </c>
      <c r="C256" s="22" t="str">
        <f>'VIX HISTORIQUE'!D259</f>
        <v/>
      </c>
      <c r="D256" s="22" t="str">
        <f>'VIX HISTORIQUE'!F259</f>
        <v/>
      </c>
      <c r="E256" s="22" t="str">
        <f>'VIX HISTORIQUE'!H259</f>
        <v/>
      </c>
      <c r="F256" s="22" t="str">
        <f>'VIX HISTORIQUE'!J259</f>
        <v/>
      </c>
    </row>
    <row r="257" ht="15.75" customHeight="1">
      <c r="A257" s="25" t="str">
        <f>'VIX HISTORIQUE'!A260</f>
        <v/>
      </c>
      <c r="B257" s="22" t="str">
        <f>'VIX HISTORIQUE'!B260</f>
        <v/>
      </c>
      <c r="C257" s="22" t="str">
        <f>'VIX HISTORIQUE'!D260</f>
        <v/>
      </c>
      <c r="D257" s="22" t="str">
        <f>'VIX HISTORIQUE'!F260</f>
        <v/>
      </c>
      <c r="E257" s="22" t="str">
        <f>'VIX HISTORIQUE'!H260</f>
        <v/>
      </c>
      <c r="F257" s="22" t="str">
        <f>'VIX HISTORIQUE'!J260</f>
        <v/>
      </c>
    </row>
    <row r="258" ht="15.75" customHeight="1">
      <c r="A258" s="25" t="str">
        <f>'VIX HISTORIQUE'!A261</f>
        <v/>
      </c>
      <c r="B258" s="22" t="str">
        <f>'VIX HISTORIQUE'!B261</f>
        <v/>
      </c>
      <c r="C258" s="22" t="str">
        <f>'VIX HISTORIQUE'!D261</f>
        <v/>
      </c>
      <c r="D258" s="22" t="str">
        <f>'VIX HISTORIQUE'!F261</f>
        <v/>
      </c>
      <c r="E258" s="22" t="str">
        <f>'VIX HISTORIQUE'!H261</f>
        <v/>
      </c>
      <c r="F258" s="22" t="str">
        <f>'VIX HISTORIQUE'!J261</f>
        <v/>
      </c>
    </row>
    <row r="259" ht="15.75" customHeight="1">
      <c r="A259" s="25" t="str">
        <f>'VIX HISTORIQUE'!A262</f>
        <v/>
      </c>
      <c r="B259" s="22" t="str">
        <f>'VIX HISTORIQUE'!B262</f>
        <v/>
      </c>
      <c r="C259" s="22" t="str">
        <f>'VIX HISTORIQUE'!D262</f>
        <v/>
      </c>
      <c r="D259" s="22" t="str">
        <f>'VIX HISTORIQUE'!F262</f>
        <v/>
      </c>
      <c r="E259" s="22" t="str">
        <f>'VIX HISTORIQUE'!H262</f>
        <v/>
      </c>
      <c r="F259" s="22" t="str">
        <f>'VIX HISTORIQUE'!J262</f>
        <v/>
      </c>
    </row>
    <row r="260" ht="15.75" customHeight="1">
      <c r="A260" s="25" t="str">
        <f>'VIX HISTORIQUE'!A263</f>
        <v/>
      </c>
      <c r="B260" s="22" t="str">
        <f>'VIX HISTORIQUE'!B263</f>
        <v/>
      </c>
      <c r="C260" s="22" t="str">
        <f>'VIX HISTORIQUE'!D263</f>
        <v/>
      </c>
      <c r="D260" s="22" t="str">
        <f>'VIX HISTORIQUE'!F263</f>
        <v/>
      </c>
      <c r="E260" s="22" t="str">
        <f>'VIX HISTORIQUE'!H263</f>
        <v/>
      </c>
      <c r="F260" s="22" t="str">
        <f>'VIX HISTORIQUE'!J263</f>
        <v/>
      </c>
    </row>
    <row r="261" ht="15.75" customHeight="1">
      <c r="A261" s="25" t="str">
        <f>'VIX HISTORIQUE'!A264</f>
        <v/>
      </c>
      <c r="B261" s="22" t="str">
        <f>'VIX HISTORIQUE'!B264</f>
        <v/>
      </c>
      <c r="C261" s="22" t="str">
        <f>'VIX HISTORIQUE'!D264</f>
        <v/>
      </c>
      <c r="D261" s="22" t="str">
        <f>'VIX HISTORIQUE'!F264</f>
        <v/>
      </c>
      <c r="E261" s="22" t="str">
        <f>'VIX HISTORIQUE'!H264</f>
        <v/>
      </c>
      <c r="F261" s="22" t="str">
        <f>'VIX HISTORIQUE'!J264</f>
        <v/>
      </c>
    </row>
    <row r="262" ht="15.75" customHeight="1">
      <c r="A262" s="25" t="str">
        <f>'VIX HISTORIQUE'!A265</f>
        <v/>
      </c>
      <c r="B262" s="22" t="str">
        <f>'VIX HISTORIQUE'!B265</f>
        <v/>
      </c>
      <c r="C262" s="22" t="str">
        <f>'VIX HISTORIQUE'!D265</f>
        <v/>
      </c>
      <c r="D262" s="22" t="str">
        <f>'VIX HISTORIQUE'!F265</f>
        <v/>
      </c>
      <c r="E262" s="22" t="str">
        <f>'VIX HISTORIQUE'!H265</f>
        <v/>
      </c>
      <c r="F262" s="22" t="str">
        <f>'VIX HISTORIQUE'!J265</f>
        <v/>
      </c>
    </row>
    <row r="263" ht="15.75" customHeight="1">
      <c r="A263" s="25" t="str">
        <f>'VIX HISTORIQUE'!A266</f>
        <v/>
      </c>
      <c r="B263" s="22" t="str">
        <f>'VIX HISTORIQUE'!B266</f>
        <v/>
      </c>
      <c r="C263" s="22" t="str">
        <f>'VIX HISTORIQUE'!D266</f>
        <v/>
      </c>
      <c r="D263" s="22" t="str">
        <f>'VIX HISTORIQUE'!F266</f>
        <v/>
      </c>
      <c r="E263" s="22" t="str">
        <f>'VIX HISTORIQUE'!H266</f>
        <v/>
      </c>
      <c r="F263" s="22" t="str">
        <f>'VIX HISTORIQUE'!J266</f>
        <v/>
      </c>
    </row>
    <row r="264" ht="15.75" customHeight="1">
      <c r="A264" s="25" t="str">
        <f>'VIX HISTORIQUE'!A267</f>
        <v/>
      </c>
      <c r="B264" s="22" t="str">
        <f>'VIX HISTORIQUE'!B267</f>
        <v/>
      </c>
      <c r="C264" s="22" t="str">
        <f>'VIX HISTORIQUE'!D267</f>
        <v/>
      </c>
      <c r="D264" s="22" t="str">
        <f>'VIX HISTORIQUE'!F267</f>
        <v/>
      </c>
      <c r="E264" s="22" t="str">
        <f>'VIX HISTORIQUE'!H267</f>
        <v/>
      </c>
      <c r="F264" s="22" t="str">
        <f>'VIX HISTORIQUE'!J267</f>
        <v/>
      </c>
    </row>
    <row r="265" ht="15.75" customHeight="1">
      <c r="A265" s="25" t="str">
        <f>'VIX HISTORIQUE'!A268</f>
        <v/>
      </c>
      <c r="B265" s="22" t="str">
        <f>'VIX HISTORIQUE'!B268</f>
        <v/>
      </c>
      <c r="C265" s="22" t="str">
        <f>'VIX HISTORIQUE'!D268</f>
        <v/>
      </c>
      <c r="D265" s="22" t="str">
        <f>'VIX HISTORIQUE'!F268</f>
        <v/>
      </c>
      <c r="E265" s="22" t="str">
        <f>'VIX HISTORIQUE'!H268</f>
        <v/>
      </c>
      <c r="F265" s="22" t="str">
        <f>'VIX HISTORIQUE'!J268</f>
        <v/>
      </c>
    </row>
    <row r="266" ht="15.75" customHeight="1">
      <c r="A266" s="25" t="str">
        <f>'VIX HISTORIQUE'!A269</f>
        <v/>
      </c>
      <c r="B266" s="22" t="str">
        <f>'VIX HISTORIQUE'!B269</f>
        <v/>
      </c>
      <c r="C266" s="22" t="str">
        <f>'VIX HISTORIQUE'!D269</f>
        <v/>
      </c>
      <c r="D266" s="22" t="str">
        <f>'VIX HISTORIQUE'!F269</f>
        <v/>
      </c>
      <c r="E266" s="22" t="str">
        <f>'VIX HISTORIQUE'!H269</f>
        <v/>
      </c>
      <c r="F266" s="22" t="str">
        <f>'VIX HISTORIQUE'!J269</f>
        <v/>
      </c>
    </row>
    <row r="267" ht="15.75" customHeight="1">
      <c r="A267" s="25" t="str">
        <f>'VIX HISTORIQUE'!A270</f>
        <v/>
      </c>
      <c r="B267" s="22" t="str">
        <f>'VIX HISTORIQUE'!B270</f>
        <v/>
      </c>
      <c r="C267" s="22" t="str">
        <f>'VIX HISTORIQUE'!D270</f>
        <v/>
      </c>
      <c r="D267" s="22" t="str">
        <f>'VIX HISTORIQUE'!F270</f>
        <v/>
      </c>
      <c r="E267" s="22" t="str">
        <f>'VIX HISTORIQUE'!H270</f>
        <v/>
      </c>
      <c r="F267" s="22" t="str">
        <f>'VIX HISTORIQUE'!J270</f>
        <v/>
      </c>
    </row>
    <row r="268" ht="15.75" customHeight="1">
      <c r="A268" s="25" t="str">
        <f>'VIX HISTORIQUE'!A271</f>
        <v/>
      </c>
      <c r="B268" s="22" t="str">
        <f>'VIX HISTORIQUE'!B271</f>
        <v/>
      </c>
      <c r="C268" s="22" t="str">
        <f>'VIX HISTORIQUE'!D271</f>
        <v/>
      </c>
      <c r="D268" s="22" t="str">
        <f>'VIX HISTORIQUE'!F271</f>
        <v/>
      </c>
      <c r="E268" s="22" t="str">
        <f>'VIX HISTORIQUE'!H271</f>
        <v/>
      </c>
      <c r="F268" s="22" t="str">
        <f>'VIX HISTORIQUE'!J271</f>
        <v/>
      </c>
    </row>
    <row r="269" ht="15.75" customHeight="1">
      <c r="A269" s="25" t="str">
        <f>'VIX HISTORIQUE'!A272</f>
        <v/>
      </c>
      <c r="B269" s="22" t="str">
        <f>'VIX HISTORIQUE'!B272</f>
        <v/>
      </c>
      <c r="C269" s="22" t="str">
        <f>'VIX HISTORIQUE'!D272</f>
        <v/>
      </c>
      <c r="D269" s="22" t="str">
        <f>'VIX HISTORIQUE'!F272</f>
        <v/>
      </c>
      <c r="E269" s="22" t="str">
        <f>'VIX HISTORIQUE'!H272</f>
        <v/>
      </c>
      <c r="F269" s="22" t="str">
        <f>'VIX HISTORIQUE'!J272</f>
        <v/>
      </c>
    </row>
    <row r="270" ht="15.75" customHeight="1">
      <c r="A270" s="25" t="str">
        <f>'VIX HISTORIQUE'!A273</f>
        <v/>
      </c>
      <c r="B270" s="22" t="str">
        <f>'VIX HISTORIQUE'!B273</f>
        <v/>
      </c>
      <c r="C270" s="22" t="str">
        <f>'VIX HISTORIQUE'!D273</f>
        <v/>
      </c>
      <c r="D270" s="22" t="str">
        <f>'VIX HISTORIQUE'!F273</f>
        <v/>
      </c>
      <c r="E270" s="22" t="str">
        <f>'VIX HISTORIQUE'!H273</f>
        <v/>
      </c>
      <c r="F270" s="22" t="str">
        <f>'VIX HISTORIQUE'!J273</f>
        <v/>
      </c>
    </row>
    <row r="271" ht="15.75" customHeight="1">
      <c r="A271" s="25" t="str">
        <f>'VIX HISTORIQUE'!A274</f>
        <v/>
      </c>
      <c r="B271" s="22" t="str">
        <f>'VIX HISTORIQUE'!B274</f>
        <v/>
      </c>
      <c r="C271" s="22" t="str">
        <f>'VIX HISTORIQUE'!D274</f>
        <v/>
      </c>
      <c r="D271" s="22" t="str">
        <f>'VIX HISTORIQUE'!F274</f>
        <v/>
      </c>
      <c r="E271" s="22" t="str">
        <f>'VIX HISTORIQUE'!H274</f>
        <v/>
      </c>
      <c r="F271" s="22" t="str">
        <f>'VIX HISTORIQUE'!J274</f>
        <v/>
      </c>
    </row>
    <row r="272" ht="15.75" customHeight="1">
      <c r="A272" s="25" t="str">
        <f>'VIX HISTORIQUE'!A275</f>
        <v/>
      </c>
      <c r="B272" s="22" t="str">
        <f>'VIX HISTORIQUE'!B275</f>
        <v/>
      </c>
      <c r="C272" s="22" t="str">
        <f>'VIX HISTORIQUE'!D275</f>
        <v/>
      </c>
      <c r="D272" s="22" t="str">
        <f>'VIX HISTORIQUE'!F275</f>
        <v/>
      </c>
      <c r="E272" s="22" t="str">
        <f>'VIX HISTORIQUE'!H275</f>
        <v/>
      </c>
      <c r="F272" s="22" t="str">
        <f>'VIX HISTORIQUE'!J275</f>
        <v/>
      </c>
    </row>
    <row r="273" ht="15.75" customHeight="1">
      <c r="A273" s="25" t="str">
        <f>'VIX HISTORIQUE'!A276</f>
        <v/>
      </c>
      <c r="B273" s="22" t="str">
        <f>'VIX HISTORIQUE'!B276</f>
        <v/>
      </c>
      <c r="C273" s="22" t="str">
        <f>'VIX HISTORIQUE'!D276</f>
        <v/>
      </c>
      <c r="D273" s="22" t="str">
        <f>'VIX HISTORIQUE'!F276</f>
        <v/>
      </c>
      <c r="E273" s="22" t="str">
        <f>'VIX HISTORIQUE'!H276</f>
        <v/>
      </c>
      <c r="F273" s="22" t="str">
        <f>'VIX HISTORIQUE'!J276</f>
        <v/>
      </c>
    </row>
    <row r="274" ht="15.75" customHeight="1">
      <c r="A274" s="25" t="str">
        <f>'VIX HISTORIQUE'!A277</f>
        <v/>
      </c>
      <c r="B274" s="22" t="str">
        <f>'VIX HISTORIQUE'!B277</f>
        <v/>
      </c>
      <c r="C274" s="22" t="str">
        <f>'VIX HISTORIQUE'!D277</f>
        <v/>
      </c>
      <c r="D274" s="22" t="str">
        <f>'VIX HISTORIQUE'!F277</f>
        <v/>
      </c>
      <c r="E274" s="22" t="str">
        <f>'VIX HISTORIQUE'!H277</f>
        <v/>
      </c>
      <c r="F274" s="22" t="str">
        <f>'VIX HISTORIQUE'!J277</f>
        <v/>
      </c>
    </row>
    <row r="275" ht="15.75" customHeight="1">
      <c r="A275" s="25" t="str">
        <f>'VIX HISTORIQUE'!A278</f>
        <v/>
      </c>
      <c r="B275" s="22" t="str">
        <f>'VIX HISTORIQUE'!B278</f>
        <v/>
      </c>
      <c r="C275" s="22" t="str">
        <f>'VIX HISTORIQUE'!D278</f>
        <v/>
      </c>
      <c r="D275" s="22" t="str">
        <f>'VIX HISTORIQUE'!F278</f>
        <v/>
      </c>
      <c r="E275" s="22" t="str">
        <f>'VIX HISTORIQUE'!H278</f>
        <v/>
      </c>
      <c r="F275" s="22" t="str">
        <f>'VIX HISTORIQUE'!J278</f>
        <v/>
      </c>
    </row>
    <row r="276" ht="15.75" customHeight="1">
      <c r="A276" s="25" t="str">
        <f>'VIX HISTORIQUE'!A279</f>
        <v/>
      </c>
      <c r="B276" s="22" t="str">
        <f>'VIX HISTORIQUE'!B279</f>
        <v/>
      </c>
      <c r="C276" s="22" t="str">
        <f>'VIX HISTORIQUE'!D279</f>
        <v/>
      </c>
      <c r="D276" s="22" t="str">
        <f>'VIX HISTORIQUE'!F279</f>
        <v/>
      </c>
      <c r="E276" s="22" t="str">
        <f>'VIX HISTORIQUE'!H279</f>
        <v/>
      </c>
      <c r="F276" s="22" t="str">
        <f>'VIX HISTORIQUE'!J279</f>
        <v/>
      </c>
    </row>
    <row r="277" ht="15.75" customHeight="1">
      <c r="A277" s="25" t="str">
        <f>'VIX HISTORIQUE'!A280</f>
        <v/>
      </c>
      <c r="B277" s="22" t="str">
        <f>'VIX HISTORIQUE'!B280</f>
        <v/>
      </c>
      <c r="C277" s="22" t="str">
        <f>'VIX HISTORIQUE'!D280</f>
        <v/>
      </c>
      <c r="D277" s="22" t="str">
        <f>'VIX HISTORIQUE'!F280</f>
        <v/>
      </c>
      <c r="E277" s="22" t="str">
        <f>'VIX HISTORIQUE'!H280</f>
        <v/>
      </c>
      <c r="F277" s="22" t="str">
        <f>'VIX HISTORIQUE'!J280</f>
        <v/>
      </c>
    </row>
    <row r="278" ht="15.75" customHeight="1">
      <c r="A278" s="25" t="str">
        <f>'VIX HISTORIQUE'!A281</f>
        <v/>
      </c>
      <c r="B278" s="22" t="str">
        <f>'VIX HISTORIQUE'!B281</f>
        <v/>
      </c>
      <c r="C278" s="22" t="str">
        <f>'VIX HISTORIQUE'!D281</f>
        <v/>
      </c>
      <c r="D278" s="22" t="str">
        <f>'VIX HISTORIQUE'!F281</f>
        <v/>
      </c>
      <c r="E278" s="22" t="str">
        <f>'VIX HISTORIQUE'!H281</f>
        <v/>
      </c>
      <c r="F278" s="22" t="str">
        <f>'VIX HISTORIQUE'!J281</f>
        <v/>
      </c>
    </row>
    <row r="279" ht="15.75" customHeight="1">
      <c r="A279" s="25" t="str">
        <f>'VIX HISTORIQUE'!A282</f>
        <v/>
      </c>
      <c r="B279" s="22" t="str">
        <f>'VIX HISTORIQUE'!B282</f>
        <v/>
      </c>
      <c r="C279" s="22" t="str">
        <f>'VIX HISTORIQUE'!D282</f>
        <v/>
      </c>
      <c r="D279" s="22" t="str">
        <f>'VIX HISTORIQUE'!F282</f>
        <v/>
      </c>
      <c r="E279" s="22" t="str">
        <f>'VIX HISTORIQUE'!H282</f>
        <v/>
      </c>
      <c r="F279" s="22" t="str">
        <f>'VIX HISTORIQUE'!J282</f>
        <v/>
      </c>
    </row>
    <row r="280" ht="15.75" customHeight="1">
      <c r="A280" s="25" t="str">
        <f>'VIX HISTORIQUE'!A283</f>
        <v/>
      </c>
      <c r="B280" s="22" t="str">
        <f>'VIX HISTORIQUE'!B283</f>
        <v/>
      </c>
      <c r="C280" s="22" t="str">
        <f>'VIX HISTORIQUE'!D283</f>
        <v/>
      </c>
      <c r="D280" s="22" t="str">
        <f>'VIX HISTORIQUE'!F283</f>
        <v/>
      </c>
      <c r="E280" s="22" t="str">
        <f>'VIX HISTORIQUE'!H283</f>
        <v/>
      </c>
      <c r="F280" s="22" t="str">
        <f>'VIX HISTORIQUE'!J283</f>
        <v/>
      </c>
    </row>
    <row r="281" ht="15.75" customHeight="1">
      <c r="A281" s="25" t="str">
        <f>'VIX HISTORIQUE'!A284</f>
        <v/>
      </c>
      <c r="B281" s="22" t="str">
        <f>'VIX HISTORIQUE'!B284</f>
        <v/>
      </c>
      <c r="C281" s="22" t="str">
        <f>'VIX HISTORIQUE'!D284</f>
        <v/>
      </c>
      <c r="D281" s="22" t="str">
        <f>'VIX HISTORIQUE'!F284</f>
        <v/>
      </c>
      <c r="E281" s="22" t="str">
        <f>'VIX HISTORIQUE'!H284</f>
        <v/>
      </c>
      <c r="F281" s="22" t="str">
        <f>'VIX HISTORIQUE'!J284</f>
        <v/>
      </c>
    </row>
    <row r="282" ht="15.75" customHeight="1">
      <c r="A282" s="25" t="str">
        <f>'VIX HISTORIQUE'!A285</f>
        <v/>
      </c>
      <c r="B282" s="22" t="str">
        <f>'VIX HISTORIQUE'!B285</f>
        <v/>
      </c>
      <c r="C282" s="22" t="str">
        <f>'VIX HISTORIQUE'!D285</f>
        <v/>
      </c>
      <c r="D282" s="22" t="str">
        <f>'VIX HISTORIQUE'!F285</f>
        <v/>
      </c>
      <c r="E282" s="22" t="str">
        <f>'VIX HISTORIQUE'!H285</f>
        <v/>
      </c>
      <c r="F282" s="22" t="str">
        <f>'VIX HISTORIQUE'!J285</f>
        <v/>
      </c>
    </row>
    <row r="283" ht="15.75" customHeight="1">
      <c r="A283" s="25" t="str">
        <f>'VIX HISTORIQUE'!A286</f>
        <v/>
      </c>
      <c r="B283" s="22" t="str">
        <f>'VIX HISTORIQUE'!B286</f>
        <v/>
      </c>
      <c r="C283" s="22" t="str">
        <f>'VIX HISTORIQUE'!D286</f>
        <v/>
      </c>
      <c r="D283" s="22" t="str">
        <f>'VIX HISTORIQUE'!F286</f>
        <v/>
      </c>
      <c r="E283" s="22" t="str">
        <f>'VIX HISTORIQUE'!H286</f>
        <v/>
      </c>
      <c r="F283" s="22" t="str">
        <f>'VIX HISTORIQUE'!J286</f>
        <v/>
      </c>
    </row>
    <row r="284" ht="15.75" customHeight="1">
      <c r="A284" s="25" t="str">
        <f>'VIX HISTORIQUE'!A287</f>
        <v/>
      </c>
      <c r="B284" s="22" t="str">
        <f>'VIX HISTORIQUE'!B287</f>
        <v/>
      </c>
      <c r="C284" s="22" t="str">
        <f>'VIX HISTORIQUE'!D287</f>
        <v/>
      </c>
      <c r="D284" s="22" t="str">
        <f>'VIX HISTORIQUE'!F287</f>
        <v/>
      </c>
      <c r="E284" s="22" t="str">
        <f>'VIX HISTORIQUE'!H287</f>
        <v/>
      </c>
      <c r="F284" s="22" t="str">
        <f>'VIX HISTORIQUE'!J287</f>
        <v/>
      </c>
    </row>
    <row r="285" ht="15.75" customHeight="1">
      <c r="A285" s="25" t="str">
        <f>'VIX HISTORIQUE'!A288</f>
        <v/>
      </c>
      <c r="B285" s="22" t="str">
        <f>'VIX HISTORIQUE'!B288</f>
        <v/>
      </c>
      <c r="C285" s="22" t="str">
        <f>'VIX HISTORIQUE'!D288</f>
        <v/>
      </c>
      <c r="D285" s="22" t="str">
        <f>'VIX HISTORIQUE'!F288</f>
        <v/>
      </c>
      <c r="E285" s="22" t="str">
        <f>'VIX HISTORIQUE'!H288</f>
        <v/>
      </c>
      <c r="F285" s="22" t="str">
        <f>'VIX HISTORIQUE'!J288</f>
        <v/>
      </c>
    </row>
    <row r="286" ht="15.75" customHeight="1">
      <c r="A286" s="25" t="str">
        <f>'VIX HISTORIQUE'!A289</f>
        <v/>
      </c>
      <c r="B286" s="22" t="str">
        <f>'VIX HISTORIQUE'!B289</f>
        <v/>
      </c>
      <c r="C286" s="22" t="str">
        <f>'VIX HISTORIQUE'!D289</f>
        <v/>
      </c>
      <c r="D286" s="22" t="str">
        <f>'VIX HISTORIQUE'!F289</f>
        <v/>
      </c>
      <c r="E286" s="22" t="str">
        <f>'VIX HISTORIQUE'!H289</f>
        <v/>
      </c>
      <c r="F286" s="22" t="str">
        <f>'VIX HISTORIQUE'!J289</f>
        <v/>
      </c>
    </row>
    <row r="287" ht="15.75" customHeight="1">
      <c r="A287" s="25" t="str">
        <f>'VIX HISTORIQUE'!A290</f>
        <v/>
      </c>
      <c r="B287" s="22" t="str">
        <f>'VIX HISTORIQUE'!B290</f>
        <v/>
      </c>
      <c r="C287" s="22" t="str">
        <f>'VIX HISTORIQUE'!D290</f>
        <v/>
      </c>
      <c r="D287" s="22" t="str">
        <f>'VIX HISTORIQUE'!F290</f>
        <v/>
      </c>
      <c r="E287" s="22" t="str">
        <f>'VIX HISTORIQUE'!H290</f>
        <v/>
      </c>
      <c r="F287" s="22" t="str">
        <f>'VIX HISTORIQUE'!J290</f>
        <v/>
      </c>
    </row>
    <row r="288" ht="15.75" customHeight="1">
      <c r="A288" s="25" t="str">
        <f>'VIX HISTORIQUE'!A291</f>
        <v/>
      </c>
      <c r="B288" s="22" t="str">
        <f>'VIX HISTORIQUE'!B291</f>
        <v/>
      </c>
      <c r="C288" s="22" t="str">
        <f>'VIX HISTORIQUE'!D291</f>
        <v/>
      </c>
      <c r="D288" s="22" t="str">
        <f>'VIX HISTORIQUE'!F291</f>
        <v/>
      </c>
      <c r="E288" s="22" t="str">
        <f>'VIX HISTORIQUE'!H291</f>
        <v/>
      </c>
      <c r="F288" s="22" t="str">
        <f>'VIX HISTORIQUE'!J291</f>
        <v/>
      </c>
    </row>
    <row r="289" ht="15.75" customHeight="1">
      <c r="A289" s="25" t="str">
        <f>'VIX HISTORIQUE'!A292</f>
        <v/>
      </c>
      <c r="B289" s="22" t="str">
        <f>'VIX HISTORIQUE'!B292</f>
        <v/>
      </c>
      <c r="C289" s="22" t="str">
        <f>'VIX HISTORIQUE'!D292</f>
        <v/>
      </c>
      <c r="D289" s="22" t="str">
        <f>'VIX HISTORIQUE'!F292</f>
        <v/>
      </c>
      <c r="E289" s="22" t="str">
        <f>'VIX HISTORIQUE'!H292</f>
        <v/>
      </c>
      <c r="F289" s="22" t="str">
        <f>'VIX HISTORIQUE'!J292</f>
        <v/>
      </c>
    </row>
    <row r="290" ht="15.75" customHeight="1">
      <c r="A290" s="25" t="str">
        <f>'VIX HISTORIQUE'!A293</f>
        <v/>
      </c>
      <c r="B290" s="22" t="str">
        <f>'VIX HISTORIQUE'!B293</f>
        <v/>
      </c>
      <c r="C290" s="22" t="str">
        <f>'VIX HISTORIQUE'!D293</f>
        <v/>
      </c>
      <c r="D290" s="22" t="str">
        <f>'VIX HISTORIQUE'!F293</f>
        <v/>
      </c>
      <c r="E290" s="22" t="str">
        <f>'VIX HISTORIQUE'!H293</f>
        <v/>
      </c>
      <c r="F290" s="22" t="str">
        <f>'VIX HISTORIQUE'!J293</f>
        <v/>
      </c>
    </row>
    <row r="291" ht="15.75" customHeight="1">
      <c r="A291" s="25" t="str">
        <f>'VIX HISTORIQUE'!A294</f>
        <v/>
      </c>
      <c r="B291" s="22" t="str">
        <f>'VIX HISTORIQUE'!B294</f>
        <v/>
      </c>
      <c r="C291" s="22" t="str">
        <f>'VIX HISTORIQUE'!D294</f>
        <v/>
      </c>
      <c r="D291" s="22" t="str">
        <f>'VIX HISTORIQUE'!F294</f>
        <v/>
      </c>
      <c r="E291" s="22" t="str">
        <f>'VIX HISTORIQUE'!H294</f>
        <v/>
      </c>
      <c r="F291" s="22" t="str">
        <f>'VIX HISTORIQUE'!J294</f>
        <v/>
      </c>
    </row>
    <row r="292" ht="15.75" customHeight="1">
      <c r="A292" s="25" t="str">
        <f>'VIX HISTORIQUE'!A295</f>
        <v/>
      </c>
      <c r="B292" s="22" t="str">
        <f>'VIX HISTORIQUE'!B295</f>
        <v/>
      </c>
      <c r="C292" s="22" t="str">
        <f>'VIX HISTORIQUE'!D295</f>
        <v/>
      </c>
      <c r="D292" s="22" t="str">
        <f>'VIX HISTORIQUE'!F295</f>
        <v/>
      </c>
      <c r="E292" s="22" t="str">
        <f>'VIX HISTORIQUE'!H295</f>
        <v/>
      </c>
      <c r="F292" s="22" t="str">
        <f>'VIX HISTORIQUE'!J295</f>
        <v/>
      </c>
    </row>
    <row r="293" ht="15.75" customHeight="1">
      <c r="A293" s="25" t="str">
        <f>'VIX HISTORIQUE'!A296</f>
        <v/>
      </c>
      <c r="B293" s="22" t="str">
        <f>'VIX HISTORIQUE'!B296</f>
        <v/>
      </c>
      <c r="C293" s="22" t="str">
        <f>'VIX HISTORIQUE'!D296</f>
        <v/>
      </c>
      <c r="D293" s="22" t="str">
        <f>'VIX HISTORIQUE'!F296</f>
        <v/>
      </c>
      <c r="E293" s="22" t="str">
        <f>'VIX HISTORIQUE'!H296</f>
        <v/>
      </c>
      <c r="F293" s="22" t="str">
        <f>'VIX HISTORIQUE'!J296</f>
        <v/>
      </c>
    </row>
    <row r="294" ht="15.75" customHeight="1">
      <c r="A294" s="25" t="str">
        <f>'VIX HISTORIQUE'!A297</f>
        <v/>
      </c>
      <c r="B294" s="22" t="str">
        <f>'VIX HISTORIQUE'!B297</f>
        <v/>
      </c>
      <c r="C294" s="22" t="str">
        <f>'VIX HISTORIQUE'!D297</f>
        <v/>
      </c>
      <c r="D294" s="22" t="str">
        <f>'VIX HISTORIQUE'!F297</f>
        <v/>
      </c>
      <c r="E294" s="22" t="str">
        <f>'VIX HISTORIQUE'!H297</f>
        <v/>
      </c>
      <c r="F294" s="22" t="str">
        <f>'VIX HISTORIQUE'!J297</f>
        <v/>
      </c>
    </row>
    <row r="295" ht="15.75" customHeight="1">
      <c r="A295" s="25" t="str">
        <f>'VIX HISTORIQUE'!A298</f>
        <v/>
      </c>
      <c r="B295" s="22" t="str">
        <f>'VIX HISTORIQUE'!B298</f>
        <v/>
      </c>
      <c r="C295" s="22" t="str">
        <f>'VIX HISTORIQUE'!D298</f>
        <v/>
      </c>
      <c r="D295" s="22" t="str">
        <f>'VIX HISTORIQUE'!F298</f>
        <v/>
      </c>
      <c r="E295" s="22" t="str">
        <f>'VIX HISTORIQUE'!H298</f>
        <v/>
      </c>
      <c r="F295" s="22" t="str">
        <f>'VIX HISTORIQUE'!J298</f>
        <v/>
      </c>
    </row>
    <row r="296" ht="15.75" customHeight="1">
      <c r="A296" s="25" t="str">
        <f>'VIX HISTORIQUE'!A299</f>
        <v/>
      </c>
      <c r="B296" s="22" t="str">
        <f>'VIX HISTORIQUE'!B299</f>
        <v/>
      </c>
      <c r="C296" s="22" t="str">
        <f>'VIX HISTORIQUE'!D299</f>
        <v/>
      </c>
      <c r="D296" s="22" t="str">
        <f>'VIX HISTORIQUE'!F299</f>
        <v/>
      </c>
      <c r="E296" s="22" t="str">
        <f>'VIX HISTORIQUE'!H299</f>
        <v/>
      </c>
      <c r="F296" s="22" t="str">
        <f>'VIX HISTORIQUE'!J299</f>
        <v/>
      </c>
    </row>
    <row r="297" ht="15.75" customHeight="1">
      <c r="A297" s="25" t="str">
        <f>'VIX HISTORIQUE'!A300</f>
        <v/>
      </c>
      <c r="B297" s="22" t="str">
        <f>'VIX HISTORIQUE'!B300</f>
        <v/>
      </c>
      <c r="C297" s="22" t="str">
        <f>'VIX HISTORIQUE'!D300</f>
        <v/>
      </c>
      <c r="D297" s="22" t="str">
        <f>'VIX HISTORIQUE'!F300</f>
        <v/>
      </c>
      <c r="E297" s="22" t="str">
        <f>'VIX HISTORIQUE'!H300</f>
        <v/>
      </c>
      <c r="F297" s="22" t="str">
        <f>'VIX HISTORIQUE'!J300</f>
        <v/>
      </c>
    </row>
    <row r="298" ht="15.75" customHeight="1">
      <c r="A298" s="25" t="str">
        <f>'VIX HISTORIQUE'!A301</f>
        <v/>
      </c>
      <c r="B298" s="22" t="str">
        <f>'VIX HISTORIQUE'!B301</f>
        <v/>
      </c>
      <c r="C298" s="22" t="str">
        <f>'VIX HISTORIQUE'!D301</f>
        <v/>
      </c>
      <c r="D298" s="22" t="str">
        <f>'VIX HISTORIQUE'!F301</f>
        <v/>
      </c>
      <c r="E298" s="22" t="str">
        <f>'VIX HISTORIQUE'!H301</f>
        <v/>
      </c>
      <c r="F298" s="22" t="str">
        <f>'VIX HISTORIQUE'!J301</f>
        <v/>
      </c>
    </row>
    <row r="299" ht="15.75" customHeight="1">
      <c r="A299" s="25" t="str">
        <f>'VIX HISTORIQUE'!A302</f>
        <v/>
      </c>
      <c r="B299" s="22" t="str">
        <f>'VIX HISTORIQUE'!B302</f>
        <v/>
      </c>
      <c r="C299" s="22" t="str">
        <f>'VIX HISTORIQUE'!D302</f>
        <v/>
      </c>
      <c r="D299" s="22" t="str">
        <f>'VIX HISTORIQUE'!F302</f>
        <v/>
      </c>
      <c r="E299" s="22" t="str">
        <f>'VIX HISTORIQUE'!H302</f>
        <v/>
      </c>
      <c r="F299" s="22" t="str">
        <f>'VIX HISTORIQUE'!J302</f>
        <v/>
      </c>
    </row>
    <row r="300" ht="15.75" customHeight="1">
      <c r="A300" s="25" t="str">
        <f>'VIX HISTORIQUE'!A303</f>
        <v/>
      </c>
      <c r="B300" s="22" t="str">
        <f>'VIX HISTORIQUE'!B303</f>
        <v/>
      </c>
      <c r="C300" s="22" t="str">
        <f>'VIX HISTORIQUE'!D303</f>
        <v/>
      </c>
      <c r="D300" s="22" t="str">
        <f>'VIX HISTORIQUE'!F303</f>
        <v/>
      </c>
      <c r="E300" s="22" t="str">
        <f>'VIX HISTORIQUE'!H303</f>
        <v/>
      </c>
      <c r="F300" s="22" t="str">
        <f>'VIX HISTORIQUE'!J303</f>
        <v/>
      </c>
    </row>
    <row r="301" ht="15.75" customHeight="1">
      <c r="A301" s="25" t="str">
        <f>'VIX HISTORIQUE'!A304</f>
        <v/>
      </c>
      <c r="B301" s="22" t="str">
        <f>'VIX HISTORIQUE'!B304</f>
        <v/>
      </c>
      <c r="C301" s="22" t="str">
        <f>'VIX HISTORIQUE'!D304</f>
        <v/>
      </c>
      <c r="D301" s="22" t="str">
        <f>'VIX HISTORIQUE'!F304</f>
        <v/>
      </c>
      <c r="E301" s="22" t="str">
        <f>'VIX HISTORIQUE'!H304</f>
        <v/>
      </c>
      <c r="F301" s="22" t="str">
        <f>'VIX HISTORIQUE'!J304</f>
        <v/>
      </c>
    </row>
    <row r="302" ht="15.75" customHeight="1">
      <c r="A302" s="25" t="str">
        <f>'VIX HISTORIQUE'!A305</f>
        <v/>
      </c>
      <c r="B302" s="22" t="str">
        <f>'VIX HISTORIQUE'!B305</f>
        <v/>
      </c>
      <c r="C302" s="22" t="str">
        <f>'VIX HISTORIQUE'!D305</f>
        <v/>
      </c>
      <c r="D302" s="22" t="str">
        <f>'VIX HISTORIQUE'!F305</f>
        <v/>
      </c>
      <c r="E302" s="22" t="str">
        <f>'VIX HISTORIQUE'!H305</f>
        <v/>
      </c>
      <c r="F302" s="22" t="str">
        <f>'VIX HISTORIQUE'!J305</f>
        <v/>
      </c>
    </row>
    <row r="303" ht="15.75" customHeight="1">
      <c r="A303" s="25" t="str">
        <f>'VIX HISTORIQUE'!A306</f>
        <v/>
      </c>
      <c r="B303" s="22" t="str">
        <f>'VIX HISTORIQUE'!B306</f>
        <v/>
      </c>
      <c r="C303" s="22" t="str">
        <f>'VIX HISTORIQUE'!D306</f>
        <v/>
      </c>
      <c r="D303" s="22" t="str">
        <f>'VIX HISTORIQUE'!F306</f>
        <v/>
      </c>
      <c r="E303" s="22" t="str">
        <f>'VIX HISTORIQUE'!H306</f>
        <v/>
      </c>
      <c r="F303" s="22" t="str">
        <f>'VIX HISTORIQUE'!J306</f>
        <v/>
      </c>
    </row>
    <row r="304" ht="15.75" customHeight="1">
      <c r="A304" s="25" t="str">
        <f>'VIX HISTORIQUE'!A307</f>
        <v/>
      </c>
      <c r="B304" s="22" t="str">
        <f>'VIX HISTORIQUE'!B307</f>
        <v/>
      </c>
      <c r="C304" s="22" t="str">
        <f>'VIX HISTORIQUE'!D307</f>
        <v/>
      </c>
      <c r="D304" s="22" t="str">
        <f>'VIX HISTORIQUE'!F307</f>
        <v/>
      </c>
      <c r="E304" s="22" t="str">
        <f>'VIX HISTORIQUE'!H307</f>
        <v/>
      </c>
      <c r="F304" s="22" t="str">
        <f>'VIX HISTORIQUE'!J307</f>
        <v/>
      </c>
    </row>
    <row r="305" ht="15.75" customHeight="1">
      <c r="A305" s="25" t="str">
        <f>'VIX HISTORIQUE'!A308</f>
        <v/>
      </c>
      <c r="B305" s="22" t="str">
        <f>'VIX HISTORIQUE'!B308</f>
        <v/>
      </c>
      <c r="C305" s="22" t="str">
        <f>'VIX HISTORIQUE'!D308</f>
        <v/>
      </c>
      <c r="D305" s="22" t="str">
        <f>'VIX HISTORIQUE'!F308</f>
        <v/>
      </c>
      <c r="E305" s="22" t="str">
        <f>'VIX HISTORIQUE'!H308</f>
        <v/>
      </c>
      <c r="F305" s="22" t="str">
        <f>'VIX HISTORIQUE'!J308</f>
        <v/>
      </c>
    </row>
    <row r="306" ht="15.75" customHeight="1">
      <c r="A306" s="25" t="str">
        <f>'VIX HISTORIQUE'!A309</f>
        <v/>
      </c>
      <c r="B306" s="22" t="str">
        <f>'VIX HISTORIQUE'!B309</f>
        <v/>
      </c>
      <c r="C306" s="22" t="str">
        <f>'VIX HISTORIQUE'!D309</f>
        <v/>
      </c>
      <c r="D306" s="22" t="str">
        <f>'VIX HISTORIQUE'!F309</f>
        <v/>
      </c>
      <c r="E306" s="22" t="str">
        <f>'VIX HISTORIQUE'!H309</f>
        <v/>
      </c>
      <c r="F306" s="22" t="str">
        <f>'VIX HISTORIQUE'!J309</f>
        <v/>
      </c>
    </row>
    <row r="307" ht="15.75" customHeight="1">
      <c r="A307" s="25" t="str">
        <f>'VIX HISTORIQUE'!A310</f>
        <v/>
      </c>
      <c r="B307" s="22" t="str">
        <f>'VIX HISTORIQUE'!B310</f>
        <v/>
      </c>
      <c r="C307" s="22" t="str">
        <f>'VIX HISTORIQUE'!D310</f>
        <v/>
      </c>
      <c r="D307" s="22" t="str">
        <f>'VIX HISTORIQUE'!F310</f>
        <v/>
      </c>
      <c r="E307" s="22" t="str">
        <f>'VIX HISTORIQUE'!H310</f>
        <v/>
      </c>
      <c r="F307" s="22" t="str">
        <f>'VIX HISTORIQUE'!J310</f>
        <v/>
      </c>
    </row>
    <row r="308" ht="15.75" customHeight="1">
      <c r="A308" s="25" t="str">
        <f>'VIX HISTORIQUE'!A311</f>
        <v/>
      </c>
      <c r="B308" s="22" t="str">
        <f>'VIX HISTORIQUE'!B311</f>
        <v/>
      </c>
      <c r="C308" s="22" t="str">
        <f>'VIX HISTORIQUE'!D311</f>
        <v/>
      </c>
      <c r="D308" s="22" t="str">
        <f>'VIX HISTORIQUE'!F311</f>
        <v/>
      </c>
      <c r="E308" s="22" t="str">
        <f>'VIX HISTORIQUE'!H311</f>
        <v/>
      </c>
      <c r="F308" s="22" t="str">
        <f>'VIX HISTORIQUE'!J311</f>
        <v/>
      </c>
    </row>
    <row r="309" ht="15.75" customHeight="1">
      <c r="A309" s="25" t="str">
        <f>'VIX HISTORIQUE'!A312</f>
        <v/>
      </c>
      <c r="B309" s="22" t="str">
        <f>'VIX HISTORIQUE'!B312</f>
        <v/>
      </c>
      <c r="C309" s="22" t="str">
        <f>'VIX HISTORIQUE'!D312</f>
        <v/>
      </c>
      <c r="D309" s="22" t="str">
        <f>'VIX HISTORIQUE'!F312</f>
        <v/>
      </c>
      <c r="E309" s="22" t="str">
        <f>'VIX HISTORIQUE'!H312</f>
        <v/>
      </c>
      <c r="F309" s="22" t="str">
        <f>'VIX HISTORIQUE'!J312</f>
        <v/>
      </c>
    </row>
    <row r="310" ht="15.75" customHeight="1">
      <c r="A310" s="25" t="str">
        <f>'VIX HISTORIQUE'!A313</f>
        <v/>
      </c>
      <c r="B310" s="22" t="str">
        <f>'VIX HISTORIQUE'!B313</f>
        <v/>
      </c>
      <c r="C310" s="22" t="str">
        <f>'VIX HISTORIQUE'!D313</f>
        <v/>
      </c>
      <c r="D310" s="22" t="str">
        <f>'VIX HISTORIQUE'!F313</f>
        <v/>
      </c>
      <c r="E310" s="22" t="str">
        <f>'VIX HISTORIQUE'!H313</f>
        <v/>
      </c>
      <c r="F310" s="22" t="str">
        <f>'VIX HISTORIQUE'!J313</f>
        <v/>
      </c>
    </row>
    <row r="311" ht="15.75" customHeight="1">
      <c r="A311" s="25" t="str">
        <f>'VIX HISTORIQUE'!A314</f>
        <v/>
      </c>
      <c r="B311" s="22" t="str">
        <f>'VIX HISTORIQUE'!B314</f>
        <v/>
      </c>
      <c r="C311" s="22" t="str">
        <f>'VIX HISTORIQUE'!D314</f>
        <v/>
      </c>
      <c r="D311" s="22" t="str">
        <f>'VIX HISTORIQUE'!F314</f>
        <v/>
      </c>
      <c r="E311" s="22" t="str">
        <f>'VIX HISTORIQUE'!H314</f>
        <v/>
      </c>
      <c r="F311" s="22" t="str">
        <f>'VIX HISTORIQUE'!J314</f>
        <v/>
      </c>
    </row>
    <row r="312" ht="15.75" customHeight="1">
      <c r="A312" s="25" t="str">
        <f>'VIX HISTORIQUE'!A315</f>
        <v/>
      </c>
      <c r="B312" s="22" t="str">
        <f>'VIX HISTORIQUE'!B315</f>
        <v/>
      </c>
      <c r="C312" s="22" t="str">
        <f>'VIX HISTORIQUE'!D315</f>
        <v/>
      </c>
      <c r="D312" s="22" t="str">
        <f>'VIX HISTORIQUE'!F315</f>
        <v/>
      </c>
      <c r="E312" s="22" t="str">
        <f>'VIX HISTORIQUE'!H315</f>
        <v/>
      </c>
      <c r="F312" s="22" t="str">
        <f>'VIX HISTORIQUE'!J315</f>
        <v/>
      </c>
    </row>
    <row r="313" ht="15.75" customHeight="1">
      <c r="A313" s="25" t="str">
        <f>'VIX HISTORIQUE'!A316</f>
        <v/>
      </c>
      <c r="B313" s="22" t="str">
        <f>'VIX HISTORIQUE'!B316</f>
        <v/>
      </c>
      <c r="C313" s="22" t="str">
        <f>'VIX HISTORIQUE'!D316</f>
        <v/>
      </c>
      <c r="D313" s="22" t="str">
        <f>'VIX HISTORIQUE'!F316</f>
        <v/>
      </c>
      <c r="E313" s="22" t="str">
        <f>'VIX HISTORIQUE'!H316</f>
        <v/>
      </c>
      <c r="F313" s="22" t="str">
        <f>'VIX HISTORIQUE'!J316</f>
        <v/>
      </c>
    </row>
    <row r="314" ht="15.75" customHeight="1">
      <c r="A314" s="25" t="str">
        <f>'VIX HISTORIQUE'!A317</f>
        <v/>
      </c>
      <c r="B314" s="22" t="str">
        <f>'VIX HISTORIQUE'!B317</f>
        <v/>
      </c>
      <c r="C314" s="22" t="str">
        <f>'VIX HISTORIQUE'!D317</f>
        <v/>
      </c>
      <c r="D314" s="22" t="str">
        <f>'VIX HISTORIQUE'!F317</f>
        <v/>
      </c>
      <c r="E314" s="22" t="str">
        <f>'VIX HISTORIQUE'!H317</f>
        <v/>
      </c>
      <c r="F314" s="22" t="str">
        <f>'VIX HISTORIQUE'!J317</f>
        <v/>
      </c>
    </row>
    <row r="315" ht="15.75" customHeight="1">
      <c r="A315" s="25" t="str">
        <f>'VIX HISTORIQUE'!A318</f>
        <v/>
      </c>
      <c r="B315" s="22" t="str">
        <f>'VIX HISTORIQUE'!B318</f>
        <v/>
      </c>
      <c r="C315" s="22" t="str">
        <f>'VIX HISTORIQUE'!D318</f>
        <v/>
      </c>
      <c r="D315" s="22" t="str">
        <f>'VIX HISTORIQUE'!F318</f>
        <v/>
      </c>
      <c r="E315" s="22" t="str">
        <f>'VIX HISTORIQUE'!H318</f>
        <v/>
      </c>
      <c r="F315" s="22" t="str">
        <f>'VIX HISTORIQUE'!J318</f>
        <v/>
      </c>
    </row>
    <row r="316" ht="15.75" customHeight="1">
      <c r="A316" s="25" t="str">
        <f>'VIX HISTORIQUE'!A319</f>
        <v/>
      </c>
      <c r="B316" s="22" t="str">
        <f>'VIX HISTORIQUE'!B319</f>
        <v/>
      </c>
      <c r="C316" s="22" t="str">
        <f>'VIX HISTORIQUE'!D319</f>
        <v/>
      </c>
      <c r="D316" s="22" t="str">
        <f>'VIX HISTORIQUE'!F319</f>
        <v/>
      </c>
      <c r="E316" s="22" t="str">
        <f>'VIX HISTORIQUE'!H319</f>
        <v/>
      </c>
      <c r="F316" s="22" t="str">
        <f>'VIX HISTORIQUE'!J319</f>
        <v/>
      </c>
    </row>
    <row r="317" ht="15.75" customHeight="1">
      <c r="A317" s="25" t="str">
        <f>'VIX HISTORIQUE'!A320</f>
        <v/>
      </c>
      <c r="B317" s="22" t="str">
        <f>'VIX HISTORIQUE'!B320</f>
        <v/>
      </c>
      <c r="C317" s="22" t="str">
        <f>'VIX HISTORIQUE'!D320</f>
        <v/>
      </c>
      <c r="D317" s="22" t="str">
        <f>'VIX HISTORIQUE'!F320</f>
        <v/>
      </c>
      <c r="E317" s="22" t="str">
        <f>'VIX HISTORIQUE'!H320</f>
        <v/>
      </c>
      <c r="F317" s="22" t="str">
        <f>'VIX HISTORIQUE'!J320</f>
        <v/>
      </c>
    </row>
    <row r="318" ht="15.75" customHeight="1">
      <c r="A318" s="25" t="str">
        <f>'VIX HISTORIQUE'!A321</f>
        <v/>
      </c>
      <c r="B318" s="22" t="str">
        <f>'VIX HISTORIQUE'!B321</f>
        <v/>
      </c>
      <c r="C318" s="22" t="str">
        <f>'VIX HISTORIQUE'!D321</f>
        <v/>
      </c>
      <c r="D318" s="22" t="str">
        <f>'VIX HISTORIQUE'!F321</f>
        <v/>
      </c>
      <c r="E318" s="22" t="str">
        <f>'VIX HISTORIQUE'!H321</f>
        <v/>
      </c>
      <c r="F318" s="22" t="str">
        <f>'VIX HISTORIQUE'!J321</f>
        <v/>
      </c>
    </row>
    <row r="319" ht="15.75" customHeight="1">
      <c r="A319" s="25" t="str">
        <f>'VIX HISTORIQUE'!A322</f>
        <v/>
      </c>
      <c r="B319" s="22" t="str">
        <f>'VIX HISTORIQUE'!B322</f>
        <v/>
      </c>
      <c r="C319" s="22" t="str">
        <f>'VIX HISTORIQUE'!D322</f>
        <v/>
      </c>
      <c r="D319" s="22" t="str">
        <f>'VIX HISTORIQUE'!F322</f>
        <v/>
      </c>
      <c r="E319" s="22" t="str">
        <f>'VIX HISTORIQUE'!H322</f>
        <v/>
      </c>
      <c r="F319" s="22" t="str">
        <f>'VIX HISTORIQUE'!J322</f>
        <v/>
      </c>
    </row>
    <row r="320" ht="15.75" customHeight="1">
      <c r="A320" s="25" t="str">
        <f>'VIX HISTORIQUE'!A323</f>
        <v/>
      </c>
      <c r="B320" s="22" t="str">
        <f>'VIX HISTORIQUE'!B323</f>
        <v/>
      </c>
      <c r="C320" s="22" t="str">
        <f>'VIX HISTORIQUE'!D323</f>
        <v/>
      </c>
      <c r="D320" s="22" t="str">
        <f>'VIX HISTORIQUE'!F323</f>
        <v/>
      </c>
      <c r="E320" s="22" t="str">
        <f>'VIX HISTORIQUE'!H323</f>
        <v/>
      </c>
      <c r="F320" s="22" t="str">
        <f>'VIX HISTORIQUE'!J323</f>
        <v/>
      </c>
    </row>
    <row r="321" ht="15.75" customHeight="1">
      <c r="A321" s="25" t="str">
        <f>'VIX HISTORIQUE'!A324</f>
        <v/>
      </c>
      <c r="B321" s="22" t="str">
        <f>'VIX HISTORIQUE'!B324</f>
        <v/>
      </c>
      <c r="C321" s="22" t="str">
        <f>'VIX HISTORIQUE'!D324</f>
        <v/>
      </c>
      <c r="D321" s="22" t="str">
        <f>'VIX HISTORIQUE'!F324</f>
        <v/>
      </c>
      <c r="E321" s="22" t="str">
        <f>'VIX HISTORIQUE'!H324</f>
        <v/>
      </c>
      <c r="F321" s="22" t="str">
        <f>'VIX HISTORIQUE'!J324</f>
        <v/>
      </c>
    </row>
    <row r="322" ht="15.75" customHeight="1">
      <c r="A322" s="25" t="str">
        <f>'VIX HISTORIQUE'!A325</f>
        <v/>
      </c>
      <c r="B322" s="22" t="str">
        <f>'VIX HISTORIQUE'!B325</f>
        <v/>
      </c>
      <c r="C322" s="22" t="str">
        <f>'VIX HISTORIQUE'!D325</f>
        <v/>
      </c>
      <c r="D322" s="22" t="str">
        <f>'VIX HISTORIQUE'!F325</f>
        <v/>
      </c>
      <c r="E322" s="22" t="str">
        <f>'VIX HISTORIQUE'!H325</f>
        <v/>
      </c>
      <c r="F322" s="22" t="str">
        <f>'VIX HISTORIQUE'!J325</f>
        <v/>
      </c>
    </row>
    <row r="323" ht="15.75" customHeight="1">
      <c r="A323" s="25" t="str">
        <f>'VIX HISTORIQUE'!A326</f>
        <v/>
      </c>
      <c r="B323" s="22" t="str">
        <f>'VIX HISTORIQUE'!B326</f>
        <v/>
      </c>
      <c r="C323" s="22" t="str">
        <f>'VIX HISTORIQUE'!D326</f>
        <v/>
      </c>
      <c r="D323" s="22" t="str">
        <f>'VIX HISTORIQUE'!F326</f>
        <v/>
      </c>
      <c r="E323" s="22" t="str">
        <f>'VIX HISTORIQUE'!H326</f>
        <v/>
      </c>
      <c r="F323" s="22" t="str">
        <f>'VIX HISTORIQUE'!J326</f>
        <v/>
      </c>
    </row>
    <row r="324" ht="15.75" customHeight="1">
      <c r="A324" s="25" t="str">
        <f>'VIX HISTORIQUE'!A327</f>
        <v/>
      </c>
      <c r="B324" s="22" t="str">
        <f>'VIX HISTORIQUE'!B327</f>
        <v/>
      </c>
      <c r="C324" s="22" t="str">
        <f>'VIX HISTORIQUE'!D327</f>
        <v/>
      </c>
      <c r="D324" s="22" t="str">
        <f>'VIX HISTORIQUE'!F327</f>
        <v/>
      </c>
      <c r="E324" s="22" t="str">
        <f>'VIX HISTORIQUE'!H327</f>
        <v/>
      </c>
      <c r="F324" s="22" t="str">
        <f>'VIX HISTORIQUE'!J327</f>
        <v/>
      </c>
    </row>
    <row r="325" ht="15.75" customHeight="1">
      <c r="A325" s="25" t="str">
        <f>'VIX HISTORIQUE'!A328</f>
        <v/>
      </c>
      <c r="B325" s="22" t="str">
        <f>'VIX HISTORIQUE'!B328</f>
        <v/>
      </c>
      <c r="C325" s="22" t="str">
        <f>'VIX HISTORIQUE'!D328</f>
        <v/>
      </c>
      <c r="D325" s="22" t="str">
        <f>'VIX HISTORIQUE'!F328</f>
        <v/>
      </c>
      <c r="E325" s="22" t="str">
        <f>'VIX HISTORIQUE'!H328</f>
        <v/>
      </c>
      <c r="F325" s="22" t="str">
        <f>'VIX HISTORIQUE'!J328</f>
        <v/>
      </c>
    </row>
    <row r="326" ht="15.75" customHeight="1">
      <c r="A326" s="25" t="str">
        <f>'VIX HISTORIQUE'!A329</f>
        <v/>
      </c>
      <c r="B326" s="22" t="str">
        <f>'VIX HISTORIQUE'!B329</f>
        <v/>
      </c>
      <c r="C326" s="22" t="str">
        <f>'VIX HISTORIQUE'!D329</f>
        <v/>
      </c>
      <c r="D326" s="22" t="str">
        <f>'VIX HISTORIQUE'!F329</f>
        <v/>
      </c>
      <c r="E326" s="22" t="str">
        <f>'VIX HISTORIQUE'!H329</f>
        <v/>
      </c>
      <c r="F326" s="22" t="str">
        <f>'VIX HISTORIQUE'!J329</f>
        <v/>
      </c>
    </row>
    <row r="327" ht="15.75" customHeight="1">
      <c r="A327" s="25" t="str">
        <f>'VIX HISTORIQUE'!A330</f>
        <v/>
      </c>
      <c r="B327" s="22" t="str">
        <f>'VIX HISTORIQUE'!B330</f>
        <v/>
      </c>
      <c r="C327" s="22" t="str">
        <f>'VIX HISTORIQUE'!D330</f>
        <v/>
      </c>
      <c r="D327" s="22" t="str">
        <f>'VIX HISTORIQUE'!F330</f>
        <v/>
      </c>
      <c r="E327" s="22" t="str">
        <f>'VIX HISTORIQUE'!H330</f>
        <v/>
      </c>
      <c r="F327" s="22" t="str">
        <f>'VIX HISTORIQUE'!J330</f>
        <v/>
      </c>
    </row>
    <row r="328" ht="15.75" customHeight="1">
      <c r="A328" s="25" t="str">
        <f>'VIX HISTORIQUE'!A331</f>
        <v/>
      </c>
      <c r="B328" s="22" t="str">
        <f>'VIX HISTORIQUE'!B331</f>
        <v/>
      </c>
      <c r="C328" s="22" t="str">
        <f>'VIX HISTORIQUE'!D331</f>
        <v/>
      </c>
      <c r="D328" s="22" t="str">
        <f>'VIX HISTORIQUE'!F331</f>
        <v/>
      </c>
      <c r="E328" s="22" t="str">
        <f>'VIX HISTORIQUE'!H331</f>
        <v/>
      </c>
      <c r="F328" s="22" t="str">
        <f>'VIX HISTORIQUE'!J331</f>
        <v/>
      </c>
    </row>
    <row r="329" ht="15.75" customHeight="1">
      <c r="A329" s="25" t="str">
        <f>'VIX HISTORIQUE'!A332</f>
        <v/>
      </c>
      <c r="B329" s="22" t="str">
        <f>'VIX HISTORIQUE'!B332</f>
        <v/>
      </c>
      <c r="C329" s="22" t="str">
        <f>'VIX HISTORIQUE'!D332</f>
        <v/>
      </c>
      <c r="D329" s="22" t="str">
        <f>'VIX HISTORIQUE'!F332</f>
        <v/>
      </c>
      <c r="E329" s="22" t="str">
        <f>'VIX HISTORIQUE'!H332</f>
        <v/>
      </c>
      <c r="F329" s="22" t="str">
        <f>'VIX HISTORIQUE'!J332</f>
        <v/>
      </c>
    </row>
    <row r="330" ht="15.75" customHeight="1">
      <c r="A330" s="25" t="str">
        <f>'VIX HISTORIQUE'!A333</f>
        <v/>
      </c>
      <c r="B330" s="22" t="str">
        <f>'VIX HISTORIQUE'!B333</f>
        <v/>
      </c>
      <c r="C330" s="22" t="str">
        <f>'VIX HISTORIQUE'!D333</f>
        <v/>
      </c>
      <c r="D330" s="22" t="str">
        <f>'VIX HISTORIQUE'!F333</f>
        <v/>
      </c>
      <c r="E330" s="22" t="str">
        <f>'VIX HISTORIQUE'!H333</f>
        <v/>
      </c>
      <c r="F330" s="22" t="str">
        <f>'VIX HISTORIQUE'!J333</f>
        <v/>
      </c>
    </row>
    <row r="331" ht="15.75" customHeight="1">
      <c r="A331" s="25" t="str">
        <f>'VIX HISTORIQUE'!A334</f>
        <v/>
      </c>
      <c r="B331" s="22" t="str">
        <f>'VIX HISTORIQUE'!B334</f>
        <v/>
      </c>
      <c r="C331" s="22" t="str">
        <f>'VIX HISTORIQUE'!D334</f>
        <v/>
      </c>
      <c r="D331" s="22" t="str">
        <f>'VIX HISTORIQUE'!F334</f>
        <v/>
      </c>
      <c r="E331" s="22" t="str">
        <f>'VIX HISTORIQUE'!H334</f>
        <v/>
      </c>
      <c r="F331" s="22" t="str">
        <f>'VIX HISTORIQUE'!J334</f>
        <v/>
      </c>
    </row>
    <row r="332" ht="15.75" customHeight="1">
      <c r="A332" s="25" t="str">
        <f>'VIX HISTORIQUE'!A335</f>
        <v/>
      </c>
      <c r="B332" s="22" t="str">
        <f>'VIX HISTORIQUE'!B335</f>
        <v/>
      </c>
      <c r="C332" s="22" t="str">
        <f>'VIX HISTORIQUE'!D335</f>
        <v/>
      </c>
      <c r="D332" s="22" t="str">
        <f>'VIX HISTORIQUE'!F335</f>
        <v/>
      </c>
      <c r="E332" s="22" t="str">
        <f>'VIX HISTORIQUE'!H335</f>
        <v/>
      </c>
      <c r="F332" s="22" t="str">
        <f>'VIX HISTORIQUE'!J335</f>
        <v/>
      </c>
    </row>
    <row r="333" ht="15.75" customHeight="1">
      <c r="A333" s="25" t="str">
        <f>'VIX HISTORIQUE'!A336</f>
        <v/>
      </c>
      <c r="B333" s="22" t="str">
        <f>'VIX HISTORIQUE'!B336</f>
        <v/>
      </c>
      <c r="C333" s="22" t="str">
        <f>'VIX HISTORIQUE'!D336</f>
        <v/>
      </c>
      <c r="D333" s="22" t="str">
        <f>'VIX HISTORIQUE'!F336</f>
        <v/>
      </c>
      <c r="E333" s="22" t="str">
        <f>'VIX HISTORIQUE'!H336</f>
        <v/>
      </c>
      <c r="F333" s="22" t="str">
        <f>'VIX HISTORIQUE'!J336</f>
        <v/>
      </c>
    </row>
    <row r="334" ht="15.75" customHeight="1">
      <c r="A334" s="25" t="str">
        <f>'VIX HISTORIQUE'!A337</f>
        <v/>
      </c>
      <c r="B334" s="22" t="str">
        <f>'VIX HISTORIQUE'!B337</f>
        <v/>
      </c>
      <c r="C334" s="22" t="str">
        <f>'VIX HISTORIQUE'!D337</f>
        <v/>
      </c>
      <c r="D334" s="22" t="str">
        <f>'VIX HISTORIQUE'!F337</f>
        <v/>
      </c>
      <c r="E334" s="22" t="str">
        <f>'VIX HISTORIQUE'!H337</f>
        <v/>
      </c>
      <c r="F334" s="22" t="str">
        <f>'VIX HISTORIQUE'!J337</f>
        <v/>
      </c>
    </row>
    <row r="335" ht="15.75" customHeight="1">
      <c r="A335" s="25" t="str">
        <f>'VIX HISTORIQUE'!A338</f>
        <v/>
      </c>
      <c r="B335" s="22" t="str">
        <f>'VIX HISTORIQUE'!B338</f>
        <v/>
      </c>
      <c r="C335" s="22" t="str">
        <f>'VIX HISTORIQUE'!D338</f>
        <v/>
      </c>
      <c r="D335" s="22" t="str">
        <f>'VIX HISTORIQUE'!F338</f>
        <v/>
      </c>
      <c r="E335" s="22" t="str">
        <f>'VIX HISTORIQUE'!H338</f>
        <v/>
      </c>
      <c r="F335" s="22" t="str">
        <f>'VIX HISTORIQUE'!J338</f>
        <v/>
      </c>
    </row>
    <row r="336" ht="15.75" customHeight="1">
      <c r="A336" s="25" t="str">
        <f>'VIX HISTORIQUE'!A339</f>
        <v/>
      </c>
      <c r="B336" s="22" t="str">
        <f>'VIX HISTORIQUE'!B339</f>
        <v/>
      </c>
      <c r="C336" s="22" t="str">
        <f>'VIX HISTORIQUE'!D339</f>
        <v/>
      </c>
      <c r="D336" s="22" t="str">
        <f>'VIX HISTORIQUE'!F339</f>
        <v/>
      </c>
      <c r="E336" s="22" t="str">
        <f>'VIX HISTORIQUE'!H339</f>
        <v/>
      </c>
      <c r="F336" s="22" t="str">
        <f>'VIX HISTORIQUE'!J339</f>
        <v/>
      </c>
    </row>
    <row r="337" ht="15.75" customHeight="1">
      <c r="A337" s="25" t="str">
        <f>'VIX HISTORIQUE'!A340</f>
        <v/>
      </c>
      <c r="B337" s="22" t="str">
        <f>'VIX HISTORIQUE'!B340</f>
        <v/>
      </c>
      <c r="C337" s="22" t="str">
        <f>'VIX HISTORIQUE'!D340</f>
        <v/>
      </c>
      <c r="D337" s="22" t="str">
        <f>'VIX HISTORIQUE'!F340</f>
        <v/>
      </c>
      <c r="E337" s="22" t="str">
        <f>'VIX HISTORIQUE'!H340</f>
        <v/>
      </c>
      <c r="F337" s="22" t="str">
        <f>'VIX HISTORIQUE'!J340</f>
        <v/>
      </c>
    </row>
    <row r="338" ht="15.75" customHeight="1">
      <c r="A338" s="25" t="str">
        <f>'VIX HISTORIQUE'!A341</f>
        <v/>
      </c>
      <c r="B338" s="22" t="str">
        <f>'VIX HISTORIQUE'!B341</f>
        <v/>
      </c>
      <c r="C338" s="22" t="str">
        <f>'VIX HISTORIQUE'!D341</f>
        <v/>
      </c>
      <c r="D338" s="22" t="str">
        <f>'VIX HISTORIQUE'!F341</f>
        <v/>
      </c>
      <c r="E338" s="22" t="str">
        <f>'VIX HISTORIQUE'!H341</f>
        <v/>
      </c>
      <c r="F338" s="22" t="str">
        <f>'VIX HISTORIQUE'!J341</f>
        <v/>
      </c>
    </row>
    <row r="339" ht="15.75" customHeight="1">
      <c r="A339" s="25" t="str">
        <f>'VIX HISTORIQUE'!A342</f>
        <v/>
      </c>
      <c r="B339" s="22" t="str">
        <f>'VIX HISTORIQUE'!B342</f>
        <v/>
      </c>
      <c r="C339" s="22" t="str">
        <f>'VIX HISTORIQUE'!D342</f>
        <v/>
      </c>
      <c r="D339" s="22" t="str">
        <f>'VIX HISTORIQUE'!F342</f>
        <v/>
      </c>
      <c r="E339" s="22" t="str">
        <f>'VIX HISTORIQUE'!H342</f>
        <v/>
      </c>
      <c r="F339" s="22" t="str">
        <f>'VIX HISTORIQUE'!J342</f>
        <v/>
      </c>
    </row>
    <row r="340" ht="15.75" customHeight="1">
      <c r="A340" s="25" t="str">
        <f>'VIX HISTORIQUE'!A343</f>
        <v/>
      </c>
      <c r="B340" s="22" t="str">
        <f>'VIX HISTORIQUE'!B343</f>
        <v/>
      </c>
      <c r="C340" s="22" t="str">
        <f>'VIX HISTORIQUE'!D343</f>
        <v/>
      </c>
      <c r="D340" s="22" t="str">
        <f>'VIX HISTORIQUE'!F343</f>
        <v/>
      </c>
      <c r="E340" s="22" t="str">
        <f>'VIX HISTORIQUE'!H343</f>
        <v/>
      </c>
      <c r="F340" s="22" t="str">
        <f>'VIX HISTORIQUE'!J343</f>
        <v/>
      </c>
    </row>
    <row r="341" ht="15.75" customHeight="1">
      <c r="A341" s="25" t="str">
        <f>'VIX HISTORIQUE'!A344</f>
        <v/>
      </c>
      <c r="B341" s="22" t="str">
        <f>'VIX HISTORIQUE'!B344</f>
        <v/>
      </c>
      <c r="C341" s="22" t="str">
        <f>'VIX HISTORIQUE'!D344</f>
        <v/>
      </c>
      <c r="D341" s="22" t="str">
        <f>'VIX HISTORIQUE'!F344</f>
        <v/>
      </c>
      <c r="E341" s="22" t="str">
        <f>'VIX HISTORIQUE'!H344</f>
        <v/>
      </c>
      <c r="F341" s="22" t="str">
        <f>'VIX HISTORIQUE'!J344</f>
        <v/>
      </c>
    </row>
    <row r="342" ht="15.75" customHeight="1">
      <c r="A342" s="25" t="str">
        <f>'VIX HISTORIQUE'!A345</f>
        <v/>
      </c>
      <c r="B342" s="22" t="str">
        <f>'VIX HISTORIQUE'!B345</f>
        <v/>
      </c>
      <c r="C342" s="22" t="str">
        <f>'VIX HISTORIQUE'!D345</f>
        <v/>
      </c>
      <c r="D342" s="22" t="str">
        <f>'VIX HISTORIQUE'!F345</f>
        <v/>
      </c>
      <c r="E342" s="22" t="str">
        <f>'VIX HISTORIQUE'!H345</f>
        <v/>
      </c>
      <c r="F342" s="22" t="str">
        <f>'VIX HISTORIQUE'!J345</f>
        <v/>
      </c>
    </row>
    <row r="343" ht="15.75" customHeight="1">
      <c r="A343" s="25" t="str">
        <f>'VIX HISTORIQUE'!A346</f>
        <v/>
      </c>
      <c r="B343" s="22" t="str">
        <f>'VIX HISTORIQUE'!B346</f>
        <v/>
      </c>
      <c r="C343" s="22" t="str">
        <f>'VIX HISTORIQUE'!D346</f>
        <v/>
      </c>
      <c r="D343" s="22" t="str">
        <f>'VIX HISTORIQUE'!F346</f>
        <v/>
      </c>
      <c r="E343" s="22" t="str">
        <f>'VIX HISTORIQUE'!H346</f>
        <v/>
      </c>
      <c r="F343" s="22" t="str">
        <f>'VIX HISTORIQUE'!J346</f>
        <v/>
      </c>
    </row>
    <row r="344" ht="15.75" customHeight="1">
      <c r="A344" s="25" t="str">
        <f>'VIX HISTORIQUE'!A347</f>
        <v/>
      </c>
      <c r="B344" s="22" t="str">
        <f>'VIX HISTORIQUE'!B347</f>
        <v/>
      </c>
      <c r="C344" s="22" t="str">
        <f>'VIX HISTORIQUE'!D347</f>
        <v/>
      </c>
      <c r="D344" s="22" t="str">
        <f>'VIX HISTORIQUE'!F347</f>
        <v/>
      </c>
      <c r="E344" s="22" t="str">
        <f>'VIX HISTORIQUE'!H347</f>
        <v/>
      </c>
      <c r="F344" s="22" t="str">
        <f>'VIX HISTORIQUE'!J347</f>
        <v/>
      </c>
    </row>
    <row r="345" ht="15.75" customHeight="1">
      <c r="A345" s="25" t="str">
        <f>'VIX HISTORIQUE'!A348</f>
        <v/>
      </c>
      <c r="B345" s="22" t="str">
        <f>'VIX HISTORIQUE'!B348</f>
        <v/>
      </c>
      <c r="C345" s="22" t="str">
        <f>'VIX HISTORIQUE'!D348</f>
        <v/>
      </c>
      <c r="D345" s="22" t="str">
        <f>'VIX HISTORIQUE'!F348</f>
        <v/>
      </c>
      <c r="E345" s="22" t="str">
        <f>'VIX HISTORIQUE'!H348</f>
        <v/>
      </c>
      <c r="F345" s="22" t="str">
        <f>'VIX HISTORIQUE'!J348</f>
        <v/>
      </c>
    </row>
    <row r="346" ht="15.75" customHeight="1">
      <c r="A346" s="25" t="str">
        <f>'VIX HISTORIQUE'!A349</f>
        <v/>
      </c>
      <c r="B346" s="22" t="str">
        <f>'VIX HISTORIQUE'!B349</f>
        <v/>
      </c>
      <c r="C346" s="22" t="str">
        <f>'VIX HISTORIQUE'!D349</f>
        <v/>
      </c>
      <c r="D346" s="22" t="str">
        <f>'VIX HISTORIQUE'!F349</f>
        <v/>
      </c>
      <c r="E346" s="22" t="str">
        <f>'VIX HISTORIQUE'!H349</f>
        <v/>
      </c>
      <c r="F346" s="22" t="str">
        <f>'VIX HISTORIQUE'!J349</f>
        <v/>
      </c>
    </row>
    <row r="347" ht="15.75" customHeight="1">
      <c r="A347" s="25" t="str">
        <f>'VIX HISTORIQUE'!A350</f>
        <v/>
      </c>
      <c r="B347" s="22" t="str">
        <f>'VIX HISTORIQUE'!B350</f>
        <v/>
      </c>
      <c r="C347" s="22" t="str">
        <f>'VIX HISTORIQUE'!D350</f>
        <v/>
      </c>
      <c r="D347" s="22" t="str">
        <f>'VIX HISTORIQUE'!F350</f>
        <v/>
      </c>
      <c r="E347" s="22" t="str">
        <f>'VIX HISTORIQUE'!H350</f>
        <v/>
      </c>
      <c r="F347" s="22" t="str">
        <f>'VIX HISTORIQUE'!J350</f>
        <v/>
      </c>
    </row>
    <row r="348" ht="15.75" customHeight="1">
      <c r="A348" s="25" t="str">
        <f>'VIX HISTORIQUE'!A351</f>
        <v/>
      </c>
      <c r="B348" s="22" t="str">
        <f>'VIX HISTORIQUE'!B351</f>
        <v/>
      </c>
      <c r="C348" s="22" t="str">
        <f>'VIX HISTORIQUE'!D351</f>
        <v/>
      </c>
      <c r="D348" s="22" t="str">
        <f>'VIX HISTORIQUE'!F351</f>
        <v/>
      </c>
      <c r="E348" s="22" t="str">
        <f>'VIX HISTORIQUE'!H351</f>
        <v/>
      </c>
      <c r="F348" s="22" t="str">
        <f>'VIX HISTORIQUE'!J351</f>
        <v/>
      </c>
    </row>
    <row r="349" ht="15.75" customHeight="1">
      <c r="A349" s="25" t="str">
        <f>'VIX HISTORIQUE'!A352</f>
        <v/>
      </c>
      <c r="B349" s="22" t="str">
        <f>'VIX HISTORIQUE'!B352</f>
        <v/>
      </c>
      <c r="C349" s="22" t="str">
        <f>'VIX HISTORIQUE'!D352</f>
        <v/>
      </c>
      <c r="D349" s="22" t="str">
        <f>'VIX HISTORIQUE'!F352</f>
        <v/>
      </c>
      <c r="E349" s="22" t="str">
        <f>'VIX HISTORIQUE'!H352</f>
        <v/>
      </c>
      <c r="F349" s="22" t="str">
        <f>'VIX HISTORIQUE'!J352</f>
        <v/>
      </c>
    </row>
    <row r="350" ht="15.75" customHeight="1">
      <c r="A350" s="25" t="str">
        <f>'VIX HISTORIQUE'!A353</f>
        <v/>
      </c>
      <c r="B350" s="22" t="str">
        <f>'VIX HISTORIQUE'!B353</f>
        <v/>
      </c>
      <c r="C350" s="22" t="str">
        <f>'VIX HISTORIQUE'!D353</f>
        <v/>
      </c>
      <c r="D350" s="22" t="str">
        <f>'VIX HISTORIQUE'!F353</f>
        <v/>
      </c>
      <c r="E350" s="22" t="str">
        <f>'VIX HISTORIQUE'!H353</f>
        <v/>
      </c>
      <c r="F350" s="22" t="str">
        <f>'VIX HISTORIQUE'!J353</f>
        <v/>
      </c>
    </row>
    <row r="351" ht="15.75" customHeight="1">
      <c r="A351" s="25" t="str">
        <f>'VIX HISTORIQUE'!A354</f>
        <v/>
      </c>
      <c r="B351" s="22" t="str">
        <f>'VIX HISTORIQUE'!B354</f>
        <v/>
      </c>
      <c r="C351" s="22" t="str">
        <f>'VIX HISTORIQUE'!D354</f>
        <v/>
      </c>
      <c r="D351" s="22" t="str">
        <f>'VIX HISTORIQUE'!F354</f>
        <v/>
      </c>
      <c r="E351" s="22" t="str">
        <f>'VIX HISTORIQUE'!H354</f>
        <v/>
      </c>
      <c r="F351" s="22" t="str">
        <f>'VIX HISTORIQUE'!J354</f>
        <v/>
      </c>
    </row>
    <row r="352" ht="15.75" customHeight="1">
      <c r="A352" s="25" t="str">
        <f>'VIX HISTORIQUE'!A355</f>
        <v/>
      </c>
      <c r="B352" s="22" t="str">
        <f>'VIX HISTORIQUE'!B355</f>
        <v/>
      </c>
      <c r="C352" s="22" t="str">
        <f>'VIX HISTORIQUE'!D355</f>
        <v/>
      </c>
      <c r="D352" s="22" t="str">
        <f>'VIX HISTORIQUE'!F355</f>
        <v/>
      </c>
      <c r="E352" s="22" t="str">
        <f>'VIX HISTORIQUE'!H355</f>
        <v/>
      </c>
      <c r="F352" s="22" t="str">
        <f>'VIX HISTORIQUE'!J355</f>
        <v/>
      </c>
    </row>
    <row r="353" ht="15.75" customHeight="1">
      <c r="A353" s="25" t="str">
        <f>'VIX HISTORIQUE'!A356</f>
        <v/>
      </c>
      <c r="B353" s="22" t="str">
        <f>'VIX HISTORIQUE'!B356</f>
        <v/>
      </c>
      <c r="C353" s="22" t="str">
        <f>'VIX HISTORIQUE'!D356</f>
        <v/>
      </c>
      <c r="D353" s="22" t="str">
        <f>'VIX HISTORIQUE'!F356</f>
        <v/>
      </c>
      <c r="E353" s="22" t="str">
        <f>'VIX HISTORIQUE'!H356</f>
        <v/>
      </c>
      <c r="F353" s="22" t="str">
        <f>'VIX HISTORIQUE'!J356</f>
        <v/>
      </c>
    </row>
    <row r="354" ht="15.75" customHeight="1">
      <c r="A354" s="25" t="str">
        <f>'VIX HISTORIQUE'!A357</f>
        <v/>
      </c>
      <c r="B354" s="22" t="str">
        <f>'VIX HISTORIQUE'!B357</f>
        <v/>
      </c>
      <c r="C354" s="22" t="str">
        <f>'VIX HISTORIQUE'!D357</f>
        <v/>
      </c>
      <c r="D354" s="22" t="str">
        <f>'VIX HISTORIQUE'!F357</f>
        <v/>
      </c>
      <c r="E354" s="22" t="str">
        <f>'VIX HISTORIQUE'!H357</f>
        <v/>
      </c>
      <c r="F354" s="22" t="str">
        <f>'VIX HISTORIQUE'!J357</f>
        <v/>
      </c>
    </row>
    <row r="355" ht="15.75" customHeight="1">
      <c r="A355" s="25" t="str">
        <f>'VIX HISTORIQUE'!A358</f>
        <v/>
      </c>
      <c r="B355" s="22" t="str">
        <f>'VIX HISTORIQUE'!B358</f>
        <v/>
      </c>
      <c r="C355" s="22" t="str">
        <f>'VIX HISTORIQUE'!D358</f>
        <v/>
      </c>
      <c r="D355" s="22" t="str">
        <f>'VIX HISTORIQUE'!F358</f>
        <v/>
      </c>
      <c r="E355" s="22" t="str">
        <f>'VIX HISTORIQUE'!H358</f>
        <v/>
      </c>
      <c r="F355" s="22" t="str">
        <f>'VIX HISTORIQUE'!J358</f>
        <v/>
      </c>
    </row>
    <row r="356" ht="15.75" customHeight="1">
      <c r="A356" s="25" t="str">
        <f>'VIX HISTORIQUE'!A359</f>
        <v/>
      </c>
      <c r="B356" s="22" t="str">
        <f>'VIX HISTORIQUE'!B359</f>
        <v/>
      </c>
      <c r="C356" s="22" t="str">
        <f>'VIX HISTORIQUE'!D359</f>
        <v/>
      </c>
      <c r="D356" s="22" t="str">
        <f>'VIX HISTORIQUE'!F359</f>
        <v/>
      </c>
      <c r="E356" s="22" t="str">
        <f>'VIX HISTORIQUE'!H359</f>
        <v/>
      </c>
      <c r="F356" s="22" t="str">
        <f>'VIX HISTORIQUE'!J359</f>
        <v/>
      </c>
    </row>
    <row r="357" ht="15.75" customHeight="1">
      <c r="A357" s="25" t="str">
        <f>'VIX HISTORIQUE'!A360</f>
        <v/>
      </c>
      <c r="B357" s="22" t="str">
        <f>'VIX HISTORIQUE'!B360</f>
        <v/>
      </c>
      <c r="C357" s="22" t="str">
        <f>'VIX HISTORIQUE'!D360</f>
        <v/>
      </c>
      <c r="D357" s="22" t="str">
        <f>'VIX HISTORIQUE'!F360</f>
        <v/>
      </c>
      <c r="E357" s="22" t="str">
        <f>'VIX HISTORIQUE'!H360</f>
        <v/>
      </c>
      <c r="F357" s="22" t="str">
        <f>'VIX HISTORIQUE'!J360</f>
        <v/>
      </c>
    </row>
    <row r="358" ht="15.75" customHeight="1">
      <c r="A358" s="25" t="str">
        <f>'VIX HISTORIQUE'!A361</f>
        <v/>
      </c>
      <c r="B358" s="22" t="str">
        <f>'VIX HISTORIQUE'!B361</f>
        <v/>
      </c>
      <c r="C358" s="22" t="str">
        <f>'VIX HISTORIQUE'!D361</f>
        <v/>
      </c>
      <c r="D358" s="22" t="str">
        <f>'VIX HISTORIQUE'!F361</f>
        <v/>
      </c>
      <c r="E358" s="22" t="str">
        <f>'VIX HISTORIQUE'!H361</f>
        <v/>
      </c>
      <c r="F358" s="22" t="str">
        <f>'VIX HISTORIQUE'!J361</f>
        <v/>
      </c>
    </row>
    <row r="359" ht="15.75" customHeight="1">
      <c r="A359" s="25" t="str">
        <f>'VIX HISTORIQUE'!A362</f>
        <v/>
      </c>
      <c r="B359" s="22" t="str">
        <f>'VIX HISTORIQUE'!B362</f>
        <v/>
      </c>
      <c r="C359" s="22" t="str">
        <f>'VIX HISTORIQUE'!D362</f>
        <v/>
      </c>
      <c r="D359" s="22" t="str">
        <f>'VIX HISTORIQUE'!F362</f>
        <v/>
      </c>
      <c r="E359" s="22" t="str">
        <f>'VIX HISTORIQUE'!H362</f>
        <v/>
      </c>
      <c r="F359" s="22" t="str">
        <f>'VIX HISTORIQUE'!J362</f>
        <v/>
      </c>
    </row>
    <row r="360" ht="15.75" customHeight="1">
      <c r="A360" s="25" t="str">
        <f>'VIX HISTORIQUE'!A363</f>
        <v/>
      </c>
      <c r="B360" s="22" t="str">
        <f>'VIX HISTORIQUE'!B363</f>
        <v/>
      </c>
      <c r="C360" s="22" t="str">
        <f>'VIX HISTORIQUE'!D363</f>
        <v/>
      </c>
      <c r="D360" s="22" t="str">
        <f>'VIX HISTORIQUE'!F363</f>
        <v/>
      </c>
      <c r="E360" s="22" t="str">
        <f>'VIX HISTORIQUE'!H363</f>
        <v/>
      </c>
      <c r="F360" s="22" t="str">
        <f>'VIX HISTORIQUE'!J363</f>
        <v/>
      </c>
    </row>
    <row r="361" ht="15.75" customHeight="1">
      <c r="A361" s="25" t="str">
        <f>'VIX HISTORIQUE'!A364</f>
        <v/>
      </c>
      <c r="B361" s="22" t="str">
        <f>'VIX HISTORIQUE'!B364</f>
        <v/>
      </c>
      <c r="C361" s="22" t="str">
        <f>'VIX HISTORIQUE'!D364</f>
        <v/>
      </c>
      <c r="D361" s="22" t="str">
        <f>'VIX HISTORIQUE'!F364</f>
        <v/>
      </c>
      <c r="E361" s="22" t="str">
        <f>'VIX HISTORIQUE'!H364</f>
        <v/>
      </c>
      <c r="F361" s="22" t="str">
        <f>'VIX HISTORIQUE'!J364</f>
        <v/>
      </c>
    </row>
    <row r="362" ht="15.75" customHeight="1">
      <c r="A362" s="25" t="str">
        <f>'VIX HISTORIQUE'!A365</f>
        <v/>
      </c>
      <c r="B362" s="22" t="str">
        <f>'VIX HISTORIQUE'!B365</f>
        <v/>
      </c>
      <c r="C362" s="22" t="str">
        <f>'VIX HISTORIQUE'!D365</f>
        <v/>
      </c>
      <c r="D362" s="22" t="str">
        <f>'VIX HISTORIQUE'!F365</f>
        <v/>
      </c>
      <c r="E362" s="22" t="str">
        <f>'VIX HISTORIQUE'!H365</f>
        <v/>
      </c>
      <c r="F362" s="22" t="str">
        <f>'VIX HISTORIQUE'!J365</f>
        <v/>
      </c>
    </row>
    <row r="363" ht="15.75" customHeight="1">
      <c r="A363" s="25" t="str">
        <f>'VIX HISTORIQUE'!A366</f>
        <v/>
      </c>
      <c r="B363" s="22" t="str">
        <f>'VIX HISTORIQUE'!B366</f>
        <v/>
      </c>
      <c r="C363" s="22" t="str">
        <f>'VIX HISTORIQUE'!D366</f>
        <v/>
      </c>
      <c r="D363" s="22" t="str">
        <f>'VIX HISTORIQUE'!F366</f>
        <v/>
      </c>
      <c r="E363" s="22" t="str">
        <f>'VIX HISTORIQUE'!H366</f>
        <v/>
      </c>
      <c r="F363" s="22" t="str">
        <f>'VIX HISTORIQUE'!J366</f>
        <v/>
      </c>
    </row>
    <row r="364" ht="15.75" customHeight="1">
      <c r="A364" s="25" t="str">
        <f>'VIX HISTORIQUE'!A367</f>
        <v/>
      </c>
      <c r="B364" s="22" t="str">
        <f>'VIX HISTORIQUE'!B367</f>
        <v/>
      </c>
      <c r="C364" s="22" t="str">
        <f>'VIX HISTORIQUE'!D367</f>
        <v/>
      </c>
      <c r="D364" s="22" t="str">
        <f>'VIX HISTORIQUE'!F367</f>
        <v/>
      </c>
      <c r="E364" s="22" t="str">
        <f>'VIX HISTORIQUE'!H367</f>
        <v/>
      </c>
      <c r="F364" s="22" t="str">
        <f>'VIX HISTORIQUE'!J367</f>
        <v/>
      </c>
    </row>
    <row r="365" ht="15.75" customHeight="1">
      <c r="A365" s="25" t="str">
        <f>'VIX HISTORIQUE'!A368</f>
        <v/>
      </c>
      <c r="B365" s="22" t="str">
        <f>'VIX HISTORIQUE'!B368</f>
        <v/>
      </c>
      <c r="C365" s="22" t="str">
        <f>'VIX HISTORIQUE'!D368</f>
        <v/>
      </c>
      <c r="D365" s="22" t="str">
        <f>'VIX HISTORIQUE'!F368</f>
        <v/>
      </c>
      <c r="E365" s="22" t="str">
        <f>'VIX HISTORIQUE'!H368</f>
        <v/>
      </c>
      <c r="F365" s="22" t="str">
        <f>'VIX HISTORIQUE'!J368</f>
        <v/>
      </c>
    </row>
    <row r="366" ht="15.75" customHeight="1">
      <c r="A366" s="25" t="str">
        <f>'VIX HISTORIQUE'!A369</f>
        <v/>
      </c>
      <c r="B366" s="22" t="str">
        <f>'VIX HISTORIQUE'!B369</f>
        <v/>
      </c>
      <c r="C366" s="22" t="str">
        <f>'VIX HISTORIQUE'!D369</f>
        <v/>
      </c>
      <c r="D366" s="22" t="str">
        <f>'VIX HISTORIQUE'!F369</f>
        <v/>
      </c>
      <c r="E366" s="22" t="str">
        <f>'VIX HISTORIQUE'!H369</f>
        <v/>
      </c>
      <c r="F366" s="22" t="str">
        <f>'VIX HISTORIQUE'!J369</f>
        <v/>
      </c>
    </row>
    <row r="367" ht="15.75" customHeight="1">
      <c r="A367" s="25" t="str">
        <f>'VIX HISTORIQUE'!A370</f>
        <v/>
      </c>
      <c r="B367" s="22" t="str">
        <f>'VIX HISTORIQUE'!B370</f>
        <v/>
      </c>
      <c r="C367" s="22" t="str">
        <f>'VIX HISTORIQUE'!D370</f>
        <v/>
      </c>
      <c r="D367" s="22" t="str">
        <f>'VIX HISTORIQUE'!F370</f>
        <v/>
      </c>
      <c r="E367" s="22" t="str">
        <f>'VIX HISTORIQUE'!H370</f>
        <v/>
      </c>
      <c r="F367" s="22" t="str">
        <f>'VIX HISTORIQUE'!J370</f>
        <v/>
      </c>
    </row>
    <row r="368" ht="15.75" customHeight="1">
      <c r="A368" s="25" t="str">
        <f>'VIX HISTORIQUE'!A371</f>
        <v/>
      </c>
      <c r="B368" s="22" t="str">
        <f>'VIX HISTORIQUE'!B371</f>
        <v/>
      </c>
      <c r="C368" s="22" t="str">
        <f>'VIX HISTORIQUE'!D371</f>
        <v/>
      </c>
      <c r="D368" s="22" t="str">
        <f>'VIX HISTORIQUE'!F371</f>
        <v/>
      </c>
      <c r="E368" s="22" t="str">
        <f>'VIX HISTORIQUE'!H371</f>
        <v/>
      </c>
      <c r="F368" s="22" t="str">
        <f>'VIX HISTORIQUE'!J371</f>
        <v/>
      </c>
    </row>
    <row r="369" ht="15.75" customHeight="1">
      <c r="A369" s="25" t="str">
        <f>'VIX HISTORIQUE'!A372</f>
        <v/>
      </c>
      <c r="B369" s="22" t="str">
        <f>'VIX HISTORIQUE'!B372</f>
        <v/>
      </c>
      <c r="C369" s="22" t="str">
        <f>'VIX HISTORIQUE'!D372</f>
        <v/>
      </c>
      <c r="D369" s="22" t="str">
        <f>'VIX HISTORIQUE'!F372</f>
        <v/>
      </c>
      <c r="E369" s="22" t="str">
        <f>'VIX HISTORIQUE'!H372</f>
        <v/>
      </c>
      <c r="F369" s="22" t="str">
        <f>'VIX HISTORIQUE'!J372</f>
        <v/>
      </c>
    </row>
    <row r="370" ht="15.75" customHeight="1">
      <c r="A370" s="25" t="str">
        <f>'VIX HISTORIQUE'!A373</f>
        <v/>
      </c>
      <c r="B370" s="22" t="str">
        <f>'VIX HISTORIQUE'!B373</f>
        <v/>
      </c>
      <c r="C370" s="22" t="str">
        <f>'VIX HISTORIQUE'!D373</f>
        <v/>
      </c>
      <c r="D370" s="22" t="str">
        <f>'VIX HISTORIQUE'!F373</f>
        <v/>
      </c>
      <c r="E370" s="22" t="str">
        <f>'VIX HISTORIQUE'!H373</f>
        <v/>
      </c>
      <c r="F370" s="22" t="str">
        <f>'VIX HISTORIQUE'!J373</f>
        <v/>
      </c>
    </row>
    <row r="371" ht="15.75" customHeight="1">
      <c r="A371" s="25" t="str">
        <f>'VIX HISTORIQUE'!A374</f>
        <v/>
      </c>
      <c r="B371" s="22" t="str">
        <f>'VIX HISTORIQUE'!B374</f>
        <v/>
      </c>
      <c r="C371" s="22" t="str">
        <f>'VIX HISTORIQUE'!D374</f>
        <v/>
      </c>
      <c r="D371" s="22" t="str">
        <f>'VIX HISTORIQUE'!F374</f>
        <v/>
      </c>
      <c r="E371" s="22" t="str">
        <f>'VIX HISTORIQUE'!H374</f>
        <v/>
      </c>
      <c r="F371" s="22" t="str">
        <f>'VIX HISTORIQUE'!J374</f>
        <v/>
      </c>
    </row>
    <row r="372" ht="15.75" customHeight="1">
      <c r="A372" s="25" t="str">
        <f>'VIX HISTORIQUE'!A375</f>
        <v/>
      </c>
      <c r="B372" s="22" t="str">
        <f>'VIX HISTORIQUE'!B375</f>
        <v/>
      </c>
      <c r="C372" s="22" t="str">
        <f>'VIX HISTORIQUE'!D375</f>
        <v/>
      </c>
      <c r="D372" s="22" t="str">
        <f>'VIX HISTORIQUE'!F375</f>
        <v/>
      </c>
      <c r="E372" s="22" t="str">
        <f>'VIX HISTORIQUE'!H375</f>
        <v/>
      </c>
      <c r="F372" s="22" t="str">
        <f>'VIX HISTORIQUE'!J375</f>
        <v/>
      </c>
    </row>
    <row r="373" ht="15.75" customHeight="1">
      <c r="A373" s="25" t="str">
        <f>'VIX HISTORIQUE'!A376</f>
        <v/>
      </c>
      <c r="B373" s="22" t="str">
        <f>'VIX HISTORIQUE'!B376</f>
        <v/>
      </c>
      <c r="C373" s="22" t="str">
        <f>'VIX HISTORIQUE'!D376</f>
        <v/>
      </c>
      <c r="D373" s="22" t="str">
        <f>'VIX HISTORIQUE'!F376</f>
        <v/>
      </c>
      <c r="E373" s="22" t="str">
        <f>'VIX HISTORIQUE'!H376</f>
        <v/>
      </c>
      <c r="F373" s="22" t="str">
        <f>'VIX HISTORIQUE'!J376</f>
        <v/>
      </c>
    </row>
    <row r="374" ht="15.75" customHeight="1">
      <c r="A374" s="25" t="str">
        <f>'VIX HISTORIQUE'!A377</f>
        <v/>
      </c>
      <c r="B374" s="22" t="str">
        <f>'VIX HISTORIQUE'!B377</f>
        <v/>
      </c>
      <c r="C374" s="22" t="str">
        <f>'VIX HISTORIQUE'!D377</f>
        <v/>
      </c>
      <c r="D374" s="22" t="str">
        <f>'VIX HISTORIQUE'!F377</f>
        <v/>
      </c>
      <c r="E374" s="22" t="str">
        <f>'VIX HISTORIQUE'!H377</f>
        <v/>
      </c>
      <c r="F374" s="22" t="str">
        <f>'VIX HISTORIQUE'!J377</f>
        <v/>
      </c>
    </row>
    <row r="375" ht="15.75" customHeight="1">
      <c r="A375" s="25" t="str">
        <f>'VIX HISTORIQUE'!A378</f>
        <v/>
      </c>
      <c r="B375" s="22" t="str">
        <f>'VIX HISTORIQUE'!B378</f>
        <v/>
      </c>
      <c r="C375" s="22" t="str">
        <f>'VIX HISTORIQUE'!D378</f>
        <v/>
      </c>
      <c r="D375" s="22" t="str">
        <f>'VIX HISTORIQUE'!F378</f>
        <v/>
      </c>
      <c r="E375" s="22" t="str">
        <f>'VIX HISTORIQUE'!H378</f>
        <v/>
      </c>
      <c r="F375" s="22" t="str">
        <f>'VIX HISTORIQUE'!J378</f>
        <v/>
      </c>
    </row>
    <row r="376" ht="15.75" customHeight="1">
      <c r="A376" s="25" t="str">
        <f>'VIX HISTORIQUE'!A379</f>
        <v/>
      </c>
      <c r="B376" s="22" t="str">
        <f>'VIX HISTORIQUE'!B379</f>
        <v/>
      </c>
      <c r="C376" s="22" t="str">
        <f>'VIX HISTORIQUE'!D379</f>
        <v/>
      </c>
      <c r="D376" s="22" t="str">
        <f>'VIX HISTORIQUE'!F379</f>
        <v/>
      </c>
      <c r="E376" s="22" t="str">
        <f>'VIX HISTORIQUE'!H379</f>
        <v/>
      </c>
      <c r="F376" s="22" t="str">
        <f>'VIX HISTORIQUE'!J379</f>
        <v/>
      </c>
    </row>
    <row r="377" ht="15.75" customHeight="1">
      <c r="A377" s="25" t="str">
        <f>'VIX HISTORIQUE'!A380</f>
        <v/>
      </c>
      <c r="B377" s="22" t="str">
        <f>'VIX HISTORIQUE'!B380</f>
        <v/>
      </c>
      <c r="C377" s="22" t="str">
        <f>'VIX HISTORIQUE'!D380</f>
        <v/>
      </c>
      <c r="D377" s="22" t="str">
        <f>'VIX HISTORIQUE'!F380</f>
        <v/>
      </c>
      <c r="E377" s="22" t="str">
        <f>'VIX HISTORIQUE'!H380</f>
        <v/>
      </c>
      <c r="F377" s="22" t="str">
        <f>'VIX HISTORIQUE'!J380</f>
        <v/>
      </c>
    </row>
    <row r="378" ht="15.75" customHeight="1">
      <c r="A378" s="25" t="str">
        <f>'VIX HISTORIQUE'!A381</f>
        <v/>
      </c>
      <c r="B378" s="22" t="str">
        <f>'VIX HISTORIQUE'!B381</f>
        <v/>
      </c>
      <c r="C378" s="22" t="str">
        <f>'VIX HISTORIQUE'!D381</f>
        <v/>
      </c>
      <c r="D378" s="22" t="str">
        <f>'VIX HISTORIQUE'!F381</f>
        <v/>
      </c>
      <c r="E378" s="22" t="str">
        <f>'VIX HISTORIQUE'!H381</f>
        <v/>
      </c>
      <c r="F378" s="22" t="str">
        <f>'VIX HISTORIQUE'!J381</f>
        <v/>
      </c>
    </row>
    <row r="379" ht="15.75" customHeight="1">
      <c r="A379" s="25" t="str">
        <f>'VIX HISTORIQUE'!A382</f>
        <v/>
      </c>
      <c r="B379" s="22" t="str">
        <f>'VIX HISTORIQUE'!B382</f>
        <v/>
      </c>
      <c r="C379" s="22" t="str">
        <f>'VIX HISTORIQUE'!D382</f>
        <v/>
      </c>
      <c r="D379" s="22" t="str">
        <f>'VIX HISTORIQUE'!F382</f>
        <v/>
      </c>
      <c r="E379" s="22" t="str">
        <f>'VIX HISTORIQUE'!H382</f>
        <v/>
      </c>
      <c r="F379" s="22" t="str">
        <f>'VIX HISTORIQUE'!J382</f>
        <v/>
      </c>
    </row>
    <row r="380" ht="15.75" customHeight="1">
      <c r="A380" s="25" t="str">
        <f>'VIX HISTORIQUE'!A383</f>
        <v/>
      </c>
      <c r="B380" s="22" t="str">
        <f>'VIX HISTORIQUE'!B383</f>
        <v/>
      </c>
      <c r="C380" s="22" t="str">
        <f>'VIX HISTORIQUE'!D383</f>
        <v/>
      </c>
      <c r="D380" s="22" t="str">
        <f>'VIX HISTORIQUE'!F383</f>
        <v/>
      </c>
      <c r="E380" s="22" t="str">
        <f>'VIX HISTORIQUE'!H383</f>
        <v/>
      </c>
      <c r="F380" s="22" t="str">
        <f>'VIX HISTORIQUE'!J383</f>
        <v/>
      </c>
    </row>
    <row r="381" ht="15.75" customHeight="1">
      <c r="A381" s="25" t="str">
        <f>'VIX HISTORIQUE'!A384</f>
        <v/>
      </c>
      <c r="B381" s="22" t="str">
        <f>'VIX HISTORIQUE'!B384</f>
        <v/>
      </c>
      <c r="C381" s="22" t="str">
        <f>'VIX HISTORIQUE'!D384</f>
        <v/>
      </c>
      <c r="D381" s="22" t="str">
        <f>'VIX HISTORIQUE'!F384</f>
        <v/>
      </c>
      <c r="E381" s="22" t="str">
        <f>'VIX HISTORIQUE'!H384</f>
        <v/>
      </c>
      <c r="F381" s="22" t="str">
        <f>'VIX HISTORIQUE'!J384</f>
        <v/>
      </c>
    </row>
    <row r="382" ht="15.75" customHeight="1">
      <c r="A382" s="25" t="str">
        <f>'VIX HISTORIQUE'!A385</f>
        <v/>
      </c>
      <c r="B382" s="22" t="str">
        <f>'VIX HISTORIQUE'!B385</f>
        <v/>
      </c>
      <c r="C382" s="22" t="str">
        <f>'VIX HISTORIQUE'!D385</f>
        <v/>
      </c>
      <c r="D382" s="22" t="str">
        <f>'VIX HISTORIQUE'!F385</f>
        <v/>
      </c>
      <c r="E382" s="22" t="str">
        <f>'VIX HISTORIQUE'!H385</f>
        <v/>
      </c>
      <c r="F382" s="22" t="str">
        <f>'VIX HISTORIQUE'!J385</f>
        <v/>
      </c>
    </row>
    <row r="383" ht="15.75" customHeight="1">
      <c r="A383" s="25" t="str">
        <f>'VIX HISTORIQUE'!A386</f>
        <v/>
      </c>
      <c r="B383" s="22" t="str">
        <f>'VIX HISTORIQUE'!B386</f>
        <v/>
      </c>
      <c r="C383" s="22" t="str">
        <f>'VIX HISTORIQUE'!D386</f>
        <v/>
      </c>
      <c r="D383" s="22" t="str">
        <f>'VIX HISTORIQUE'!F386</f>
        <v/>
      </c>
      <c r="E383" s="22" t="str">
        <f>'VIX HISTORIQUE'!H386</f>
        <v/>
      </c>
      <c r="F383" s="22" t="str">
        <f>'VIX HISTORIQUE'!J386</f>
        <v/>
      </c>
    </row>
    <row r="384" ht="15.75" customHeight="1">
      <c r="A384" s="25" t="str">
        <f>'VIX HISTORIQUE'!A387</f>
        <v/>
      </c>
      <c r="B384" s="22" t="str">
        <f>'VIX HISTORIQUE'!B387</f>
        <v/>
      </c>
      <c r="C384" s="22" t="str">
        <f>'VIX HISTORIQUE'!D387</f>
        <v/>
      </c>
      <c r="D384" s="22" t="str">
        <f>'VIX HISTORIQUE'!F387</f>
        <v/>
      </c>
      <c r="E384" s="22" t="str">
        <f>'VIX HISTORIQUE'!H387</f>
        <v/>
      </c>
      <c r="F384" s="22" t="str">
        <f>'VIX HISTORIQUE'!J387</f>
        <v/>
      </c>
    </row>
    <row r="385" ht="15.75" customHeight="1">
      <c r="A385" s="25" t="str">
        <f>'VIX HISTORIQUE'!A388</f>
        <v/>
      </c>
      <c r="B385" s="22" t="str">
        <f>'VIX HISTORIQUE'!B388</f>
        <v/>
      </c>
      <c r="C385" s="22" t="str">
        <f>'VIX HISTORIQUE'!D388</f>
        <v/>
      </c>
      <c r="D385" s="22" t="str">
        <f>'VIX HISTORIQUE'!F388</f>
        <v/>
      </c>
      <c r="E385" s="22" t="str">
        <f>'VIX HISTORIQUE'!H388</f>
        <v/>
      </c>
      <c r="F385" s="22" t="str">
        <f>'VIX HISTORIQUE'!J388</f>
        <v/>
      </c>
    </row>
    <row r="386" ht="15.75" customHeight="1">
      <c r="A386" s="25" t="str">
        <f>'VIX HISTORIQUE'!A389</f>
        <v/>
      </c>
      <c r="B386" s="22" t="str">
        <f>'VIX HISTORIQUE'!B389</f>
        <v/>
      </c>
      <c r="C386" s="22" t="str">
        <f>'VIX HISTORIQUE'!D389</f>
        <v/>
      </c>
      <c r="D386" s="22" t="str">
        <f>'VIX HISTORIQUE'!F389</f>
        <v/>
      </c>
      <c r="E386" s="22" t="str">
        <f>'VIX HISTORIQUE'!H389</f>
        <v/>
      </c>
      <c r="F386" s="22" t="str">
        <f>'VIX HISTORIQUE'!J389</f>
        <v/>
      </c>
    </row>
    <row r="387" ht="15.75" customHeight="1">
      <c r="A387" s="25" t="str">
        <f>'VIX HISTORIQUE'!A390</f>
        <v/>
      </c>
      <c r="B387" s="22" t="str">
        <f>'VIX HISTORIQUE'!B390</f>
        <v/>
      </c>
      <c r="C387" s="22" t="str">
        <f>'VIX HISTORIQUE'!D390</f>
        <v/>
      </c>
      <c r="D387" s="22" t="str">
        <f>'VIX HISTORIQUE'!F390</f>
        <v/>
      </c>
      <c r="E387" s="22" t="str">
        <f>'VIX HISTORIQUE'!H390</f>
        <v/>
      </c>
      <c r="F387" s="22" t="str">
        <f>'VIX HISTORIQUE'!J390</f>
        <v/>
      </c>
    </row>
    <row r="388" ht="15.75" customHeight="1">
      <c r="A388" s="25" t="str">
        <f>'VIX HISTORIQUE'!A391</f>
        <v/>
      </c>
      <c r="B388" s="22" t="str">
        <f>'VIX HISTORIQUE'!B391</f>
        <v/>
      </c>
      <c r="C388" s="22" t="str">
        <f>'VIX HISTORIQUE'!D391</f>
        <v/>
      </c>
      <c r="D388" s="22" t="str">
        <f>'VIX HISTORIQUE'!F391</f>
        <v/>
      </c>
      <c r="E388" s="22" t="str">
        <f>'VIX HISTORIQUE'!H391</f>
        <v/>
      </c>
      <c r="F388" s="22" t="str">
        <f>'VIX HISTORIQUE'!J391</f>
        <v/>
      </c>
    </row>
    <row r="389" ht="15.75" customHeight="1">
      <c r="A389" s="25" t="str">
        <f>'VIX HISTORIQUE'!A392</f>
        <v/>
      </c>
      <c r="B389" s="22" t="str">
        <f>'VIX HISTORIQUE'!B392</f>
        <v/>
      </c>
      <c r="C389" s="22" t="str">
        <f>'VIX HISTORIQUE'!D392</f>
        <v/>
      </c>
      <c r="D389" s="22" t="str">
        <f>'VIX HISTORIQUE'!F392</f>
        <v/>
      </c>
      <c r="E389" s="22" t="str">
        <f>'VIX HISTORIQUE'!H392</f>
        <v/>
      </c>
      <c r="F389" s="22" t="str">
        <f>'VIX HISTORIQUE'!J392</f>
        <v/>
      </c>
    </row>
    <row r="390" ht="15.75" customHeight="1">
      <c r="A390" s="25" t="str">
        <f>'VIX HISTORIQUE'!A393</f>
        <v/>
      </c>
      <c r="B390" s="22" t="str">
        <f>'VIX HISTORIQUE'!B393</f>
        <v/>
      </c>
      <c r="C390" s="22" t="str">
        <f>'VIX HISTORIQUE'!D393</f>
        <v/>
      </c>
      <c r="D390" s="22" t="str">
        <f>'VIX HISTORIQUE'!F393</f>
        <v/>
      </c>
      <c r="E390" s="22" t="str">
        <f>'VIX HISTORIQUE'!H393</f>
        <v/>
      </c>
      <c r="F390" s="22" t="str">
        <f>'VIX HISTORIQUE'!J393</f>
        <v/>
      </c>
    </row>
    <row r="391" ht="15.75" customHeight="1">
      <c r="A391" s="25" t="str">
        <f>'VIX HISTORIQUE'!A394</f>
        <v/>
      </c>
      <c r="B391" s="22" t="str">
        <f>'VIX HISTORIQUE'!B394</f>
        <v/>
      </c>
      <c r="C391" s="22" t="str">
        <f>'VIX HISTORIQUE'!D394</f>
        <v/>
      </c>
      <c r="D391" s="22" t="str">
        <f>'VIX HISTORIQUE'!F394</f>
        <v/>
      </c>
      <c r="E391" s="22" t="str">
        <f>'VIX HISTORIQUE'!H394</f>
        <v/>
      </c>
      <c r="F391" s="22" t="str">
        <f>'VIX HISTORIQUE'!J394</f>
        <v/>
      </c>
    </row>
    <row r="392" ht="15.75" customHeight="1">
      <c r="A392" s="25" t="str">
        <f>'VIX HISTORIQUE'!A395</f>
        <v/>
      </c>
      <c r="B392" s="22" t="str">
        <f>'VIX HISTORIQUE'!B395</f>
        <v/>
      </c>
      <c r="C392" s="22" t="str">
        <f>'VIX HISTORIQUE'!D395</f>
        <v/>
      </c>
      <c r="D392" s="22" t="str">
        <f>'VIX HISTORIQUE'!F395</f>
        <v/>
      </c>
      <c r="E392" s="22" t="str">
        <f>'VIX HISTORIQUE'!H395</f>
        <v/>
      </c>
      <c r="F392" s="22" t="str">
        <f>'VIX HISTORIQUE'!J395</f>
        <v/>
      </c>
    </row>
    <row r="393" ht="15.75" customHeight="1">
      <c r="A393" s="25" t="str">
        <f>'VIX HISTORIQUE'!A396</f>
        <v/>
      </c>
      <c r="B393" s="22" t="str">
        <f>'VIX HISTORIQUE'!B396</f>
        <v/>
      </c>
      <c r="C393" s="22" t="str">
        <f>'VIX HISTORIQUE'!D396</f>
        <v/>
      </c>
      <c r="D393" s="22" t="str">
        <f>'VIX HISTORIQUE'!F396</f>
        <v/>
      </c>
      <c r="E393" s="22" t="str">
        <f>'VIX HISTORIQUE'!H396</f>
        <v/>
      </c>
      <c r="F393" s="22" t="str">
        <f>'VIX HISTORIQUE'!J396</f>
        <v/>
      </c>
    </row>
    <row r="394" ht="15.75" customHeight="1">
      <c r="A394" s="25" t="str">
        <f>'VIX HISTORIQUE'!A397</f>
        <v/>
      </c>
      <c r="B394" s="22" t="str">
        <f>'VIX HISTORIQUE'!B397</f>
        <v/>
      </c>
      <c r="C394" s="22" t="str">
        <f>'VIX HISTORIQUE'!D397</f>
        <v/>
      </c>
      <c r="D394" s="22" t="str">
        <f>'VIX HISTORIQUE'!F397</f>
        <v/>
      </c>
      <c r="E394" s="22" t="str">
        <f>'VIX HISTORIQUE'!H397</f>
        <v/>
      </c>
      <c r="F394" s="22" t="str">
        <f>'VIX HISTORIQUE'!J397</f>
        <v/>
      </c>
    </row>
    <row r="395" ht="15.75" customHeight="1">
      <c r="A395" s="25" t="str">
        <f>'VIX HISTORIQUE'!A398</f>
        <v/>
      </c>
      <c r="B395" s="22" t="str">
        <f>'VIX HISTORIQUE'!B398</f>
        <v/>
      </c>
      <c r="C395" s="22" t="str">
        <f>'VIX HISTORIQUE'!D398</f>
        <v/>
      </c>
      <c r="D395" s="22" t="str">
        <f>'VIX HISTORIQUE'!F398</f>
        <v/>
      </c>
      <c r="E395" s="22" t="str">
        <f>'VIX HISTORIQUE'!H398</f>
        <v/>
      </c>
      <c r="F395" s="22" t="str">
        <f>'VIX HISTORIQUE'!J398</f>
        <v/>
      </c>
    </row>
    <row r="396" ht="15.75" customHeight="1">
      <c r="A396" s="25" t="str">
        <f>'VIX HISTORIQUE'!A399</f>
        <v/>
      </c>
      <c r="B396" s="22" t="str">
        <f>'VIX HISTORIQUE'!B399</f>
        <v/>
      </c>
      <c r="C396" s="22" t="str">
        <f>'VIX HISTORIQUE'!D399</f>
        <v/>
      </c>
      <c r="D396" s="22" t="str">
        <f>'VIX HISTORIQUE'!F399</f>
        <v/>
      </c>
      <c r="E396" s="22" t="str">
        <f>'VIX HISTORIQUE'!H399</f>
        <v/>
      </c>
      <c r="F396" s="22" t="str">
        <f>'VIX HISTORIQUE'!J399</f>
        <v/>
      </c>
    </row>
    <row r="397" ht="15.75" customHeight="1">
      <c r="A397" s="25" t="str">
        <f>'VIX HISTORIQUE'!A400</f>
        <v/>
      </c>
      <c r="B397" s="22" t="str">
        <f>'VIX HISTORIQUE'!B400</f>
        <v/>
      </c>
      <c r="C397" s="22" t="str">
        <f>'VIX HISTORIQUE'!D400</f>
        <v/>
      </c>
      <c r="D397" s="22" t="str">
        <f>'VIX HISTORIQUE'!F400</f>
        <v/>
      </c>
      <c r="E397" s="22" t="str">
        <f>'VIX HISTORIQUE'!H400</f>
        <v/>
      </c>
      <c r="F397" s="22" t="str">
        <f>'VIX HISTORIQUE'!J400</f>
        <v/>
      </c>
    </row>
    <row r="398" ht="15.75" customHeight="1">
      <c r="A398" s="25" t="str">
        <f>'VIX HISTORIQUE'!A401</f>
        <v/>
      </c>
      <c r="B398" s="22" t="str">
        <f>'VIX HISTORIQUE'!B401</f>
        <v/>
      </c>
      <c r="C398" s="22" t="str">
        <f>'VIX HISTORIQUE'!D401</f>
        <v/>
      </c>
      <c r="D398" s="22" t="str">
        <f>'VIX HISTORIQUE'!F401</f>
        <v/>
      </c>
      <c r="E398" s="22" t="str">
        <f>'VIX HISTORIQUE'!H401</f>
        <v/>
      </c>
      <c r="F398" s="22" t="str">
        <f>'VIX HISTORIQUE'!J401</f>
        <v/>
      </c>
    </row>
    <row r="399" ht="15.75" customHeight="1">
      <c r="A399" s="25" t="str">
        <f>'VIX HISTORIQUE'!A402</f>
        <v/>
      </c>
      <c r="B399" s="22" t="str">
        <f>'VIX HISTORIQUE'!B402</f>
        <v/>
      </c>
      <c r="C399" s="22" t="str">
        <f>'VIX HISTORIQUE'!D402</f>
        <v/>
      </c>
      <c r="D399" s="22" t="str">
        <f>'VIX HISTORIQUE'!F402</f>
        <v/>
      </c>
      <c r="E399" s="22" t="str">
        <f>'VIX HISTORIQUE'!H402</f>
        <v/>
      </c>
      <c r="F399" s="22" t="str">
        <f>'VIX HISTORIQUE'!J402</f>
        <v/>
      </c>
    </row>
    <row r="400" ht="15.75" customHeight="1">
      <c r="A400" s="25" t="str">
        <f>'VIX HISTORIQUE'!A403</f>
        <v/>
      </c>
      <c r="B400" s="22" t="str">
        <f>'VIX HISTORIQUE'!B403</f>
        <v/>
      </c>
      <c r="C400" s="22" t="str">
        <f>'VIX HISTORIQUE'!D403</f>
        <v/>
      </c>
      <c r="D400" s="22" t="str">
        <f>'VIX HISTORIQUE'!F403</f>
        <v/>
      </c>
      <c r="E400" s="22" t="str">
        <f>'VIX HISTORIQUE'!H403</f>
        <v/>
      </c>
      <c r="F400" s="22" t="str">
        <f>'VIX HISTORIQUE'!J403</f>
        <v/>
      </c>
    </row>
    <row r="401" ht="15.75" customHeight="1">
      <c r="A401" s="25" t="str">
        <f>'VIX HISTORIQUE'!A404</f>
        <v/>
      </c>
      <c r="B401" s="22" t="str">
        <f>'VIX HISTORIQUE'!B404</f>
        <v/>
      </c>
      <c r="C401" s="22" t="str">
        <f>'VIX HISTORIQUE'!D404</f>
        <v/>
      </c>
      <c r="D401" s="22" t="str">
        <f>'VIX HISTORIQUE'!F404</f>
        <v/>
      </c>
      <c r="E401" s="22" t="str">
        <f>'VIX HISTORIQUE'!H404</f>
        <v/>
      </c>
      <c r="F401" s="22" t="str">
        <f>'VIX HISTORIQUE'!J404</f>
        <v/>
      </c>
    </row>
    <row r="402" ht="15.75" customHeight="1">
      <c r="A402" s="25" t="str">
        <f>'VIX HISTORIQUE'!A405</f>
        <v/>
      </c>
      <c r="B402" s="22" t="str">
        <f>'VIX HISTORIQUE'!B405</f>
        <v/>
      </c>
      <c r="C402" s="22" t="str">
        <f>'VIX HISTORIQUE'!D405</f>
        <v/>
      </c>
      <c r="D402" s="22" t="str">
        <f>'VIX HISTORIQUE'!F405</f>
        <v/>
      </c>
      <c r="E402" s="22" t="str">
        <f>'VIX HISTORIQUE'!H405</f>
        <v/>
      </c>
      <c r="F402" s="22" t="str">
        <f>'VIX HISTORIQUE'!J405</f>
        <v/>
      </c>
    </row>
    <row r="403" ht="15.75" customHeight="1">
      <c r="A403" s="25" t="str">
        <f>'VIX HISTORIQUE'!A406</f>
        <v/>
      </c>
      <c r="B403" s="22" t="str">
        <f>'VIX HISTORIQUE'!B406</f>
        <v/>
      </c>
      <c r="C403" s="22" t="str">
        <f>'VIX HISTORIQUE'!D406</f>
        <v/>
      </c>
      <c r="D403" s="22" t="str">
        <f>'VIX HISTORIQUE'!F406</f>
        <v/>
      </c>
      <c r="E403" s="22" t="str">
        <f>'VIX HISTORIQUE'!H406</f>
        <v/>
      </c>
      <c r="F403" s="22" t="str">
        <f>'VIX HISTORIQUE'!J406</f>
        <v/>
      </c>
    </row>
    <row r="404" ht="15.75" customHeight="1">
      <c r="A404" s="25" t="str">
        <f>'VIX HISTORIQUE'!A407</f>
        <v/>
      </c>
      <c r="B404" s="22" t="str">
        <f>'VIX HISTORIQUE'!B407</f>
        <v/>
      </c>
      <c r="C404" s="22" t="str">
        <f>'VIX HISTORIQUE'!D407</f>
        <v/>
      </c>
      <c r="D404" s="22" t="str">
        <f>'VIX HISTORIQUE'!F407</f>
        <v/>
      </c>
      <c r="E404" s="22" t="str">
        <f>'VIX HISTORIQUE'!H407</f>
        <v/>
      </c>
      <c r="F404" s="22" t="str">
        <f>'VIX HISTORIQUE'!J407</f>
        <v/>
      </c>
    </row>
    <row r="405" ht="15.75" customHeight="1">
      <c r="A405" s="25" t="str">
        <f>'VIX HISTORIQUE'!A408</f>
        <v/>
      </c>
      <c r="B405" s="22" t="str">
        <f>'VIX HISTORIQUE'!B408</f>
        <v/>
      </c>
      <c r="C405" s="22" t="str">
        <f>'VIX HISTORIQUE'!D408</f>
        <v/>
      </c>
      <c r="D405" s="22" t="str">
        <f>'VIX HISTORIQUE'!F408</f>
        <v/>
      </c>
      <c r="E405" s="22" t="str">
        <f>'VIX HISTORIQUE'!H408</f>
        <v/>
      </c>
      <c r="F405" s="22" t="str">
        <f>'VIX HISTORIQUE'!J408</f>
        <v/>
      </c>
    </row>
    <row r="406" ht="15.75" customHeight="1">
      <c r="A406" s="25" t="str">
        <f>'VIX HISTORIQUE'!A409</f>
        <v/>
      </c>
      <c r="B406" s="22" t="str">
        <f>'VIX HISTORIQUE'!B409</f>
        <v/>
      </c>
      <c r="C406" s="22" t="str">
        <f>'VIX HISTORIQUE'!D409</f>
        <v/>
      </c>
      <c r="D406" s="22" t="str">
        <f>'VIX HISTORIQUE'!F409</f>
        <v/>
      </c>
      <c r="E406" s="22" t="str">
        <f>'VIX HISTORIQUE'!H409</f>
        <v/>
      </c>
      <c r="F406" s="22" t="str">
        <f>'VIX HISTORIQUE'!J409</f>
        <v/>
      </c>
    </row>
    <row r="407" ht="15.75" customHeight="1">
      <c r="A407" s="25" t="str">
        <f>'VIX HISTORIQUE'!A410</f>
        <v/>
      </c>
      <c r="B407" s="22" t="str">
        <f>'VIX HISTORIQUE'!B410</f>
        <v/>
      </c>
      <c r="C407" s="22" t="str">
        <f>'VIX HISTORIQUE'!D410</f>
        <v/>
      </c>
      <c r="D407" s="22" t="str">
        <f>'VIX HISTORIQUE'!F410</f>
        <v/>
      </c>
      <c r="E407" s="22" t="str">
        <f>'VIX HISTORIQUE'!H410</f>
        <v/>
      </c>
      <c r="F407" s="22" t="str">
        <f>'VIX HISTORIQUE'!J410</f>
        <v/>
      </c>
    </row>
    <row r="408" ht="15.75" customHeight="1">
      <c r="A408" s="25" t="str">
        <f>'VIX HISTORIQUE'!A411</f>
        <v/>
      </c>
      <c r="B408" s="22" t="str">
        <f>'VIX HISTORIQUE'!B411</f>
        <v/>
      </c>
      <c r="C408" s="22" t="str">
        <f>'VIX HISTORIQUE'!D411</f>
        <v/>
      </c>
      <c r="D408" s="22" t="str">
        <f>'VIX HISTORIQUE'!F411</f>
        <v/>
      </c>
      <c r="E408" s="22" t="str">
        <f>'VIX HISTORIQUE'!H411</f>
        <v/>
      </c>
      <c r="F408" s="22" t="str">
        <f>'VIX HISTORIQUE'!J411</f>
        <v/>
      </c>
    </row>
    <row r="409" ht="15.75" customHeight="1">
      <c r="A409" s="25" t="str">
        <f>'VIX HISTORIQUE'!A412</f>
        <v/>
      </c>
      <c r="B409" s="22" t="str">
        <f>'VIX HISTORIQUE'!B412</f>
        <v/>
      </c>
      <c r="C409" s="22" t="str">
        <f>'VIX HISTORIQUE'!D412</f>
        <v/>
      </c>
      <c r="D409" s="22" t="str">
        <f>'VIX HISTORIQUE'!F412</f>
        <v/>
      </c>
      <c r="E409" s="22" t="str">
        <f>'VIX HISTORIQUE'!H412</f>
        <v/>
      </c>
      <c r="F409" s="22" t="str">
        <f>'VIX HISTORIQUE'!J412</f>
        <v/>
      </c>
    </row>
    <row r="410" ht="15.75" customHeight="1">
      <c r="A410" s="25" t="str">
        <f>'VIX HISTORIQUE'!A413</f>
        <v/>
      </c>
      <c r="B410" s="22" t="str">
        <f>'VIX HISTORIQUE'!B413</f>
        <v/>
      </c>
      <c r="C410" s="22" t="str">
        <f>'VIX HISTORIQUE'!D413</f>
        <v/>
      </c>
      <c r="D410" s="22" t="str">
        <f>'VIX HISTORIQUE'!F413</f>
        <v/>
      </c>
      <c r="E410" s="22" t="str">
        <f>'VIX HISTORIQUE'!H413</f>
        <v/>
      </c>
      <c r="F410" s="22" t="str">
        <f>'VIX HISTORIQUE'!J413</f>
        <v/>
      </c>
    </row>
    <row r="411" ht="15.75" customHeight="1">
      <c r="A411" s="25" t="str">
        <f>'VIX HISTORIQUE'!A414</f>
        <v/>
      </c>
      <c r="B411" s="22" t="str">
        <f>'VIX HISTORIQUE'!B414</f>
        <v/>
      </c>
      <c r="C411" s="22" t="str">
        <f>'VIX HISTORIQUE'!D414</f>
        <v/>
      </c>
      <c r="D411" s="22" t="str">
        <f>'VIX HISTORIQUE'!F414</f>
        <v/>
      </c>
      <c r="E411" s="22" t="str">
        <f>'VIX HISTORIQUE'!H414</f>
        <v/>
      </c>
      <c r="F411" s="22" t="str">
        <f>'VIX HISTORIQUE'!J414</f>
        <v/>
      </c>
    </row>
    <row r="412" ht="15.75" customHeight="1">
      <c r="A412" s="25" t="str">
        <f>'VIX HISTORIQUE'!A415</f>
        <v/>
      </c>
      <c r="B412" s="22" t="str">
        <f>'VIX HISTORIQUE'!B415</f>
        <v/>
      </c>
      <c r="C412" s="22" t="str">
        <f>'VIX HISTORIQUE'!D415</f>
        <v/>
      </c>
      <c r="D412" s="22" t="str">
        <f>'VIX HISTORIQUE'!F415</f>
        <v/>
      </c>
      <c r="E412" s="22" t="str">
        <f>'VIX HISTORIQUE'!H415</f>
        <v/>
      </c>
      <c r="F412" s="22" t="str">
        <f>'VIX HISTORIQUE'!J415</f>
        <v/>
      </c>
    </row>
    <row r="413" ht="15.75" customHeight="1">
      <c r="A413" s="25" t="str">
        <f>'VIX HISTORIQUE'!A416</f>
        <v/>
      </c>
      <c r="B413" s="22" t="str">
        <f>'VIX HISTORIQUE'!B416</f>
        <v/>
      </c>
      <c r="C413" s="22" t="str">
        <f>'VIX HISTORIQUE'!D416</f>
        <v/>
      </c>
      <c r="D413" s="22" t="str">
        <f>'VIX HISTORIQUE'!F416</f>
        <v/>
      </c>
      <c r="E413" s="22" t="str">
        <f>'VIX HISTORIQUE'!H416</f>
        <v/>
      </c>
      <c r="F413" s="22" t="str">
        <f>'VIX HISTORIQUE'!J416</f>
        <v/>
      </c>
    </row>
    <row r="414" ht="15.75" customHeight="1">
      <c r="A414" s="25" t="str">
        <f>'VIX HISTORIQUE'!A417</f>
        <v/>
      </c>
      <c r="B414" s="22" t="str">
        <f>'VIX HISTORIQUE'!B417</f>
        <v/>
      </c>
      <c r="C414" s="22" t="str">
        <f>'VIX HISTORIQUE'!D417</f>
        <v/>
      </c>
      <c r="D414" s="22" t="str">
        <f>'VIX HISTORIQUE'!F417</f>
        <v/>
      </c>
      <c r="E414" s="22" t="str">
        <f>'VIX HISTORIQUE'!H417</f>
        <v/>
      </c>
      <c r="F414" s="22" t="str">
        <f>'VIX HISTORIQUE'!J417</f>
        <v/>
      </c>
    </row>
    <row r="415" ht="15.75" customHeight="1">
      <c r="A415" s="25" t="str">
        <f>'VIX HISTORIQUE'!A418</f>
        <v/>
      </c>
      <c r="B415" s="22" t="str">
        <f>'VIX HISTORIQUE'!B418</f>
        <v/>
      </c>
      <c r="C415" s="22" t="str">
        <f>'VIX HISTORIQUE'!D418</f>
        <v/>
      </c>
      <c r="D415" s="22" t="str">
        <f>'VIX HISTORIQUE'!F418</f>
        <v/>
      </c>
      <c r="E415" s="22" t="str">
        <f>'VIX HISTORIQUE'!H418</f>
        <v/>
      </c>
      <c r="F415" s="22" t="str">
        <f>'VIX HISTORIQUE'!J418</f>
        <v/>
      </c>
    </row>
    <row r="416" ht="15.75" customHeight="1">
      <c r="A416" s="25" t="str">
        <f>'VIX HISTORIQUE'!A419</f>
        <v/>
      </c>
      <c r="B416" s="22" t="str">
        <f>'VIX HISTORIQUE'!B419</f>
        <v/>
      </c>
      <c r="C416" s="22" t="str">
        <f>'VIX HISTORIQUE'!D419</f>
        <v/>
      </c>
      <c r="D416" s="22" t="str">
        <f>'VIX HISTORIQUE'!F419</f>
        <v/>
      </c>
      <c r="E416" s="22" t="str">
        <f>'VIX HISTORIQUE'!H419</f>
        <v/>
      </c>
      <c r="F416" s="22" t="str">
        <f>'VIX HISTORIQUE'!J419</f>
        <v/>
      </c>
    </row>
    <row r="417" ht="15.75" customHeight="1">
      <c r="A417" s="25" t="str">
        <f>'VIX HISTORIQUE'!A420</f>
        <v/>
      </c>
      <c r="B417" s="22" t="str">
        <f>'VIX HISTORIQUE'!B420</f>
        <v/>
      </c>
      <c r="C417" s="22" t="str">
        <f>'VIX HISTORIQUE'!D420</f>
        <v/>
      </c>
      <c r="D417" s="22" t="str">
        <f>'VIX HISTORIQUE'!F420</f>
        <v/>
      </c>
      <c r="E417" s="22" t="str">
        <f>'VIX HISTORIQUE'!H420</f>
        <v/>
      </c>
      <c r="F417" s="22" t="str">
        <f>'VIX HISTORIQUE'!J420</f>
        <v/>
      </c>
    </row>
    <row r="418" ht="15.75" customHeight="1">
      <c r="A418" s="25" t="str">
        <f>'VIX HISTORIQUE'!A421</f>
        <v/>
      </c>
      <c r="B418" s="22" t="str">
        <f>'VIX HISTORIQUE'!B421</f>
        <v/>
      </c>
      <c r="C418" s="22" t="str">
        <f>'VIX HISTORIQUE'!D421</f>
        <v/>
      </c>
      <c r="D418" s="22" t="str">
        <f>'VIX HISTORIQUE'!F421</f>
        <v/>
      </c>
      <c r="E418" s="22" t="str">
        <f>'VIX HISTORIQUE'!H421</f>
        <v/>
      </c>
      <c r="F418" s="22" t="str">
        <f>'VIX HISTORIQUE'!J421</f>
        <v/>
      </c>
    </row>
    <row r="419" ht="15.75" customHeight="1">
      <c r="A419" s="25" t="str">
        <f>'VIX HISTORIQUE'!A422</f>
        <v/>
      </c>
      <c r="B419" s="22" t="str">
        <f>'VIX HISTORIQUE'!B422</f>
        <v/>
      </c>
      <c r="C419" s="22" t="str">
        <f>'VIX HISTORIQUE'!D422</f>
        <v/>
      </c>
      <c r="D419" s="22" t="str">
        <f>'VIX HISTORIQUE'!F422</f>
        <v/>
      </c>
      <c r="E419" s="22" t="str">
        <f>'VIX HISTORIQUE'!H422</f>
        <v/>
      </c>
      <c r="F419" s="22" t="str">
        <f>'VIX HISTORIQUE'!J422</f>
        <v/>
      </c>
    </row>
    <row r="420" ht="15.75" customHeight="1">
      <c r="A420" s="25" t="str">
        <f>'VIX HISTORIQUE'!A423</f>
        <v/>
      </c>
      <c r="B420" s="22" t="str">
        <f>'VIX HISTORIQUE'!B423</f>
        <v/>
      </c>
      <c r="C420" s="22" t="str">
        <f>'VIX HISTORIQUE'!D423</f>
        <v/>
      </c>
      <c r="D420" s="22" t="str">
        <f>'VIX HISTORIQUE'!F423</f>
        <v/>
      </c>
      <c r="E420" s="22" t="str">
        <f>'VIX HISTORIQUE'!H423</f>
        <v/>
      </c>
      <c r="F420" s="22" t="str">
        <f>'VIX HISTORIQUE'!J423</f>
        <v/>
      </c>
    </row>
    <row r="421" ht="15.75" customHeight="1">
      <c r="A421" s="25" t="str">
        <f>'VIX HISTORIQUE'!A424</f>
        <v/>
      </c>
      <c r="B421" s="22" t="str">
        <f>'VIX HISTORIQUE'!B424</f>
        <v/>
      </c>
      <c r="C421" s="22" t="str">
        <f>'VIX HISTORIQUE'!D424</f>
        <v/>
      </c>
      <c r="D421" s="22" t="str">
        <f>'VIX HISTORIQUE'!F424</f>
        <v/>
      </c>
      <c r="E421" s="22" t="str">
        <f>'VIX HISTORIQUE'!H424</f>
        <v/>
      </c>
      <c r="F421" s="22" t="str">
        <f>'VIX HISTORIQUE'!J424</f>
        <v/>
      </c>
    </row>
    <row r="422" ht="15.75" customHeight="1">
      <c r="A422" s="25" t="str">
        <f>'VIX HISTORIQUE'!A425</f>
        <v/>
      </c>
      <c r="B422" s="22" t="str">
        <f>'VIX HISTORIQUE'!B425</f>
        <v/>
      </c>
      <c r="C422" s="22" t="str">
        <f>'VIX HISTORIQUE'!D425</f>
        <v/>
      </c>
      <c r="D422" s="22" t="str">
        <f>'VIX HISTORIQUE'!F425</f>
        <v/>
      </c>
      <c r="E422" s="22" t="str">
        <f>'VIX HISTORIQUE'!H425</f>
        <v/>
      </c>
      <c r="F422" s="22" t="str">
        <f>'VIX HISTORIQUE'!J425</f>
        <v/>
      </c>
    </row>
    <row r="423" ht="15.75" customHeight="1">
      <c r="A423" s="25" t="str">
        <f>'VIX HISTORIQUE'!A426</f>
        <v/>
      </c>
      <c r="B423" s="22" t="str">
        <f>'VIX HISTORIQUE'!B426</f>
        <v/>
      </c>
      <c r="C423" s="22" t="str">
        <f>'VIX HISTORIQUE'!D426</f>
        <v/>
      </c>
      <c r="D423" s="22" t="str">
        <f>'VIX HISTORIQUE'!F426</f>
        <v/>
      </c>
      <c r="E423" s="22" t="str">
        <f>'VIX HISTORIQUE'!H426</f>
        <v/>
      </c>
      <c r="F423" s="22" t="str">
        <f>'VIX HISTORIQUE'!J426</f>
        <v/>
      </c>
    </row>
    <row r="424" ht="15.75" customHeight="1">
      <c r="A424" s="25" t="str">
        <f>'VIX HISTORIQUE'!A427</f>
        <v/>
      </c>
      <c r="B424" s="22" t="str">
        <f>'VIX HISTORIQUE'!B427</f>
        <v/>
      </c>
      <c r="C424" s="22" t="str">
        <f>'VIX HISTORIQUE'!D427</f>
        <v/>
      </c>
      <c r="D424" s="22" t="str">
        <f>'VIX HISTORIQUE'!F427</f>
        <v/>
      </c>
      <c r="E424" s="22" t="str">
        <f>'VIX HISTORIQUE'!H427</f>
        <v/>
      </c>
      <c r="F424" s="22" t="str">
        <f>'VIX HISTORIQUE'!J427</f>
        <v/>
      </c>
    </row>
    <row r="425" ht="15.75" customHeight="1">
      <c r="A425" s="25" t="str">
        <f>'VIX HISTORIQUE'!A428</f>
        <v/>
      </c>
      <c r="B425" s="22" t="str">
        <f>'VIX HISTORIQUE'!B428</f>
        <v/>
      </c>
      <c r="C425" s="22" t="str">
        <f>'VIX HISTORIQUE'!D428</f>
        <v/>
      </c>
      <c r="D425" s="22" t="str">
        <f>'VIX HISTORIQUE'!F428</f>
        <v/>
      </c>
      <c r="E425" s="22" t="str">
        <f>'VIX HISTORIQUE'!H428</f>
        <v/>
      </c>
      <c r="F425" s="22" t="str">
        <f>'VIX HISTORIQUE'!J428</f>
        <v/>
      </c>
    </row>
    <row r="426" ht="15.75" customHeight="1">
      <c r="A426" s="25" t="str">
        <f>'VIX HISTORIQUE'!A429</f>
        <v/>
      </c>
      <c r="B426" s="22" t="str">
        <f>'VIX HISTORIQUE'!B429</f>
        <v/>
      </c>
      <c r="C426" s="22" t="str">
        <f>'VIX HISTORIQUE'!D429</f>
        <v/>
      </c>
      <c r="D426" s="22" t="str">
        <f>'VIX HISTORIQUE'!F429</f>
        <v/>
      </c>
      <c r="E426" s="22" t="str">
        <f>'VIX HISTORIQUE'!H429</f>
        <v/>
      </c>
      <c r="F426" s="22" t="str">
        <f>'VIX HISTORIQUE'!J429</f>
        <v/>
      </c>
    </row>
    <row r="427" ht="15.75" customHeight="1">
      <c r="A427" s="25" t="str">
        <f>'VIX HISTORIQUE'!A430</f>
        <v/>
      </c>
      <c r="B427" s="22" t="str">
        <f>'VIX HISTORIQUE'!B430</f>
        <v/>
      </c>
      <c r="C427" s="22" t="str">
        <f>'VIX HISTORIQUE'!D430</f>
        <v/>
      </c>
      <c r="D427" s="22" t="str">
        <f>'VIX HISTORIQUE'!F430</f>
        <v/>
      </c>
      <c r="E427" s="22" t="str">
        <f>'VIX HISTORIQUE'!H430</f>
        <v/>
      </c>
      <c r="F427" s="22" t="str">
        <f>'VIX HISTORIQUE'!J430</f>
        <v/>
      </c>
    </row>
    <row r="428" ht="15.75" customHeight="1">
      <c r="A428" s="25" t="str">
        <f>'VIX HISTORIQUE'!A431</f>
        <v/>
      </c>
      <c r="B428" s="22" t="str">
        <f>'VIX HISTORIQUE'!B431</f>
        <v/>
      </c>
      <c r="C428" s="22" t="str">
        <f>'VIX HISTORIQUE'!D431</f>
        <v/>
      </c>
      <c r="D428" s="22" t="str">
        <f>'VIX HISTORIQUE'!F431</f>
        <v/>
      </c>
      <c r="E428" s="22" t="str">
        <f>'VIX HISTORIQUE'!H431</f>
        <v/>
      </c>
      <c r="F428" s="22" t="str">
        <f>'VIX HISTORIQUE'!J431</f>
        <v/>
      </c>
    </row>
    <row r="429" ht="15.75" customHeight="1">
      <c r="A429" s="25" t="str">
        <f>'VIX HISTORIQUE'!A432</f>
        <v/>
      </c>
      <c r="B429" s="22" t="str">
        <f>'VIX HISTORIQUE'!B432</f>
        <v/>
      </c>
      <c r="C429" s="22" t="str">
        <f>'VIX HISTORIQUE'!D432</f>
        <v/>
      </c>
      <c r="D429" s="22" t="str">
        <f>'VIX HISTORIQUE'!F432</f>
        <v/>
      </c>
      <c r="E429" s="22" t="str">
        <f>'VIX HISTORIQUE'!H432</f>
        <v/>
      </c>
      <c r="F429" s="22" t="str">
        <f>'VIX HISTORIQUE'!J432</f>
        <v/>
      </c>
    </row>
    <row r="430" ht="15.75" customHeight="1">
      <c r="A430" s="25" t="str">
        <f>'VIX HISTORIQUE'!A433</f>
        <v/>
      </c>
      <c r="B430" s="22" t="str">
        <f>'VIX HISTORIQUE'!B433</f>
        <v/>
      </c>
      <c r="C430" s="22" t="str">
        <f>'VIX HISTORIQUE'!D433</f>
        <v/>
      </c>
      <c r="D430" s="22" t="str">
        <f>'VIX HISTORIQUE'!F433</f>
        <v/>
      </c>
      <c r="E430" s="22" t="str">
        <f>'VIX HISTORIQUE'!H433</f>
        <v/>
      </c>
      <c r="F430" s="22" t="str">
        <f>'VIX HISTORIQUE'!J433</f>
        <v/>
      </c>
    </row>
    <row r="431" ht="15.75" customHeight="1">
      <c r="A431" s="25" t="str">
        <f>'VIX HISTORIQUE'!A434</f>
        <v/>
      </c>
      <c r="B431" s="22" t="str">
        <f>'VIX HISTORIQUE'!B434</f>
        <v/>
      </c>
      <c r="C431" s="22" t="str">
        <f>'VIX HISTORIQUE'!D434</f>
        <v/>
      </c>
      <c r="D431" s="22" t="str">
        <f>'VIX HISTORIQUE'!F434</f>
        <v/>
      </c>
      <c r="E431" s="22" t="str">
        <f>'VIX HISTORIQUE'!H434</f>
        <v/>
      </c>
      <c r="F431" s="22" t="str">
        <f>'VIX HISTORIQUE'!J434</f>
        <v/>
      </c>
    </row>
    <row r="432" ht="15.75" customHeight="1">
      <c r="A432" s="25" t="str">
        <f>'VIX HISTORIQUE'!A435</f>
        <v/>
      </c>
      <c r="B432" s="22" t="str">
        <f>'VIX HISTORIQUE'!B435</f>
        <v/>
      </c>
      <c r="C432" s="22" t="str">
        <f>'VIX HISTORIQUE'!D435</f>
        <v/>
      </c>
      <c r="D432" s="22" t="str">
        <f>'VIX HISTORIQUE'!F435</f>
        <v/>
      </c>
      <c r="E432" s="22" t="str">
        <f>'VIX HISTORIQUE'!H435</f>
        <v/>
      </c>
      <c r="F432" s="22" t="str">
        <f>'VIX HISTORIQUE'!J435</f>
        <v/>
      </c>
    </row>
    <row r="433" ht="15.75" customHeight="1">
      <c r="A433" s="25" t="str">
        <f>'VIX HISTORIQUE'!A436</f>
        <v/>
      </c>
      <c r="B433" s="22" t="str">
        <f>'VIX HISTORIQUE'!B436</f>
        <v/>
      </c>
      <c r="C433" s="22" t="str">
        <f>'VIX HISTORIQUE'!D436</f>
        <v/>
      </c>
      <c r="D433" s="22" t="str">
        <f>'VIX HISTORIQUE'!F436</f>
        <v/>
      </c>
      <c r="E433" s="22" t="str">
        <f>'VIX HISTORIQUE'!H436</f>
        <v/>
      </c>
      <c r="F433" s="22" t="str">
        <f>'VIX HISTORIQUE'!J436</f>
        <v/>
      </c>
    </row>
    <row r="434" ht="15.75" customHeight="1">
      <c r="A434" s="25" t="str">
        <f>'VIX HISTORIQUE'!A437</f>
        <v/>
      </c>
      <c r="B434" s="22" t="str">
        <f>'VIX HISTORIQUE'!B437</f>
        <v/>
      </c>
      <c r="C434" s="22" t="str">
        <f>'VIX HISTORIQUE'!D437</f>
        <v/>
      </c>
      <c r="D434" s="22" t="str">
        <f>'VIX HISTORIQUE'!F437</f>
        <v/>
      </c>
      <c r="E434" s="22" t="str">
        <f>'VIX HISTORIQUE'!H437</f>
        <v/>
      </c>
      <c r="F434" s="22" t="str">
        <f>'VIX HISTORIQUE'!J437</f>
        <v/>
      </c>
    </row>
    <row r="435" ht="15.75" customHeight="1">
      <c r="A435" s="25" t="str">
        <f>'VIX HISTORIQUE'!A438</f>
        <v/>
      </c>
      <c r="B435" s="22" t="str">
        <f>'VIX HISTORIQUE'!B438</f>
        <v/>
      </c>
      <c r="C435" s="22" t="str">
        <f>'VIX HISTORIQUE'!D438</f>
        <v/>
      </c>
      <c r="D435" s="22" t="str">
        <f>'VIX HISTORIQUE'!F438</f>
        <v/>
      </c>
      <c r="E435" s="22" t="str">
        <f>'VIX HISTORIQUE'!H438</f>
        <v/>
      </c>
      <c r="F435" s="22" t="str">
        <f>'VIX HISTORIQUE'!J438</f>
        <v/>
      </c>
    </row>
    <row r="436" ht="15.75" customHeight="1">
      <c r="A436" s="25" t="str">
        <f>'VIX HISTORIQUE'!A439</f>
        <v/>
      </c>
      <c r="B436" s="22" t="str">
        <f>'VIX HISTORIQUE'!B439</f>
        <v/>
      </c>
      <c r="C436" s="22" t="str">
        <f>'VIX HISTORIQUE'!D439</f>
        <v/>
      </c>
      <c r="D436" s="22" t="str">
        <f>'VIX HISTORIQUE'!F439</f>
        <v/>
      </c>
      <c r="E436" s="22" t="str">
        <f>'VIX HISTORIQUE'!H439</f>
        <v/>
      </c>
      <c r="F436" s="22" t="str">
        <f>'VIX HISTORIQUE'!J439</f>
        <v/>
      </c>
    </row>
    <row r="437" ht="15.75" customHeight="1">
      <c r="A437" s="25" t="str">
        <f>'VIX HISTORIQUE'!A440</f>
        <v/>
      </c>
      <c r="B437" s="22" t="str">
        <f>'VIX HISTORIQUE'!B440</f>
        <v/>
      </c>
      <c r="C437" s="22" t="str">
        <f>'VIX HISTORIQUE'!D440</f>
        <v/>
      </c>
      <c r="D437" s="22" t="str">
        <f>'VIX HISTORIQUE'!F440</f>
        <v/>
      </c>
      <c r="E437" s="22" t="str">
        <f>'VIX HISTORIQUE'!H440</f>
        <v/>
      </c>
      <c r="F437" s="22" t="str">
        <f>'VIX HISTORIQUE'!J440</f>
        <v/>
      </c>
    </row>
    <row r="438" ht="15.75" customHeight="1">
      <c r="A438" s="25" t="str">
        <f>'VIX HISTORIQUE'!A441</f>
        <v/>
      </c>
      <c r="B438" s="22" t="str">
        <f>'VIX HISTORIQUE'!B441</f>
        <v/>
      </c>
      <c r="C438" s="22" t="str">
        <f>'VIX HISTORIQUE'!D441</f>
        <v/>
      </c>
      <c r="D438" s="22" t="str">
        <f>'VIX HISTORIQUE'!F441</f>
        <v/>
      </c>
      <c r="E438" s="22" t="str">
        <f>'VIX HISTORIQUE'!H441</f>
        <v/>
      </c>
      <c r="F438" s="22" t="str">
        <f>'VIX HISTORIQUE'!J441</f>
        <v/>
      </c>
    </row>
    <row r="439" ht="15.75" customHeight="1">
      <c r="A439" s="25" t="str">
        <f>'VIX HISTORIQUE'!A442</f>
        <v/>
      </c>
      <c r="B439" s="22" t="str">
        <f>'VIX HISTORIQUE'!B442</f>
        <v/>
      </c>
      <c r="C439" s="22" t="str">
        <f>'VIX HISTORIQUE'!D442</f>
        <v/>
      </c>
      <c r="D439" s="22" t="str">
        <f>'VIX HISTORIQUE'!F442</f>
        <v/>
      </c>
      <c r="E439" s="22" t="str">
        <f>'VIX HISTORIQUE'!H442</f>
        <v/>
      </c>
      <c r="F439" s="22" t="str">
        <f>'VIX HISTORIQUE'!J442</f>
        <v/>
      </c>
    </row>
    <row r="440" ht="15.75" customHeight="1">
      <c r="A440" s="25" t="str">
        <f>'VIX HISTORIQUE'!A443</f>
        <v/>
      </c>
      <c r="B440" s="22" t="str">
        <f>'VIX HISTORIQUE'!B443</f>
        <v/>
      </c>
      <c r="C440" s="22" t="str">
        <f>'VIX HISTORIQUE'!D443</f>
        <v/>
      </c>
      <c r="D440" s="22" t="str">
        <f>'VIX HISTORIQUE'!F443</f>
        <v/>
      </c>
      <c r="E440" s="22" t="str">
        <f>'VIX HISTORIQUE'!H443</f>
        <v/>
      </c>
      <c r="F440" s="22" t="str">
        <f>'VIX HISTORIQUE'!J443</f>
        <v/>
      </c>
    </row>
    <row r="441" ht="15.75" customHeight="1">
      <c r="A441" s="25" t="str">
        <f>'VIX HISTORIQUE'!A444</f>
        <v/>
      </c>
      <c r="B441" s="22" t="str">
        <f>'VIX HISTORIQUE'!B444</f>
        <v/>
      </c>
      <c r="C441" s="22" t="str">
        <f>'VIX HISTORIQUE'!D444</f>
        <v/>
      </c>
      <c r="D441" s="22" t="str">
        <f>'VIX HISTORIQUE'!F444</f>
        <v/>
      </c>
      <c r="E441" s="22" t="str">
        <f>'VIX HISTORIQUE'!H444</f>
        <v/>
      </c>
      <c r="F441" s="22" t="str">
        <f>'VIX HISTORIQUE'!J444</f>
        <v/>
      </c>
    </row>
    <row r="442" ht="15.75" customHeight="1">
      <c r="A442" s="25" t="str">
        <f>'VIX HISTORIQUE'!A445</f>
        <v/>
      </c>
      <c r="B442" s="22" t="str">
        <f>'VIX HISTORIQUE'!B445</f>
        <v/>
      </c>
      <c r="C442" s="22" t="str">
        <f>'VIX HISTORIQUE'!D445</f>
        <v/>
      </c>
      <c r="D442" s="22" t="str">
        <f>'VIX HISTORIQUE'!F445</f>
        <v/>
      </c>
      <c r="E442" s="22" t="str">
        <f>'VIX HISTORIQUE'!H445</f>
        <v/>
      </c>
      <c r="F442" s="22" t="str">
        <f>'VIX HISTORIQUE'!J445</f>
        <v/>
      </c>
    </row>
    <row r="443" ht="15.75" customHeight="1">
      <c r="A443" s="25" t="str">
        <f>'VIX HISTORIQUE'!A446</f>
        <v/>
      </c>
      <c r="B443" s="22" t="str">
        <f>'VIX HISTORIQUE'!B446</f>
        <v/>
      </c>
      <c r="C443" s="22" t="str">
        <f>'VIX HISTORIQUE'!D446</f>
        <v/>
      </c>
      <c r="D443" s="22" t="str">
        <f>'VIX HISTORIQUE'!F446</f>
        <v/>
      </c>
      <c r="E443" s="22" t="str">
        <f>'VIX HISTORIQUE'!H446</f>
        <v/>
      </c>
      <c r="F443" s="22" t="str">
        <f>'VIX HISTORIQUE'!J446</f>
        <v/>
      </c>
    </row>
    <row r="444" ht="15.75" customHeight="1">
      <c r="A444" s="25" t="str">
        <f>'VIX HISTORIQUE'!A447</f>
        <v/>
      </c>
      <c r="B444" s="22" t="str">
        <f>'VIX HISTORIQUE'!B447</f>
        <v/>
      </c>
      <c r="C444" s="22" t="str">
        <f>'VIX HISTORIQUE'!D447</f>
        <v/>
      </c>
      <c r="D444" s="22" t="str">
        <f>'VIX HISTORIQUE'!F447</f>
        <v/>
      </c>
      <c r="E444" s="22" t="str">
        <f>'VIX HISTORIQUE'!H447</f>
        <v/>
      </c>
      <c r="F444" s="22" t="str">
        <f>'VIX HISTORIQUE'!J447</f>
        <v/>
      </c>
    </row>
    <row r="445" ht="15.75" customHeight="1">
      <c r="A445" s="25" t="str">
        <f>'VIX HISTORIQUE'!A448</f>
        <v/>
      </c>
      <c r="B445" s="22" t="str">
        <f>'VIX HISTORIQUE'!B448</f>
        <v/>
      </c>
      <c r="C445" s="22" t="str">
        <f>'VIX HISTORIQUE'!D448</f>
        <v/>
      </c>
      <c r="D445" s="22" t="str">
        <f>'VIX HISTORIQUE'!F448</f>
        <v/>
      </c>
      <c r="E445" s="22" t="str">
        <f>'VIX HISTORIQUE'!H448</f>
        <v/>
      </c>
      <c r="F445" s="22" t="str">
        <f>'VIX HISTORIQUE'!J448</f>
        <v/>
      </c>
    </row>
    <row r="446" ht="15.75" customHeight="1">
      <c r="A446" s="25" t="str">
        <f>'VIX HISTORIQUE'!A449</f>
        <v/>
      </c>
      <c r="B446" s="22" t="str">
        <f>'VIX HISTORIQUE'!B449</f>
        <v/>
      </c>
      <c r="C446" s="22" t="str">
        <f>'VIX HISTORIQUE'!D449</f>
        <v/>
      </c>
      <c r="D446" s="22" t="str">
        <f>'VIX HISTORIQUE'!F449</f>
        <v/>
      </c>
      <c r="E446" s="22" t="str">
        <f>'VIX HISTORIQUE'!H449</f>
        <v/>
      </c>
      <c r="F446" s="22" t="str">
        <f>'VIX HISTORIQUE'!J449</f>
        <v/>
      </c>
    </row>
    <row r="447" ht="15.75" customHeight="1">
      <c r="A447" s="25" t="str">
        <f>'VIX HISTORIQUE'!A450</f>
        <v/>
      </c>
      <c r="B447" s="22" t="str">
        <f>'VIX HISTORIQUE'!B450</f>
        <v/>
      </c>
      <c r="C447" s="22" t="str">
        <f>'VIX HISTORIQUE'!D450</f>
        <v/>
      </c>
      <c r="D447" s="22" t="str">
        <f>'VIX HISTORIQUE'!F450</f>
        <v/>
      </c>
      <c r="E447" s="22" t="str">
        <f>'VIX HISTORIQUE'!H450</f>
        <v/>
      </c>
      <c r="F447" s="22" t="str">
        <f>'VIX HISTORIQUE'!J450</f>
        <v/>
      </c>
    </row>
    <row r="448" ht="15.75" customHeight="1">
      <c r="A448" s="25" t="str">
        <f>'VIX HISTORIQUE'!A451</f>
        <v/>
      </c>
      <c r="B448" s="22" t="str">
        <f>'VIX HISTORIQUE'!B451</f>
        <v/>
      </c>
      <c r="C448" s="22" t="str">
        <f>'VIX HISTORIQUE'!D451</f>
        <v/>
      </c>
      <c r="D448" s="22" t="str">
        <f>'VIX HISTORIQUE'!F451</f>
        <v/>
      </c>
      <c r="E448" s="22" t="str">
        <f>'VIX HISTORIQUE'!H451</f>
        <v/>
      </c>
      <c r="F448" s="22" t="str">
        <f>'VIX HISTORIQUE'!J451</f>
        <v/>
      </c>
    </row>
    <row r="449" ht="15.75" customHeight="1">
      <c r="A449" s="25" t="str">
        <f>'VIX HISTORIQUE'!A452</f>
        <v/>
      </c>
      <c r="B449" s="22" t="str">
        <f>'VIX HISTORIQUE'!B452</f>
        <v/>
      </c>
      <c r="C449" s="22" t="str">
        <f>'VIX HISTORIQUE'!D452</f>
        <v/>
      </c>
      <c r="D449" s="22" t="str">
        <f>'VIX HISTORIQUE'!F452</f>
        <v/>
      </c>
      <c r="E449" s="22" t="str">
        <f>'VIX HISTORIQUE'!H452</f>
        <v/>
      </c>
      <c r="F449" s="22" t="str">
        <f>'VIX HISTORIQUE'!J452</f>
        <v/>
      </c>
    </row>
    <row r="450" ht="15.75" customHeight="1">
      <c r="A450" s="25" t="str">
        <f>'VIX HISTORIQUE'!A453</f>
        <v/>
      </c>
      <c r="B450" s="22" t="str">
        <f>'VIX HISTORIQUE'!B453</f>
        <v/>
      </c>
      <c r="C450" s="22" t="str">
        <f>'VIX HISTORIQUE'!D453</f>
        <v/>
      </c>
      <c r="D450" s="22" t="str">
        <f>'VIX HISTORIQUE'!F453</f>
        <v/>
      </c>
      <c r="E450" s="22" t="str">
        <f>'VIX HISTORIQUE'!H453</f>
        <v/>
      </c>
      <c r="F450" s="22" t="str">
        <f>'VIX HISTORIQUE'!J453</f>
        <v/>
      </c>
    </row>
    <row r="451" ht="15.75" customHeight="1">
      <c r="A451" s="25" t="str">
        <f>'VIX HISTORIQUE'!A454</f>
        <v/>
      </c>
      <c r="B451" s="22" t="str">
        <f>'VIX HISTORIQUE'!B454</f>
        <v/>
      </c>
      <c r="C451" s="22" t="str">
        <f>'VIX HISTORIQUE'!D454</f>
        <v/>
      </c>
      <c r="D451" s="22" t="str">
        <f>'VIX HISTORIQUE'!F454</f>
        <v/>
      </c>
      <c r="E451" s="22" t="str">
        <f>'VIX HISTORIQUE'!H454</f>
        <v/>
      </c>
      <c r="F451" s="22" t="str">
        <f>'VIX HISTORIQUE'!J454</f>
        <v/>
      </c>
    </row>
    <row r="452" ht="15.75" customHeight="1">
      <c r="A452" s="25" t="str">
        <f>'VIX HISTORIQUE'!A455</f>
        <v/>
      </c>
      <c r="B452" s="22" t="str">
        <f>'VIX HISTORIQUE'!B455</f>
        <v/>
      </c>
      <c r="C452" s="22" t="str">
        <f>'VIX HISTORIQUE'!D455</f>
        <v/>
      </c>
      <c r="D452" s="22" t="str">
        <f>'VIX HISTORIQUE'!F455</f>
        <v/>
      </c>
      <c r="E452" s="22" t="str">
        <f>'VIX HISTORIQUE'!H455</f>
        <v/>
      </c>
      <c r="F452" s="22" t="str">
        <f>'VIX HISTORIQUE'!J455</f>
        <v/>
      </c>
    </row>
    <row r="453" ht="15.75" customHeight="1">
      <c r="A453" s="25" t="str">
        <f>'VIX HISTORIQUE'!A456</f>
        <v/>
      </c>
      <c r="B453" s="22" t="str">
        <f>'VIX HISTORIQUE'!B456</f>
        <v/>
      </c>
      <c r="C453" s="22" t="str">
        <f>'VIX HISTORIQUE'!D456</f>
        <v/>
      </c>
      <c r="D453" s="22" t="str">
        <f>'VIX HISTORIQUE'!F456</f>
        <v/>
      </c>
      <c r="E453" s="22" t="str">
        <f>'VIX HISTORIQUE'!H456</f>
        <v/>
      </c>
      <c r="F453" s="22" t="str">
        <f>'VIX HISTORIQUE'!J456</f>
        <v/>
      </c>
    </row>
    <row r="454" ht="15.75" customHeight="1">
      <c r="A454" s="25" t="str">
        <f>'VIX HISTORIQUE'!A457</f>
        <v/>
      </c>
      <c r="B454" s="22" t="str">
        <f>'VIX HISTORIQUE'!B457</f>
        <v/>
      </c>
      <c r="C454" s="22" t="str">
        <f>'VIX HISTORIQUE'!D457</f>
        <v/>
      </c>
      <c r="D454" s="22" t="str">
        <f>'VIX HISTORIQUE'!F457</f>
        <v/>
      </c>
      <c r="E454" s="22" t="str">
        <f>'VIX HISTORIQUE'!H457</f>
        <v/>
      </c>
      <c r="F454" s="22" t="str">
        <f>'VIX HISTORIQUE'!J457</f>
        <v/>
      </c>
    </row>
    <row r="455" ht="15.75" customHeight="1">
      <c r="A455" s="25" t="str">
        <f>'VIX HISTORIQUE'!A458</f>
        <v/>
      </c>
      <c r="B455" s="22" t="str">
        <f>'VIX HISTORIQUE'!B458</f>
        <v/>
      </c>
      <c r="C455" s="22" t="str">
        <f>'VIX HISTORIQUE'!D458</f>
        <v/>
      </c>
      <c r="D455" s="22" t="str">
        <f>'VIX HISTORIQUE'!F458</f>
        <v/>
      </c>
      <c r="E455" s="22" t="str">
        <f>'VIX HISTORIQUE'!H458</f>
        <v/>
      </c>
      <c r="F455" s="22" t="str">
        <f>'VIX HISTORIQUE'!J458</f>
        <v/>
      </c>
    </row>
    <row r="456" ht="15.75" customHeight="1">
      <c r="A456" s="25" t="str">
        <f>'VIX HISTORIQUE'!A459</f>
        <v/>
      </c>
      <c r="B456" s="22" t="str">
        <f>'VIX HISTORIQUE'!B459</f>
        <v/>
      </c>
      <c r="C456" s="22" t="str">
        <f>'VIX HISTORIQUE'!D459</f>
        <v/>
      </c>
      <c r="D456" s="22" t="str">
        <f>'VIX HISTORIQUE'!F459</f>
        <v/>
      </c>
      <c r="E456" s="22" t="str">
        <f>'VIX HISTORIQUE'!H459</f>
        <v/>
      </c>
      <c r="F456" s="22" t="str">
        <f>'VIX HISTORIQUE'!J459</f>
        <v/>
      </c>
    </row>
    <row r="457" ht="15.75" customHeight="1">
      <c r="A457" s="25" t="str">
        <f>'VIX HISTORIQUE'!A460</f>
        <v/>
      </c>
      <c r="B457" s="22" t="str">
        <f>'VIX HISTORIQUE'!B460</f>
        <v/>
      </c>
      <c r="C457" s="22" t="str">
        <f>'VIX HISTORIQUE'!D460</f>
        <v/>
      </c>
      <c r="D457" s="22" t="str">
        <f>'VIX HISTORIQUE'!F460</f>
        <v/>
      </c>
      <c r="E457" s="22" t="str">
        <f>'VIX HISTORIQUE'!H460</f>
        <v/>
      </c>
      <c r="F457" s="22" t="str">
        <f>'VIX HISTORIQUE'!J460</f>
        <v/>
      </c>
    </row>
    <row r="458" ht="15.75" customHeight="1">
      <c r="A458" s="25" t="str">
        <f>'VIX HISTORIQUE'!A461</f>
        <v/>
      </c>
      <c r="B458" s="22" t="str">
        <f>'VIX HISTORIQUE'!B461</f>
        <v/>
      </c>
      <c r="C458" s="22" t="str">
        <f>'VIX HISTORIQUE'!D461</f>
        <v/>
      </c>
      <c r="D458" s="22" t="str">
        <f>'VIX HISTORIQUE'!F461</f>
        <v/>
      </c>
      <c r="E458" s="22" t="str">
        <f>'VIX HISTORIQUE'!H461</f>
        <v/>
      </c>
      <c r="F458" s="22" t="str">
        <f>'VIX HISTORIQUE'!J461</f>
        <v/>
      </c>
    </row>
    <row r="459" ht="15.75" customHeight="1">
      <c r="A459" s="25" t="str">
        <f>'VIX HISTORIQUE'!A462</f>
        <v/>
      </c>
      <c r="B459" s="22" t="str">
        <f>'VIX HISTORIQUE'!B462</f>
        <v/>
      </c>
      <c r="C459" s="22" t="str">
        <f>'VIX HISTORIQUE'!D462</f>
        <v/>
      </c>
      <c r="D459" s="22" t="str">
        <f>'VIX HISTORIQUE'!F462</f>
        <v/>
      </c>
      <c r="E459" s="22" t="str">
        <f>'VIX HISTORIQUE'!H462</f>
        <v/>
      </c>
      <c r="F459" s="22" t="str">
        <f>'VIX HISTORIQUE'!J462</f>
        <v/>
      </c>
    </row>
    <row r="460" ht="15.75" customHeight="1">
      <c r="A460" s="25" t="str">
        <f>'VIX HISTORIQUE'!A463</f>
        <v/>
      </c>
      <c r="B460" s="22" t="str">
        <f>'VIX HISTORIQUE'!B463</f>
        <v/>
      </c>
      <c r="C460" s="22" t="str">
        <f>'VIX HISTORIQUE'!D463</f>
        <v/>
      </c>
      <c r="D460" s="22" t="str">
        <f>'VIX HISTORIQUE'!F463</f>
        <v/>
      </c>
      <c r="E460" s="22" t="str">
        <f>'VIX HISTORIQUE'!H463</f>
        <v/>
      </c>
      <c r="F460" s="22" t="str">
        <f>'VIX HISTORIQUE'!J463</f>
        <v/>
      </c>
    </row>
    <row r="461" ht="15.75" customHeight="1">
      <c r="A461" s="25" t="str">
        <f>'VIX HISTORIQUE'!A464</f>
        <v/>
      </c>
      <c r="B461" s="22" t="str">
        <f>'VIX HISTORIQUE'!B464</f>
        <v/>
      </c>
      <c r="C461" s="22" t="str">
        <f>'VIX HISTORIQUE'!D464</f>
        <v/>
      </c>
      <c r="D461" s="22" t="str">
        <f>'VIX HISTORIQUE'!F464</f>
        <v/>
      </c>
      <c r="E461" s="22" t="str">
        <f>'VIX HISTORIQUE'!H464</f>
        <v/>
      </c>
      <c r="F461" s="22" t="str">
        <f>'VIX HISTORIQUE'!J464</f>
        <v/>
      </c>
    </row>
    <row r="462" ht="15.75" customHeight="1">
      <c r="A462" s="25" t="str">
        <f>'VIX HISTORIQUE'!A465</f>
        <v/>
      </c>
      <c r="B462" s="22" t="str">
        <f>'VIX HISTORIQUE'!B465</f>
        <v/>
      </c>
      <c r="C462" s="22" t="str">
        <f>'VIX HISTORIQUE'!D465</f>
        <v/>
      </c>
      <c r="D462" s="22" t="str">
        <f>'VIX HISTORIQUE'!F465</f>
        <v/>
      </c>
      <c r="E462" s="22" t="str">
        <f>'VIX HISTORIQUE'!H465</f>
        <v/>
      </c>
      <c r="F462" s="22" t="str">
        <f>'VIX HISTORIQUE'!J465</f>
        <v/>
      </c>
    </row>
    <row r="463" ht="15.75" customHeight="1">
      <c r="A463" s="25" t="str">
        <f>'VIX HISTORIQUE'!A466</f>
        <v/>
      </c>
      <c r="B463" s="22" t="str">
        <f>'VIX HISTORIQUE'!B466</f>
        <v/>
      </c>
      <c r="C463" s="22" t="str">
        <f>'VIX HISTORIQUE'!D466</f>
        <v/>
      </c>
      <c r="D463" s="22" t="str">
        <f>'VIX HISTORIQUE'!F466</f>
        <v/>
      </c>
      <c r="E463" s="22" t="str">
        <f>'VIX HISTORIQUE'!H466</f>
        <v/>
      </c>
      <c r="F463" s="22" t="str">
        <f>'VIX HISTORIQUE'!J466</f>
        <v/>
      </c>
    </row>
    <row r="464" ht="15.75" customHeight="1">
      <c r="A464" s="25" t="str">
        <f>'VIX HISTORIQUE'!A467</f>
        <v/>
      </c>
      <c r="B464" s="22" t="str">
        <f>'VIX HISTORIQUE'!B467</f>
        <v/>
      </c>
      <c r="C464" s="22" t="str">
        <f>'VIX HISTORIQUE'!D467</f>
        <v/>
      </c>
      <c r="D464" s="22" t="str">
        <f>'VIX HISTORIQUE'!F467</f>
        <v/>
      </c>
      <c r="E464" s="22" t="str">
        <f>'VIX HISTORIQUE'!H467</f>
        <v/>
      </c>
      <c r="F464" s="22" t="str">
        <f>'VIX HISTORIQUE'!J467</f>
        <v/>
      </c>
    </row>
    <row r="465" ht="15.75" customHeight="1">
      <c r="A465" s="25" t="str">
        <f>'VIX HISTORIQUE'!A468</f>
        <v/>
      </c>
      <c r="B465" s="22" t="str">
        <f>'VIX HISTORIQUE'!B468</f>
        <v/>
      </c>
      <c r="C465" s="22" t="str">
        <f>'VIX HISTORIQUE'!D468</f>
        <v/>
      </c>
      <c r="D465" s="22" t="str">
        <f>'VIX HISTORIQUE'!F468</f>
        <v/>
      </c>
      <c r="E465" s="22" t="str">
        <f>'VIX HISTORIQUE'!H468</f>
        <v/>
      </c>
      <c r="F465" s="22" t="str">
        <f>'VIX HISTORIQUE'!J468</f>
        <v/>
      </c>
    </row>
    <row r="466" ht="15.75" customHeight="1">
      <c r="A466" s="25" t="str">
        <f>'VIX HISTORIQUE'!A469</f>
        <v/>
      </c>
      <c r="B466" s="22" t="str">
        <f>'VIX HISTORIQUE'!B469</f>
        <v/>
      </c>
      <c r="C466" s="22" t="str">
        <f>'VIX HISTORIQUE'!D469</f>
        <v/>
      </c>
      <c r="D466" s="22" t="str">
        <f>'VIX HISTORIQUE'!F469</f>
        <v/>
      </c>
      <c r="E466" s="22" t="str">
        <f>'VIX HISTORIQUE'!H469</f>
        <v/>
      </c>
      <c r="F466" s="22" t="str">
        <f>'VIX HISTORIQUE'!J469</f>
        <v/>
      </c>
    </row>
    <row r="467" ht="15.75" customHeight="1">
      <c r="A467" s="25" t="str">
        <f>'VIX HISTORIQUE'!A470</f>
        <v/>
      </c>
      <c r="B467" s="22" t="str">
        <f>'VIX HISTORIQUE'!B470</f>
        <v/>
      </c>
      <c r="C467" s="22" t="str">
        <f>'VIX HISTORIQUE'!D470</f>
        <v/>
      </c>
      <c r="D467" s="22" t="str">
        <f>'VIX HISTORIQUE'!F470</f>
        <v/>
      </c>
      <c r="E467" s="22" t="str">
        <f>'VIX HISTORIQUE'!H470</f>
        <v/>
      </c>
      <c r="F467" s="22" t="str">
        <f>'VIX HISTORIQUE'!J470</f>
        <v/>
      </c>
    </row>
    <row r="468" ht="15.75" customHeight="1">
      <c r="A468" s="25" t="str">
        <f>'VIX HISTORIQUE'!A471</f>
        <v/>
      </c>
      <c r="B468" s="22" t="str">
        <f>'VIX HISTORIQUE'!B471</f>
        <v/>
      </c>
      <c r="C468" s="22" t="str">
        <f>'VIX HISTORIQUE'!D471</f>
        <v/>
      </c>
      <c r="D468" s="22" t="str">
        <f>'VIX HISTORIQUE'!F471</f>
        <v/>
      </c>
      <c r="E468" s="22" t="str">
        <f>'VIX HISTORIQUE'!H471</f>
        <v/>
      </c>
      <c r="F468" s="22" t="str">
        <f>'VIX HISTORIQUE'!J471</f>
        <v/>
      </c>
    </row>
    <row r="469" ht="15.75" customHeight="1">
      <c r="A469" s="25" t="str">
        <f>'VIX HISTORIQUE'!A472</f>
        <v/>
      </c>
      <c r="B469" s="22" t="str">
        <f>'VIX HISTORIQUE'!B472</f>
        <v/>
      </c>
      <c r="C469" s="22" t="str">
        <f>'VIX HISTORIQUE'!D472</f>
        <v/>
      </c>
      <c r="D469" s="22" t="str">
        <f>'VIX HISTORIQUE'!F472</f>
        <v/>
      </c>
      <c r="E469" s="22" t="str">
        <f>'VIX HISTORIQUE'!H472</f>
        <v/>
      </c>
      <c r="F469" s="22" t="str">
        <f>'VIX HISTORIQUE'!J472</f>
        <v/>
      </c>
    </row>
    <row r="470" ht="15.75" customHeight="1">
      <c r="A470" s="25" t="str">
        <f>'VIX HISTORIQUE'!A473</f>
        <v/>
      </c>
      <c r="B470" s="22" t="str">
        <f>'VIX HISTORIQUE'!B473</f>
        <v/>
      </c>
      <c r="C470" s="22" t="str">
        <f>'VIX HISTORIQUE'!D473</f>
        <v/>
      </c>
      <c r="D470" s="22" t="str">
        <f>'VIX HISTORIQUE'!F473</f>
        <v/>
      </c>
      <c r="E470" s="22" t="str">
        <f>'VIX HISTORIQUE'!H473</f>
        <v/>
      </c>
      <c r="F470" s="22" t="str">
        <f>'VIX HISTORIQUE'!J473</f>
        <v/>
      </c>
    </row>
    <row r="471" ht="15.75" customHeight="1">
      <c r="A471" s="25" t="str">
        <f>'VIX HISTORIQUE'!A474</f>
        <v/>
      </c>
      <c r="B471" s="22" t="str">
        <f>'VIX HISTORIQUE'!B474</f>
        <v/>
      </c>
      <c r="C471" s="22" t="str">
        <f>'VIX HISTORIQUE'!D474</f>
        <v/>
      </c>
      <c r="D471" s="22" t="str">
        <f>'VIX HISTORIQUE'!F474</f>
        <v/>
      </c>
      <c r="E471" s="22" t="str">
        <f>'VIX HISTORIQUE'!H474</f>
        <v/>
      </c>
      <c r="F471" s="22" t="str">
        <f>'VIX HISTORIQUE'!J474</f>
        <v/>
      </c>
    </row>
    <row r="472" ht="15.75" customHeight="1">
      <c r="A472" s="25" t="str">
        <f>'VIX HISTORIQUE'!A475</f>
        <v/>
      </c>
      <c r="B472" s="22" t="str">
        <f>'VIX HISTORIQUE'!B475</f>
        <v/>
      </c>
      <c r="C472" s="22" t="str">
        <f>'VIX HISTORIQUE'!D475</f>
        <v/>
      </c>
      <c r="D472" s="22" t="str">
        <f>'VIX HISTORIQUE'!F475</f>
        <v/>
      </c>
      <c r="E472" s="22" t="str">
        <f>'VIX HISTORIQUE'!H475</f>
        <v/>
      </c>
      <c r="F472" s="22" t="str">
        <f>'VIX HISTORIQUE'!J475</f>
        <v/>
      </c>
    </row>
    <row r="473" ht="15.75" customHeight="1">
      <c r="A473" s="25" t="str">
        <f>'VIX HISTORIQUE'!A476</f>
        <v/>
      </c>
      <c r="B473" s="22" t="str">
        <f>'VIX HISTORIQUE'!B476</f>
        <v/>
      </c>
      <c r="C473" s="22" t="str">
        <f>'VIX HISTORIQUE'!D476</f>
        <v/>
      </c>
      <c r="D473" s="22" t="str">
        <f>'VIX HISTORIQUE'!F476</f>
        <v/>
      </c>
      <c r="E473" s="22" t="str">
        <f>'VIX HISTORIQUE'!H476</f>
        <v/>
      </c>
      <c r="F473" s="22" t="str">
        <f>'VIX HISTORIQUE'!J476</f>
        <v/>
      </c>
    </row>
    <row r="474" ht="15.75" customHeight="1">
      <c r="A474" s="25" t="str">
        <f>'VIX HISTORIQUE'!A477</f>
        <v/>
      </c>
      <c r="B474" s="22" t="str">
        <f>'VIX HISTORIQUE'!B477</f>
        <v/>
      </c>
      <c r="C474" s="22" t="str">
        <f>'VIX HISTORIQUE'!D477</f>
        <v/>
      </c>
      <c r="D474" s="22" t="str">
        <f>'VIX HISTORIQUE'!F477</f>
        <v/>
      </c>
      <c r="E474" s="22" t="str">
        <f>'VIX HISTORIQUE'!H477</f>
        <v/>
      </c>
      <c r="F474" s="22" t="str">
        <f>'VIX HISTORIQUE'!J477</f>
        <v/>
      </c>
    </row>
    <row r="475" ht="15.75" customHeight="1">
      <c r="A475" s="25" t="str">
        <f>'VIX HISTORIQUE'!A478</f>
        <v/>
      </c>
      <c r="B475" s="22" t="str">
        <f>'VIX HISTORIQUE'!B478</f>
        <v/>
      </c>
      <c r="C475" s="22" t="str">
        <f>'VIX HISTORIQUE'!D478</f>
        <v/>
      </c>
      <c r="D475" s="22" t="str">
        <f>'VIX HISTORIQUE'!F478</f>
        <v/>
      </c>
      <c r="E475" s="22" t="str">
        <f>'VIX HISTORIQUE'!H478</f>
        <v/>
      </c>
      <c r="F475" s="22" t="str">
        <f>'VIX HISTORIQUE'!J478</f>
        <v/>
      </c>
    </row>
    <row r="476" ht="15.75" customHeight="1">
      <c r="A476" s="25" t="str">
        <f>'VIX HISTORIQUE'!A479</f>
        <v/>
      </c>
      <c r="B476" s="22" t="str">
        <f>'VIX HISTORIQUE'!B479</f>
        <v/>
      </c>
      <c r="C476" s="22" t="str">
        <f>'VIX HISTORIQUE'!D479</f>
        <v/>
      </c>
      <c r="D476" s="22" t="str">
        <f>'VIX HISTORIQUE'!F479</f>
        <v/>
      </c>
      <c r="E476" s="22" t="str">
        <f>'VIX HISTORIQUE'!H479</f>
        <v/>
      </c>
      <c r="F476" s="22" t="str">
        <f>'VIX HISTORIQUE'!J479</f>
        <v/>
      </c>
    </row>
    <row r="477" ht="15.75" customHeight="1">
      <c r="A477" s="25" t="str">
        <f>'VIX HISTORIQUE'!A480</f>
        <v/>
      </c>
      <c r="B477" s="22" t="str">
        <f>'VIX HISTORIQUE'!B480</f>
        <v/>
      </c>
      <c r="C477" s="22" t="str">
        <f>'VIX HISTORIQUE'!D480</f>
        <v/>
      </c>
      <c r="D477" s="22" t="str">
        <f>'VIX HISTORIQUE'!F480</f>
        <v/>
      </c>
      <c r="E477" s="22" t="str">
        <f>'VIX HISTORIQUE'!H480</f>
        <v/>
      </c>
      <c r="F477" s="22" t="str">
        <f>'VIX HISTORIQUE'!J480</f>
        <v/>
      </c>
    </row>
    <row r="478" ht="15.75" customHeight="1">
      <c r="A478" s="25" t="str">
        <f>'VIX HISTORIQUE'!A481</f>
        <v/>
      </c>
      <c r="B478" s="22" t="str">
        <f>'VIX HISTORIQUE'!B481</f>
        <v/>
      </c>
      <c r="C478" s="22" t="str">
        <f>'VIX HISTORIQUE'!D481</f>
        <v/>
      </c>
      <c r="D478" s="22" t="str">
        <f>'VIX HISTORIQUE'!F481</f>
        <v/>
      </c>
      <c r="E478" s="22" t="str">
        <f>'VIX HISTORIQUE'!H481</f>
        <v/>
      </c>
      <c r="F478" s="22" t="str">
        <f>'VIX HISTORIQUE'!J481</f>
        <v/>
      </c>
    </row>
    <row r="479" ht="15.75" customHeight="1">
      <c r="A479" s="25" t="str">
        <f>'VIX HISTORIQUE'!A482</f>
        <v/>
      </c>
      <c r="B479" s="22" t="str">
        <f>'VIX HISTORIQUE'!B482</f>
        <v/>
      </c>
      <c r="C479" s="22" t="str">
        <f>'VIX HISTORIQUE'!D482</f>
        <v/>
      </c>
      <c r="D479" s="22" t="str">
        <f>'VIX HISTORIQUE'!F482</f>
        <v/>
      </c>
      <c r="E479" s="22" t="str">
        <f>'VIX HISTORIQUE'!H482</f>
        <v/>
      </c>
      <c r="F479" s="22" t="str">
        <f>'VIX HISTORIQUE'!J482</f>
        <v/>
      </c>
    </row>
    <row r="480" ht="15.75" customHeight="1">
      <c r="A480" s="25" t="str">
        <f>'VIX HISTORIQUE'!A483</f>
        <v/>
      </c>
      <c r="B480" s="22" t="str">
        <f>'VIX HISTORIQUE'!B483</f>
        <v/>
      </c>
      <c r="C480" s="22" t="str">
        <f>'VIX HISTORIQUE'!D483</f>
        <v/>
      </c>
      <c r="D480" s="22" t="str">
        <f>'VIX HISTORIQUE'!F483</f>
        <v/>
      </c>
      <c r="E480" s="22" t="str">
        <f>'VIX HISTORIQUE'!H483</f>
        <v/>
      </c>
      <c r="F480" s="22" t="str">
        <f>'VIX HISTORIQUE'!J483</f>
        <v/>
      </c>
    </row>
    <row r="481" ht="15.75" customHeight="1">
      <c r="A481" s="25" t="str">
        <f>'VIX HISTORIQUE'!A484</f>
        <v/>
      </c>
      <c r="B481" s="22" t="str">
        <f>'VIX HISTORIQUE'!B484</f>
        <v/>
      </c>
      <c r="C481" s="22" t="str">
        <f>'VIX HISTORIQUE'!D484</f>
        <v/>
      </c>
      <c r="D481" s="22" t="str">
        <f>'VIX HISTORIQUE'!F484</f>
        <v/>
      </c>
      <c r="E481" s="22" t="str">
        <f>'VIX HISTORIQUE'!H484</f>
        <v/>
      </c>
      <c r="F481" s="22" t="str">
        <f>'VIX HISTORIQUE'!J484</f>
        <v/>
      </c>
    </row>
    <row r="482" ht="15.75" customHeight="1">
      <c r="A482" s="25" t="str">
        <f>'VIX HISTORIQUE'!A485</f>
        <v/>
      </c>
      <c r="B482" s="22" t="str">
        <f>'VIX HISTORIQUE'!B485</f>
        <v/>
      </c>
      <c r="C482" s="22" t="str">
        <f>'VIX HISTORIQUE'!D485</f>
        <v/>
      </c>
      <c r="D482" s="22" t="str">
        <f>'VIX HISTORIQUE'!F485</f>
        <v/>
      </c>
      <c r="E482" s="22" t="str">
        <f>'VIX HISTORIQUE'!H485</f>
        <v/>
      </c>
      <c r="F482" s="22" t="str">
        <f>'VIX HISTORIQUE'!J485</f>
        <v/>
      </c>
    </row>
    <row r="483" ht="15.75" customHeight="1">
      <c r="A483" s="25" t="str">
        <f>'VIX HISTORIQUE'!A486</f>
        <v/>
      </c>
      <c r="B483" s="22" t="str">
        <f>'VIX HISTORIQUE'!B486</f>
        <v/>
      </c>
      <c r="C483" s="22" t="str">
        <f>'VIX HISTORIQUE'!D486</f>
        <v/>
      </c>
      <c r="D483" s="22" t="str">
        <f>'VIX HISTORIQUE'!F486</f>
        <v/>
      </c>
      <c r="E483" s="22" t="str">
        <f>'VIX HISTORIQUE'!H486</f>
        <v/>
      </c>
      <c r="F483" s="22" t="str">
        <f>'VIX HISTORIQUE'!J486</f>
        <v/>
      </c>
    </row>
    <row r="484" ht="15.75" customHeight="1">
      <c r="A484" s="25" t="str">
        <f>'VIX HISTORIQUE'!A487</f>
        <v/>
      </c>
      <c r="B484" s="22" t="str">
        <f>'VIX HISTORIQUE'!B487</f>
        <v/>
      </c>
      <c r="C484" s="22" t="str">
        <f>'VIX HISTORIQUE'!D487</f>
        <v/>
      </c>
      <c r="D484" s="22" t="str">
        <f>'VIX HISTORIQUE'!F487</f>
        <v/>
      </c>
      <c r="E484" s="22" t="str">
        <f>'VIX HISTORIQUE'!H487</f>
        <v/>
      </c>
      <c r="F484" s="22" t="str">
        <f>'VIX HISTORIQUE'!J487</f>
        <v/>
      </c>
    </row>
    <row r="485" ht="15.75" customHeight="1">
      <c r="A485" s="25" t="str">
        <f>'VIX HISTORIQUE'!A488</f>
        <v/>
      </c>
      <c r="B485" s="22" t="str">
        <f>'VIX HISTORIQUE'!B488</f>
        <v/>
      </c>
      <c r="C485" s="22" t="str">
        <f>'VIX HISTORIQUE'!D488</f>
        <v/>
      </c>
      <c r="D485" s="22" t="str">
        <f>'VIX HISTORIQUE'!F488</f>
        <v/>
      </c>
      <c r="E485" s="22" t="str">
        <f>'VIX HISTORIQUE'!H488</f>
        <v/>
      </c>
      <c r="F485" s="22" t="str">
        <f>'VIX HISTORIQUE'!J488</f>
        <v/>
      </c>
    </row>
    <row r="486" ht="15.75" customHeight="1">
      <c r="A486" s="25" t="str">
        <f>'VIX HISTORIQUE'!A489</f>
        <v/>
      </c>
      <c r="B486" s="22" t="str">
        <f>'VIX HISTORIQUE'!B489</f>
        <v/>
      </c>
      <c r="C486" s="22" t="str">
        <f>'VIX HISTORIQUE'!D489</f>
        <v/>
      </c>
      <c r="D486" s="22" t="str">
        <f>'VIX HISTORIQUE'!F489</f>
        <v/>
      </c>
      <c r="E486" s="22" t="str">
        <f>'VIX HISTORIQUE'!H489</f>
        <v/>
      </c>
      <c r="F486" s="22" t="str">
        <f>'VIX HISTORIQUE'!J489</f>
        <v/>
      </c>
    </row>
    <row r="487" ht="15.75" customHeight="1">
      <c r="A487" s="25" t="str">
        <f>'VIX HISTORIQUE'!A490</f>
        <v/>
      </c>
      <c r="B487" s="22" t="str">
        <f>'VIX HISTORIQUE'!B490</f>
        <v/>
      </c>
      <c r="C487" s="22" t="str">
        <f>'VIX HISTORIQUE'!D490</f>
        <v/>
      </c>
      <c r="D487" s="22" t="str">
        <f>'VIX HISTORIQUE'!F490</f>
        <v/>
      </c>
      <c r="E487" s="22" t="str">
        <f>'VIX HISTORIQUE'!H490</f>
        <v/>
      </c>
      <c r="F487" s="22" t="str">
        <f>'VIX HISTORIQUE'!J490</f>
        <v/>
      </c>
    </row>
    <row r="488" ht="15.75" customHeight="1">
      <c r="A488" s="25" t="str">
        <f>'VIX HISTORIQUE'!A491</f>
        <v/>
      </c>
      <c r="B488" s="22" t="str">
        <f>'VIX HISTORIQUE'!B491</f>
        <v/>
      </c>
      <c r="C488" s="22" t="str">
        <f>'VIX HISTORIQUE'!D491</f>
        <v/>
      </c>
      <c r="D488" s="22" t="str">
        <f>'VIX HISTORIQUE'!F491</f>
        <v/>
      </c>
      <c r="E488" s="22" t="str">
        <f>'VIX HISTORIQUE'!H491</f>
        <v/>
      </c>
      <c r="F488" s="22" t="str">
        <f>'VIX HISTORIQUE'!J491</f>
        <v/>
      </c>
    </row>
    <row r="489" ht="15.75" customHeight="1">
      <c r="A489" s="25" t="str">
        <f>'VIX HISTORIQUE'!A492</f>
        <v/>
      </c>
      <c r="B489" s="22" t="str">
        <f>'VIX HISTORIQUE'!B492</f>
        <v/>
      </c>
      <c r="C489" s="22" t="str">
        <f>'VIX HISTORIQUE'!D492</f>
        <v/>
      </c>
      <c r="D489" s="22" t="str">
        <f>'VIX HISTORIQUE'!F492</f>
        <v/>
      </c>
      <c r="E489" s="22" t="str">
        <f>'VIX HISTORIQUE'!H492</f>
        <v/>
      </c>
      <c r="F489" s="22" t="str">
        <f>'VIX HISTORIQUE'!J492</f>
        <v/>
      </c>
    </row>
    <row r="490" ht="15.75" customHeight="1">
      <c r="A490" s="25" t="str">
        <f>'VIX HISTORIQUE'!A493</f>
        <v/>
      </c>
      <c r="B490" s="22" t="str">
        <f>'VIX HISTORIQUE'!B493</f>
        <v/>
      </c>
      <c r="C490" s="22" t="str">
        <f>'VIX HISTORIQUE'!D493</f>
        <v/>
      </c>
      <c r="D490" s="22" t="str">
        <f>'VIX HISTORIQUE'!F493</f>
        <v/>
      </c>
      <c r="E490" s="22" t="str">
        <f>'VIX HISTORIQUE'!H493</f>
        <v/>
      </c>
      <c r="F490" s="22" t="str">
        <f>'VIX HISTORIQUE'!J493</f>
        <v/>
      </c>
    </row>
    <row r="491" ht="15.75" customHeight="1">
      <c r="A491" s="25" t="str">
        <f>'VIX HISTORIQUE'!A494</f>
        <v/>
      </c>
      <c r="B491" s="22" t="str">
        <f>'VIX HISTORIQUE'!B494</f>
        <v/>
      </c>
      <c r="C491" s="22" t="str">
        <f>'VIX HISTORIQUE'!D494</f>
        <v/>
      </c>
      <c r="D491" s="22" t="str">
        <f>'VIX HISTORIQUE'!F494</f>
        <v/>
      </c>
      <c r="E491" s="22" t="str">
        <f>'VIX HISTORIQUE'!H494</f>
        <v/>
      </c>
      <c r="F491" s="22" t="str">
        <f>'VIX HISTORIQUE'!J494</f>
        <v/>
      </c>
    </row>
    <row r="492" ht="15.75" customHeight="1">
      <c r="A492" s="25" t="str">
        <f>'VIX HISTORIQUE'!A495</f>
        <v/>
      </c>
      <c r="B492" s="22" t="str">
        <f>'VIX HISTORIQUE'!B495</f>
        <v/>
      </c>
      <c r="C492" s="22" t="str">
        <f>'VIX HISTORIQUE'!D495</f>
        <v/>
      </c>
      <c r="D492" s="22" t="str">
        <f>'VIX HISTORIQUE'!F495</f>
        <v/>
      </c>
      <c r="E492" s="22" t="str">
        <f>'VIX HISTORIQUE'!H495</f>
        <v/>
      </c>
      <c r="F492" s="22" t="str">
        <f>'VIX HISTORIQUE'!J495</f>
        <v/>
      </c>
    </row>
    <row r="493" ht="15.75" customHeight="1">
      <c r="A493" s="25" t="str">
        <f>'VIX HISTORIQUE'!A496</f>
        <v/>
      </c>
      <c r="B493" s="22" t="str">
        <f>'VIX HISTORIQUE'!B496</f>
        <v/>
      </c>
      <c r="C493" s="22" t="str">
        <f>'VIX HISTORIQUE'!D496</f>
        <v/>
      </c>
      <c r="D493" s="22" t="str">
        <f>'VIX HISTORIQUE'!F496</f>
        <v/>
      </c>
      <c r="E493" s="22" t="str">
        <f>'VIX HISTORIQUE'!H496</f>
        <v/>
      </c>
      <c r="F493" s="22" t="str">
        <f>'VIX HISTORIQUE'!J496</f>
        <v/>
      </c>
    </row>
    <row r="494" ht="15.75" customHeight="1">
      <c r="A494" s="25" t="str">
        <f>'VIX HISTORIQUE'!A497</f>
        <v/>
      </c>
      <c r="B494" s="22" t="str">
        <f>'VIX HISTORIQUE'!B497</f>
        <v/>
      </c>
      <c r="C494" s="22" t="str">
        <f>'VIX HISTORIQUE'!D497</f>
        <v/>
      </c>
      <c r="D494" s="22" t="str">
        <f>'VIX HISTORIQUE'!F497</f>
        <v/>
      </c>
      <c r="E494" s="22" t="str">
        <f>'VIX HISTORIQUE'!H497</f>
        <v/>
      </c>
      <c r="F494" s="22" t="str">
        <f>'VIX HISTORIQUE'!J497</f>
        <v/>
      </c>
    </row>
    <row r="495" ht="15.75" customHeight="1">
      <c r="A495" s="25" t="str">
        <f>'VIX HISTORIQUE'!A498</f>
        <v/>
      </c>
      <c r="B495" s="22" t="str">
        <f>'VIX HISTORIQUE'!B498</f>
        <v/>
      </c>
      <c r="C495" s="22" t="str">
        <f>'VIX HISTORIQUE'!D498</f>
        <v/>
      </c>
      <c r="D495" s="22" t="str">
        <f>'VIX HISTORIQUE'!F498</f>
        <v/>
      </c>
      <c r="E495" s="22" t="str">
        <f>'VIX HISTORIQUE'!H498</f>
        <v/>
      </c>
      <c r="F495" s="22" t="str">
        <f>'VIX HISTORIQUE'!J498</f>
        <v/>
      </c>
    </row>
    <row r="496" ht="15.75" customHeight="1">
      <c r="A496" s="25" t="str">
        <f>'VIX HISTORIQUE'!A499</f>
        <v/>
      </c>
      <c r="B496" s="22" t="str">
        <f>'VIX HISTORIQUE'!B499</f>
        <v/>
      </c>
      <c r="C496" s="22" t="str">
        <f>'VIX HISTORIQUE'!D499</f>
        <v/>
      </c>
      <c r="D496" s="22" t="str">
        <f>'VIX HISTORIQUE'!F499</f>
        <v/>
      </c>
      <c r="E496" s="22" t="str">
        <f>'VIX HISTORIQUE'!H499</f>
        <v/>
      </c>
      <c r="F496" s="22" t="str">
        <f>'VIX HISTORIQUE'!J499</f>
        <v/>
      </c>
    </row>
    <row r="497" ht="15.75" customHeight="1">
      <c r="A497" s="25" t="str">
        <f>'VIX HISTORIQUE'!A500</f>
        <v/>
      </c>
      <c r="B497" s="22" t="str">
        <f>'VIX HISTORIQUE'!B500</f>
        <v/>
      </c>
      <c r="C497" s="22" t="str">
        <f>'VIX HISTORIQUE'!D500</f>
        <v/>
      </c>
      <c r="D497" s="22" t="str">
        <f>'VIX HISTORIQUE'!F500</f>
        <v/>
      </c>
      <c r="E497" s="22" t="str">
        <f>'VIX HISTORIQUE'!H500</f>
        <v/>
      </c>
      <c r="F497" s="22" t="str">
        <f>'VIX HISTORIQUE'!J500</f>
        <v/>
      </c>
    </row>
    <row r="498" ht="15.75" customHeight="1">
      <c r="A498" s="25" t="str">
        <f>'VIX HISTORIQUE'!A501</f>
        <v/>
      </c>
      <c r="B498" s="22" t="str">
        <f>'VIX HISTORIQUE'!B501</f>
        <v/>
      </c>
      <c r="C498" s="22" t="str">
        <f>'VIX HISTORIQUE'!D501</f>
        <v/>
      </c>
      <c r="D498" s="22" t="str">
        <f>'VIX HISTORIQUE'!F501</f>
        <v/>
      </c>
      <c r="E498" s="22" t="str">
        <f>'VIX HISTORIQUE'!H501</f>
        <v/>
      </c>
      <c r="F498" s="22" t="str">
        <f>'VIX HISTORIQUE'!J501</f>
        <v/>
      </c>
    </row>
    <row r="499" ht="15.75" customHeight="1">
      <c r="A499" s="25" t="str">
        <f>'VIX HISTORIQUE'!A502</f>
        <v/>
      </c>
      <c r="B499" s="22" t="str">
        <f>'VIX HISTORIQUE'!B502</f>
        <v/>
      </c>
      <c r="C499" s="22" t="str">
        <f>'VIX HISTORIQUE'!D502</f>
        <v/>
      </c>
      <c r="D499" s="22" t="str">
        <f>'VIX HISTORIQUE'!F502</f>
        <v/>
      </c>
      <c r="E499" s="22" t="str">
        <f>'VIX HISTORIQUE'!H502</f>
        <v/>
      </c>
      <c r="F499" s="22" t="str">
        <f>'VIX HISTORIQUE'!J502</f>
        <v/>
      </c>
    </row>
    <row r="500" ht="15.75" customHeight="1">
      <c r="A500" s="25" t="str">
        <f>'VIX HISTORIQUE'!A503</f>
        <v/>
      </c>
      <c r="B500" s="22" t="str">
        <f>'VIX HISTORIQUE'!B503</f>
        <v/>
      </c>
      <c r="C500" s="22" t="str">
        <f>'VIX HISTORIQUE'!D503</f>
        <v/>
      </c>
      <c r="D500" s="22" t="str">
        <f>'VIX HISTORIQUE'!F503</f>
        <v/>
      </c>
      <c r="E500" s="22" t="str">
        <f>'VIX HISTORIQUE'!H503</f>
        <v/>
      </c>
      <c r="F500" s="22" t="str">
        <f>'VIX HISTORIQUE'!J503</f>
        <v/>
      </c>
    </row>
    <row r="501" ht="15.75" customHeight="1">
      <c r="A501" s="25" t="str">
        <f>'VIX HISTORIQUE'!A504</f>
        <v/>
      </c>
      <c r="B501" s="22" t="str">
        <f>'VIX HISTORIQUE'!B504</f>
        <v/>
      </c>
      <c r="C501" s="22" t="str">
        <f>'VIX HISTORIQUE'!D504</f>
        <v/>
      </c>
      <c r="D501" s="22" t="str">
        <f>'VIX HISTORIQUE'!F504</f>
        <v/>
      </c>
      <c r="E501" s="22" t="str">
        <f>'VIX HISTORIQUE'!H504</f>
        <v/>
      </c>
      <c r="F501" s="22" t="str">
        <f>'VIX HISTORIQUE'!J504</f>
        <v/>
      </c>
    </row>
    <row r="502" ht="15.75" customHeight="1">
      <c r="A502" s="25" t="str">
        <f>'VIX HISTORIQUE'!A505</f>
        <v/>
      </c>
      <c r="B502" s="22" t="str">
        <f>'VIX HISTORIQUE'!B505</f>
        <v/>
      </c>
      <c r="C502" s="22" t="str">
        <f>'VIX HISTORIQUE'!D505</f>
        <v/>
      </c>
      <c r="D502" s="22" t="str">
        <f>'VIX HISTORIQUE'!F505</f>
        <v/>
      </c>
      <c r="E502" s="22" t="str">
        <f>'VIX HISTORIQUE'!H505</f>
        <v/>
      </c>
      <c r="F502" s="22" t="str">
        <f>'VIX HISTORIQUE'!J505</f>
        <v/>
      </c>
    </row>
    <row r="503" ht="15.75" customHeight="1">
      <c r="A503" s="25" t="str">
        <f>'VIX HISTORIQUE'!A506</f>
        <v/>
      </c>
      <c r="B503" s="22" t="str">
        <f>'VIX HISTORIQUE'!B506</f>
        <v/>
      </c>
      <c r="C503" s="22" t="str">
        <f>'VIX HISTORIQUE'!D506</f>
        <v/>
      </c>
      <c r="D503" s="22" t="str">
        <f>'VIX HISTORIQUE'!F506</f>
        <v/>
      </c>
      <c r="E503" s="22" t="str">
        <f>'VIX HISTORIQUE'!H506</f>
        <v/>
      </c>
      <c r="F503" s="22" t="str">
        <f>'VIX HISTORIQUE'!J506</f>
        <v/>
      </c>
    </row>
    <row r="504" ht="15.75" customHeight="1">
      <c r="A504" s="25" t="str">
        <f>'VIX HISTORIQUE'!A507</f>
        <v/>
      </c>
      <c r="B504" s="22" t="str">
        <f>'VIX HISTORIQUE'!B507</f>
        <v/>
      </c>
      <c r="C504" s="22" t="str">
        <f>'VIX HISTORIQUE'!D507</f>
        <v/>
      </c>
      <c r="D504" s="22" t="str">
        <f>'VIX HISTORIQUE'!F507</f>
        <v/>
      </c>
      <c r="E504" s="22" t="str">
        <f>'VIX HISTORIQUE'!H507</f>
        <v/>
      </c>
      <c r="F504" s="22" t="str">
        <f>'VIX HISTORIQUE'!J507</f>
        <v/>
      </c>
    </row>
    <row r="505" ht="15.75" customHeight="1">
      <c r="A505" s="25" t="str">
        <f>'VIX HISTORIQUE'!A508</f>
        <v/>
      </c>
      <c r="B505" s="22" t="str">
        <f>'VIX HISTORIQUE'!B508</f>
        <v/>
      </c>
      <c r="C505" s="22" t="str">
        <f>'VIX HISTORIQUE'!D508</f>
        <v/>
      </c>
      <c r="D505" s="22" t="str">
        <f>'VIX HISTORIQUE'!F508</f>
        <v/>
      </c>
      <c r="E505" s="22" t="str">
        <f>'VIX HISTORIQUE'!H508</f>
        <v/>
      </c>
      <c r="F505" s="22" t="str">
        <f>'VIX HISTORIQUE'!J508</f>
        <v/>
      </c>
    </row>
    <row r="506" ht="15.75" customHeight="1">
      <c r="A506" s="25" t="str">
        <f>'VIX HISTORIQUE'!A509</f>
        <v/>
      </c>
      <c r="B506" s="22" t="str">
        <f>'VIX HISTORIQUE'!B509</f>
        <v/>
      </c>
      <c r="C506" s="22" t="str">
        <f>'VIX HISTORIQUE'!D509</f>
        <v/>
      </c>
      <c r="D506" s="22" t="str">
        <f>'VIX HISTORIQUE'!F509</f>
        <v/>
      </c>
      <c r="E506" s="22" t="str">
        <f>'VIX HISTORIQUE'!H509</f>
        <v/>
      </c>
      <c r="F506" s="22" t="str">
        <f>'VIX HISTORIQUE'!J509</f>
        <v/>
      </c>
    </row>
    <row r="507" ht="15.75" customHeight="1">
      <c r="A507" s="25" t="str">
        <f>'VIX HISTORIQUE'!A510</f>
        <v/>
      </c>
      <c r="B507" s="22" t="str">
        <f>'VIX HISTORIQUE'!B510</f>
        <v/>
      </c>
      <c r="C507" s="22" t="str">
        <f>'VIX HISTORIQUE'!D510</f>
        <v/>
      </c>
      <c r="D507" s="22" t="str">
        <f>'VIX HISTORIQUE'!F510</f>
        <v/>
      </c>
      <c r="E507" s="22" t="str">
        <f>'VIX HISTORIQUE'!H510</f>
        <v/>
      </c>
      <c r="F507" s="22" t="str">
        <f>'VIX HISTORIQUE'!J510</f>
        <v/>
      </c>
    </row>
    <row r="508" ht="15.75" customHeight="1">
      <c r="A508" s="25" t="str">
        <f>'VIX HISTORIQUE'!A511</f>
        <v/>
      </c>
      <c r="B508" s="22" t="str">
        <f>'VIX HISTORIQUE'!B511</f>
        <v/>
      </c>
      <c r="C508" s="22" t="str">
        <f>'VIX HISTORIQUE'!D511</f>
        <v/>
      </c>
      <c r="D508" s="22" t="str">
        <f>'VIX HISTORIQUE'!F511</f>
        <v/>
      </c>
      <c r="E508" s="22" t="str">
        <f>'VIX HISTORIQUE'!H511</f>
        <v/>
      </c>
      <c r="F508" s="22" t="str">
        <f>'VIX HISTORIQUE'!J511</f>
        <v/>
      </c>
    </row>
    <row r="509" ht="15.75" customHeight="1">
      <c r="A509" s="25" t="str">
        <f>'VIX HISTORIQUE'!A512</f>
        <v/>
      </c>
      <c r="B509" s="22" t="str">
        <f>'VIX HISTORIQUE'!B512</f>
        <v/>
      </c>
      <c r="C509" s="22" t="str">
        <f>'VIX HISTORIQUE'!D512</f>
        <v/>
      </c>
      <c r="D509" s="22" t="str">
        <f>'VIX HISTORIQUE'!F512</f>
        <v/>
      </c>
      <c r="E509" s="22" t="str">
        <f>'VIX HISTORIQUE'!H512</f>
        <v/>
      </c>
      <c r="F509" s="22" t="str">
        <f>'VIX HISTORIQUE'!J512</f>
        <v/>
      </c>
    </row>
    <row r="510" ht="15.75" customHeight="1">
      <c r="A510" s="25" t="str">
        <f>'VIX HISTORIQUE'!A513</f>
        <v/>
      </c>
      <c r="B510" s="22" t="str">
        <f>'VIX HISTORIQUE'!B513</f>
        <v/>
      </c>
      <c r="C510" s="22" t="str">
        <f>'VIX HISTORIQUE'!D513</f>
        <v/>
      </c>
      <c r="D510" s="22" t="str">
        <f>'VIX HISTORIQUE'!F513</f>
        <v/>
      </c>
      <c r="E510" s="22" t="str">
        <f>'VIX HISTORIQUE'!H513</f>
        <v/>
      </c>
      <c r="F510" s="22" t="str">
        <f>'VIX HISTORIQUE'!J513</f>
        <v/>
      </c>
    </row>
    <row r="511" ht="15.75" customHeight="1">
      <c r="A511" s="25" t="str">
        <f>'VIX HISTORIQUE'!A514</f>
        <v/>
      </c>
      <c r="B511" s="22" t="str">
        <f>'VIX HISTORIQUE'!B514</f>
        <v/>
      </c>
      <c r="C511" s="22" t="str">
        <f>'VIX HISTORIQUE'!D514</f>
        <v/>
      </c>
      <c r="D511" s="22" t="str">
        <f>'VIX HISTORIQUE'!F514</f>
        <v/>
      </c>
      <c r="E511" s="22" t="str">
        <f>'VIX HISTORIQUE'!H514</f>
        <v/>
      </c>
      <c r="F511" s="22" t="str">
        <f>'VIX HISTORIQUE'!J514</f>
        <v/>
      </c>
    </row>
    <row r="512" ht="15.75" customHeight="1">
      <c r="A512" s="25" t="str">
        <f>'VIX HISTORIQUE'!A515</f>
        <v/>
      </c>
      <c r="B512" s="22" t="str">
        <f>'VIX HISTORIQUE'!B515</f>
        <v/>
      </c>
      <c r="C512" s="22" t="str">
        <f>'VIX HISTORIQUE'!D515</f>
        <v/>
      </c>
      <c r="D512" s="22" t="str">
        <f>'VIX HISTORIQUE'!F515</f>
        <v/>
      </c>
      <c r="E512" s="22" t="str">
        <f>'VIX HISTORIQUE'!H515</f>
        <v/>
      </c>
      <c r="F512" s="22" t="str">
        <f>'VIX HISTORIQUE'!J515</f>
        <v/>
      </c>
    </row>
    <row r="513" ht="15.75" customHeight="1">
      <c r="A513" s="25" t="str">
        <f>'VIX HISTORIQUE'!A516</f>
        <v/>
      </c>
      <c r="B513" s="22" t="str">
        <f>'VIX HISTORIQUE'!B516</f>
        <v/>
      </c>
      <c r="C513" s="22" t="str">
        <f>'VIX HISTORIQUE'!D516</f>
        <v/>
      </c>
      <c r="D513" s="22" t="str">
        <f>'VIX HISTORIQUE'!F516</f>
        <v/>
      </c>
      <c r="E513" s="22" t="str">
        <f>'VIX HISTORIQUE'!H516</f>
        <v/>
      </c>
      <c r="F513" s="22" t="str">
        <f>'VIX HISTORIQUE'!J516</f>
        <v/>
      </c>
    </row>
    <row r="514" ht="15.75" customHeight="1">
      <c r="A514" s="25" t="str">
        <f>'VIX HISTORIQUE'!A517</f>
        <v/>
      </c>
      <c r="B514" s="22" t="str">
        <f>'VIX HISTORIQUE'!B517</f>
        <v/>
      </c>
      <c r="C514" s="22" t="str">
        <f>'VIX HISTORIQUE'!D517</f>
        <v/>
      </c>
      <c r="D514" s="22" t="str">
        <f>'VIX HISTORIQUE'!F517</f>
        <v/>
      </c>
      <c r="E514" s="22" t="str">
        <f>'VIX HISTORIQUE'!H517</f>
        <v/>
      </c>
      <c r="F514" s="22" t="str">
        <f>'VIX HISTORIQUE'!J517</f>
        <v/>
      </c>
    </row>
    <row r="515" ht="15.75" customHeight="1">
      <c r="A515" s="25" t="str">
        <f>'VIX HISTORIQUE'!A518</f>
        <v/>
      </c>
      <c r="B515" s="22" t="str">
        <f>'VIX HISTORIQUE'!B518</f>
        <v/>
      </c>
      <c r="C515" s="22" t="str">
        <f>'VIX HISTORIQUE'!D518</f>
        <v/>
      </c>
      <c r="D515" s="22" t="str">
        <f>'VIX HISTORIQUE'!F518</f>
        <v/>
      </c>
      <c r="E515" s="22" t="str">
        <f>'VIX HISTORIQUE'!H518</f>
        <v/>
      </c>
      <c r="F515" s="22" t="str">
        <f>'VIX HISTORIQUE'!J518</f>
        <v/>
      </c>
    </row>
    <row r="516" ht="15.75" customHeight="1">
      <c r="A516" s="25" t="str">
        <f>'VIX HISTORIQUE'!A519</f>
        <v/>
      </c>
      <c r="B516" s="22" t="str">
        <f>'VIX HISTORIQUE'!B519</f>
        <v/>
      </c>
      <c r="C516" s="22" t="str">
        <f>'VIX HISTORIQUE'!D519</f>
        <v/>
      </c>
      <c r="D516" s="22" t="str">
        <f>'VIX HISTORIQUE'!F519</f>
        <v/>
      </c>
      <c r="E516" s="22" t="str">
        <f>'VIX HISTORIQUE'!H519</f>
        <v/>
      </c>
      <c r="F516" s="22" t="str">
        <f>'VIX HISTORIQUE'!J519</f>
        <v/>
      </c>
    </row>
    <row r="517" ht="15.75" customHeight="1">
      <c r="A517" s="25" t="str">
        <f>'VIX HISTORIQUE'!A520</f>
        <v/>
      </c>
      <c r="B517" s="22" t="str">
        <f>'VIX HISTORIQUE'!B520</f>
        <v/>
      </c>
      <c r="C517" s="22" t="str">
        <f>'VIX HISTORIQUE'!D520</f>
        <v/>
      </c>
      <c r="D517" s="22" t="str">
        <f>'VIX HISTORIQUE'!F520</f>
        <v/>
      </c>
      <c r="E517" s="22" t="str">
        <f>'VIX HISTORIQUE'!H520</f>
        <v/>
      </c>
      <c r="F517" s="22" t="str">
        <f>'VIX HISTORIQUE'!J520</f>
        <v/>
      </c>
    </row>
    <row r="518" ht="15.75" customHeight="1">
      <c r="A518" s="25" t="str">
        <f>'VIX HISTORIQUE'!A521</f>
        <v/>
      </c>
      <c r="B518" s="22" t="str">
        <f>'VIX HISTORIQUE'!B521</f>
        <v/>
      </c>
      <c r="C518" s="22" t="str">
        <f>'VIX HISTORIQUE'!D521</f>
        <v/>
      </c>
      <c r="D518" s="22" t="str">
        <f>'VIX HISTORIQUE'!F521</f>
        <v/>
      </c>
      <c r="E518" s="22" t="str">
        <f>'VIX HISTORIQUE'!H521</f>
        <v/>
      </c>
      <c r="F518" s="22" t="str">
        <f>'VIX HISTORIQUE'!J521</f>
        <v/>
      </c>
    </row>
    <row r="519" ht="15.75" customHeight="1">
      <c r="A519" s="25" t="str">
        <f>'VIX HISTORIQUE'!A522</f>
        <v/>
      </c>
      <c r="B519" s="22" t="str">
        <f>'VIX HISTORIQUE'!B522</f>
        <v/>
      </c>
      <c r="C519" s="22" t="str">
        <f>'VIX HISTORIQUE'!D522</f>
        <v/>
      </c>
      <c r="D519" s="22" t="str">
        <f>'VIX HISTORIQUE'!F522</f>
        <v/>
      </c>
      <c r="E519" s="22" t="str">
        <f>'VIX HISTORIQUE'!H522</f>
        <v/>
      </c>
      <c r="F519" s="22" t="str">
        <f>'VIX HISTORIQUE'!J522</f>
        <v/>
      </c>
    </row>
    <row r="520" ht="15.75" customHeight="1">
      <c r="A520" s="25" t="str">
        <f>'VIX HISTORIQUE'!A523</f>
        <v/>
      </c>
      <c r="B520" s="22" t="str">
        <f>'VIX HISTORIQUE'!B523</f>
        <v/>
      </c>
      <c r="C520" s="22" t="str">
        <f>'VIX HISTORIQUE'!D523</f>
        <v/>
      </c>
      <c r="D520" s="22" t="str">
        <f>'VIX HISTORIQUE'!F523</f>
        <v/>
      </c>
      <c r="E520" s="22" t="str">
        <f>'VIX HISTORIQUE'!H523</f>
        <v/>
      </c>
      <c r="F520" s="22" t="str">
        <f>'VIX HISTORIQUE'!J523</f>
        <v/>
      </c>
    </row>
    <row r="521" ht="15.75" customHeight="1">
      <c r="A521" s="25" t="str">
        <f>'VIX HISTORIQUE'!A524</f>
        <v/>
      </c>
      <c r="B521" s="22" t="str">
        <f>'VIX HISTORIQUE'!B524</f>
        <v/>
      </c>
      <c r="C521" s="22" t="str">
        <f>'VIX HISTORIQUE'!D524</f>
        <v/>
      </c>
      <c r="D521" s="22" t="str">
        <f>'VIX HISTORIQUE'!F524</f>
        <v/>
      </c>
      <c r="E521" s="22" t="str">
        <f>'VIX HISTORIQUE'!H524</f>
        <v/>
      </c>
      <c r="F521" s="22" t="str">
        <f>'VIX HISTORIQUE'!J524</f>
        <v/>
      </c>
    </row>
    <row r="522" ht="15.75" customHeight="1">
      <c r="A522" s="25" t="str">
        <f>'VIX HISTORIQUE'!A525</f>
        <v/>
      </c>
      <c r="B522" s="22" t="str">
        <f>'VIX HISTORIQUE'!B525</f>
        <v/>
      </c>
      <c r="C522" s="22" t="str">
        <f>'VIX HISTORIQUE'!D525</f>
        <v/>
      </c>
      <c r="D522" s="22" t="str">
        <f>'VIX HISTORIQUE'!F525</f>
        <v/>
      </c>
      <c r="E522" s="22" t="str">
        <f>'VIX HISTORIQUE'!H525</f>
        <v/>
      </c>
      <c r="F522" s="22" t="str">
        <f>'VIX HISTORIQUE'!J525</f>
        <v/>
      </c>
    </row>
    <row r="523" ht="15.75" customHeight="1">
      <c r="A523" s="25" t="str">
        <f>'VIX HISTORIQUE'!A526</f>
        <v/>
      </c>
      <c r="B523" s="22" t="str">
        <f>'VIX HISTORIQUE'!B526</f>
        <v/>
      </c>
      <c r="C523" s="22" t="str">
        <f>'VIX HISTORIQUE'!D526</f>
        <v/>
      </c>
      <c r="D523" s="22" t="str">
        <f>'VIX HISTORIQUE'!F526</f>
        <v/>
      </c>
      <c r="E523" s="22" t="str">
        <f>'VIX HISTORIQUE'!H526</f>
        <v/>
      </c>
      <c r="F523" s="22" t="str">
        <f>'VIX HISTORIQUE'!J526</f>
        <v/>
      </c>
    </row>
    <row r="524" ht="15.75" customHeight="1">
      <c r="A524" s="25" t="str">
        <f>'VIX HISTORIQUE'!A527</f>
        <v/>
      </c>
      <c r="B524" s="22" t="str">
        <f>'VIX HISTORIQUE'!B527</f>
        <v/>
      </c>
      <c r="C524" s="22" t="str">
        <f>'VIX HISTORIQUE'!D527</f>
        <v/>
      </c>
      <c r="D524" s="22" t="str">
        <f>'VIX HISTORIQUE'!F527</f>
        <v/>
      </c>
      <c r="E524" s="22" t="str">
        <f>'VIX HISTORIQUE'!H527</f>
        <v/>
      </c>
      <c r="F524" s="22" t="str">
        <f>'VIX HISTORIQUE'!J527</f>
        <v/>
      </c>
    </row>
    <row r="525" ht="15.75" customHeight="1">
      <c r="A525" s="25" t="str">
        <f>'VIX HISTORIQUE'!A528</f>
        <v/>
      </c>
      <c r="B525" s="22" t="str">
        <f>'VIX HISTORIQUE'!B528</f>
        <v/>
      </c>
      <c r="C525" s="22" t="str">
        <f>'VIX HISTORIQUE'!D528</f>
        <v/>
      </c>
      <c r="D525" s="22" t="str">
        <f>'VIX HISTORIQUE'!F528</f>
        <v/>
      </c>
      <c r="E525" s="22" t="str">
        <f>'VIX HISTORIQUE'!H528</f>
        <v/>
      </c>
      <c r="F525" s="22" t="str">
        <f>'VIX HISTORIQUE'!J528</f>
        <v/>
      </c>
    </row>
    <row r="526" ht="15.75" customHeight="1">
      <c r="A526" s="25" t="str">
        <f>'VIX HISTORIQUE'!A529</f>
        <v/>
      </c>
      <c r="B526" s="22" t="str">
        <f>'VIX HISTORIQUE'!B529</f>
        <v/>
      </c>
      <c r="C526" s="22" t="str">
        <f>'VIX HISTORIQUE'!D529</f>
        <v/>
      </c>
      <c r="D526" s="22" t="str">
        <f>'VIX HISTORIQUE'!F529</f>
        <v/>
      </c>
      <c r="E526" s="22" t="str">
        <f>'VIX HISTORIQUE'!H529</f>
        <v/>
      </c>
      <c r="F526" s="22" t="str">
        <f>'VIX HISTORIQUE'!J529</f>
        <v/>
      </c>
    </row>
    <row r="527" ht="15.75" customHeight="1">
      <c r="A527" s="25" t="str">
        <f>'VIX HISTORIQUE'!A530</f>
        <v/>
      </c>
      <c r="B527" s="22" t="str">
        <f>'VIX HISTORIQUE'!B530</f>
        <v/>
      </c>
      <c r="C527" s="22" t="str">
        <f>'VIX HISTORIQUE'!D530</f>
        <v/>
      </c>
      <c r="D527" s="22" t="str">
        <f>'VIX HISTORIQUE'!F530</f>
        <v/>
      </c>
      <c r="E527" s="22" t="str">
        <f>'VIX HISTORIQUE'!H530</f>
        <v/>
      </c>
      <c r="F527" s="22" t="str">
        <f>'VIX HISTORIQUE'!J530</f>
        <v/>
      </c>
    </row>
    <row r="528" ht="15.75" customHeight="1">
      <c r="A528" s="25" t="str">
        <f>'VIX HISTORIQUE'!A531</f>
        <v/>
      </c>
      <c r="B528" s="22" t="str">
        <f>'VIX HISTORIQUE'!B531</f>
        <v/>
      </c>
      <c r="C528" s="22" t="str">
        <f>'VIX HISTORIQUE'!D531</f>
        <v/>
      </c>
      <c r="D528" s="22" t="str">
        <f>'VIX HISTORIQUE'!F531</f>
        <v/>
      </c>
      <c r="E528" s="22" t="str">
        <f>'VIX HISTORIQUE'!H531</f>
        <v/>
      </c>
      <c r="F528" s="22" t="str">
        <f>'VIX HISTORIQUE'!J531</f>
        <v/>
      </c>
    </row>
    <row r="529" ht="15.75" customHeight="1">
      <c r="A529" s="25" t="str">
        <f>'VIX HISTORIQUE'!A532</f>
        <v/>
      </c>
      <c r="B529" s="22" t="str">
        <f>'VIX HISTORIQUE'!B532</f>
        <v/>
      </c>
      <c r="C529" s="22" t="str">
        <f>'VIX HISTORIQUE'!D532</f>
        <v/>
      </c>
      <c r="D529" s="22" t="str">
        <f>'VIX HISTORIQUE'!F532</f>
        <v/>
      </c>
      <c r="E529" s="22" t="str">
        <f>'VIX HISTORIQUE'!H532</f>
        <v/>
      </c>
      <c r="F529" s="22" t="str">
        <f>'VIX HISTORIQUE'!J532</f>
        <v/>
      </c>
    </row>
    <row r="530" ht="15.75" customHeight="1">
      <c r="A530" s="25" t="str">
        <f>'VIX HISTORIQUE'!A533</f>
        <v/>
      </c>
      <c r="B530" s="22" t="str">
        <f>'VIX HISTORIQUE'!B533</f>
        <v/>
      </c>
      <c r="C530" s="22" t="str">
        <f>'VIX HISTORIQUE'!D533</f>
        <v/>
      </c>
      <c r="D530" s="22" t="str">
        <f>'VIX HISTORIQUE'!F533</f>
        <v/>
      </c>
      <c r="E530" s="22" t="str">
        <f>'VIX HISTORIQUE'!H533</f>
        <v/>
      </c>
      <c r="F530" s="22" t="str">
        <f>'VIX HISTORIQUE'!J533</f>
        <v/>
      </c>
    </row>
    <row r="531" ht="15.75" customHeight="1">
      <c r="A531" s="25" t="str">
        <f>'VIX HISTORIQUE'!A534</f>
        <v/>
      </c>
      <c r="B531" s="22" t="str">
        <f>'VIX HISTORIQUE'!B534</f>
        <v/>
      </c>
      <c r="C531" s="22" t="str">
        <f>'VIX HISTORIQUE'!D534</f>
        <v/>
      </c>
      <c r="D531" s="22" t="str">
        <f>'VIX HISTORIQUE'!F534</f>
        <v/>
      </c>
      <c r="E531" s="22" t="str">
        <f>'VIX HISTORIQUE'!H534</f>
        <v/>
      </c>
      <c r="F531" s="22" t="str">
        <f>'VIX HISTORIQUE'!J534</f>
        <v/>
      </c>
    </row>
    <row r="532" ht="15.75" customHeight="1">
      <c r="A532" s="25" t="str">
        <f>'VIX HISTORIQUE'!A535</f>
        <v/>
      </c>
      <c r="B532" s="22" t="str">
        <f>'VIX HISTORIQUE'!B535</f>
        <v/>
      </c>
      <c r="C532" s="22" t="str">
        <f>'VIX HISTORIQUE'!D535</f>
        <v/>
      </c>
      <c r="D532" s="22" t="str">
        <f>'VIX HISTORIQUE'!F535</f>
        <v/>
      </c>
      <c r="E532" s="22" t="str">
        <f>'VIX HISTORIQUE'!H535</f>
        <v/>
      </c>
      <c r="F532" s="22" t="str">
        <f>'VIX HISTORIQUE'!J535</f>
        <v/>
      </c>
    </row>
    <row r="533" ht="15.75" customHeight="1">
      <c r="A533" s="25" t="str">
        <f>'VIX HISTORIQUE'!A536</f>
        <v/>
      </c>
      <c r="B533" s="22" t="str">
        <f>'VIX HISTORIQUE'!B536</f>
        <v/>
      </c>
      <c r="C533" s="22" t="str">
        <f>'VIX HISTORIQUE'!D536</f>
        <v/>
      </c>
      <c r="D533" s="22" t="str">
        <f>'VIX HISTORIQUE'!F536</f>
        <v/>
      </c>
      <c r="E533" s="22" t="str">
        <f>'VIX HISTORIQUE'!H536</f>
        <v/>
      </c>
      <c r="F533" s="22" t="str">
        <f>'VIX HISTORIQUE'!J536</f>
        <v/>
      </c>
    </row>
    <row r="534" ht="15.75" customHeight="1">
      <c r="A534" s="25" t="str">
        <f>'VIX HISTORIQUE'!A537</f>
        <v/>
      </c>
      <c r="B534" s="22" t="str">
        <f>'VIX HISTORIQUE'!B537</f>
        <v/>
      </c>
      <c r="C534" s="22" t="str">
        <f>'VIX HISTORIQUE'!D537</f>
        <v/>
      </c>
      <c r="D534" s="22" t="str">
        <f>'VIX HISTORIQUE'!F537</f>
        <v/>
      </c>
      <c r="E534" s="22" t="str">
        <f>'VIX HISTORIQUE'!H537</f>
        <v/>
      </c>
      <c r="F534" s="22" t="str">
        <f>'VIX HISTORIQUE'!J537</f>
        <v/>
      </c>
    </row>
    <row r="535" ht="15.75" customHeight="1">
      <c r="A535" s="25" t="str">
        <f>'VIX HISTORIQUE'!A538</f>
        <v/>
      </c>
      <c r="B535" s="22" t="str">
        <f>'VIX HISTORIQUE'!B538</f>
        <v/>
      </c>
      <c r="C535" s="22" t="str">
        <f>'VIX HISTORIQUE'!D538</f>
        <v/>
      </c>
      <c r="D535" s="22" t="str">
        <f>'VIX HISTORIQUE'!F538</f>
        <v/>
      </c>
      <c r="E535" s="22" t="str">
        <f>'VIX HISTORIQUE'!H538</f>
        <v/>
      </c>
      <c r="F535" s="22" t="str">
        <f>'VIX HISTORIQUE'!J538</f>
        <v/>
      </c>
    </row>
    <row r="536" ht="15.75" customHeight="1">
      <c r="A536" s="25" t="str">
        <f>'VIX HISTORIQUE'!A539</f>
        <v/>
      </c>
      <c r="B536" s="22" t="str">
        <f>'VIX HISTORIQUE'!B539</f>
        <v/>
      </c>
      <c r="C536" s="22" t="str">
        <f>'VIX HISTORIQUE'!D539</f>
        <v/>
      </c>
      <c r="D536" s="22" t="str">
        <f>'VIX HISTORIQUE'!F539</f>
        <v/>
      </c>
      <c r="E536" s="22" t="str">
        <f>'VIX HISTORIQUE'!H539</f>
        <v/>
      </c>
      <c r="F536" s="22" t="str">
        <f>'VIX HISTORIQUE'!J539</f>
        <v/>
      </c>
    </row>
    <row r="537" ht="15.75" customHeight="1">
      <c r="A537" s="25" t="str">
        <f>'VIX HISTORIQUE'!A540</f>
        <v/>
      </c>
      <c r="B537" s="22" t="str">
        <f>'VIX HISTORIQUE'!B540</f>
        <v/>
      </c>
      <c r="C537" s="22" t="str">
        <f>'VIX HISTORIQUE'!D540</f>
        <v/>
      </c>
      <c r="D537" s="22" t="str">
        <f>'VIX HISTORIQUE'!F540</f>
        <v/>
      </c>
      <c r="E537" s="22" t="str">
        <f>'VIX HISTORIQUE'!H540</f>
        <v/>
      </c>
      <c r="F537" s="22" t="str">
        <f>'VIX HISTORIQUE'!J540</f>
        <v/>
      </c>
    </row>
    <row r="538" ht="15.75" customHeight="1">
      <c r="A538" s="25" t="str">
        <f>'VIX HISTORIQUE'!A541</f>
        <v/>
      </c>
      <c r="B538" s="22" t="str">
        <f>'VIX HISTORIQUE'!B541</f>
        <v/>
      </c>
      <c r="C538" s="22" t="str">
        <f>'VIX HISTORIQUE'!D541</f>
        <v/>
      </c>
      <c r="D538" s="22" t="str">
        <f>'VIX HISTORIQUE'!F541</f>
        <v/>
      </c>
      <c r="E538" s="22" t="str">
        <f>'VIX HISTORIQUE'!H541</f>
        <v/>
      </c>
      <c r="F538" s="22" t="str">
        <f>'VIX HISTORIQUE'!J541</f>
        <v/>
      </c>
    </row>
    <row r="539" ht="15.75" customHeight="1">
      <c r="A539" s="25" t="str">
        <f>'VIX HISTORIQUE'!A542</f>
        <v/>
      </c>
      <c r="B539" s="22" t="str">
        <f>'VIX HISTORIQUE'!B542</f>
        <v/>
      </c>
      <c r="C539" s="22" t="str">
        <f>'VIX HISTORIQUE'!D542</f>
        <v/>
      </c>
      <c r="D539" s="22" t="str">
        <f>'VIX HISTORIQUE'!F542</f>
        <v/>
      </c>
      <c r="E539" s="22" t="str">
        <f>'VIX HISTORIQUE'!H542</f>
        <v/>
      </c>
      <c r="F539" s="22" t="str">
        <f>'VIX HISTORIQUE'!J542</f>
        <v/>
      </c>
    </row>
    <row r="540" ht="15.75" customHeight="1">
      <c r="A540" s="25" t="str">
        <f>'VIX HISTORIQUE'!A543</f>
        <v/>
      </c>
      <c r="B540" s="22" t="str">
        <f>'VIX HISTORIQUE'!B543</f>
        <v/>
      </c>
      <c r="C540" s="22" t="str">
        <f>'VIX HISTORIQUE'!D543</f>
        <v/>
      </c>
      <c r="D540" s="22" t="str">
        <f>'VIX HISTORIQUE'!F543</f>
        <v/>
      </c>
      <c r="E540" s="22" t="str">
        <f>'VIX HISTORIQUE'!H543</f>
        <v/>
      </c>
      <c r="F540" s="22" t="str">
        <f>'VIX HISTORIQUE'!J543</f>
        <v/>
      </c>
    </row>
    <row r="541" ht="15.75" customHeight="1">
      <c r="A541" s="25" t="str">
        <f>'VIX HISTORIQUE'!A544</f>
        <v/>
      </c>
      <c r="B541" s="22" t="str">
        <f>'VIX HISTORIQUE'!B544</f>
        <v/>
      </c>
      <c r="C541" s="22" t="str">
        <f>'VIX HISTORIQUE'!D544</f>
        <v/>
      </c>
      <c r="D541" s="22" t="str">
        <f>'VIX HISTORIQUE'!F544</f>
        <v/>
      </c>
      <c r="E541" s="22" t="str">
        <f>'VIX HISTORIQUE'!H544</f>
        <v/>
      </c>
      <c r="F541" s="22" t="str">
        <f>'VIX HISTORIQUE'!J544</f>
        <v/>
      </c>
    </row>
    <row r="542" ht="15.75" customHeight="1">
      <c r="A542" s="25" t="str">
        <f>'VIX HISTORIQUE'!A545</f>
        <v/>
      </c>
      <c r="B542" s="22" t="str">
        <f>'VIX HISTORIQUE'!B545</f>
        <v/>
      </c>
      <c r="C542" s="22" t="str">
        <f>'VIX HISTORIQUE'!D545</f>
        <v/>
      </c>
      <c r="D542" s="22" t="str">
        <f>'VIX HISTORIQUE'!F545</f>
        <v/>
      </c>
      <c r="E542" s="22" t="str">
        <f>'VIX HISTORIQUE'!H545</f>
        <v/>
      </c>
      <c r="F542" s="22" t="str">
        <f>'VIX HISTORIQUE'!J545</f>
        <v/>
      </c>
    </row>
    <row r="543" ht="15.75" customHeight="1">
      <c r="A543" s="25" t="str">
        <f>'VIX HISTORIQUE'!A546</f>
        <v/>
      </c>
      <c r="B543" s="22" t="str">
        <f>'VIX HISTORIQUE'!B546</f>
        <v/>
      </c>
      <c r="C543" s="22" t="str">
        <f>'VIX HISTORIQUE'!D546</f>
        <v/>
      </c>
      <c r="D543" s="22" t="str">
        <f>'VIX HISTORIQUE'!F546</f>
        <v/>
      </c>
      <c r="E543" s="22" t="str">
        <f>'VIX HISTORIQUE'!H546</f>
        <v/>
      </c>
      <c r="F543" s="22" t="str">
        <f>'VIX HISTORIQUE'!J546</f>
        <v/>
      </c>
    </row>
    <row r="544" ht="15.75" customHeight="1">
      <c r="A544" s="25" t="str">
        <f>'VIX HISTORIQUE'!A547</f>
        <v/>
      </c>
      <c r="B544" s="22" t="str">
        <f>'VIX HISTORIQUE'!B547</f>
        <v/>
      </c>
      <c r="C544" s="22" t="str">
        <f>'VIX HISTORIQUE'!D547</f>
        <v/>
      </c>
      <c r="D544" s="22" t="str">
        <f>'VIX HISTORIQUE'!F547</f>
        <v/>
      </c>
      <c r="E544" s="22" t="str">
        <f>'VIX HISTORIQUE'!H547</f>
        <v/>
      </c>
      <c r="F544" s="22" t="str">
        <f>'VIX HISTORIQUE'!J547</f>
        <v/>
      </c>
    </row>
    <row r="545" ht="15.75" customHeight="1">
      <c r="A545" s="25" t="str">
        <f>'VIX HISTORIQUE'!A548</f>
        <v/>
      </c>
      <c r="B545" s="22" t="str">
        <f>'VIX HISTORIQUE'!B548</f>
        <v/>
      </c>
      <c r="C545" s="22" t="str">
        <f>'VIX HISTORIQUE'!D548</f>
        <v/>
      </c>
      <c r="D545" s="22" t="str">
        <f>'VIX HISTORIQUE'!F548</f>
        <v/>
      </c>
      <c r="E545" s="22" t="str">
        <f>'VIX HISTORIQUE'!H548</f>
        <v/>
      </c>
      <c r="F545" s="22" t="str">
        <f>'VIX HISTORIQUE'!J548</f>
        <v/>
      </c>
    </row>
    <row r="546" ht="15.75" customHeight="1">
      <c r="A546" s="25" t="str">
        <f>'VIX HISTORIQUE'!A549</f>
        <v/>
      </c>
      <c r="B546" s="22" t="str">
        <f>'VIX HISTORIQUE'!B549</f>
        <v/>
      </c>
      <c r="C546" s="22" t="str">
        <f>'VIX HISTORIQUE'!D549</f>
        <v/>
      </c>
      <c r="D546" s="22" t="str">
        <f>'VIX HISTORIQUE'!F549</f>
        <v/>
      </c>
      <c r="E546" s="22" t="str">
        <f>'VIX HISTORIQUE'!H549</f>
        <v/>
      </c>
      <c r="F546" s="22" t="str">
        <f>'VIX HISTORIQUE'!J549</f>
        <v/>
      </c>
    </row>
    <row r="547" ht="15.75" customHeight="1">
      <c r="A547" s="25" t="str">
        <f>'VIX HISTORIQUE'!A550</f>
        <v/>
      </c>
      <c r="B547" s="22" t="str">
        <f>'VIX HISTORIQUE'!B550</f>
        <v/>
      </c>
      <c r="C547" s="22" t="str">
        <f>'VIX HISTORIQUE'!D550</f>
        <v/>
      </c>
      <c r="D547" s="22" t="str">
        <f>'VIX HISTORIQUE'!F550</f>
        <v/>
      </c>
      <c r="E547" s="22" t="str">
        <f>'VIX HISTORIQUE'!H550</f>
        <v/>
      </c>
      <c r="F547" s="22" t="str">
        <f>'VIX HISTORIQUE'!J550</f>
        <v/>
      </c>
    </row>
    <row r="548" ht="15.75" customHeight="1">
      <c r="A548" s="25" t="str">
        <f>'VIX HISTORIQUE'!A551</f>
        <v/>
      </c>
      <c r="B548" s="22" t="str">
        <f>'VIX HISTORIQUE'!B551</f>
        <v/>
      </c>
      <c r="C548" s="22" t="str">
        <f>'VIX HISTORIQUE'!D551</f>
        <v/>
      </c>
      <c r="D548" s="22" t="str">
        <f>'VIX HISTORIQUE'!F551</f>
        <v/>
      </c>
      <c r="E548" s="22" t="str">
        <f>'VIX HISTORIQUE'!H551</f>
        <v/>
      </c>
      <c r="F548" s="22" t="str">
        <f>'VIX HISTORIQUE'!J551</f>
        <v/>
      </c>
    </row>
    <row r="549" ht="15.75" customHeight="1">
      <c r="A549" s="25" t="str">
        <f>'VIX HISTORIQUE'!A552</f>
        <v/>
      </c>
      <c r="B549" s="22" t="str">
        <f>'VIX HISTORIQUE'!B552</f>
        <v/>
      </c>
      <c r="C549" s="22" t="str">
        <f>'VIX HISTORIQUE'!D552</f>
        <v/>
      </c>
      <c r="D549" s="22" t="str">
        <f>'VIX HISTORIQUE'!F552</f>
        <v/>
      </c>
      <c r="E549" s="22" t="str">
        <f>'VIX HISTORIQUE'!H552</f>
        <v/>
      </c>
      <c r="F549" s="22" t="str">
        <f>'VIX HISTORIQUE'!J552</f>
        <v/>
      </c>
    </row>
    <row r="550" ht="15.75" customHeight="1">
      <c r="A550" s="25" t="str">
        <f>'VIX HISTORIQUE'!A553</f>
        <v/>
      </c>
      <c r="B550" s="22" t="str">
        <f>'VIX HISTORIQUE'!B553</f>
        <v/>
      </c>
      <c r="C550" s="22" t="str">
        <f>'VIX HISTORIQUE'!D553</f>
        <v/>
      </c>
      <c r="D550" s="22" t="str">
        <f>'VIX HISTORIQUE'!F553</f>
        <v/>
      </c>
      <c r="E550" s="22" t="str">
        <f>'VIX HISTORIQUE'!H553</f>
        <v/>
      </c>
      <c r="F550" s="22" t="str">
        <f>'VIX HISTORIQUE'!J553</f>
        <v/>
      </c>
    </row>
    <row r="551" ht="15.75" customHeight="1">
      <c r="A551" s="25" t="str">
        <f>'VIX HISTORIQUE'!A554</f>
        <v/>
      </c>
      <c r="B551" s="22" t="str">
        <f>'VIX HISTORIQUE'!B554</f>
        <v/>
      </c>
      <c r="C551" s="22" t="str">
        <f>'VIX HISTORIQUE'!D554</f>
        <v/>
      </c>
      <c r="D551" s="22" t="str">
        <f>'VIX HISTORIQUE'!F554</f>
        <v/>
      </c>
      <c r="E551" s="22" t="str">
        <f>'VIX HISTORIQUE'!H554</f>
        <v/>
      </c>
      <c r="F551" s="22" t="str">
        <f>'VIX HISTORIQUE'!J554</f>
        <v/>
      </c>
    </row>
    <row r="552" ht="15.75" customHeight="1">
      <c r="A552" s="25" t="str">
        <f>'VIX HISTORIQUE'!A555</f>
        <v/>
      </c>
      <c r="B552" s="22" t="str">
        <f>'VIX HISTORIQUE'!B555</f>
        <v/>
      </c>
      <c r="C552" s="22" t="str">
        <f>'VIX HISTORIQUE'!D555</f>
        <v/>
      </c>
      <c r="D552" s="22" t="str">
        <f>'VIX HISTORIQUE'!F555</f>
        <v/>
      </c>
      <c r="E552" s="22" t="str">
        <f>'VIX HISTORIQUE'!H555</f>
        <v/>
      </c>
      <c r="F552" s="22" t="str">
        <f>'VIX HISTORIQUE'!J555</f>
        <v/>
      </c>
    </row>
    <row r="553" ht="15.75" customHeight="1">
      <c r="A553" s="25" t="str">
        <f>'VIX HISTORIQUE'!A556</f>
        <v/>
      </c>
      <c r="B553" s="22" t="str">
        <f>'VIX HISTORIQUE'!B556</f>
        <v/>
      </c>
      <c r="C553" s="22" t="str">
        <f>'VIX HISTORIQUE'!D556</f>
        <v/>
      </c>
      <c r="D553" s="22" t="str">
        <f>'VIX HISTORIQUE'!F556</f>
        <v/>
      </c>
      <c r="E553" s="22" t="str">
        <f>'VIX HISTORIQUE'!H556</f>
        <v/>
      </c>
      <c r="F553" s="22" t="str">
        <f>'VIX HISTORIQUE'!J556</f>
        <v/>
      </c>
    </row>
    <row r="554" ht="15.75" customHeight="1">
      <c r="A554" s="25" t="str">
        <f>'VIX HISTORIQUE'!A557</f>
        <v/>
      </c>
      <c r="B554" s="22" t="str">
        <f>'VIX HISTORIQUE'!B557</f>
        <v/>
      </c>
      <c r="C554" s="22" t="str">
        <f>'VIX HISTORIQUE'!D557</f>
        <v/>
      </c>
      <c r="D554" s="22" t="str">
        <f>'VIX HISTORIQUE'!F557</f>
        <v/>
      </c>
      <c r="E554" s="22" t="str">
        <f>'VIX HISTORIQUE'!H557</f>
        <v/>
      </c>
      <c r="F554" s="22" t="str">
        <f>'VIX HISTORIQUE'!J557</f>
        <v/>
      </c>
    </row>
    <row r="555" ht="15.75" customHeight="1">
      <c r="A555" s="25" t="str">
        <f>'VIX HISTORIQUE'!A558</f>
        <v/>
      </c>
      <c r="B555" s="22" t="str">
        <f>'VIX HISTORIQUE'!B558</f>
        <v/>
      </c>
      <c r="C555" s="22" t="str">
        <f>'VIX HISTORIQUE'!D558</f>
        <v/>
      </c>
      <c r="D555" s="22" t="str">
        <f>'VIX HISTORIQUE'!F558</f>
        <v/>
      </c>
      <c r="E555" s="22" t="str">
        <f>'VIX HISTORIQUE'!H558</f>
        <v/>
      </c>
      <c r="F555" s="22" t="str">
        <f>'VIX HISTORIQUE'!J558</f>
        <v/>
      </c>
    </row>
    <row r="556" ht="15.75" customHeight="1">
      <c r="A556" s="25" t="str">
        <f>'VIX HISTORIQUE'!A559</f>
        <v/>
      </c>
      <c r="B556" s="22" t="str">
        <f>'VIX HISTORIQUE'!B559</f>
        <v/>
      </c>
      <c r="C556" s="22" t="str">
        <f>'VIX HISTORIQUE'!D559</f>
        <v/>
      </c>
      <c r="D556" s="22" t="str">
        <f>'VIX HISTORIQUE'!F559</f>
        <v/>
      </c>
      <c r="E556" s="22" t="str">
        <f>'VIX HISTORIQUE'!H559</f>
        <v/>
      </c>
      <c r="F556" s="22" t="str">
        <f>'VIX HISTORIQUE'!J559</f>
        <v/>
      </c>
    </row>
    <row r="557" ht="15.75" customHeight="1">
      <c r="A557" s="25" t="str">
        <f>'VIX HISTORIQUE'!A560</f>
        <v/>
      </c>
      <c r="B557" s="22" t="str">
        <f>'VIX HISTORIQUE'!B560</f>
        <v/>
      </c>
      <c r="C557" s="22" t="str">
        <f>'VIX HISTORIQUE'!D560</f>
        <v/>
      </c>
      <c r="D557" s="22" t="str">
        <f>'VIX HISTORIQUE'!F560</f>
        <v/>
      </c>
      <c r="E557" s="22" t="str">
        <f>'VIX HISTORIQUE'!H560</f>
        <v/>
      </c>
      <c r="F557" s="22" t="str">
        <f>'VIX HISTORIQUE'!J560</f>
        <v/>
      </c>
    </row>
    <row r="558" ht="15.75" customHeight="1">
      <c r="A558" s="25" t="str">
        <f>'VIX HISTORIQUE'!A561</f>
        <v/>
      </c>
      <c r="B558" s="22" t="str">
        <f>'VIX HISTORIQUE'!B561</f>
        <v/>
      </c>
      <c r="C558" s="22" t="str">
        <f>'VIX HISTORIQUE'!D561</f>
        <v/>
      </c>
      <c r="D558" s="22" t="str">
        <f>'VIX HISTORIQUE'!F561</f>
        <v/>
      </c>
      <c r="E558" s="22" t="str">
        <f>'VIX HISTORIQUE'!H561</f>
        <v/>
      </c>
      <c r="F558" s="22" t="str">
        <f>'VIX HISTORIQUE'!J561</f>
        <v/>
      </c>
    </row>
    <row r="559" ht="15.75" customHeight="1">
      <c r="A559" s="25" t="str">
        <f>'VIX HISTORIQUE'!A562</f>
        <v/>
      </c>
      <c r="B559" s="22" t="str">
        <f>'VIX HISTORIQUE'!B562</f>
        <v/>
      </c>
      <c r="C559" s="22" t="str">
        <f>'VIX HISTORIQUE'!D562</f>
        <v/>
      </c>
      <c r="D559" s="22" t="str">
        <f>'VIX HISTORIQUE'!F562</f>
        <v/>
      </c>
      <c r="E559" s="22" t="str">
        <f>'VIX HISTORIQUE'!H562</f>
        <v/>
      </c>
      <c r="F559" s="22" t="str">
        <f>'VIX HISTORIQUE'!J562</f>
        <v/>
      </c>
    </row>
    <row r="560" ht="15.75" customHeight="1">
      <c r="A560" s="25" t="str">
        <f>'VIX HISTORIQUE'!A563</f>
        <v/>
      </c>
      <c r="B560" s="22" t="str">
        <f>'VIX HISTORIQUE'!B563</f>
        <v/>
      </c>
      <c r="C560" s="22" t="str">
        <f>'VIX HISTORIQUE'!D563</f>
        <v/>
      </c>
      <c r="D560" s="22" t="str">
        <f>'VIX HISTORIQUE'!F563</f>
        <v/>
      </c>
      <c r="E560" s="22" t="str">
        <f>'VIX HISTORIQUE'!H563</f>
        <v/>
      </c>
      <c r="F560" s="22" t="str">
        <f>'VIX HISTORIQUE'!J563</f>
        <v/>
      </c>
    </row>
    <row r="561" ht="15.75" customHeight="1">
      <c r="A561" s="25" t="str">
        <f>'VIX HISTORIQUE'!A564</f>
        <v/>
      </c>
      <c r="B561" s="22" t="str">
        <f>'VIX HISTORIQUE'!B564</f>
        <v/>
      </c>
      <c r="C561" s="22" t="str">
        <f>'VIX HISTORIQUE'!D564</f>
        <v/>
      </c>
      <c r="D561" s="22" t="str">
        <f>'VIX HISTORIQUE'!F564</f>
        <v/>
      </c>
      <c r="E561" s="22" t="str">
        <f>'VIX HISTORIQUE'!H564</f>
        <v/>
      </c>
      <c r="F561" s="22" t="str">
        <f>'VIX HISTORIQUE'!J564</f>
        <v/>
      </c>
    </row>
    <row r="562" ht="15.75" customHeight="1">
      <c r="A562" s="25" t="str">
        <f>'VIX HISTORIQUE'!A565</f>
        <v/>
      </c>
      <c r="B562" s="22" t="str">
        <f>'VIX HISTORIQUE'!B565</f>
        <v/>
      </c>
      <c r="C562" s="22" t="str">
        <f>'VIX HISTORIQUE'!D565</f>
        <v/>
      </c>
      <c r="D562" s="22" t="str">
        <f>'VIX HISTORIQUE'!F565</f>
        <v/>
      </c>
      <c r="E562" s="22" t="str">
        <f>'VIX HISTORIQUE'!H565</f>
        <v/>
      </c>
      <c r="F562" s="22" t="str">
        <f>'VIX HISTORIQUE'!J565</f>
        <v/>
      </c>
    </row>
    <row r="563" ht="15.75" customHeight="1">
      <c r="A563" s="25" t="str">
        <f>'VIX HISTORIQUE'!A566</f>
        <v/>
      </c>
      <c r="B563" s="22" t="str">
        <f>'VIX HISTORIQUE'!B566</f>
        <v/>
      </c>
      <c r="C563" s="22" t="str">
        <f>'VIX HISTORIQUE'!D566</f>
        <v/>
      </c>
      <c r="D563" s="22" t="str">
        <f>'VIX HISTORIQUE'!F566</f>
        <v/>
      </c>
      <c r="E563" s="22" t="str">
        <f>'VIX HISTORIQUE'!H566</f>
        <v/>
      </c>
      <c r="F563" s="22" t="str">
        <f>'VIX HISTORIQUE'!J566</f>
        <v/>
      </c>
    </row>
    <row r="564" ht="15.75" customHeight="1">
      <c r="A564" s="25" t="str">
        <f>'VIX HISTORIQUE'!A567</f>
        <v/>
      </c>
      <c r="B564" s="22" t="str">
        <f>'VIX HISTORIQUE'!B567</f>
        <v/>
      </c>
      <c r="C564" s="22" t="str">
        <f>'VIX HISTORIQUE'!D567</f>
        <v/>
      </c>
      <c r="D564" s="22" t="str">
        <f>'VIX HISTORIQUE'!F567</f>
        <v/>
      </c>
      <c r="E564" s="22" t="str">
        <f>'VIX HISTORIQUE'!H567</f>
        <v/>
      </c>
      <c r="F564" s="22" t="str">
        <f>'VIX HISTORIQUE'!J567</f>
        <v/>
      </c>
    </row>
    <row r="565" ht="15.75" customHeight="1">
      <c r="A565" s="25" t="str">
        <f>'VIX HISTORIQUE'!A568</f>
        <v/>
      </c>
      <c r="B565" s="22" t="str">
        <f>'VIX HISTORIQUE'!B568</f>
        <v/>
      </c>
      <c r="C565" s="22" t="str">
        <f>'VIX HISTORIQUE'!D568</f>
        <v/>
      </c>
      <c r="D565" s="22" t="str">
        <f>'VIX HISTORIQUE'!F568</f>
        <v/>
      </c>
      <c r="E565" s="22" t="str">
        <f>'VIX HISTORIQUE'!H568</f>
        <v/>
      </c>
      <c r="F565" s="22" t="str">
        <f>'VIX HISTORIQUE'!J568</f>
        <v/>
      </c>
    </row>
    <row r="566" ht="15.75" customHeight="1">
      <c r="A566" s="25" t="str">
        <f>'VIX HISTORIQUE'!A569</f>
        <v/>
      </c>
      <c r="B566" s="22" t="str">
        <f>'VIX HISTORIQUE'!B569</f>
        <v/>
      </c>
      <c r="C566" s="22" t="str">
        <f>'VIX HISTORIQUE'!D569</f>
        <v/>
      </c>
      <c r="D566" s="22" t="str">
        <f>'VIX HISTORIQUE'!F569</f>
        <v/>
      </c>
      <c r="E566" s="22" t="str">
        <f>'VIX HISTORIQUE'!H569</f>
        <v/>
      </c>
      <c r="F566" s="22" t="str">
        <f>'VIX HISTORIQUE'!J569</f>
        <v/>
      </c>
    </row>
    <row r="567" ht="15.75" customHeight="1">
      <c r="A567" s="25" t="str">
        <f>'VIX HISTORIQUE'!A570</f>
        <v/>
      </c>
      <c r="B567" s="22" t="str">
        <f>'VIX HISTORIQUE'!B570</f>
        <v/>
      </c>
      <c r="C567" s="22" t="str">
        <f>'VIX HISTORIQUE'!D570</f>
        <v/>
      </c>
      <c r="D567" s="22" t="str">
        <f>'VIX HISTORIQUE'!F570</f>
        <v/>
      </c>
      <c r="E567" s="22" t="str">
        <f>'VIX HISTORIQUE'!H570</f>
        <v/>
      </c>
      <c r="F567" s="22" t="str">
        <f>'VIX HISTORIQUE'!J570</f>
        <v/>
      </c>
    </row>
    <row r="568" ht="15.75" customHeight="1">
      <c r="A568" s="25" t="str">
        <f>'VIX HISTORIQUE'!A571</f>
        <v/>
      </c>
      <c r="B568" s="22" t="str">
        <f>'VIX HISTORIQUE'!B571</f>
        <v/>
      </c>
      <c r="C568" s="22" t="str">
        <f>'VIX HISTORIQUE'!D571</f>
        <v/>
      </c>
      <c r="D568" s="22" t="str">
        <f>'VIX HISTORIQUE'!F571</f>
        <v/>
      </c>
      <c r="E568" s="22" t="str">
        <f>'VIX HISTORIQUE'!H571</f>
        <v/>
      </c>
      <c r="F568" s="22" t="str">
        <f>'VIX HISTORIQUE'!J571</f>
        <v/>
      </c>
    </row>
    <row r="569" ht="15.75" customHeight="1">
      <c r="A569" s="25" t="str">
        <f>'VIX HISTORIQUE'!A572</f>
        <v/>
      </c>
      <c r="B569" s="22" t="str">
        <f>'VIX HISTORIQUE'!B572</f>
        <v/>
      </c>
      <c r="C569" s="22" t="str">
        <f>'VIX HISTORIQUE'!D572</f>
        <v/>
      </c>
      <c r="D569" s="22" t="str">
        <f>'VIX HISTORIQUE'!F572</f>
        <v/>
      </c>
      <c r="E569" s="22" t="str">
        <f>'VIX HISTORIQUE'!H572</f>
        <v/>
      </c>
      <c r="F569" s="22" t="str">
        <f>'VIX HISTORIQUE'!J572</f>
        <v/>
      </c>
    </row>
    <row r="570" ht="15.75" customHeight="1">
      <c r="A570" s="25" t="str">
        <f>'VIX HISTORIQUE'!A573</f>
        <v/>
      </c>
      <c r="B570" s="22" t="str">
        <f>'VIX HISTORIQUE'!B573</f>
        <v/>
      </c>
      <c r="C570" s="22" t="str">
        <f>'VIX HISTORIQUE'!D573</f>
        <v/>
      </c>
      <c r="D570" s="22" t="str">
        <f>'VIX HISTORIQUE'!F573</f>
        <v/>
      </c>
      <c r="E570" s="22" t="str">
        <f>'VIX HISTORIQUE'!H573</f>
        <v/>
      </c>
      <c r="F570" s="22" t="str">
        <f>'VIX HISTORIQUE'!J573</f>
        <v/>
      </c>
    </row>
    <row r="571" ht="15.75" customHeight="1">
      <c r="A571" s="25" t="str">
        <f>'VIX HISTORIQUE'!A574</f>
        <v/>
      </c>
      <c r="B571" s="22" t="str">
        <f>'VIX HISTORIQUE'!B574</f>
        <v/>
      </c>
      <c r="C571" s="22" t="str">
        <f>'VIX HISTORIQUE'!D574</f>
        <v/>
      </c>
      <c r="D571" s="22" t="str">
        <f>'VIX HISTORIQUE'!F574</f>
        <v/>
      </c>
      <c r="E571" s="22" t="str">
        <f>'VIX HISTORIQUE'!H574</f>
        <v/>
      </c>
      <c r="F571" s="22" t="str">
        <f>'VIX HISTORIQUE'!J574</f>
        <v/>
      </c>
    </row>
    <row r="572" ht="15.75" customHeight="1">
      <c r="A572" s="25" t="str">
        <f>'VIX HISTORIQUE'!A575</f>
        <v/>
      </c>
      <c r="B572" s="22" t="str">
        <f>'VIX HISTORIQUE'!B575</f>
        <v/>
      </c>
      <c r="C572" s="22" t="str">
        <f>'VIX HISTORIQUE'!D575</f>
        <v/>
      </c>
      <c r="D572" s="22" t="str">
        <f>'VIX HISTORIQUE'!F575</f>
        <v/>
      </c>
      <c r="E572" s="22" t="str">
        <f>'VIX HISTORIQUE'!H575</f>
        <v/>
      </c>
      <c r="F572" s="22" t="str">
        <f>'VIX HISTORIQUE'!J575</f>
        <v/>
      </c>
    </row>
    <row r="573" ht="15.75" customHeight="1">
      <c r="A573" s="25" t="str">
        <f>'VIX HISTORIQUE'!A576</f>
        <v/>
      </c>
      <c r="B573" s="22" t="str">
        <f>'VIX HISTORIQUE'!B576</f>
        <v/>
      </c>
      <c r="C573" s="22" t="str">
        <f>'VIX HISTORIQUE'!D576</f>
        <v/>
      </c>
      <c r="D573" s="22" t="str">
        <f>'VIX HISTORIQUE'!F576</f>
        <v/>
      </c>
      <c r="E573" s="22" t="str">
        <f>'VIX HISTORIQUE'!H576</f>
        <v/>
      </c>
      <c r="F573" s="22" t="str">
        <f>'VIX HISTORIQUE'!J576</f>
        <v/>
      </c>
    </row>
    <row r="574" ht="15.75" customHeight="1">
      <c r="A574" s="25" t="str">
        <f>'VIX HISTORIQUE'!A577</f>
        <v/>
      </c>
      <c r="B574" s="22" t="str">
        <f>'VIX HISTORIQUE'!B577</f>
        <v/>
      </c>
      <c r="C574" s="22" t="str">
        <f>'VIX HISTORIQUE'!D577</f>
        <v/>
      </c>
      <c r="D574" s="22" t="str">
        <f>'VIX HISTORIQUE'!F577</f>
        <v/>
      </c>
      <c r="E574" s="22" t="str">
        <f>'VIX HISTORIQUE'!H577</f>
        <v/>
      </c>
      <c r="F574" s="22" t="str">
        <f>'VIX HISTORIQUE'!J577</f>
        <v/>
      </c>
    </row>
    <row r="575" ht="15.75" customHeight="1">
      <c r="A575" s="25" t="str">
        <f>'VIX HISTORIQUE'!A578</f>
        <v/>
      </c>
      <c r="B575" s="22" t="str">
        <f>'VIX HISTORIQUE'!B578</f>
        <v/>
      </c>
      <c r="C575" s="22" t="str">
        <f>'VIX HISTORIQUE'!D578</f>
        <v/>
      </c>
      <c r="D575" s="22" t="str">
        <f>'VIX HISTORIQUE'!F578</f>
        <v/>
      </c>
      <c r="E575" s="22" t="str">
        <f>'VIX HISTORIQUE'!H578</f>
        <v/>
      </c>
      <c r="F575" s="22" t="str">
        <f>'VIX HISTORIQUE'!J578</f>
        <v/>
      </c>
    </row>
    <row r="576" ht="15.75" customHeight="1">
      <c r="A576" s="25" t="str">
        <f>'VIX HISTORIQUE'!A579</f>
        <v/>
      </c>
      <c r="B576" s="22" t="str">
        <f>'VIX HISTORIQUE'!B579</f>
        <v/>
      </c>
      <c r="C576" s="22" t="str">
        <f>'VIX HISTORIQUE'!D579</f>
        <v/>
      </c>
      <c r="D576" s="22" t="str">
        <f>'VIX HISTORIQUE'!F579</f>
        <v/>
      </c>
      <c r="E576" s="22" t="str">
        <f>'VIX HISTORIQUE'!H579</f>
        <v/>
      </c>
      <c r="F576" s="22" t="str">
        <f>'VIX HISTORIQUE'!J579</f>
        <v/>
      </c>
    </row>
    <row r="577" ht="15.75" customHeight="1">
      <c r="A577" s="25" t="str">
        <f>'VIX HISTORIQUE'!A580</f>
        <v/>
      </c>
      <c r="B577" s="22" t="str">
        <f>'VIX HISTORIQUE'!B580</f>
        <v/>
      </c>
      <c r="C577" s="22" t="str">
        <f>'VIX HISTORIQUE'!D580</f>
        <v/>
      </c>
      <c r="D577" s="22" t="str">
        <f>'VIX HISTORIQUE'!F580</f>
        <v/>
      </c>
      <c r="E577" s="22" t="str">
        <f>'VIX HISTORIQUE'!H580</f>
        <v/>
      </c>
      <c r="F577" s="22" t="str">
        <f>'VIX HISTORIQUE'!J580</f>
        <v/>
      </c>
    </row>
    <row r="578" ht="15.75" customHeight="1">
      <c r="A578" s="25" t="str">
        <f>'VIX HISTORIQUE'!A581</f>
        <v/>
      </c>
      <c r="B578" s="22" t="str">
        <f>'VIX HISTORIQUE'!B581</f>
        <v/>
      </c>
      <c r="C578" s="22" t="str">
        <f>'VIX HISTORIQUE'!D581</f>
        <v/>
      </c>
      <c r="D578" s="22" t="str">
        <f>'VIX HISTORIQUE'!F581</f>
        <v/>
      </c>
      <c r="E578" s="22" t="str">
        <f>'VIX HISTORIQUE'!H581</f>
        <v/>
      </c>
      <c r="F578" s="22" t="str">
        <f>'VIX HISTORIQUE'!J581</f>
        <v/>
      </c>
    </row>
    <row r="579" ht="15.75" customHeight="1">
      <c r="A579" s="25" t="str">
        <f>'VIX HISTORIQUE'!A582</f>
        <v/>
      </c>
      <c r="B579" s="22" t="str">
        <f>'VIX HISTORIQUE'!B582</f>
        <v/>
      </c>
      <c r="C579" s="22" t="str">
        <f>'VIX HISTORIQUE'!D582</f>
        <v/>
      </c>
      <c r="D579" s="22" t="str">
        <f>'VIX HISTORIQUE'!F582</f>
        <v/>
      </c>
      <c r="E579" s="22" t="str">
        <f>'VIX HISTORIQUE'!H582</f>
        <v/>
      </c>
      <c r="F579" s="22" t="str">
        <f>'VIX HISTORIQUE'!J582</f>
        <v/>
      </c>
    </row>
    <row r="580" ht="15.75" customHeight="1">
      <c r="A580" s="25" t="str">
        <f>'VIX HISTORIQUE'!A583</f>
        <v/>
      </c>
      <c r="B580" s="22" t="str">
        <f>'VIX HISTORIQUE'!B583</f>
        <v/>
      </c>
      <c r="C580" s="22" t="str">
        <f>'VIX HISTORIQUE'!D583</f>
        <v/>
      </c>
      <c r="D580" s="22" t="str">
        <f>'VIX HISTORIQUE'!F583</f>
        <v/>
      </c>
      <c r="E580" s="22" t="str">
        <f>'VIX HISTORIQUE'!H583</f>
        <v/>
      </c>
      <c r="F580" s="22" t="str">
        <f>'VIX HISTORIQUE'!J583</f>
        <v/>
      </c>
    </row>
    <row r="581" ht="15.75" customHeight="1">
      <c r="A581" s="25" t="str">
        <f>'VIX HISTORIQUE'!A584</f>
        <v/>
      </c>
      <c r="B581" s="22" t="str">
        <f>'VIX HISTORIQUE'!B584</f>
        <v/>
      </c>
      <c r="C581" s="22" t="str">
        <f>'VIX HISTORIQUE'!D584</f>
        <v/>
      </c>
      <c r="D581" s="22" t="str">
        <f>'VIX HISTORIQUE'!F584</f>
        <v/>
      </c>
      <c r="E581" s="22" t="str">
        <f>'VIX HISTORIQUE'!H584</f>
        <v/>
      </c>
      <c r="F581" s="22" t="str">
        <f>'VIX HISTORIQUE'!J584</f>
        <v/>
      </c>
    </row>
    <row r="582" ht="15.75" customHeight="1">
      <c r="A582" s="25" t="str">
        <f>'VIX HISTORIQUE'!A585</f>
        <v/>
      </c>
      <c r="B582" s="22" t="str">
        <f>'VIX HISTORIQUE'!B585</f>
        <v/>
      </c>
      <c r="C582" s="22" t="str">
        <f>'VIX HISTORIQUE'!D585</f>
        <v/>
      </c>
      <c r="D582" s="22" t="str">
        <f>'VIX HISTORIQUE'!F585</f>
        <v/>
      </c>
      <c r="E582" s="22" t="str">
        <f>'VIX HISTORIQUE'!H585</f>
        <v/>
      </c>
      <c r="F582" s="22" t="str">
        <f>'VIX HISTORIQUE'!J585</f>
        <v/>
      </c>
    </row>
    <row r="583" ht="15.75" customHeight="1">
      <c r="A583" s="25" t="str">
        <f>'VIX HISTORIQUE'!A586</f>
        <v/>
      </c>
      <c r="B583" s="22" t="str">
        <f>'VIX HISTORIQUE'!B586</f>
        <v/>
      </c>
      <c r="C583" s="22" t="str">
        <f>'VIX HISTORIQUE'!D586</f>
        <v/>
      </c>
      <c r="D583" s="22" t="str">
        <f>'VIX HISTORIQUE'!F586</f>
        <v/>
      </c>
      <c r="E583" s="22" t="str">
        <f>'VIX HISTORIQUE'!H586</f>
        <v/>
      </c>
      <c r="F583" s="22" t="str">
        <f>'VIX HISTORIQUE'!J586</f>
        <v/>
      </c>
    </row>
    <row r="584" ht="15.75" customHeight="1">
      <c r="A584" s="25" t="str">
        <f>'VIX HISTORIQUE'!A587</f>
        <v/>
      </c>
      <c r="B584" s="22" t="str">
        <f>'VIX HISTORIQUE'!B587</f>
        <v/>
      </c>
      <c r="C584" s="22" t="str">
        <f>'VIX HISTORIQUE'!D587</f>
        <v/>
      </c>
      <c r="D584" s="22" t="str">
        <f>'VIX HISTORIQUE'!F587</f>
        <v/>
      </c>
      <c r="E584" s="22" t="str">
        <f>'VIX HISTORIQUE'!H587</f>
        <v/>
      </c>
      <c r="F584" s="22" t="str">
        <f>'VIX HISTORIQUE'!J587</f>
        <v/>
      </c>
    </row>
    <row r="585" ht="15.75" customHeight="1">
      <c r="A585" s="25" t="str">
        <f>'VIX HISTORIQUE'!A588</f>
        <v/>
      </c>
      <c r="B585" s="22" t="str">
        <f>'VIX HISTORIQUE'!B588</f>
        <v/>
      </c>
      <c r="C585" s="22" t="str">
        <f>'VIX HISTORIQUE'!D588</f>
        <v/>
      </c>
      <c r="D585" s="22" t="str">
        <f>'VIX HISTORIQUE'!F588</f>
        <v/>
      </c>
      <c r="E585" s="22" t="str">
        <f>'VIX HISTORIQUE'!H588</f>
        <v/>
      </c>
      <c r="F585" s="22" t="str">
        <f>'VIX HISTORIQUE'!J588</f>
        <v/>
      </c>
    </row>
    <row r="586" ht="15.75" customHeight="1">
      <c r="A586" s="25" t="str">
        <f>'VIX HISTORIQUE'!A589</f>
        <v/>
      </c>
      <c r="B586" s="22" t="str">
        <f>'VIX HISTORIQUE'!B589</f>
        <v/>
      </c>
      <c r="C586" s="22" t="str">
        <f>'VIX HISTORIQUE'!D589</f>
        <v/>
      </c>
      <c r="D586" s="22" t="str">
        <f>'VIX HISTORIQUE'!F589</f>
        <v/>
      </c>
      <c r="E586" s="22" t="str">
        <f>'VIX HISTORIQUE'!H589</f>
        <v/>
      </c>
      <c r="F586" s="22" t="str">
        <f>'VIX HISTORIQUE'!J589</f>
        <v/>
      </c>
    </row>
    <row r="587" ht="15.75" customHeight="1">
      <c r="A587" s="25" t="str">
        <f>'VIX HISTORIQUE'!A590</f>
        <v/>
      </c>
      <c r="B587" s="22" t="str">
        <f>'VIX HISTORIQUE'!B590</f>
        <v/>
      </c>
      <c r="C587" s="22" t="str">
        <f>'VIX HISTORIQUE'!D590</f>
        <v/>
      </c>
      <c r="D587" s="22" t="str">
        <f>'VIX HISTORIQUE'!F590</f>
        <v/>
      </c>
      <c r="E587" s="22" t="str">
        <f>'VIX HISTORIQUE'!H590</f>
        <v/>
      </c>
      <c r="F587" s="22" t="str">
        <f>'VIX HISTORIQUE'!J590</f>
        <v/>
      </c>
    </row>
    <row r="588" ht="15.75" customHeight="1">
      <c r="A588" s="25" t="str">
        <f>'VIX HISTORIQUE'!A591</f>
        <v/>
      </c>
      <c r="B588" s="22" t="str">
        <f>'VIX HISTORIQUE'!B591</f>
        <v/>
      </c>
      <c r="C588" s="22" t="str">
        <f>'VIX HISTORIQUE'!D591</f>
        <v/>
      </c>
      <c r="D588" s="22" t="str">
        <f>'VIX HISTORIQUE'!F591</f>
        <v/>
      </c>
      <c r="E588" s="22" t="str">
        <f>'VIX HISTORIQUE'!H591</f>
        <v/>
      </c>
      <c r="F588" s="22" t="str">
        <f>'VIX HISTORIQUE'!J591</f>
        <v/>
      </c>
    </row>
    <row r="589" ht="15.75" customHeight="1">
      <c r="A589" s="25" t="str">
        <f>'VIX HISTORIQUE'!A592</f>
        <v/>
      </c>
      <c r="B589" s="22" t="str">
        <f>'VIX HISTORIQUE'!B592</f>
        <v/>
      </c>
      <c r="C589" s="22" t="str">
        <f>'VIX HISTORIQUE'!D592</f>
        <v/>
      </c>
      <c r="D589" s="22" t="str">
        <f>'VIX HISTORIQUE'!F592</f>
        <v/>
      </c>
      <c r="E589" s="22" t="str">
        <f>'VIX HISTORIQUE'!H592</f>
        <v/>
      </c>
      <c r="F589" s="22" t="str">
        <f>'VIX HISTORIQUE'!J592</f>
        <v/>
      </c>
    </row>
    <row r="590" ht="15.75" customHeight="1">
      <c r="A590" s="25" t="str">
        <f>'VIX HISTORIQUE'!A593</f>
        <v/>
      </c>
      <c r="B590" s="22" t="str">
        <f>'VIX HISTORIQUE'!B593</f>
        <v/>
      </c>
      <c r="C590" s="22" t="str">
        <f>'VIX HISTORIQUE'!D593</f>
        <v/>
      </c>
      <c r="D590" s="22" t="str">
        <f>'VIX HISTORIQUE'!F593</f>
        <v/>
      </c>
      <c r="E590" s="22" t="str">
        <f>'VIX HISTORIQUE'!H593</f>
        <v/>
      </c>
      <c r="F590" s="22" t="str">
        <f>'VIX HISTORIQUE'!J593</f>
        <v/>
      </c>
    </row>
    <row r="591" ht="15.75" customHeight="1">
      <c r="A591" s="25" t="str">
        <f>'VIX HISTORIQUE'!A594</f>
        <v/>
      </c>
      <c r="B591" s="22" t="str">
        <f>'VIX HISTORIQUE'!B594</f>
        <v/>
      </c>
      <c r="C591" s="22" t="str">
        <f>'VIX HISTORIQUE'!D594</f>
        <v/>
      </c>
      <c r="D591" s="22" t="str">
        <f>'VIX HISTORIQUE'!F594</f>
        <v/>
      </c>
      <c r="E591" s="22" t="str">
        <f>'VIX HISTORIQUE'!H594</f>
        <v/>
      </c>
      <c r="F591" s="22" t="str">
        <f>'VIX HISTORIQUE'!J594</f>
        <v/>
      </c>
    </row>
    <row r="592" ht="15.75" customHeight="1">
      <c r="A592" s="25" t="str">
        <f>'VIX HISTORIQUE'!A595</f>
        <v/>
      </c>
      <c r="B592" s="22" t="str">
        <f>'VIX HISTORIQUE'!B595</f>
        <v/>
      </c>
      <c r="C592" s="22" t="str">
        <f>'VIX HISTORIQUE'!D595</f>
        <v/>
      </c>
      <c r="D592" s="22" t="str">
        <f>'VIX HISTORIQUE'!F595</f>
        <v/>
      </c>
      <c r="E592" s="22" t="str">
        <f>'VIX HISTORIQUE'!H595</f>
        <v/>
      </c>
      <c r="F592" s="22" t="str">
        <f>'VIX HISTORIQUE'!J595</f>
        <v/>
      </c>
    </row>
    <row r="593" ht="15.75" customHeight="1">
      <c r="A593" s="25" t="str">
        <f>'VIX HISTORIQUE'!A596</f>
        <v/>
      </c>
      <c r="B593" s="22" t="str">
        <f>'VIX HISTORIQUE'!B596</f>
        <v/>
      </c>
      <c r="C593" s="22" t="str">
        <f>'VIX HISTORIQUE'!D596</f>
        <v/>
      </c>
      <c r="D593" s="22" t="str">
        <f>'VIX HISTORIQUE'!F596</f>
        <v/>
      </c>
      <c r="E593" s="22" t="str">
        <f>'VIX HISTORIQUE'!H596</f>
        <v/>
      </c>
      <c r="F593" s="22" t="str">
        <f>'VIX HISTORIQUE'!J596</f>
        <v/>
      </c>
    </row>
    <row r="594" ht="15.75" customHeight="1">
      <c r="A594" s="25" t="str">
        <f>'VIX HISTORIQUE'!A597</f>
        <v/>
      </c>
      <c r="B594" s="22" t="str">
        <f>'VIX HISTORIQUE'!B597</f>
        <v/>
      </c>
      <c r="C594" s="22" t="str">
        <f>'VIX HISTORIQUE'!D597</f>
        <v/>
      </c>
      <c r="D594" s="22" t="str">
        <f>'VIX HISTORIQUE'!F597</f>
        <v/>
      </c>
      <c r="E594" s="22" t="str">
        <f>'VIX HISTORIQUE'!H597</f>
        <v/>
      </c>
      <c r="F594" s="22" t="str">
        <f>'VIX HISTORIQUE'!J597</f>
        <v/>
      </c>
    </row>
    <row r="595" ht="15.75" customHeight="1">
      <c r="A595" s="25" t="str">
        <f>'VIX HISTORIQUE'!A598</f>
        <v/>
      </c>
      <c r="B595" s="22" t="str">
        <f>'VIX HISTORIQUE'!B598</f>
        <v/>
      </c>
      <c r="C595" s="22" t="str">
        <f>'VIX HISTORIQUE'!D598</f>
        <v/>
      </c>
      <c r="D595" s="22" t="str">
        <f>'VIX HISTORIQUE'!F598</f>
        <v/>
      </c>
      <c r="E595" s="22" t="str">
        <f>'VIX HISTORIQUE'!H598</f>
        <v/>
      </c>
      <c r="F595" s="22" t="str">
        <f>'VIX HISTORIQUE'!J598</f>
        <v/>
      </c>
    </row>
    <row r="596" ht="15.75" customHeight="1">
      <c r="A596" s="25" t="str">
        <f>'VIX HISTORIQUE'!A599</f>
        <v/>
      </c>
      <c r="B596" s="22" t="str">
        <f>'VIX HISTORIQUE'!B599</f>
        <v/>
      </c>
      <c r="C596" s="22" t="str">
        <f>'VIX HISTORIQUE'!D599</f>
        <v/>
      </c>
      <c r="D596" s="22" t="str">
        <f>'VIX HISTORIQUE'!F599</f>
        <v/>
      </c>
      <c r="E596" s="22" t="str">
        <f>'VIX HISTORIQUE'!H599</f>
        <v/>
      </c>
      <c r="F596" s="22" t="str">
        <f>'VIX HISTORIQUE'!J599</f>
        <v/>
      </c>
    </row>
    <row r="597" ht="15.75" customHeight="1">
      <c r="A597" s="25" t="str">
        <f>'VIX HISTORIQUE'!A600</f>
        <v/>
      </c>
      <c r="B597" s="22" t="str">
        <f>'VIX HISTORIQUE'!B600</f>
        <v/>
      </c>
      <c r="C597" s="22" t="str">
        <f>'VIX HISTORIQUE'!D600</f>
        <v/>
      </c>
      <c r="D597" s="22" t="str">
        <f>'VIX HISTORIQUE'!F600</f>
        <v/>
      </c>
      <c r="E597" s="22" t="str">
        <f>'VIX HISTORIQUE'!H600</f>
        <v/>
      </c>
      <c r="F597" s="22" t="str">
        <f>'VIX HISTORIQUE'!J600</f>
        <v/>
      </c>
    </row>
    <row r="598" ht="15.75" customHeight="1">
      <c r="A598" s="25" t="str">
        <f>'VIX HISTORIQUE'!A601</f>
        <v/>
      </c>
      <c r="B598" s="22" t="str">
        <f>'VIX HISTORIQUE'!B601</f>
        <v/>
      </c>
      <c r="C598" s="22" t="str">
        <f>'VIX HISTORIQUE'!D601</f>
        <v/>
      </c>
      <c r="D598" s="22" t="str">
        <f>'VIX HISTORIQUE'!F601</f>
        <v/>
      </c>
      <c r="E598" s="22" t="str">
        <f>'VIX HISTORIQUE'!H601</f>
        <v/>
      </c>
      <c r="F598" s="22" t="str">
        <f>'VIX HISTORIQUE'!J601</f>
        <v/>
      </c>
    </row>
    <row r="599" ht="15.75" customHeight="1">
      <c r="A599" s="25" t="str">
        <f>'VIX HISTORIQUE'!A602</f>
        <v/>
      </c>
      <c r="B599" s="22" t="str">
        <f>'VIX HISTORIQUE'!B602</f>
        <v/>
      </c>
      <c r="C599" s="22" t="str">
        <f>'VIX HISTORIQUE'!D602</f>
        <v/>
      </c>
      <c r="D599" s="22" t="str">
        <f>'VIX HISTORIQUE'!F602</f>
        <v/>
      </c>
      <c r="E599" s="22" t="str">
        <f>'VIX HISTORIQUE'!H602</f>
        <v/>
      </c>
      <c r="F599" s="22" t="str">
        <f>'VIX HISTORIQUE'!J602</f>
        <v/>
      </c>
    </row>
    <row r="600" ht="15.75" customHeight="1">
      <c r="A600" s="25" t="str">
        <f>'VIX HISTORIQUE'!A603</f>
        <v/>
      </c>
      <c r="B600" s="22" t="str">
        <f>'VIX HISTORIQUE'!B603</f>
        <v/>
      </c>
      <c r="C600" s="22" t="str">
        <f>'VIX HISTORIQUE'!D603</f>
        <v/>
      </c>
      <c r="D600" s="22" t="str">
        <f>'VIX HISTORIQUE'!F603</f>
        <v/>
      </c>
      <c r="E600" s="22" t="str">
        <f>'VIX HISTORIQUE'!H603</f>
        <v/>
      </c>
      <c r="F600" s="22" t="str">
        <f>'VIX HISTORIQUE'!J603</f>
        <v/>
      </c>
    </row>
    <row r="601" ht="15.75" customHeight="1">
      <c r="A601" s="25" t="str">
        <f>'VIX HISTORIQUE'!A604</f>
        <v/>
      </c>
      <c r="B601" s="22" t="str">
        <f>'VIX HISTORIQUE'!B604</f>
        <v/>
      </c>
      <c r="C601" s="22" t="str">
        <f>'VIX HISTORIQUE'!D604</f>
        <v/>
      </c>
      <c r="D601" s="22" t="str">
        <f>'VIX HISTORIQUE'!F604</f>
        <v/>
      </c>
      <c r="E601" s="22" t="str">
        <f>'VIX HISTORIQUE'!H604</f>
        <v/>
      </c>
      <c r="F601" s="22" t="str">
        <f>'VIX HISTORIQUE'!J604</f>
        <v/>
      </c>
    </row>
    <row r="602" ht="15.75" customHeight="1">
      <c r="A602" s="25" t="str">
        <f>'VIX HISTORIQUE'!A605</f>
        <v/>
      </c>
      <c r="B602" s="22" t="str">
        <f>'VIX HISTORIQUE'!B605</f>
        <v/>
      </c>
      <c r="C602" s="22" t="str">
        <f>'VIX HISTORIQUE'!D605</f>
        <v/>
      </c>
      <c r="D602" s="22" t="str">
        <f>'VIX HISTORIQUE'!F605</f>
        <v/>
      </c>
      <c r="E602" s="22" t="str">
        <f>'VIX HISTORIQUE'!H605</f>
        <v/>
      </c>
      <c r="F602" s="22" t="str">
        <f>'VIX HISTORIQUE'!J605</f>
        <v/>
      </c>
    </row>
    <row r="603" ht="15.75" customHeight="1">
      <c r="A603" s="25" t="str">
        <f>'VIX HISTORIQUE'!A606</f>
        <v/>
      </c>
      <c r="B603" s="22" t="str">
        <f>'VIX HISTORIQUE'!B606</f>
        <v/>
      </c>
      <c r="C603" s="22" t="str">
        <f>'VIX HISTORIQUE'!D606</f>
        <v/>
      </c>
      <c r="D603" s="22" t="str">
        <f>'VIX HISTORIQUE'!F606</f>
        <v/>
      </c>
      <c r="E603" s="22" t="str">
        <f>'VIX HISTORIQUE'!H606</f>
        <v/>
      </c>
      <c r="F603" s="22" t="str">
        <f>'VIX HISTORIQUE'!J606</f>
        <v/>
      </c>
    </row>
    <row r="604" ht="15.75" customHeight="1">
      <c r="A604" s="25" t="str">
        <f>'VIX HISTORIQUE'!A607</f>
        <v/>
      </c>
      <c r="B604" s="22" t="str">
        <f>'VIX HISTORIQUE'!B607</f>
        <v/>
      </c>
      <c r="C604" s="22" t="str">
        <f>'VIX HISTORIQUE'!D607</f>
        <v/>
      </c>
      <c r="D604" s="22" t="str">
        <f>'VIX HISTORIQUE'!F607</f>
        <v/>
      </c>
      <c r="E604" s="22" t="str">
        <f>'VIX HISTORIQUE'!H607</f>
        <v/>
      </c>
      <c r="F604" s="22" t="str">
        <f>'VIX HISTORIQUE'!J607</f>
        <v/>
      </c>
    </row>
    <row r="605" ht="15.75" customHeight="1">
      <c r="A605" s="25" t="str">
        <f>'VIX HISTORIQUE'!A608</f>
        <v/>
      </c>
      <c r="B605" s="22" t="str">
        <f>'VIX HISTORIQUE'!B608</f>
        <v/>
      </c>
      <c r="C605" s="22" t="str">
        <f>'VIX HISTORIQUE'!D608</f>
        <v/>
      </c>
      <c r="D605" s="22" t="str">
        <f>'VIX HISTORIQUE'!F608</f>
        <v/>
      </c>
      <c r="E605" s="22" t="str">
        <f>'VIX HISTORIQUE'!H608</f>
        <v/>
      </c>
      <c r="F605" s="22" t="str">
        <f>'VIX HISTORIQUE'!J608</f>
        <v/>
      </c>
    </row>
    <row r="606" ht="15.75" customHeight="1">
      <c r="A606" s="25" t="str">
        <f>'VIX HISTORIQUE'!A609</f>
        <v/>
      </c>
      <c r="B606" s="22" t="str">
        <f>'VIX HISTORIQUE'!B609</f>
        <v/>
      </c>
      <c r="C606" s="22" t="str">
        <f>'VIX HISTORIQUE'!D609</f>
        <v/>
      </c>
      <c r="D606" s="22" t="str">
        <f>'VIX HISTORIQUE'!F609</f>
        <v/>
      </c>
      <c r="E606" s="22" t="str">
        <f>'VIX HISTORIQUE'!H609</f>
        <v/>
      </c>
      <c r="F606" s="22" t="str">
        <f>'VIX HISTORIQUE'!J609</f>
        <v/>
      </c>
    </row>
    <row r="607" ht="15.75" customHeight="1">
      <c r="A607" s="25" t="str">
        <f>'VIX HISTORIQUE'!A610</f>
        <v/>
      </c>
      <c r="B607" s="22" t="str">
        <f>'VIX HISTORIQUE'!B610</f>
        <v/>
      </c>
      <c r="C607" s="22" t="str">
        <f>'VIX HISTORIQUE'!D610</f>
        <v/>
      </c>
      <c r="D607" s="22" t="str">
        <f>'VIX HISTORIQUE'!F610</f>
        <v/>
      </c>
      <c r="E607" s="22" t="str">
        <f>'VIX HISTORIQUE'!H610</f>
        <v/>
      </c>
      <c r="F607" s="22" t="str">
        <f>'VIX HISTORIQUE'!J610</f>
        <v/>
      </c>
    </row>
    <row r="608" ht="15.75" customHeight="1">
      <c r="A608" s="25" t="str">
        <f>'VIX HISTORIQUE'!A611</f>
        <v/>
      </c>
      <c r="B608" s="22" t="str">
        <f>'VIX HISTORIQUE'!B611</f>
        <v/>
      </c>
      <c r="C608" s="22" t="str">
        <f>'VIX HISTORIQUE'!D611</f>
        <v/>
      </c>
      <c r="D608" s="22" t="str">
        <f>'VIX HISTORIQUE'!F611</f>
        <v/>
      </c>
      <c r="E608" s="22" t="str">
        <f>'VIX HISTORIQUE'!H611</f>
        <v/>
      </c>
      <c r="F608" s="22" t="str">
        <f>'VIX HISTORIQUE'!J611</f>
        <v/>
      </c>
    </row>
    <row r="609" ht="15.75" customHeight="1">
      <c r="A609" s="25" t="str">
        <f>'VIX HISTORIQUE'!A612</f>
        <v/>
      </c>
      <c r="B609" s="22" t="str">
        <f>'VIX HISTORIQUE'!B612</f>
        <v/>
      </c>
      <c r="C609" s="22" t="str">
        <f>'VIX HISTORIQUE'!D612</f>
        <v/>
      </c>
      <c r="D609" s="22" t="str">
        <f>'VIX HISTORIQUE'!F612</f>
        <v/>
      </c>
      <c r="E609" s="22" t="str">
        <f>'VIX HISTORIQUE'!H612</f>
        <v/>
      </c>
      <c r="F609" s="22" t="str">
        <f>'VIX HISTORIQUE'!J612</f>
        <v/>
      </c>
    </row>
    <row r="610" ht="15.75" customHeight="1">
      <c r="A610" s="25" t="str">
        <f>'VIX HISTORIQUE'!A613</f>
        <v/>
      </c>
      <c r="B610" s="22" t="str">
        <f>'VIX HISTORIQUE'!B613</f>
        <v/>
      </c>
      <c r="C610" s="22" t="str">
        <f>'VIX HISTORIQUE'!D613</f>
        <v/>
      </c>
      <c r="D610" s="22" t="str">
        <f>'VIX HISTORIQUE'!F613</f>
        <v/>
      </c>
      <c r="E610" s="22" t="str">
        <f>'VIX HISTORIQUE'!H613</f>
        <v/>
      </c>
      <c r="F610" s="22" t="str">
        <f>'VIX HISTORIQUE'!J613</f>
        <v/>
      </c>
    </row>
    <row r="611" ht="15.75" customHeight="1">
      <c r="A611" s="25" t="str">
        <f>'VIX HISTORIQUE'!A614</f>
        <v/>
      </c>
      <c r="B611" s="22" t="str">
        <f>'VIX HISTORIQUE'!B614</f>
        <v/>
      </c>
      <c r="C611" s="22" t="str">
        <f>'VIX HISTORIQUE'!D614</f>
        <v/>
      </c>
      <c r="D611" s="22" t="str">
        <f>'VIX HISTORIQUE'!F614</f>
        <v/>
      </c>
      <c r="E611" s="22" t="str">
        <f>'VIX HISTORIQUE'!H614</f>
        <v/>
      </c>
      <c r="F611" s="22" t="str">
        <f>'VIX HISTORIQUE'!J614</f>
        <v/>
      </c>
    </row>
    <row r="612" ht="15.75" customHeight="1">
      <c r="A612" s="25" t="str">
        <f>'VIX HISTORIQUE'!A615</f>
        <v/>
      </c>
      <c r="B612" s="22" t="str">
        <f>'VIX HISTORIQUE'!B615</f>
        <v/>
      </c>
      <c r="C612" s="22" t="str">
        <f>'VIX HISTORIQUE'!D615</f>
        <v/>
      </c>
      <c r="D612" s="22" t="str">
        <f>'VIX HISTORIQUE'!F615</f>
        <v/>
      </c>
      <c r="E612" s="22" t="str">
        <f>'VIX HISTORIQUE'!H615</f>
        <v/>
      </c>
      <c r="F612" s="22" t="str">
        <f>'VIX HISTORIQUE'!J615</f>
        <v/>
      </c>
    </row>
    <row r="613" ht="15.75" customHeight="1">
      <c r="A613" s="25" t="str">
        <f>'VIX HISTORIQUE'!A616</f>
        <v/>
      </c>
      <c r="B613" s="22" t="str">
        <f>'VIX HISTORIQUE'!B616</f>
        <v/>
      </c>
      <c r="C613" s="22" t="str">
        <f>'VIX HISTORIQUE'!D616</f>
        <v/>
      </c>
      <c r="D613" s="22" t="str">
        <f>'VIX HISTORIQUE'!F616</f>
        <v/>
      </c>
      <c r="E613" s="22" t="str">
        <f>'VIX HISTORIQUE'!H616</f>
        <v/>
      </c>
      <c r="F613" s="22" t="str">
        <f>'VIX HISTORIQUE'!J616</f>
        <v/>
      </c>
    </row>
    <row r="614" ht="15.75" customHeight="1">
      <c r="A614" s="25" t="str">
        <f>'VIX HISTORIQUE'!A617</f>
        <v/>
      </c>
      <c r="B614" s="22" t="str">
        <f>'VIX HISTORIQUE'!B617</f>
        <v/>
      </c>
      <c r="C614" s="22" t="str">
        <f>'VIX HISTORIQUE'!D617</f>
        <v/>
      </c>
      <c r="D614" s="22" t="str">
        <f>'VIX HISTORIQUE'!F617</f>
        <v/>
      </c>
      <c r="E614" s="22" t="str">
        <f>'VIX HISTORIQUE'!H617</f>
        <v/>
      </c>
      <c r="F614" s="22" t="str">
        <f>'VIX HISTORIQUE'!J617</f>
        <v/>
      </c>
    </row>
    <row r="615" ht="15.75" customHeight="1">
      <c r="A615" s="25" t="str">
        <f>'VIX HISTORIQUE'!A618</f>
        <v/>
      </c>
      <c r="B615" s="22" t="str">
        <f>'VIX HISTORIQUE'!B618</f>
        <v/>
      </c>
      <c r="C615" s="22" t="str">
        <f>'VIX HISTORIQUE'!D618</f>
        <v/>
      </c>
      <c r="D615" s="22" t="str">
        <f>'VIX HISTORIQUE'!F618</f>
        <v/>
      </c>
      <c r="E615" s="22" t="str">
        <f>'VIX HISTORIQUE'!H618</f>
        <v/>
      </c>
      <c r="F615" s="22" t="str">
        <f>'VIX HISTORIQUE'!J618</f>
        <v/>
      </c>
    </row>
    <row r="616" ht="15.75" customHeight="1">
      <c r="A616" s="25" t="str">
        <f>'VIX HISTORIQUE'!A619</f>
        <v/>
      </c>
      <c r="B616" s="22" t="str">
        <f>'VIX HISTORIQUE'!B619</f>
        <v/>
      </c>
      <c r="C616" s="22" t="str">
        <f>'VIX HISTORIQUE'!D619</f>
        <v/>
      </c>
      <c r="D616" s="22" t="str">
        <f>'VIX HISTORIQUE'!F619</f>
        <v/>
      </c>
      <c r="E616" s="22" t="str">
        <f>'VIX HISTORIQUE'!H619</f>
        <v/>
      </c>
      <c r="F616" s="22" t="str">
        <f>'VIX HISTORIQUE'!J619</f>
        <v/>
      </c>
    </row>
    <row r="617" ht="15.75" customHeight="1">
      <c r="A617" s="25" t="str">
        <f>'VIX HISTORIQUE'!A620</f>
        <v/>
      </c>
      <c r="B617" s="22" t="str">
        <f>'VIX HISTORIQUE'!B620</f>
        <v/>
      </c>
      <c r="C617" s="22" t="str">
        <f>'VIX HISTORIQUE'!D620</f>
        <v/>
      </c>
      <c r="D617" s="22" t="str">
        <f>'VIX HISTORIQUE'!F620</f>
        <v/>
      </c>
      <c r="E617" s="22" t="str">
        <f>'VIX HISTORIQUE'!H620</f>
        <v/>
      </c>
      <c r="F617" s="22" t="str">
        <f>'VIX HISTORIQUE'!J620</f>
        <v/>
      </c>
    </row>
    <row r="618" ht="15.75" customHeight="1">
      <c r="A618" s="25" t="str">
        <f>'VIX HISTORIQUE'!A621</f>
        <v/>
      </c>
      <c r="B618" s="22" t="str">
        <f>'VIX HISTORIQUE'!B621</f>
        <v/>
      </c>
      <c r="C618" s="22" t="str">
        <f>'VIX HISTORIQUE'!D621</f>
        <v/>
      </c>
      <c r="D618" s="22" t="str">
        <f>'VIX HISTORIQUE'!F621</f>
        <v/>
      </c>
      <c r="E618" s="22" t="str">
        <f>'VIX HISTORIQUE'!H621</f>
        <v/>
      </c>
      <c r="F618" s="22" t="str">
        <f>'VIX HISTORIQUE'!J621</f>
        <v/>
      </c>
    </row>
    <row r="619" ht="15.75" customHeight="1">
      <c r="A619" s="25" t="str">
        <f>'VIX HISTORIQUE'!A622</f>
        <v/>
      </c>
      <c r="B619" s="22" t="str">
        <f>'VIX HISTORIQUE'!B622</f>
        <v/>
      </c>
      <c r="C619" s="22" t="str">
        <f>'VIX HISTORIQUE'!D622</f>
        <v/>
      </c>
      <c r="D619" s="22" t="str">
        <f>'VIX HISTORIQUE'!F622</f>
        <v/>
      </c>
      <c r="E619" s="22" t="str">
        <f>'VIX HISTORIQUE'!H622</f>
        <v/>
      </c>
      <c r="F619" s="22" t="str">
        <f>'VIX HISTORIQUE'!J622</f>
        <v/>
      </c>
    </row>
    <row r="620" ht="15.75" customHeight="1">
      <c r="A620" s="25" t="str">
        <f>'VIX HISTORIQUE'!A623</f>
        <v/>
      </c>
      <c r="B620" s="22" t="str">
        <f>'VIX HISTORIQUE'!B623</f>
        <v/>
      </c>
      <c r="C620" s="22" t="str">
        <f>'VIX HISTORIQUE'!D623</f>
        <v/>
      </c>
      <c r="D620" s="22" t="str">
        <f>'VIX HISTORIQUE'!F623</f>
        <v/>
      </c>
      <c r="E620" s="22" t="str">
        <f>'VIX HISTORIQUE'!H623</f>
        <v/>
      </c>
      <c r="F620" s="22" t="str">
        <f>'VIX HISTORIQUE'!J623</f>
        <v/>
      </c>
    </row>
    <row r="621" ht="15.75" customHeight="1">
      <c r="A621" s="25" t="str">
        <f>'VIX HISTORIQUE'!A624</f>
        <v/>
      </c>
      <c r="B621" s="22" t="str">
        <f>'VIX HISTORIQUE'!B624</f>
        <v/>
      </c>
      <c r="C621" s="22" t="str">
        <f>'VIX HISTORIQUE'!D624</f>
        <v/>
      </c>
      <c r="D621" s="22" t="str">
        <f>'VIX HISTORIQUE'!F624</f>
        <v/>
      </c>
      <c r="E621" s="22" t="str">
        <f>'VIX HISTORIQUE'!H624</f>
        <v/>
      </c>
      <c r="F621" s="22" t="str">
        <f>'VIX HISTORIQUE'!J624</f>
        <v/>
      </c>
    </row>
    <row r="622" ht="15.75" customHeight="1">
      <c r="A622" s="25" t="str">
        <f>'VIX HISTORIQUE'!A625</f>
        <v/>
      </c>
      <c r="B622" s="22" t="str">
        <f>'VIX HISTORIQUE'!B625</f>
        <v/>
      </c>
      <c r="C622" s="22" t="str">
        <f>'VIX HISTORIQUE'!D625</f>
        <v/>
      </c>
      <c r="D622" s="22" t="str">
        <f>'VIX HISTORIQUE'!F625</f>
        <v/>
      </c>
      <c r="E622" s="22" t="str">
        <f>'VIX HISTORIQUE'!H625</f>
        <v/>
      </c>
      <c r="F622" s="22" t="str">
        <f>'VIX HISTORIQUE'!J625</f>
        <v/>
      </c>
    </row>
    <row r="623" ht="15.75" customHeight="1">
      <c r="A623" s="25" t="str">
        <f>'VIX HISTORIQUE'!A626</f>
        <v/>
      </c>
      <c r="B623" s="22" t="str">
        <f>'VIX HISTORIQUE'!B626</f>
        <v/>
      </c>
      <c r="C623" s="22" t="str">
        <f>'VIX HISTORIQUE'!D626</f>
        <v/>
      </c>
      <c r="D623" s="22" t="str">
        <f>'VIX HISTORIQUE'!F626</f>
        <v/>
      </c>
      <c r="E623" s="22" t="str">
        <f>'VIX HISTORIQUE'!H626</f>
        <v/>
      </c>
      <c r="F623" s="22" t="str">
        <f>'VIX HISTORIQUE'!J626</f>
        <v/>
      </c>
    </row>
    <row r="624" ht="15.75" customHeight="1">
      <c r="A624" s="25" t="str">
        <f>'VIX HISTORIQUE'!A627</f>
        <v/>
      </c>
      <c r="B624" s="22" t="str">
        <f>'VIX HISTORIQUE'!B627</f>
        <v/>
      </c>
      <c r="C624" s="22" t="str">
        <f>'VIX HISTORIQUE'!D627</f>
        <v/>
      </c>
      <c r="D624" s="22" t="str">
        <f>'VIX HISTORIQUE'!F627</f>
        <v/>
      </c>
      <c r="E624" s="22" t="str">
        <f>'VIX HISTORIQUE'!H627</f>
        <v/>
      </c>
      <c r="F624" s="22" t="str">
        <f>'VIX HISTORIQUE'!J627</f>
        <v/>
      </c>
    </row>
    <row r="625" ht="15.75" customHeight="1">
      <c r="A625" s="25" t="str">
        <f>'VIX HISTORIQUE'!A628</f>
        <v/>
      </c>
      <c r="B625" s="22" t="str">
        <f>'VIX HISTORIQUE'!B628</f>
        <v/>
      </c>
      <c r="C625" s="22" t="str">
        <f>'VIX HISTORIQUE'!D628</f>
        <v/>
      </c>
      <c r="D625" s="22" t="str">
        <f>'VIX HISTORIQUE'!F628</f>
        <v/>
      </c>
      <c r="E625" s="22" t="str">
        <f>'VIX HISTORIQUE'!H628</f>
        <v/>
      </c>
      <c r="F625" s="22" t="str">
        <f>'VIX HISTORIQUE'!J628</f>
        <v/>
      </c>
    </row>
    <row r="626" ht="15.75" customHeight="1">
      <c r="A626" s="25" t="str">
        <f>'VIX HISTORIQUE'!A629</f>
        <v/>
      </c>
      <c r="B626" s="22" t="str">
        <f>'VIX HISTORIQUE'!B629</f>
        <v/>
      </c>
      <c r="C626" s="22" t="str">
        <f>'VIX HISTORIQUE'!D629</f>
        <v/>
      </c>
      <c r="D626" s="22" t="str">
        <f>'VIX HISTORIQUE'!F629</f>
        <v/>
      </c>
      <c r="E626" s="22" t="str">
        <f>'VIX HISTORIQUE'!H629</f>
        <v/>
      </c>
      <c r="F626" s="22" t="str">
        <f>'VIX HISTORIQUE'!J629</f>
        <v/>
      </c>
    </row>
    <row r="627" ht="15.75" customHeight="1">
      <c r="A627" s="25" t="str">
        <f>'VIX HISTORIQUE'!A630</f>
        <v/>
      </c>
      <c r="B627" s="22" t="str">
        <f>'VIX HISTORIQUE'!B630</f>
        <v/>
      </c>
      <c r="C627" s="22" t="str">
        <f>'VIX HISTORIQUE'!D630</f>
        <v/>
      </c>
      <c r="D627" s="22" t="str">
        <f>'VIX HISTORIQUE'!F630</f>
        <v/>
      </c>
      <c r="E627" s="22" t="str">
        <f>'VIX HISTORIQUE'!H630</f>
        <v/>
      </c>
      <c r="F627" s="22" t="str">
        <f>'VIX HISTORIQUE'!J630</f>
        <v/>
      </c>
    </row>
    <row r="628" ht="15.75" customHeight="1">
      <c r="A628" s="25" t="str">
        <f>'VIX HISTORIQUE'!A631</f>
        <v/>
      </c>
      <c r="B628" s="22" t="str">
        <f>'VIX HISTORIQUE'!B631</f>
        <v/>
      </c>
      <c r="C628" s="22" t="str">
        <f>'VIX HISTORIQUE'!D631</f>
        <v/>
      </c>
      <c r="D628" s="22" t="str">
        <f>'VIX HISTORIQUE'!F631</f>
        <v/>
      </c>
      <c r="E628" s="22" t="str">
        <f>'VIX HISTORIQUE'!H631</f>
        <v/>
      </c>
      <c r="F628" s="22" t="str">
        <f>'VIX HISTORIQUE'!J631</f>
        <v/>
      </c>
    </row>
    <row r="629" ht="15.75" customHeight="1">
      <c r="A629" s="25" t="str">
        <f>'VIX HISTORIQUE'!A632</f>
        <v/>
      </c>
      <c r="B629" s="22" t="str">
        <f>'VIX HISTORIQUE'!B632</f>
        <v/>
      </c>
      <c r="C629" s="22" t="str">
        <f>'VIX HISTORIQUE'!D632</f>
        <v/>
      </c>
      <c r="D629" s="22" t="str">
        <f>'VIX HISTORIQUE'!F632</f>
        <v/>
      </c>
      <c r="E629" s="22" t="str">
        <f>'VIX HISTORIQUE'!H632</f>
        <v/>
      </c>
      <c r="F629" s="22" t="str">
        <f>'VIX HISTORIQUE'!J632</f>
        <v/>
      </c>
    </row>
    <row r="630" ht="15.75" customHeight="1">
      <c r="A630" s="25" t="str">
        <f>'VIX HISTORIQUE'!A633</f>
        <v/>
      </c>
      <c r="B630" s="22" t="str">
        <f>'VIX HISTORIQUE'!B633</f>
        <v/>
      </c>
      <c r="C630" s="22" t="str">
        <f>'VIX HISTORIQUE'!D633</f>
        <v/>
      </c>
      <c r="D630" s="22" t="str">
        <f>'VIX HISTORIQUE'!F633</f>
        <v/>
      </c>
      <c r="E630" s="22" t="str">
        <f>'VIX HISTORIQUE'!H633</f>
        <v/>
      </c>
      <c r="F630" s="22" t="str">
        <f>'VIX HISTORIQUE'!J633</f>
        <v/>
      </c>
    </row>
    <row r="631" ht="15.75" customHeight="1">
      <c r="A631" s="25" t="str">
        <f>'VIX HISTORIQUE'!A634</f>
        <v/>
      </c>
      <c r="B631" s="22" t="str">
        <f>'VIX HISTORIQUE'!B634</f>
        <v/>
      </c>
      <c r="C631" s="22" t="str">
        <f>'VIX HISTORIQUE'!D634</f>
        <v/>
      </c>
      <c r="D631" s="22" t="str">
        <f>'VIX HISTORIQUE'!F634</f>
        <v/>
      </c>
      <c r="E631" s="22" t="str">
        <f>'VIX HISTORIQUE'!H634</f>
        <v/>
      </c>
      <c r="F631" s="22" t="str">
        <f>'VIX HISTORIQUE'!J634</f>
        <v/>
      </c>
    </row>
    <row r="632" ht="15.75" customHeight="1">
      <c r="A632" s="25" t="str">
        <f>'VIX HISTORIQUE'!A635</f>
        <v/>
      </c>
      <c r="B632" s="22" t="str">
        <f>'VIX HISTORIQUE'!B635</f>
        <v/>
      </c>
      <c r="C632" s="22" t="str">
        <f>'VIX HISTORIQUE'!D635</f>
        <v/>
      </c>
      <c r="D632" s="22" t="str">
        <f>'VIX HISTORIQUE'!F635</f>
        <v/>
      </c>
      <c r="E632" s="22" t="str">
        <f>'VIX HISTORIQUE'!H635</f>
        <v/>
      </c>
      <c r="F632" s="22" t="str">
        <f>'VIX HISTORIQUE'!J635</f>
        <v/>
      </c>
    </row>
    <row r="633" ht="15.75" customHeight="1">
      <c r="A633" s="25" t="str">
        <f>'VIX HISTORIQUE'!A636</f>
        <v/>
      </c>
      <c r="B633" s="22" t="str">
        <f>'VIX HISTORIQUE'!B636</f>
        <v/>
      </c>
      <c r="C633" s="22" t="str">
        <f>'VIX HISTORIQUE'!D636</f>
        <v/>
      </c>
      <c r="D633" s="22" t="str">
        <f>'VIX HISTORIQUE'!F636</f>
        <v/>
      </c>
      <c r="E633" s="22" t="str">
        <f>'VIX HISTORIQUE'!H636</f>
        <v/>
      </c>
      <c r="F633" s="22" t="str">
        <f>'VIX HISTORIQUE'!J636</f>
        <v/>
      </c>
    </row>
    <row r="634" ht="15.75" customHeight="1">
      <c r="A634" s="25" t="str">
        <f>'VIX HISTORIQUE'!A637</f>
        <v/>
      </c>
      <c r="B634" s="22" t="str">
        <f>'VIX HISTORIQUE'!B637</f>
        <v/>
      </c>
      <c r="C634" s="22" t="str">
        <f>'VIX HISTORIQUE'!D637</f>
        <v/>
      </c>
      <c r="D634" s="22" t="str">
        <f>'VIX HISTORIQUE'!F637</f>
        <v/>
      </c>
      <c r="E634" s="22" t="str">
        <f>'VIX HISTORIQUE'!H637</f>
        <v/>
      </c>
      <c r="F634" s="22" t="str">
        <f>'VIX HISTORIQUE'!J637</f>
        <v/>
      </c>
    </row>
    <row r="635" ht="15.75" customHeight="1">
      <c r="A635" s="25" t="str">
        <f>'VIX HISTORIQUE'!A638</f>
        <v/>
      </c>
      <c r="B635" s="22" t="str">
        <f>'VIX HISTORIQUE'!B638</f>
        <v/>
      </c>
      <c r="C635" s="22" t="str">
        <f>'VIX HISTORIQUE'!D638</f>
        <v/>
      </c>
      <c r="D635" s="22" t="str">
        <f>'VIX HISTORIQUE'!F638</f>
        <v/>
      </c>
      <c r="E635" s="22" t="str">
        <f>'VIX HISTORIQUE'!H638</f>
        <v/>
      </c>
      <c r="F635" s="22" t="str">
        <f>'VIX HISTORIQUE'!J638</f>
        <v/>
      </c>
    </row>
    <row r="636" ht="15.75" customHeight="1">
      <c r="A636" s="25" t="str">
        <f>'VIX HISTORIQUE'!A639</f>
        <v/>
      </c>
      <c r="B636" s="22" t="str">
        <f>'VIX HISTORIQUE'!B639</f>
        <v/>
      </c>
      <c r="C636" s="22" t="str">
        <f>'VIX HISTORIQUE'!D639</f>
        <v/>
      </c>
      <c r="D636" s="22" t="str">
        <f>'VIX HISTORIQUE'!F639</f>
        <v/>
      </c>
      <c r="E636" s="22" t="str">
        <f>'VIX HISTORIQUE'!H639</f>
        <v/>
      </c>
      <c r="F636" s="22" t="str">
        <f>'VIX HISTORIQUE'!J639</f>
        <v/>
      </c>
    </row>
    <row r="637" ht="15.75" customHeight="1">
      <c r="A637" s="25" t="str">
        <f>'VIX HISTORIQUE'!A640</f>
        <v/>
      </c>
      <c r="B637" s="22" t="str">
        <f>'VIX HISTORIQUE'!B640</f>
        <v/>
      </c>
      <c r="C637" s="22" t="str">
        <f>'VIX HISTORIQUE'!D640</f>
        <v/>
      </c>
      <c r="D637" s="22" t="str">
        <f>'VIX HISTORIQUE'!F640</f>
        <v/>
      </c>
      <c r="E637" s="22" t="str">
        <f>'VIX HISTORIQUE'!H640</f>
        <v/>
      </c>
      <c r="F637" s="22" t="str">
        <f>'VIX HISTORIQUE'!J640</f>
        <v/>
      </c>
    </row>
    <row r="638" ht="15.75" customHeight="1">
      <c r="A638" s="25" t="str">
        <f>'VIX HISTORIQUE'!A641</f>
        <v/>
      </c>
      <c r="B638" s="22" t="str">
        <f>'VIX HISTORIQUE'!B641</f>
        <v/>
      </c>
      <c r="C638" s="22" t="str">
        <f>'VIX HISTORIQUE'!D641</f>
        <v/>
      </c>
      <c r="D638" s="22" t="str">
        <f>'VIX HISTORIQUE'!F641</f>
        <v/>
      </c>
      <c r="E638" s="22" t="str">
        <f>'VIX HISTORIQUE'!H641</f>
        <v/>
      </c>
      <c r="F638" s="22" t="str">
        <f>'VIX HISTORIQUE'!J641</f>
        <v/>
      </c>
    </row>
    <row r="639" ht="15.75" customHeight="1">
      <c r="A639" s="25" t="str">
        <f>'VIX HISTORIQUE'!A642</f>
        <v/>
      </c>
      <c r="B639" s="22" t="str">
        <f>'VIX HISTORIQUE'!B642</f>
        <v/>
      </c>
      <c r="C639" s="22" t="str">
        <f>'VIX HISTORIQUE'!D642</f>
        <v/>
      </c>
      <c r="D639" s="22" t="str">
        <f>'VIX HISTORIQUE'!F642</f>
        <v/>
      </c>
      <c r="E639" s="22" t="str">
        <f>'VIX HISTORIQUE'!H642</f>
        <v/>
      </c>
      <c r="F639" s="22" t="str">
        <f>'VIX HISTORIQUE'!J642</f>
        <v/>
      </c>
    </row>
    <row r="640" ht="15.75" customHeight="1">
      <c r="A640" s="25" t="str">
        <f>'VIX HISTORIQUE'!A643</f>
        <v/>
      </c>
      <c r="B640" s="22" t="str">
        <f>'VIX HISTORIQUE'!B643</f>
        <v/>
      </c>
      <c r="C640" s="22" t="str">
        <f>'VIX HISTORIQUE'!D643</f>
        <v/>
      </c>
      <c r="D640" s="22" t="str">
        <f>'VIX HISTORIQUE'!F643</f>
        <v/>
      </c>
      <c r="E640" s="22" t="str">
        <f>'VIX HISTORIQUE'!H643</f>
        <v/>
      </c>
      <c r="F640" s="22" t="str">
        <f>'VIX HISTORIQUE'!J643</f>
        <v/>
      </c>
    </row>
    <row r="641" ht="15.75" customHeight="1">
      <c r="A641" s="25" t="str">
        <f>'VIX HISTORIQUE'!A644</f>
        <v/>
      </c>
      <c r="B641" s="22" t="str">
        <f>'VIX HISTORIQUE'!B644</f>
        <v/>
      </c>
      <c r="C641" s="22" t="str">
        <f>'VIX HISTORIQUE'!D644</f>
        <v/>
      </c>
      <c r="D641" s="22" t="str">
        <f>'VIX HISTORIQUE'!F644</f>
        <v/>
      </c>
      <c r="E641" s="22" t="str">
        <f>'VIX HISTORIQUE'!H644</f>
        <v/>
      </c>
      <c r="F641" s="22" t="str">
        <f>'VIX HISTORIQUE'!J644</f>
        <v/>
      </c>
    </row>
    <row r="642" ht="15.75" customHeight="1">
      <c r="A642" s="25" t="str">
        <f>'VIX HISTORIQUE'!A645</f>
        <v/>
      </c>
      <c r="B642" s="22" t="str">
        <f>'VIX HISTORIQUE'!B645</f>
        <v/>
      </c>
      <c r="C642" s="22" t="str">
        <f>'VIX HISTORIQUE'!D645</f>
        <v/>
      </c>
      <c r="D642" s="22" t="str">
        <f>'VIX HISTORIQUE'!F645</f>
        <v/>
      </c>
      <c r="E642" s="22" t="str">
        <f>'VIX HISTORIQUE'!H645</f>
        <v/>
      </c>
      <c r="F642" s="22" t="str">
        <f>'VIX HISTORIQUE'!J645</f>
        <v/>
      </c>
    </row>
    <row r="643" ht="15.75" customHeight="1">
      <c r="A643" s="25" t="str">
        <f>'VIX HISTORIQUE'!A646</f>
        <v/>
      </c>
      <c r="B643" s="22" t="str">
        <f>'VIX HISTORIQUE'!B646</f>
        <v/>
      </c>
      <c r="C643" s="22" t="str">
        <f>'VIX HISTORIQUE'!D646</f>
        <v/>
      </c>
      <c r="D643" s="22" t="str">
        <f>'VIX HISTORIQUE'!F646</f>
        <v/>
      </c>
      <c r="E643" s="22" t="str">
        <f>'VIX HISTORIQUE'!H646</f>
        <v/>
      </c>
      <c r="F643" s="22" t="str">
        <f>'VIX HISTORIQUE'!J646</f>
        <v/>
      </c>
    </row>
    <row r="644" ht="15.75" customHeight="1">
      <c r="A644" s="25" t="str">
        <f>'VIX HISTORIQUE'!A647</f>
        <v/>
      </c>
      <c r="B644" s="22" t="str">
        <f>'VIX HISTORIQUE'!B647</f>
        <v/>
      </c>
      <c r="C644" s="22" t="str">
        <f>'VIX HISTORIQUE'!D647</f>
        <v/>
      </c>
      <c r="D644" s="22" t="str">
        <f>'VIX HISTORIQUE'!F647</f>
        <v/>
      </c>
      <c r="E644" s="22" t="str">
        <f>'VIX HISTORIQUE'!H647</f>
        <v/>
      </c>
      <c r="F644" s="22" t="str">
        <f>'VIX HISTORIQUE'!J647</f>
        <v/>
      </c>
    </row>
    <row r="645" ht="15.75" customHeight="1">
      <c r="A645" s="25" t="str">
        <f>'VIX HISTORIQUE'!A648</f>
        <v/>
      </c>
      <c r="B645" s="22" t="str">
        <f>'VIX HISTORIQUE'!B648</f>
        <v/>
      </c>
      <c r="C645" s="22" t="str">
        <f>'VIX HISTORIQUE'!D648</f>
        <v/>
      </c>
      <c r="D645" s="22" t="str">
        <f>'VIX HISTORIQUE'!F648</f>
        <v/>
      </c>
      <c r="E645" s="22" t="str">
        <f>'VIX HISTORIQUE'!H648</f>
        <v/>
      </c>
      <c r="F645" s="22" t="str">
        <f>'VIX HISTORIQUE'!J648</f>
        <v/>
      </c>
    </row>
    <row r="646" ht="15.75" customHeight="1">
      <c r="A646" s="25" t="str">
        <f>'VIX HISTORIQUE'!A649</f>
        <v/>
      </c>
      <c r="B646" s="22" t="str">
        <f>'VIX HISTORIQUE'!B649</f>
        <v/>
      </c>
      <c r="C646" s="22" t="str">
        <f>'VIX HISTORIQUE'!D649</f>
        <v/>
      </c>
      <c r="D646" s="22" t="str">
        <f>'VIX HISTORIQUE'!F649</f>
        <v/>
      </c>
      <c r="E646" s="22" t="str">
        <f>'VIX HISTORIQUE'!H649</f>
        <v/>
      </c>
      <c r="F646" s="22" t="str">
        <f>'VIX HISTORIQUE'!J649</f>
        <v/>
      </c>
    </row>
    <row r="647" ht="15.75" customHeight="1">
      <c r="A647" s="25" t="str">
        <f>'VIX HISTORIQUE'!A650</f>
        <v/>
      </c>
      <c r="B647" s="22" t="str">
        <f>'VIX HISTORIQUE'!B650</f>
        <v/>
      </c>
      <c r="C647" s="22" t="str">
        <f>'VIX HISTORIQUE'!D650</f>
        <v/>
      </c>
      <c r="D647" s="22" t="str">
        <f>'VIX HISTORIQUE'!F650</f>
        <v/>
      </c>
      <c r="E647" s="22" t="str">
        <f>'VIX HISTORIQUE'!H650</f>
        <v/>
      </c>
      <c r="F647" s="22" t="str">
        <f>'VIX HISTORIQUE'!J650</f>
        <v/>
      </c>
    </row>
    <row r="648" ht="15.75" customHeight="1">
      <c r="A648" s="25" t="str">
        <f>'VIX HISTORIQUE'!A651</f>
        <v/>
      </c>
      <c r="B648" s="22" t="str">
        <f>'VIX HISTORIQUE'!B651</f>
        <v/>
      </c>
      <c r="C648" s="22" t="str">
        <f>'VIX HISTORIQUE'!D651</f>
        <v/>
      </c>
      <c r="D648" s="22" t="str">
        <f>'VIX HISTORIQUE'!F651</f>
        <v/>
      </c>
      <c r="E648" s="22" t="str">
        <f>'VIX HISTORIQUE'!H651</f>
        <v/>
      </c>
      <c r="F648" s="22" t="str">
        <f>'VIX HISTORIQUE'!J651</f>
        <v/>
      </c>
    </row>
    <row r="649" ht="15.75" customHeight="1">
      <c r="A649" s="25" t="str">
        <f>'VIX HISTORIQUE'!A652</f>
        <v/>
      </c>
      <c r="B649" s="22" t="str">
        <f>'VIX HISTORIQUE'!B652</f>
        <v/>
      </c>
      <c r="C649" s="22" t="str">
        <f>'VIX HISTORIQUE'!D652</f>
        <v/>
      </c>
      <c r="D649" s="22" t="str">
        <f>'VIX HISTORIQUE'!F652</f>
        <v/>
      </c>
      <c r="E649" s="22" t="str">
        <f>'VIX HISTORIQUE'!H652</f>
        <v/>
      </c>
      <c r="F649" s="22" t="str">
        <f>'VIX HISTORIQUE'!J652</f>
        <v/>
      </c>
    </row>
    <row r="650" ht="15.75" customHeight="1">
      <c r="A650" s="25" t="str">
        <f>'VIX HISTORIQUE'!A653</f>
        <v/>
      </c>
      <c r="B650" s="22" t="str">
        <f>'VIX HISTORIQUE'!B653</f>
        <v/>
      </c>
      <c r="C650" s="22" t="str">
        <f>'VIX HISTORIQUE'!D653</f>
        <v/>
      </c>
      <c r="D650" s="22" t="str">
        <f>'VIX HISTORIQUE'!F653</f>
        <v/>
      </c>
      <c r="E650" s="22" t="str">
        <f>'VIX HISTORIQUE'!H653</f>
        <v/>
      </c>
      <c r="F650" s="22" t="str">
        <f>'VIX HISTORIQUE'!J653</f>
        <v/>
      </c>
    </row>
    <row r="651" ht="15.75" customHeight="1">
      <c r="A651" s="25" t="str">
        <f>'VIX HISTORIQUE'!A654</f>
        <v/>
      </c>
      <c r="B651" s="22" t="str">
        <f>'VIX HISTORIQUE'!B654</f>
        <v/>
      </c>
      <c r="C651" s="22" t="str">
        <f>'VIX HISTORIQUE'!D654</f>
        <v/>
      </c>
      <c r="D651" s="22" t="str">
        <f>'VIX HISTORIQUE'!F654</f>
        <v/>
      </c>
      <c r="E651" s="22" t="str">
        <f>'VIX HISTORIQUE'!H654</f>
        <v/>
      </c>
      <c r="F651" s="22" t="str">
        <f>'VIX HISTORIQUE'!J654</f>
        <v/>
      </c>
    </row>
    <row r="652" ht="15.75" customHeight="1">
      <c r="A652" s="25" t="str">
        <f>'VIX HISTORIQUE'!A655</f>
        <v/>
      </c>
      <c r="B652" s="22" t="str">
        <f>'VIX HISTORIQUE'!B655</f>
        <v/>
      </c>
      <c r="C652" s="22" t="str">
        <f>'VIX HISTORIQUE'!D655</f>
        <v/>
      </c>
      <c r="D652" s="22" t="str">
        <f>'VIX HISTORIQUE'!F655</f>
        <v/>
      </c>
      <c r="E652" s="22" t="str">
        <f>'VIX HISTORIQUE'!H655</f>
        <v/>
      </c>
      <c r="F652" s="22" t="str">
        <f>'VIX HISTORIQUE'!J655</f>
        <v/>
      </c>
    </row>
    <row r="653" ht="15.75" customHeight="1">
      <c r="A653" s="25" t="str">
        <f>'VIX HISTORIQUE'!A656</f>
        <v/>
      </c>
      <c r="B653" s="22" t="str">
        <f>'VIX HISTORIQUE'!B656</f>
        <v/>
      </c>
      <c r="C653" s="22" t="str">
        <f>'VIX HISTORIQUE'!D656</f>
        <v/>
      </c>
      <c r="D653" s="22" t="str">
        <f>'VIX HISTORIQUE'!F656</f>
        <v/>
      </c>
      <c r="E653" s="22" t="str">
        <f>'VIX HISTORIQUE'!H656</f>
        <v/>
      </c>
      <c r="F653" s="22" t="str">
        <f>'VIX HISTORIQUE'!J656</f>
        <v/>
      </c>
    </row>
    <row r="654" ht="15.75" customHeight="1">
      <c r="A654" s="25" t="str">
        <f>'VIX HISTORIQUE'!A657</f>
        <v/>
      </c>
      <c r="B654" s="22" t="str">
        <f>'VIX HISTORIQUE'!B657</f>
        <v/>
      </c>
      <c r="C654" s="22" t="str">
        <f>'VIX HISTORIQUE'!D657</f>
        <v/>
      </c>
      <c r="D654" s="22" t="str">
        <f>'VIX HISTORIQUE'!F657</f>
        <v/>
      </c>
      <c r="E654" s="22" t="str">
        <f>'VIX HISTORIQUE'!H657</f>
        <v/>
      </c>
      <c r="F654" s="22" t="str">
        <f>'VIX HISTORIQUE'!J657</f>
        <v/>
      </c>
    </row>
    <row r="655" ht="15.75" customHeight="1">
      <c r="A655" s="25" t="str">
        <f>'VIX HISTORIQUE'!A658</f>
        <v/>
      </c>
      <c r="B655" s="22" t="str">
        <f>'VIX HISTORIQUE'!B658</f>
        <v/>
      </c>
      <c r="C655" s="22" t="str">
        <f>'VIX HISTORIQUE'!D658</f>
        <v/>
      </c>
      <c r="D655" s="22" t="str">
        <f>'VIX HISTORIQUE'!F658</f>
        <v/>
      </c>
      <c r="E655" s="22" t="str">
        <f>'VIX HISTORIQUE'!H658</f>
        <v/>
      </c>
      <c r="F655" s="22" t="str">
        <f>'VIX HISTORIQUE'!J658</f>
        <v/>
      </c>
    </row>
    <row r="656" ht="15.75" customHeight="1">
      <c r="A656" s="25" t="str">
        <f>'VIX HISTORIQUE'!A659</f>
        <v/>
      </c>
      <c r="B656" s="22" t="str">
        <f>'VIX HISTORIQUE'!B659</f>
        <v/>
      </c>
      <c r="C656" s="22" t="str">
        <f>'VIX HISTORIQUE'!D659</f>
        <v/>
      </c>
      <c r="D656" s="22" t="str">
        <f>'VIX HISTORIQUE'!F659</f>
        <v/>
      </c>
      <c r="E656" s="22" t="str">
        <f>'VIX HISTORIQUE'!H659</f>
        <v/>
      </c>
      <c r="F656" s="22" t="str">
        <f>'VIX HISTORIQUE'!J659</f>
        <v/>
      </c>
    </row>
    <row r="657" ht="15.75" customHeight="1">
      <c r="A657" s="25" t="str">
        <f>'VIX HISTORIQUE'!A660</f>
        <v/>
      </c>
      <c r="B657" s="22" t="str">
        <f>'VIX HISTORIQUE'!B660</f>
        <v/>
      </c>
      <c r="C657" s="22" t="str">
        <f>'VIX HISTORIQUE'!D660</f>
        <v/>
      </c>
      <c r="D657" s="22" t="str">
        <f>'VIX HISTORIQUE'!F660</f>
        <v/>
      </c>
      <c r="E657" s="22" t="str">
        <f>'VIX HISTORIQUE'!H660</f>
        <v/>
      </c>
      <c r="F657" s="22" t="str">
        <f>'VIX HISTORIQUE'!J660</f>
        <v/>
      </c>
    </row>
    <row r="658" ht="15.75" customHeight="1">
      <c r="A658" s="25" t="str">
        <f>'VIX HISTORIQUE'!A661</f>
        <v/>
      </c>
      <c r="B658" s="22" t="str">
        <f>'VIX HISTORIQUE'!B661</f>
        <v/>
      </c>
      <c r="C658" s="22" t="str">
        <f>'VIX HISTORIQUE'!D661</f>
        <v/>
      </c>
      <c r="D658" s="22" t="str">
        <f>'VIX HISTORIQUE'!F661</f>
        <v/>
      </c>
      <c r="E658" s="22" t="str">
        <f>'VIX HISTORIQUE'!H661</f>
        <v/>
      </c>
      <c r="F658" s="22" t="str">
        <f>'VIX HISTORIQUE'!J661</f>
        <v/>
      </c>
    </row>
    <row r="659" ht="15.75" customHeight="1">
      <c r="A659" s="25" t="str">
        <f>'VIX HISTORIQUE'!A662</f>
        <v/>
      </c>
      <c r="B659" s="22" t="str">
        <f>'VIX HISTORIQUE'!B662</f>
        <v/>
      </c>
      <c r="C659" s="22" t="str">
        <f>'VIX HISTORIQUE'!D662</f>
        <v/>
      </c>
      <c r="D659" s="22" t="str">
        <f>'VIX HISTORIQUE'!F662</f>
        <v/>
      </c>
      <c r="E659" s="22" t="str">
        <f>'VIX HISTORIQUE'!H662</f>
        <v/>
      </c>
      <c r="F659" s="22" t="str">
        <f>'VIX HISTORIQUE'!J662</f>
        <v/>
      </c>
    </row>
    <row r="660" ht="15.75" customHeight="1">
      <c r="A660" s="25" t="str">
        <f>'VIX HISTORIQUE'!A663</f>
        <v/>
      </c>
      <c r="B660" s="22" t="str">
        <f>'VIX HISTORIQUE'!B663</f>
        <v/>
      </c>
      <c r="C660" s="22" t="str">
        <f>'VIX HISTORIQUE'!D663</f>
        <v/>
      </c>
      <c r="D660" s="22" t="str">
        <f>'VIX HISTORIQUE'!F663</f>
        <v/>
      </c>
      <c r="E660" s="22" t="str">
        <f>'VIX HISTORIQUE'!H663</f>
        <v/>
      </c>
      <c r="F660" s="22" t="str">
        <f>'VIX HISTORIQUE'!J663</f>
        <v/>
      </c>
    </row>
    <row r="661" ht="15.75" customHeight="1">
      <c r="A661" s="25" t="str">
        <f>'VIX HISTORIQUE'!A664</f>
        <v/>
      </c>
      <c r="B661" s="22" t="str">
        <f>'VIX HISTORIQUE'!B664</f>
        <v/>
      </c>
      <c r="C661" s="22" t="str">
        <f>'VIX HISTORIQUE'!D664</f>
        <v/>
      </c>
      <c r="D661" s="22" t="str">
        <f>'VIX HISTORIQUE'!F664</f>
        <v/>
      </c>
      <c r="E661" s="22" t="str">
        <f>'VIX HISTORIQUE'!H664</f>
        <v/>
      </c>
      <c r="F661" s="22" t="str">
        <f>'VIX HISTORIQUE'!J664</f>
        <v/>
      </c>
    </row>
    <row r="662" ht="15.75" customHeight="1">
      <c r="A662" s="25" t="str">
        <f>'VIX HISTORIQUE'!A665</f>
        <v/>
      </c>
      <c r="B662" s="22" t="str">
        <f>'VIX HISTORIQUE'!B665</f>
        <v/>
      </c>
      <c r="C662" s="22" t="str">
        <f>'VIX HISTORIQUE'!D665</f>
        <v/>
      </c>
      <c r="D662" s="22" t="str">
        <f>'VIX HISTORIQUE'!F665</f>
        <v/>
      </c>
      <c r="E662" s="22" t="str">
        <f>'VIX HISTORIQUE'!H665</f>
        <v/>
      </c>
      <c r="F662" s="22" t="str">
        <f>'VIX HISTORIQUE'!J665</f>
        <v/>
      </c>
    </row>
    <row r="663" ht="15.75" customHeight="1">
      <c r="A663" s="25" t="str">
        <f>'VIX HISTORIQUE'!A666</f>
        <v/>
      </c>
      <c r="B663" s="22" t="str">
        <f>'VIX HISTORIQUE'!B666</f>
        <v/>
      </c>
      <c r="C663" s="22" t="str">
        <f>'VIX HISTORIQUE'!D666</f>
        <v/>
      </c>
      <c r="D663" s="22" t="str">
        <f>'VIX HISTORIQUE'!F666</f>
        <v/>
      </c>
      <c r="E663" s="22" t="str">
        <f>'VIX HISTORIQUE'!H666</f>
        <v/>
      </c>
      <c r="F663" s="22" t="str">
        <f>'VIX HISTORIQUE'!J666</f>
        <v/>
      </c>
    </row>
    <row r="664" ht="15.75" customHeight="1">
      <c r="A664" s="25" t="str">
        <f>'VIX HISTORIQUE'!A667</f>
        <v/>
      </c>
      <c r="B664" s="22" t="str">
        <f>'VIX HISTORIQUE'!B667</f>
        <v/>
      </c>
      <c r="C664" s="22" t="str">
        <f>'VIX HISTORIQUE'!D667</f>
        <v/>
      </c>
      <c r="D664" s="22" t="str">
        <f>'VIX HISTORIQUE'!F667</f>
        <v/>
      </c>
      <c r="E664" s="22" t="str">
        <f>'VIX HISTORIQUE'!H667</f>
        <v/>
      </c>
      <c r="F664" s="22" t="str">
        <f>'VIX HISTORIQUE'!J667</f>
        <v/>
      </c>
    </row>
    <row r="665" ht="15.75" customHeight="1">
      <c r="A665" s="25" t="str">
        <f>'VIX HISTORIQUE'!A668</f>
        <v/>
      </c>
      <c r="B665" s="22" t="str">
        <f>'VIX HISTORIQUE'!B668</f>
        <v/>
      </c>
      <c r="C665" s="22" t="str">
        <f>'VIX HISTORIQUE'!D668</f>
        <v/>
      </c>
      <c r="D665" s="22" t="str">
        <f>'VIX HISTORIQUE'!F668</f>
        <v/>
      </c>
      <c r="E665" s="22" t="str">
        <f>'VIX HISTORIQUE'!H668</f>
        <v/>
      </c>
      <c r="F665" s="22" t="str">
        <f>'VIX HISTORIQUE'!J668</f>
        <v/>
      </c>
    </row>
    <row r="666" ht="15.75" customHeight="1">
      <c r="A666" s="25" t="str">
        <f>'VIX HISTORIQUE'!A669</f>
        <v/>
      </c>
      <c r="B666" s="22" t="str">
        <f>'VIX HISTORIQUE'!B669</f>
        <v/>
      </c>
      <c r="C666" s="22" t="str">
        <f>'VIX HISTORIQUE'!D669</f>
        <v/>
      </c>
      <c r="D666" s="22" t="str">
        <f>'VIX HISTORIQUE'!F669</f>
        <v/>
      </c>
      <c r="E666" s="22" t="str">
        <f>'VIX HISTORIQUE'!H669</f>
        <v/>
      </c>
      <c r="F666" s="22" t="str">
        <f>'VIX HISTORIQUE'!J669</f>
        <v/>
      </c>
    </row>
    <row r="667" ht="15.75" customHeight="1">
      <c r="A667" s="25" t="str">
        <f>'VIX HISTORIQUE'!A670</f>
        <v/>
      </c>
      <c r="B667" s="22" t="str">
        <f>'VIX HISTORIQUE'!B670</f>
        <v/>
      </c>
      <c r="C667" s="22" t="str">
        <f>'VIX HISTORIQUE'!D670</f>
        <v/>
      </c>
      <c r="D667" s="22" t="str">
        <f>'VIX HISTORIQUE'!F670</f>
        <v/>
      </c>
      <c r="E667" s="22" t="str">
        <f>'VIX HISTORIQUE'!H670</f>
        <v/>
      </c>
      <c r="F667" s="22" t="str">
        <f>'VIX HISTORIQUE'!J670</f>
        <v/>
      </c>
    </row>
    <row r="668" ht="15.75" customHeight="1">
      <c r="A668" s="25" t="str">
        <f>'VIX HISTORIQUE'!A671</f>
        <v/>
      </c>
      <c r="B668" s="22" t="str">
        <f>'VIX HISTORIQUE'!B671</f>
        <v/>
      </c>
      <c r="C668" s="22" t="str">
        <f>'VIX HISTORIQUE'!D671</f>
        <v/>
      </c>
      <c r="D668" s="22" t="str">
        <f>'VIX HISTORIQUE'!F671</f>
        <v/>
      </c>
      <c r="E668" s="22" t="str">
        <f>'VIX HISTORIQUE'!H671</f>
        <v/>
      </c>
      <c r="F668" s="22" t="str">
        <f>'VIX HISTORIQUE'!J671</f>
        <v/>
      </c>
    </row>
    <row r="669" ht="15.75" customHeight="1">
      <c r="A669" s="25" t="str">
        <f>'VIX HISTORIQUE'!A672</f>
        <v/>
      </c>
      <c r="B669" s="22" t="str">
        <f>'VIX HISTORIQUE'!B672</f>
        <v/>
      </c>
      <c r="C669" s="22" t="str">
        <f>'VIX HISTORIQUE'!D672</f>
        <v/>
      </c>
      <c r="D669" s="22" t="str">
        <f>'VIX HISTORIQUE'!F672</f>
        <v/>
      </c>
      <c r="E669" s="22" t="str">
        <f>'VIX HISTORIQUE'!H672</f>
        <v/>
      </c>
      <c r="F669" s="22" t="str">
        <f>'VIX HISTORIQUE'!J672</f>
        <v/>
      </c>
    </row>
    <row r="670" ht="15.75" customHeight="1">
      <c r="A670" s="25" t="str">
        <f>'VIX HISTORIQUE'!A673</f>
        <v/>
      </c>
      <c r="B670" s="22" t="str">
        <f>'VIX HISTORIQUE'!B673</f>
        <v/>
      </c>
      <c r="C670" s="22" t="str">
        <f>'VIX HISTORIQUE'!D673</f>
        <v/>
      </c>
      <c r="D670" s="22" t="str">
        <f>'VIX HISTORIQUE'!F673</f>
        <v/>
      </c>
      <c r="E670" s="22" t="str">
        <f>'VIX HISTORIQUE'!H673</f>
        <v/>
      </c>
      <c r="F670" s="22" t="str">
        <f>'VIX HISTORIQUE'!J673</f>
        <v/>
      </c>
    </row>
    <row r="671" ht="15.75" customHeight="1">
      <c r="A671" s="25" t="str">
        <f>'VIX HISTORIQUE'!A674</f>
        <v/>
      </c>
      <c r="B671" s="22" t="str">
        <f>'VIX HISTORIQUE'!B674</f>
        <v/>
      </c>
      <c r="C671" s="22" t="str">
        <f>'VIX HISTORIQUE'!D674</f>
        <v/>
      </c>
      <c r="D671" s="22" t="str">
        <f>'VIX HISTORIQUE'!F674</f>
        <v/>
      </c>
      <c r="E671" s="22" t="str">
        <f>'VIX HISTORIQUE'!H674</f>
        <v/>
      </c>
      <c r="F671" s="22" t="str">
        <f>'VIX HISTORIQUE'!J674</f>
        <v/>
      </c>
    </row>
    <row r="672" ht="15.75" customHeight="1">
      <c r="A672" s="25" t="str">
        <f>'VIX HISTORIQUE'!A675</f>
        <v/>
      </c>
      <c r="B672" s="22" t="str">
        <f>'VIX HISTORIQUE'!B675</f>
        <v/>
      </c>
      <c r="C672" s="22" t="str">
        <f>'VIX HISTORIQUE'!D675</f>
        <v/>
      </c>
      <c r="D672" s="22" t="str">
        <f>'VIX HISTORIQUE'!F675</f>
        <v/>
      </c>
      <c r="E672" s="22" t="str">
        <f>'VIX HISTORIQUE'!H675</f>
        <v/>
      </c>
      <c r="F672" s="22" t="str">
        <f>'VIX HISTORIQUE'!J675</f>
        <v/>
      </c>
    </row>
    <row r="673" ht="15.75" customHeight="1">
      <c r="A673" s="25" t="str">
        <f>'VIX HISTORIQUE'!A676</f>
        <v/>
      </c>
      <c r="B673" s="22" t="str">
        <f>'VIX HISTORIQUE'!B676</f>
        <v/>
      </c>
      <c r="C673" s="22" t="str">
        <f>'VIX HISTORIQUE'!D676</f>
        <v/>
      </c>
      <c r="D673" s="22" t="str">
        <f>'VIX HISTORIQUE'!F676</f>
        <v/>
      </c>
      <c r="E673" s="22" t="str">
        <f>'VIX HISTORIQUE'!H676</f>
        <v/>
      </c>
      <c r="F673" s="22" t="str">
        <f>'VIX HISTORIQUE'!J676</f>
        <v/>
      </c>
    </row>
    <row r="674" ht="15.75" customHeight="1">
      <c r="A674" s="25" t="str">
        <f>'VIX HISTORIQUE'!A677</f>
        <v/>
      </c>
      <c r="B674" s="22" t="str">
        <f>'VIX HISTORIQUE'!B677</f>
        <v/>
      </c>
      <c r="C674" s="22" t="str">
        <f>'VIX HISTORIQUE'!D677</f>
        <v/>
      </c>
      <c r="D674" s="22" t="str">
        <f>'VIX HISTORIQUE'!F677</f>
        <v/>
      </c>
      <c r="E674" s="22" t="str">
        <f>'VIX HISTORIQUE'!H677</f>
        <v/>
      </c>
      <c r="F674" s="22" t="str">
        <f>'VIX HISTORIQUE'!J677</f>
        <v/>
      </c>
    </row>
    <row r="675" ht="15.75" customHeight="1">
      <c r="A675" s="25" t="str">
        <f>'VIX HISTORIQUE'!A678</f>
        <v/>
      </c>
      <c r="B675" s="22" t="str">
        <f>'VIX HISTORIQUE'!B678</f>
        <v/>
      </c>
      <c r="C675" s="22" t="str">
        <f>'VIX HISTORIQUE'!D678</f>
        <v/>
      </c>
      <c r="D675" s="22" t="str">
        <f>'VIX HISTORIQUE'!F678</f>
        <v/>
      </c>
      <c r="E675" s="22" t="str">
        <f>'VIX HISTORIQUE'!H678</f>
        <v/>
      </c>
      <c r="F675" s="22" t="str">
        <f>'VIX HISTORIQUE'!J678</f>
        <v/>
      </c>
    </row>
    <row r="676" ht="15.75" customHeight="1">
      <c r="A676" s="25" t="str">
        <f>'VIX HISTORIQUE'!A679</f>
        <v/>
      </c>
      <c r="B676" s="22" t="str">
        <f>'VIX HISTORIQUE'!B679</f>
        <v/>
      </c>
      <c r="C676" s="22" t="str">
        <f>'VIX HISTORIQUE'!D679</f>
        <v/>
      </c>
      <c r="D676" s="22" t="str">
        <f>'VIX HISTORIQUE'!F679</f>
        <v/>
      </c>
      <c r="E676" s="22" t="str">
        <f>'VIX HISTORIQUE'!H679</f>
        <v/>
      </c>
      <c r="F676" s="22" t="str">
        <f>'VIX HISTORIQUE'!J679</f>
        <v/>
      </c>
    </row>
    <row r="677" ht="15.75" customHeight="1">
      <c r="A677" s="25" t="str">
        <f>'VIX HISTORIQUE'!A680</f>
        <v/>
      </c>
      <c r="B677" s="22" t="str">
        <f>'VIX HISTORIQUE'!B680</f>
        <v/>
      </c>
      <c r="C677" s="22" t="str">
        <f>'VIX HISTORIQUE'!D680</f>
        <v/>
      </c>
      <c r="D677" s="22" t="str">
        <f>'VIX HISTORIQUE'!F680</f>
        <v/>
      </c>
      <c r="E677" s="22" t="str">
        <f>'VIX HISTORIQUE'!H680</f>
        <v/>
      </c>
      <c r="F677" s="22" t="str">
        <f>'VIX HISTORIQUE'!J680</f>
        <v/>
      </c>
    </row>
    <row r="678" ht="15.75" customHeight="1">
      <c r="A678" s="25" t="str">
        <f>'VIX HISTORIQUE'!A681</f>
        <v/>
      </c>
      <c r="B678" s="22" t="str">
        <f>'VIX HISTORIQUE'!B681</f>
        <v/>
      </c>
      <c r="C678" s="22" t="str">
        <f>'VIX HISTORIQUE'!D681</f>
        <v/>
      </c>
      <c r="D678" s="22" t="str">
        <f>'VIX HISTORIQUE'!F681</f>
        <v/>
      </c>
      <c r="E678" s="22" t="str">
        <f>'VIX HISTORIQUE'!H681</f>
        <v/>
      </c>
      <c r="F678" s="22" t="str">
        <f>'VIX HISTORIQUE'!J681</f>
        <v/>
      </c>
    </row>
    <row r="679" ht="15.75" customHeight="1">
      <c r="A679" s="25" t="str">
        <f>'VIX HISTORIQUE'!A682</f>
        <v/>
      </c>
      <c r="B679" s="22" t="str">
        <f>'VIX HISTORIQUE'!B682</f>
        <v/>
      </c>
      <c r="C679" s="22" t="str">
        <f>'VIX HISTORIQUE'!D682</f>
        <v/>
      </c>
      <c r="D679" s="22" t="str">
        <f>'VIX HISTORIQUE'!F682</f>
        <v/>
      </c>
      <c r="E679" s="22" t="str">
        <f>'VIX HISTORIQUE'!H682</f>
        <v/>
      </c>
      <c r="F679" s="22" t="str">
        <f>'VIX HISTORIQUE'!J682</f>
        <v/>
      </c>
    </row>
    <row r="680" ht="15.75" customHeight="1">
      <c r="A680" s="25" t="str">
        <f>'VIX HISTORIQUE'!A683</f>
        <v/>
      </c>
      <c r="B680" s="22" t="str">
        <f>'VIX HISTORIQUE'!B683</f>
        <v/>
      </c>
      <c r="C680" s="22" t="str">
        <f>'VIX HISTORIQUE'!D683</f>
        <v/>
      </c>
      <c r="D680" s="22" t="str">
        <f>'VIX HISTORIQUE'!F683</f>
        <v/>
      </c>
      <c r="E680" s="22" t="str">
        <f>'VIX HISTORIQUE'!H683</f>
        <v/>
      </c>
      <c r="F680" s="22" t="str">
        <f>'VIX HISTORIQUE'!J683</f>
        <v/>
      </c>
    </row>
    <row r="681" ht="15.75" customHeight="1">
      <c r="A681" s="25" t="str">
        <f>'VIX HISTORIQUE'!A684</f>
        <v/>
      </c>
      <c r="B681" s="22" t="str">
        <f>'VIX HISTORIQUE'!B684</f>
        <v/>
      </c>
      <c r="C681" s="22" t="str">
        <f>'VIX HISTORIQUE'!D684</f>
        <v/>
      </c>
      <c r="D681" s="22" t="str">
        <f>'VIX HISTORIQUE'!F684</f>
        <v/>
      </c>
      <c r="E681" s="22" t="str">
        <f>'VIX HISTORIQUE'!H684</f>
        <v/>
      </c>
      <c r="F681" s="22" t="str">
        <f>'VIX HISTORIQUE'!J684</f>
        <v/>
      </c>
    </row>
    <row r="682" ht="15.75" customHeight="1">
      <c r="A682" s="25" t="str">
        <f>'VIX HISTORIQUE'!A685</f>
        <v/>
      </c>
      <c r="B682" s="22" t="str">
        <f>'VIX HISTORIQUE'!B685</f>
        <v/>
      </c>
      <c r="C682" s="22" t="str">
        <f>'VIX HISTORIQUE'!D685</f>
        <v/>
      </c>
      <c r="D682" s="22" t="str">
        <f>'VIX HISTORIQUE'!F685</f>
        <v/>
      </c>
      <c r="E682" s="22" t="str">
        <f>'VIX HISTORIQUE'!H685</f>
        <v/>
      </c>
      <c r="F682" s="22" t="str">
        <f>'VIX HISTORIQUE'!J685</f>
        <v/>
      </c>
    </row>
    <row r="683" ht="15.75" customHeight="1">
      <c r="A683" s="25" t="str">
        <f>'VIX HISTORIQUE'!A686</f>
        <v/>
      </c>
      <c r="B683" s="22" t="str">
        <f>'VIX HISTORIQUE'!B686</f>
        <v/>
      </c>
      <c r="C683" s="22" t="str">
        <f>'VIX HISTORIQUE'!D686</f>
        <v/>
      </c>
      <c r="D683" s="22" t="str">
        <f>'VIX HISTORIQUE'!F686</f>
        <v/>
      </c>
      <c r="E683" s="22" t="str">
        <f>'VIX HISTORIQUE'!H686</f>
        <v/>
      </c>
      <c r="F683" s="22" t="str">
        <f>'VIX HISTORIQUE'!J686</f>
        <v/>
      </c>
    </row>
    <row r="684" ht="15.75" customHeight="1">
      <c r="A684" s="25" t="str">
        <f>'VIX HISTORIQUE'!A687</f>
        <v/>
      </c>
      <c r="B684" s="22" t="str">
        <f>'VIX HISTORIQUE'!B687</f>
        <v/>
      </c>
      <c r="C684" s="22" t="str">
        <f>'VIX HISTORIQUE'!D687</f>
        <v/>
      </c>
      <c r="D684" s="22" t="str">
        <f>'VIX HISTORIQUE'!F687</f>
        <v/>
      </c>
      <c r="E684" s="22" t="str">
        <f>'VIX HISTORIQUE'!H687</f>
        <v/>
      </c>
      <c r="F684" s="22" t="str">
        <f>'VIX HISTORIQUE'!J687</f>
        <v/>
      </c>
    </row>
    <row r="685" ht="15.75" customHeight="1">
      <c r="A685" s="25" t="str">
        <f>'VIX HISTORIQUE'!A688</f>
        <v/>
      </c>
      <c r="B685" s="22" t="str">
        <f>'VIX HISTORIQUE'!B688</f>
        <v/>
      </c>
      <c r="C685" s="22" t="str">
        <f>'VIX HISTORIQUE'!D688</f>
        <v/>
      </c>
      <c r="D685" s="22" t="str">
        <f>'VIX HISTORIQUE'!F688</f>
        <v/>
      </c>
      <c r="E685" s="22" t="str">
        <f>'VIX HISTORIQUE'!H688</f>
        <v/>
      </c>
      <c r="F685" s="22" t="str">
        <f>'VIX HISTORIQUE'!J688</f>
        <v/>
      </c>
    </row>
    <row r="686" ht="15.75" customHeight="1">
      <c r="A686" s="25" t="str">
        <f>'VIX HISTORIQUE'!A689</f>
        <v/>
      </c>
      <c r="B686" s="22" t="str">
        <f>'VIX HISTORIQUE'!B689</f>
        <v/>
      </c>
      <c r="C686" s="22" t="str">
        <f>'VIX HISTORIQUE'!D689</f>
        <v/>
      </c>
      <c r="D686" s="22" t="str">
        <f>'VIX HISTORIQUE'!F689</f>
        <v/>
      </c>
      <c r="E686" s="22" t="str">
        <f>'VIX HISTORIQUE'!H689</f>
        <v/>
      </c>
      <c r="F686" s="22" t="str">
        <f>'VIX HISTORIQUE'!J689</f>
        <v/>
      </c>
    </row>
    <row r="687" ht="15.75" customHeight="1">
      <c r="A687" s="25" t="str">
        <f>'VIX HISTORIQUE'!A690</f>
        <v/>
      </c>
      <c r="B687" s="22" t="str">
        <f>'VIX HISTORIQUE'!B690</f>
        <v/>
      </c>
      <c r="C687" s="22" t="str">
        <f>'VIX HISTORIQUE'!D690</f>
        <v/>
      </c>
      <c r="D687" s="22" t="str">
        <f>'VIX HISTORIQUE'!F690</f>
        <v/>
      </c>
      <c r="E687" s="22" t="str">
        <f>'VIX HISTORIQUE'!H690</f>
        <v/>
      </c>
      <c r="F687" s="22" t="str">
        <f>'VIX HISTORIQUE'!J690</f>
        <v/>
      </c>
    </row>
    <row r="688" ht="15.75" customHeight="1">
      <c r="A688" s="25" t="str">
        <f>'VIX HISTORIQUE'!A691</f>
        <v/>
      </c>
      <c r="B688" s="22" t="str">
        <f>'VIX HISTORIQUE'!B691</f>
        <v/>
      </c>
      <c r="C688" s="22" t="str">
        <f>'VIX HISTORIQUE'!D691</f>
        <v/>
      </c>
      <c r="D688" s="22" t="str">
        <f>'VIX HISTORIQUE'!F691</f>
        <v/>
      </c>
      <c r="E688" s="22" t="str">
        <f>'VIX HISTORIQUE'!H691</f>
        <v/>
      </c>
      <c r="F688" s="22" t="str">
        <f>'VIX HISTORIQUE'!J691</f>
        <v/>
      </c>
    </row>
    <row r="689" ht="15.75" customHeight="1">
      <c r="A689" s="25" t="str">
        <f>'VIX HISTORIQUE'!A692</f>
        <v/>
      </c>
      <c r="B689" s="22" t="str">
        <f>'VIX HISTORIQUE'!B692</f>
        <v/>
      </c>
      <c r="C689" s="22" t="str">
        <f>'VIX HISTORIQUE'!D692</f>
        <v/>
      </c>
      <c r="D689" s="22" t="str">
        <f>'VIX HISTORIQUE'!F692</f>
        <v/>
      </c>
      <c r="E689" s="22" t="str">
        <f>'VIX HISTORIQUE'!H692</f>
        <v/>
      </c>
      <c r="F689" s="22" t="str">
        <f>'VIX HISTORIQUE'!J692</f>
        <v/>
      </c>
    </row>
    <row r="690" ht="15.75" customHeight="1">
      <c r="A690" s="25" t="str">
        <f>'VIX HISTORIQUE'!A693</f>
        <v/>
      </c>
      <c r="B690" s="22" t="str">
        <f>'VIX HISTORIQUE'!B693</f>
        <v/>
      </c>
      <c r="C690" s="22" t="str">
        <f>'VIX HISTORIQUE'!D693</f>
        <v/>
      </c>
      <c r="D690" s="22" t="str">
        <f>'VIX HISTORIQUE'!F693</f>
        <v/>
      </c>
      <c r="E690" s="22" t="str">
        <f>'VIX HISTORIQUE'!H693</f>
        <v/>
      </c>
      <c r="F690" s="22" t="str">
        <f>'VIX HISTORIQUE'!J693</f>
        <v/>
      </c>
    </row>
    <row r="691" ht="15.75" customHeight="1">
      <c r="A691" s="25" t="str">
        <f>'VIX HISTORIQUE'!A694</f>
        <v/>
      </c>
      <c r="B691" s="22" t="str">
        <f>'VIX HISTORIQUE'!B694</f>
        <v/>
      </c>
      <c r="C691" s="22" t="str">
        <f>'VIX HISTORIQUE'!D694</f>
        <v/>
      </c>
      <c r="D691" s="22" t="str">
        <f>'VIX HISTORIQUE'!F694</f>
        <v/>
      </c>
      <c r="E691" s="22" t="str">
        <f>'VIX HISTORIQUE'!H694</f>
        <v/>
      </c>
      <c r="F691" s="22" t="str">
        <f>'VIX HISTORIQUE'!J694</f>
        <v/>
      </c>
    </row>
    <row r="692" ht="15.75" customHeight="1">
      <c r="A692" s="25" t="str">
        <f>'VIX HISTORIQUE'!A695</f>
        <v/>
      </c>
      <c r="B692" s="22" t="str">
        <f>'VIX HISTORIQUE'!B695</f>
        <v/>
      </c>
      <c r="C692" s="22" t="str">
        <f>'VIX HISTORIQUE'!D695</f>
        <v/>
      </c>
      <c r="D692" s="22" t="str">
        <f>'VIX HISTORIQUE'!F695</f>
        <v/>
      </c>
      <c r="E692" s="22" t="str">
        <f>'VIX HISTORIQUE'!H695</f>
        <v/>
      </c>
      <c r="F692" s="22" t="str">
        <f>'VIX HISTORIQUE'!J695</f>
        <v/>
      </c>
    </row>
    <row r="693" ht="15.75" customHeight="1">
      <c r="A693" s="25" t="str">
        <f>'VIX HISTORIQUE'!A696</f>
        <v/>
      </c>
      <c r="B693" s="22" t="str">
        <f>'VIX HISTORIQUE'!B696</f>
        <v/>
      </c>
      <c r="C693" s="22" t="str">
        <f>'VIX HISTORIQUE'!D696</f>
        <v/>
      </c>
      <c r="D693" s="22" t="str">
        <f>'VIX HISTORIQUE'!F696</f>
        <v/>
      </c>
      <c r="E693" s="22" t="str">
        <f>'VIX HISTORIQUE'!H696</f>
        <v/>
      </c>
      <c r="F693" s="22" t="str">
        <f>'VIX HISTORIQUE'!J696</f>
        <v/>
      </c>
    </row>
    <row r="694" ht="15.75" customHeight="1">
      <c r="A694" s="25" t="str">
        <f>'VIX HISTORIQUE'!A697</f>
        <v/>
      </c>
      <c r="B694" s="22" t="str">
        <f>'VIX HISTORIQUE'!B697</f>
        <v/>
      </c>
      <c r="C694" s="22" t="str">
        <f>'VIX HISTORIQUE'!D697</f>
        <v/>
      </c>
      <c r="D694" s="22" t="str">
        <f>'VIX HISTORIQUE'!F697</f>
        <v/>
      </c>
      <c r="E694" s="22" t="str">
        <f>'VIX HISTORIQUE'!H697</f>
        <v/>
      </c>
      <c r="F694" s="22" t="str">
        <f>'VIX HISTORIQUE'!J697</f>
        <v/>
      </c>
    </row>
    <row r="695" ht="15.75" customHeight="1">
      <c r="A695" s="25" t="str">
        <f>'VIX HISTORIQUE'!A698</f>
        <v/>
      </c>
      <c r="B695" s="22" t="str">
        <f>'VIX HISTORIQUE'!B698</f>
        <v/>
      </c>
      <c r="C695" s="22" t="str">
        <f>'VIX HISTORIQUE'!D698</f>
        <v/>
      </c>
      <c r="D695" s="22" t="str">
        <f>'VIX HISTORIQUE'!F698</f>
        <v/>
      </c>
      <c r="E695" s="22" t="str">
        <f>'VIX HISTORIQUE'!H698</f>
        <v/>
      </c>
      <c r="F695" s="22" t="str">
        <f>'VIX HISTORIQUE'!J698</f>
        <v/>
      </c>
    </row>
    <row r="696" ht="15.75" customHeight="1">
      <c r="A696" s="25" t="str">
        <f>'VIX HISTORIQUE'!A699</f>
        <v/>
      </c>
      <c r="B696" s="22" t="str">
        <f>'VIX HISTORIQUE'!B699</f>
        <v/>
      </c>
      <c r="C696" s="22" t="str">
        <f>'VIX HISTORIQUE'!D699</f>
        <v/>
      </c>
      <c r="D696" s="22" t="str">
        <f>'VIX HISTORIQUE'!F699</f>
        <v/>
      </c>
      <c r="E696" s="22" t="str">
        <f>'VIX HISTORIQUE'!H699</f>
        <v/>
      </c>
      <c r="F696" s="22" t="str">
        <f>'VIX HISTORIQUE'!J699</f>
        <v/>
      </c>
    </row>
    <row r="697" ht="15.75" customHeight="1">
      <c r="A697" s="25" t="str">
        <f>'VIX HISTORIQUE'!A700</f>
        <v/>
      </c>
      <c r="B697" s="22" t="str">
        <f>'VIX HISTORIQUE'!B700</f>
        <v/>
      </c>
      <c r="C697" s="22" t="str">
        <f>'VIX HISTORIQUE'!D700</f>
        <v/>
      </c>
      <c r="D697" s="22" t="str">
        <f>'VIX HISTORIQUE'!F700</f>
        <v/>
      </c>
      <c r="E697" s="22" t="str">
        <f>'VIX HISTORIQUE'!H700</f>
        <v/>
      </c>
      <c r="F697" s="22" t="str">
        <f>'VIX HISTORIQUE'!J700</f>
        <v/>
      </c>
    </row>
    <row r="698" ht="15.75" customHeight="1">
      <c r="A698" s="25" t="str">
        <f>'VIX HISTORIQUE'!A701</f>
        <v/>
      </c>
      <c r="B698" s="22" t="str">
        <f>'VIX HISTORIQUE'!B701</f>
        <v/>
      </c>
      <c r="C698" s="22" t="str">
        <f>'VIX HISTORIQUE'!D701</f>
        <v/>
      </c>
      <c r="D698" s="22" t="str">
        <f>'VIX HISTORIQUE'!F701</f>
        <v/>
      </c>
      <c r="E698" s="22" t="str">
        <f>'VIX HISTORIQUE'!H701</f>
        <v/>
      </c>
      <c r="F698" s="22" t="str">
        <f>'VIX HISTORIQUE'!J701</f>
        <v/>
      </c>
    </row>
    <row r="699" ht="15.75" customHeight="1">
      <c r="A699" s="25" t="str">
        <f>'VIX HISTORIQUE'!A702</f>
        <v/>
      </c>
      <c r="B699" s="22" t="str">
        <f>'VIX HISTORIQUE'!B702</f>
        <v/>
      </c>
      <c r="C699" s="22" t="str">
        <f>'VIX HISTORIQUE'!D702</f>
        <v/>
      </c>
      <c r="D699" s="22" t="str">
        <f>'VIX HISTORIQUE'!F702</f>
        <v/>
      </c>
      <c r="E699" s="22" t="str">
        <f>'VIX HISTORIQUE'!H702</f>
        <v/>
      </c>
      <c r="F699" s="22" t="str">
        <f>'VIX HISTORIQUE'!J702</f>
        <v/>
      </c>
    </row>
    <row r="700" ht="15.75" customHeight="1">
      <c r="A700" s="25" t="str">
        <f>'VIX HISTORIQUE'!A703</f>
        <v/>
      </c>
      <c r="B700" s="22" t="str">
        <f>'VIX HISTORIQUE'!B703</f>
        <v/>
      </c>
      <c r="C700" s="22" t="str">
        <f>'VIX HISTORIQUE'!D703</f>
        <v/>
      </c>
      <c r="D700" s="22" t="str">
        <f>'VIX HISTORIQUE'!F703</f>
        <v/>
      </c>
      <c r="E700" s="22" t="str">
        <f>'VIX HISTORIQUE'!H703</f>
        <v/>
      </c>
      <c r="F700" s="22" t="str">
        <f>'VIX HISTORIQUE'!J703</f>
        <v/>
      </c>
    </row>
    <row r="701" ht="15.75" customHeight="1">
      <c r="A701" s="25" t="str">
        <f>'VIX HISTORIQUE'!A704</f>
        <v/>
      </c>
      <c r="B701" s="22" t="str">
        <f>'VIX HISTORIQUE'!B704</f>
        <v/>
      </c>
      <c r="C701" s="22" t="str">
        <f>'VIX HISTORIQUE'!D704</f>
        <v/>
      </c>
      <c r="D701" s="22" t="str">
        <f>'VIX HISTORIQUE'!F704</f>
        <v/>
      </c>
      <c r="E701" s="22" t="str">
        <f>'VIX HISTORIQUE'!H704</f>
        <v/>
      </c>
      <c r="F701" s="22" t="str">
        <f>'VIX HISTORIQUE'!J704</f>
        <v/>
      </c>
    </row>
    <row r="702" ht="15.75" customHeight="1">
      <c r="A702" s="25" t="str">
        <f>'VIX HISTORIQUE'!A705</f>
        <v/>
      </c>
      <c r="B702" s="22" t="str">
        <f>'VIX HISTORIQUE'!B705</f>
        <v/>
      </c>
      <c r="C702" s="22" t="str">
        <f>'VIX HISTORIQUE'!D705</f>
        <v/>
      </c>
      <c r="D702" s="22" t="str">
        <f>'VIX HISTORIQUE'!F705</f>
        <v/>
      </c>
      <c r="E702" s="22" t="str">
        <f>'VIX HISTORIQUE'!H705</f>
        <v/>
      </c>
      <c r="F702" s="22" t="str">
        <f>'VIX HISTORIQUE'!J705</f>
        <v/>
      </c>
    </row>
    <row r="703" ht="15.75" customHeight="1">
      <c r="A703" s="25" t="str">
        <f>'VIX HISTORIQUE'!A706</f>
        <v/>
      </c>
      <c r="B703" s="22" t="str">
        <f>'VIX HISTORIQUE'!B706</f>
        <v/>
      </c>
      <c r="C703" s="22" t="str">
        <f>'VIX HISTORIQUE'!D706</f>
        <v/>
      </c>
      <c r="D703" s="22" t="str">
        <f>'VIX HISTORIQUE'!F706</f>
        <v/>
      </c>
      <c r="E703" s="22" t="str">
        <f>'VIX HISTORIQUE'!H706</f>
        <v/>
      </c>
      <c r="F703" s="22" t="str">
        <f>'VIX HISTORIQUE'!J706</f>
        <v/>
      </c>
    </row>
    <row r="704" ht="15.75" customHeight="1">
      <c r="A704" s="25" t="str">
        <f>'VIX HISTORIQUE'!A707</f>
        <v/>
      </c>
      <c r="B704" s="22" t="str">
        <f>'VIX HISTORIQUE'!B707</f>
        <v/>
      </c>
      <c r="C704" s="22" t="str">
        <f>'VIX HISTORIQUE'!D707</f>
        <v/>
      </c>
      <c r="D704" s="22" t="str">
        <f>'VIX HISTORIQUE'!F707</f>
        <v/>
      </c>
      <c r="E704" s="22" t="str">
        <f>'VIX HISTORIQUE'!H707</f>
        <v/>
      </c>
      <c r="F704" s="22" t="str">
        <f>'VIX HISTORIQUE'!J707</f>
        <v/>
      </c>
    </row>
    <row r="705" ht="15.75" customHeight="1">
      <c r="A705" s="25" t="str">
        <f>'VIX HISTORIQUE'!A708</f>
        <v/>
      </c>
      <c r="B705" s="22" t="str">
        <f>'VIX HISTORIQUE'!B708</f>
        <v/>
      </c>
      <c r="C705" s="22" t="str">
        <f>'VIX HISTORIQUE'!D708</f>
        <v/>
      </c>
      <c r="D705" s="22" t="str">
        <f>'VIX HISTORIQUE'!F708</f>
        <v/>
      </c>
      <c r="E705" s="22" t="str">
        <f>'VIX HISTORIQUE'!H708</f>
        <v/>
      </c>
      <c r="F705" s="22" t="str">
        <f>'VIX HISTORIQUE'!J708</f>
        <v/>
      </c>
    </row>
    <row r="706" ht="15.75" customHeight="1">
      <c r="A706" s="25" t="str">
        <f>'VIX HISTORIQUE'!A709</f>
        <v/>
      </c>
      <c r="B706" s="22" t="str">
        <f>'VIX HISTORIQUE'!B709</f>
        <v/>
      </c>
      <c r="C706" s="22" t="str">
        <f>'VIX HISTORIQUE'!D709</f>
        <v/>
      </c>
      <c r="D706" s="22" t="str">
        <f>'VIX HISTORIQUE'!F709</f>
        <v/>
      </c>
      <c r="E706" s="22" t="str">
        <f>'VIX HISTORIQUE'!H709</f>
        <v/>
      </c>
      <c r="F706" s="22" t="str">
        <f>'VIX HISTORIQUE'!J709</f>
        <v/>
      </c>
    </row>
    <row r="707" ht="15.75" customHeight="1">
      <c r="A707" s="25" t="str">
        <f>'VIX HISTORIQUE'!A710</f>
        <v/>
      </c>
      <c r="B707" s="22" t="str">
        <f>'VIX HISTORIQUE'!B710</f>
        <v/>
      </c>
      <c r="C707" s="22" t="str">
        <f>'VIX HISTORIQUE'!D710</f>
        <v/>
      </c>
      <c r="D707" s="22" t="str">
        <f>'VIX HISTORIQUE'!F710</f>
        <v/>
      </c>
      <c r="E707" s="22" t="str">
        <f>'VIX HISTORIQUE'!H710</f>
        <v/>
      </c>
      <c r="F707" s="22" t="str">
        <f>'VIX HISTORIQUE'!J710</f>
        <v/>
      </c>
    </row>
    <row r="708" ht="15.75" customHeight="1">
      <c r="A708" s="25" t="str">
        <f>'VIX HISTORIQUE'!A711</f>
        <v/>
      </c>
      <c r="B708" s="22" t="str">
        <f>'VIX HISTORIQUE'!B711</f>
        <v/>
      </c>
      <c r="C708" s="22" t="str">
        <f>'VIX HISTORIQUE'!D711</f>
        <v/>
      </c>
      <c r="D708" s="22" t="str">
        <f>'VIX HISTORIQUE'!F711</f>
        <v/>
      </c>
      <c r="E708" s="22" t="str">
        <f>'VIX HISTORIQUE'!H711</f>
        <v/>
      </c>
      <c r="F708" s="22" t="str">
        <f>'VIX HISTORIQUE'!J711</f>
        <v/>
      </c>
    </row>
    <row r="709" ht="15.75" customHeight="1">
      <c r="A709" s="25" t="str">
        <f>'VIX HISTORIQUE'!A712</f>
        <v/>
      </c>
      <c r="B709" s="22" t="str">
        <f>'VIX HISTORIQUE'!B712</f>
        <v/>
      </c>
      <c r="C709" s="22" t="str">
        <f>'VIX HISTORIQUE'!D712</f>
        <v/>
      </c>
      <c r="D709" s="22" t="str">
        <f>'VIX HISTORIQUE'!F712</f>
        <v/>
      </c>
      <c r="E709" s="22" t="str">
        <f>'VIX HISTORIQUE'!H712</f>
        <v/>
      </c>
      <c r="F709" s="22" t="str">
        <f>'VIX HISTORIQUE'!J712</f>
        <v/>
      </c>
    </row>
    <row r="710" ht="15.75" customHeight="1">
      <c r="A710" s="25" t="str">
        <f>'VIX HISTORIQUE'!A713</f>
        <v/>
      </c>
      <c r="B710" s="22" t="str">
        <f>'VIX HISTORIQUE'!B713</f>
        <v/>
      </c>
      <c r="C710" s="22" t="str">
        <f>'VIX HISTORIQUE'!D713</f>
        <v/>
      </c>
      <c r="D710" s="22" t="str">
        <f>'VIX HISTORIQUE'!F713</f>
        <v/>
      </c>
      <c r="E710" s="22" t="str">
        <f>'VIX HISTORIQUE'!H713</f>
        <v/>
      </c>
      <c r="F710" s="22" t="str">
        <f>'VIX HISTORIQUE'!J713</f>
        <v/>
      </c>
    </row>
    <row r="711" ht="15.75" customHeight="1">
      <c r="A711" s="25" t="str">
        <f>'VIX HISTORIQUE'!A714</f>
        <v/>
      </c>
      <c r="B711" s="22" t="str">
        <f>'VIX HISTORIQUE'!B714</f>
        <v/>
      </c>
      <c r="C711" s="22" t="str">
        <f>'VIX HISTORIQUE'!D714</f>
        <v/>
      </c>
      <c r="D711" s="22" t="str">
        <f>'VIX HISTORIQUE'!F714</f>
        <v/>
      </c>
      <c r="E711" s="22" t="str">
        <f>'VIX HISTORIQUE'!H714</f>
        <v/>
      </c>
      <c r="F711" s="22" t="str">
        <f>'VIX HISTORIQUE'!J714</f>
        <v/>
      </c>
    </row>
    <row r="712" ht="15.75" customHeight="1">
      <c r="A712" s="25" t="str">
        <f>'VIX HISTORIQUE'!A715</f>
        <v/>
      </c>
      <c r="B712" s="22" t="str">
        <f>'VIX HISTORIQUE'!B715</f>
        <v/>
      </c>
      <c r="C712" s="22" t="str">
        <f>'VIX HISTORIQUE'!D715</f>
        <v/>
      </c>
      <c r="D712" s="22" t="str">
        <f>'VIX HISTORIQUE'!F715</f>
        <v/>
      </c>
      <c r="E712" s="22" t="str">
        <f>'VIX HISTORIQUE'!H715</f>
        <v/>
      </c>
      <c r="F712" s="22" t="str">
        <f>'VIX HISTORIQUE'!J715</f>
        <v/>
      </c>
    </row>
    <row r="713" ht="15.75" customHeight="1">
      <c r="A713" s="25" t="str">
        <f>'VIX HISTORIQUE'!A716</f>
        <v/>
      </c>
      <c r="B713" s="22" t="str">
        <f>'VIX HISTORIQUE'!B716</f>
        <v/>
      </c>
      <c r="C713" s="22" t="str">
        <f>'VIX HISTORIQUE'!D716</f>
        <v/>
      </c>
      <c r="D713" s="22" t="str">
        <f>'VIX HISTORIQUE'!F716</f>
        <v/>
      </c>
      <c r="E713" s="22" t="str">
        <f>'VIX HISTORIQUE'!H716</f>
        <v/>
      </c>
      <c r="F713" s="22" t="str">
        <f>'VIX HISTORIQUE'!J716</f>
        <v/>
      </c>
    </row>
    <row r="714" ht="15.75" customHeight="1">
      <c r="A714" s="25" t="str">
        <f>'VIX HISTORIQUE'!A717</f>
        <v/>
      </c>
      <c r="B714" s="22" t="str">
        <f>'VIX HISTORIQUE'!B717</f>
        <v/>
      </c>
      <c r="C714" s="22" t="str">
        <f>'VIX HISTORIQUE'!D717</f>
        <v/>
      </c>
      <c r="D714" s="22" t="str">
        <f>'VIX HISTORIQUE'!F717</f>
        <v/>
      </c>
      <c r="E714" s="22" t="str">
        <f>'VIX HISTORIQUE'!H717</f>
        <v/>
      </c>
      <c r="F714" s="22" t="str">
        <f>'VIX HISTORIQUE'!J717</f>
        <v/>
      </c>
    </row>
    <row r="715" ht="15.75" customHeight="1">
      <c r="A715" s="25" t="str">
        <f>'VIX HISTORIQUE'!A718</f>
        <v/>
      </c>
      <c r="B715" s="22" t="str">
        <f>'VIX HISTORIQUE'!B718</f>
        <v/>
      </c>
      <c r="C715" s="22" t="str">
        <f>'VIX HISTORIQUE'!D718</f>
        <v/>
      </c>
      <c r="D715" s="22" t="str">
        <f>'VIX HISTORIQUE'!F718</f>
        <v/>
      </c>
      <c r="E715" s="22" t="str">
        <f>'VIX HISTORIQUE'!H718</f>
        <v/>
      </c>
      <c r="F715" s="22" t="str">
        <f>'VIX HISTORIQUE'!J718</f>
        <v/>
      </c>
    </row>
    <row r="716" ht="15.75" customHeight="1">
      <c r="A716" s="25" t="str">
        <f>'VIX HISTORIQUE'!A719</f>
        <v/>
      </c>
      <c r="B716" s="22" t="str">
        <f>'VIX HISTORIQUE'!B719</f>
        <v/>
      </c>
      <c r="C716" s="22" t="str">
        <f>'VIX HISTORIQUE'!D719</f>
        <v/>
      </c>
      <c r="D716" s="22" t="str">
        <f>'VIX HISTORIQUE'!F719</f>
        <v/>
      </c>
      <c r="E716" s="22" t="str">
        <f>'VIX HISTORIQUE'!H719</f>
        <v/>
      </c>
      <c r="F716" s="22" t="str">
        <f>'VIX HISTORIQUE'!J719</f>
        <v/>
      </c>
    </row>
    <row r="717" ht="15.75" customHeight="1">
      <c r="A717" s="25" t="str">
        <f>'VIX HISTORIQUE'!A720</f>
        <v/>
      </c>
      <c r="B717" s="22" t="str">
        <f>'VIX HISTORIQUE'!B720</f>
        <v/>
      </c>
      <c r="C717" s="22" t="str">
        <f>'VIX HISTORIQUE'!D720</f>
        <v/>
      </c>
      <c r="D717" s="22" t="str">
        <f>'VIX HISTORIQUE'!F720</f>
        <v/>
      </c>
      <c r="E717" s="22" t="str">
        <f>'VIX HISTORIQUE'!H720</f>
        <v/>
      </c>
      <c r="F717" s="22" t="str">
        <f>'VIX HISTORIQUE'!J720</f>
        <v/>
      </c>
    </row>
    <row r="718" ht="15.75" customHeight="1">
      <c r="A718" s="25" t="str">
        <f>'VIX HISTORIQUE'!A721</f>
        <v/>
      </c>
      <c r="B718" s="22" t="str">
        <f>'VIX HISTORIQUE'!B721</f>
        <v/>
      </c>
      <c r="C718" s="22" t="str">
        <f>'VIX HISTORIQUE'!D721</f>
        <v/>
      </c>
      <c r="D718" s="22" t="str">
        <f>'VIX HISTORIQUE'!F721</f>
        <v/>
      </c>
      <c r="E718" s="22" t="str">
        <f>'VIX HISTORIQUE'!H721</f>
        <v/>
      </c>
      <c r="F718" s="22" t="str">
        <f>'VIX HISTORIQUE'!J721</f>
        <v/>
      </c>
    </row>
    <row r="719" ht="15.75" customHeight="1">
      <c r="A719" s="25" t="str">
        <f>'VIX HISTORIQUE'!A722</f>
        <v/>
      </c>
      <c r="B719" s="22" t="str">
        <f>'VIX HISTORIQUE'!B722</f>
        <v/>
      </c>
      <c r="C719" s="22" t="str">
        <f>'VIX HISTORIQUE'!D722</f>
        <v/>
      </c>
      <c r="D719" s="22" t="str">
        <f>'VIX HISTORIQUE'!F722</f>
        <v/>
      </c>
      <c r="E719" s="22" t="str">
        <f>'VIX HISTORIQUE'!H722</f>
        <v/>
      </c>
      <c r="F719" s="22" t="str">
        <f>'VIX HISTORIQUE'!J722</f>
        <v/>
      </c>
    </row>
    <row r="720" ht="15.75" customHeight="1">
      <c r="A720" s="25" t="str">
        <f>'VIX HISTORIQUE'!A723</f>
        <v/>
      </c>
      <c r="B720" s="22" t="str">
        <f>'VIX HISTORIQUE'!B723</f>
        <v/>
      </c>
      <c r="C720" s="22" t="str">
        <f>'VIX HISTORIQUE'!D723</f>
        <v/>
      </c>
      <c r="D720" s="22" t="str">
        <f>'VIX HISTORIQUE'!F723</f>
        <v/>
      </c>
      <c r="E720" s="22" t="str">
        <f>'VIX HISTORIQUE'!H723</f>
        <v/>
      </c>
      <c r="F720" s="22" t="str">
        <f>'VIX HISTORIQUE'!J723</f>
        <v/>
      </c>
    </row>
    <row r="721" ht="15.75" customHeight="1">
      <c r="A721" s="25" t="str">
        <f>'VIX HISTORIQUE'!A724</f>
        <v/>
      </c>
      <c r="B721" s="22" t="str">
        <f>'VIX HISTORIQUE'!B724</f>
        <v/>
      </c>
      <c r="C721" s="22" t="str">
        <f>'VIX HISTORIQUE'!D724</f>
        <v/>
      </c>
      <c r="D721" s="22" t="str">
        <f>'VIX HISTORIQUE'!F724</f>
        <v/>
      </c>
      <c r="E721" s="22" t="str">
        <f>'VIX HISTORIQUE'!H724</f>
        <v/>
      </c>
      <c r="F721" s="22" t="str">
        <f>'VIX HISTORIQUE'!J724</f>
        <v/>
      </c>
    </row>
    <row r="722" ht="15.75" customHeight="1">
      <c r="A722" s="25" t="str">
        <f>'VIX HISTORIQUE'!A725</f>
        <v/>
      </c>
      <c r="B722" s="22" t="str">
        <f>'VIX HISTORIQUE'!B725</f>
        <v/>
      </c>
      <c r="C722" s="22" t="str">
        <f>'VIX HISTORIQUE'!D725</f>
        <v/>
      </c>
      <c r="D722" s="22" t="str">
        <f>'VIX HISTORIQUE'!F725</f>
        <v/>
      </c>
      <c r="E722" s="22" t="str">
        <f>'VIX HISTORIQUE'!H725</f>
        <v/>
      </c>
      <c r="F722" s="22" t="str">
        <f>'VIX HISTORIQUE'!J725</f>
        <v/>
      </c>
    </row>
    <row r="723" ht="15.75" customHeight="1">
      <c r="A723" s="25" t="str">
        <f>'VIX HISTORIQUE'!A726</f>
        <v/>
      </c>
      <c r="B723" s="22" t="str">
        <f>'VIX HISTORIQUE'!B726</f>
        <v/>
      </c>
      <c r="C723" s="22" t="str">
        <f>'VIX HISTORIQUE'!D726</f>
        <v/>
      </c>
      <c r="D723" s="22" t="str">
        <f>'VIX HISTORIQUE'!F726</f>
        <v/>
      </c>
      <c r="E723" s="22" t="str">
        <f>'VIX HISTORIQUE'!H726</f>
        <v/>
      </c>
      <c r="F723" s="22" t="str">
        <f>'VIX HISTORIQUE'!J726</f>
        <v/>
      </c>
    </row>
    <row r="724" ht="15.75" customHeight="1">
      <c r="A724" s="25" t="str">
        <f>'VIX HISTORIQUE'!A727</f>
        <v/>
      </c>
      <c r="B724" s="22" t="str">
        <f>'VIX HISTORIQUE'!B727</f>
        <v/>
      </c>
      <c r="C724" s="22" t="str">
        <f>'VIX HISTORIQUE'!D727</f>
        <v/>
      </c>
      <c r="D724" s="22" t="str">
        <f>'VIX HISTORIQUE'!F727</f>
        <v/>
      </c>
      <c r="E724" s="22" t="str">
        <f>'VIX HISTORIQUE'!H727</f>
        <v/>
      </c>
      <c r="F724" s="22" t="str">
        <f>'VIX HISTORIQUE'!J727</f>
        <v/>
      </c>
    </row>
    <row r="725" ht="15.75" customHeight="1">
      <c r="A725" s="25" t="str">
        <f>'VIX HISTORIQUE'!A728</f>
        <v/>
      </c>
      <c r="B725" s="22" t="str">
        <f>'VIX HISTORIQUE'!B728</f>
        <v/>
      </c>
      <c r="C725" s="22" t="str">
        <f>'VIX HISTORIQUE'!D728</f>
        <v/>
      </c>
      <c r="D725" s="22" t="str">
        <f>'VIX HISTORIQUE'!F728</f>
        <v/>
      </c>
      <c r="E725" s="22" t="str">
        <f>'VIX HISTORIQUE'!H728</f>
        <v/>
      </c>
      <c r="F725" s="22" t="str">
        <f>'VIX HISTORIQUE'!J728</f>
        <v/>
      </c>
    </row>
    <row r="726" ht="15.75" customHeight="1">
      <c r="A726" s="25" t="str">
        <f>'VIX HISTORIQUE'!A729</f>
        <v/>
      </c>
      <c r="B726" s="22" t="str">
        <f>'VIX HISTORIQUE'!B729</f>
        <v/>
      </c>
      <c r="C726" s="22" t="str">
        <f>'VIX HISTORIQUE'!D729</f>
        <v/>
      </c>
      <c r="D726" s="22" t="str">
        <f>'VIX HISTORIQUE'!F729</f>
        <v/>
      </c>
      <c r="E726" s="22" t="str">
        <f>'VIX HISTORIQUE'!H729</f>
        <v/>
      </c>
      <c r="F726" s="22" t="str">
        <f>'VIX HISTORIQUE'!J729</f>
        <v/>
      </c>
    </row>
    <row r="727" ht="15.75" customHeight="1">
      <c r="A727" s="25" t="str">
        <f>'VIX HISTORIQUE'!A730</f>
        <v/>
      </c>
      <c r="B727" s="22" t="str">
        <f>'VIX HISTORIQUE'!B730</f>
        <v/>
      </c>
      <c r="C727" s="22" t="str">
        <f>'VIX HISTORIQUE'!D730</f>
        <v/>
      </c>
      <c r="D727" s="22" t="str">
        <f>'VIX HISTORIQUE'!F730</f>
        <v/>
      </c>
      <c r="E727" s="22" t="str">
        <f>'VIX HISTORIQUE'!H730</f>
        <v/>
      </c>
      <c r="F727" s="22" t="str">
        <f>'VIX HISTORIQUE'!J730</f>
        <v/>
      </c>
    </row>
    <row r="728" ht="15.75" customHeight="1">
      <c r="A728" s="25" t="str">
        <f>'VIX HISTORIQUE'!A731</f>
        <v/>
      </c>
      <c r="B728" s="22" t="str">
        <f>'VIX HISTORIQUE'!B731</f>
        <v/>
      </c>
      <c r="C728" s="22" t="str">
        <f>'VIX HISTORIQUE'!D731</f>
        <v/>
      </c>
      <c r="D728" s="22" t="str">
        <f>'VIX HISTORIQUE'!F731</f>
        <v/>
      </c>
      <c r="E728" s="22" t="str">
        <f>'VIX HISTORIQUE'!H731</f>
        <v/>
      </c>
      <c r="F728" s="22" t="str">
        <f>'VIX HISTORIQUE'!J731</f>
        <v/>
      </c>
    </row>
    <row r="729" ht="15.75" customHeight="1">
      <c r="A729" s="25" t="str">
        <f>'VIX HISTORIQUE'!A732</f>
        <v/>
      </c>
      <c r="B729" s="22" t="str">
        <f>'VIX HISTORIQUE'!B732</f>
        <v/>
      </c>
      <c r="C729" s="22" t="str">
        <f>'VIX HISTORIQUE'!D732</f>
        <v/>
      </c>
      <c r="D729" s="22" t="str">
        <f>'VIX HISTORIQUE'!F732</f>
        <v/>
      </c>
      <c r="E729" s="22" t="str">
        <f>'VIX HISTORIQUE'!H732</f>
        <v/>
      </c>
      <c r="F729" s="22" t="str">
        <f>'VIX HISTORIQUE'!J732</f>
        <v/>
      </c>
    </row>
    <row r="730" ht="15.75" customHeight="1">
      <c r="A730" s="25" t="str">
        <f>'VIX HISTORIQUE'!A733</f>
        <v/>
      </c>
      <c r="B730" s="22" t="str">
        <f>'VIX HISTORIQUE'!B733</f>
        <v/>
      </c>
      <c r="C730" s="22" t="str">
        <f>'VIX HISTORIQUE'!D733</f>
        <v/>
      </c>
      <c r="D730" s="22" t="str">
        <f>'VIX HISTORIQUE'!F733</f>
        <v/>
      </c>
      <c r="E730" s="22" t="str">
        <f>'VIX HISTORIQUE'!H733</f>
        <v/>
      </c>
      <c r="F730" s="22" t="str">
        <f>'VIX HISTORIQUE'!J733</f>
        <v/>
      </c>
    </row>
    <row r="731" ht="15.75" customHeight="1">
      <c r="A731" s="25" t="str">
        <f>'VIX HISTORIQUE'!A734</f>
        <v/>
      </c>
      <c r="B731" s="22" t="str">
        <f>'VIX HISTORIQUE'!B734</f>
        <v/>
      </c>
      <c r="C731" s="22" t="str">
        <f>'VIX HISTORIQUE'!D734</f>
        <v/>
      </c>
      <c r="D731" s="22" t="str">
        <f>'VIX HISTORIQUE'!F734</f>
        <v/>
      </c>
      <c r="E731" s="22" t="str">
        <f>'VIX HISTORIQUE'!H734</f>
        <v/>
      </c>
      <c r="F731" s="22" t="str">
        <f>'VIX HISTORIQUE'!J734</f>
        <v/>
      </c>
    </row>
    <row r="732" ht="15.75" customHeight="1">
      <c r="A732" s="25" t="str">
        <f>'VIX HISTORIQUE'!A735</f>
        <v/>
      </c>
      <c r="B732" s="22" t="str">
        <f>'VIX HISTORIQUE'!B735</f>
        <v/>
      </c>
      <c r="C732" s="22" t="str">
        <f>'VIX HISTORIQUE'!D735</f>
        <v/>
      </c>
      <c r="D732" s="22" t="str">
        <f>'VIX HISTORIQUE'!F735</f>
        <v/>
      </c>
      <c r="E732" s="22" t="str">
        <f>'VIX HISTORIQUE'!H735</f>
        <v/>
      </c>
      <c r="F732" s="22" t="str">
        <f>'VIX HISTORIQUE'!J735</f>
        <v/>
      </c>
    </row>
    <row r="733" ht="15.75" customHeight="1">
      <c r="A733" s="25" t="str">
        <f>'VIX HISTORIQUE'!A736</f>
        <v/>
      </c>
      <c r="B733" s="22" t="str">
        <f>'VIX HISTORIQUE'!B736</f>
        <v/>
      </c>
      <c r="C733" s="22" t="str">
        <f>'VIX HISTORIQUE'!D736</f>
        <v/>
      </c>
      <c r="D733" s="22" t="str">
        <f>'VIX HISTORIQUE'!F736</f>
        <v/>
      </c>
      <c r="E733" s="22" t="str">
        <f>'VIX HISTORIQUE'!H736</f>
        <v/>
      </c>
      <c r="F733" s="22" t="str">
        <f>'VIX HISTORIQUE'!J736</f>
        <v/>
      </c>
    </row>
    <row r="734" ht="15.75" customHeight="1">
      <c r="A734" s="25" t="str">
        <f>'VIX HISTORIQUE'!A737</f>
        <v/>
      </c>
      <c r="B734" s="22" t="str">
        <f>'VIX HISTORIQUE'!B737</f>
        <v/>
      </c>
      <c r="C734" s="22" t="str">
        <f>'VIX HISTORIQUE'!D737</f>
        <v/>
      </c>
      <c r="D734" s="22" t="str">
        <f>'VIX HISTORIQUE'!F737</f>
        <v/>
      </c>
      <c r="E734" s="22" t="str">
        <f>'VIX HISTORIQUE'!H737</f>
        <v/>
      </c>
      <c r="F734" s="22" t="str">
        <f>'VIX HISTORIQUE'!J737</f>
        <v/>
      </c>
    </row>
    <row r="735" ht="15.75" customHeight="1">
      <c r="A735" s="25" t="str">
        <f>'VIX HISTORIQUE'!A738</f>
        <v/>
      </c>
      <c r="B735" s="22" t="str">
        <f>'VIX HISTORIQUE'!B738</f>
        <v/>
      </c>
      <c r="C735" s="22" t="str">
        <f>'VIX HISTORIQUE'!D738</f>
        <v/>
      </c>
      <c r="D735" s="22" t="str">
        <f>'VIX HISTORIQUE'!F738</f>
        <v/>
      </c>
      <c r="E735" s="22" t="str">
        <f>'VIX HISTORIQUE'!H738</f>
        <v/>
      </c>
      <c r="F735" s="22" t="str">
        <f>'VIX HISTORIQUE'!J738</f>
        <v/>
      </c>
    </row>
    <row r="736" ht="15.75" customHeight="1">
      <c r="A736" s="25" t="str">
        <f>'VIX HISTORIQUE'!A739</f>
        <v/>
      </c>
      <c r="B736" s="22" t="str">
        <f>'VIX HISTORIQUE'!B739</f>
        <v/>
      </c>
      <c r="C736" s="22" t="str">
        <f>'VIX HISTORIQUE'!D739</f>
        <v/>
      </c>
      <c r="D736" s="22" t="str">
        <f>'VIX HISTORIQUE'!F739</f>
        <v/>
      </c>
      <c r="E736" s="22" t="str">
        <f>'VIX HISTORIQUE'!H739</f>
        <v/>
      </c>
      <c r="F736" s="22" t="str">
        <f>'VIX HISTORIQUE'!J739</f>
        <v/>
      </c>
    </row>
    <row r="737" ht="15.75" customHeight="1">
      <c r="A737" s="25" t="str">
        <f>'VIX HISTORIQUE'!A740</f>
        <v/>
      </c>
      <c r="B737" s="22" t="str">
        <f>'VIX HISTORIQUE'!B740</f>
        <v/>
      </c>
      <c r="C737" s="22" t="str">
        <f>'VIX HISTORIQUE'!D740</f>
        <v/>
      </c>
      <c r="D737" s="22" t="str">
        <f>'VIX HISTORIQUE'!F740</f>
        <v/>
      </c>
      <c r="E737" s="22" t="str">
        <f>'VIX HISTORIQUE'!H740</f>
        <v/>
      </c>
      <c r="F737" s="22" t="str">
        <f>'VIX HISTORIQUE'!J740</f>
        <v/>
      </c>
    </row>
    <row r="738" ht="15.75" customHeight="1">
      <c r="A738" s="25" t="str">
        <f>'VIX HISTORIQUE'!A741</f>
        <v/>
      </c>
      <c r="B738" s="22" t="str">
        <f>'VIX HISTORIQUE'!B741</f>
        <v/>
      </c>
      <c r="C738" s="22" t="str">
        <f>'VIX HISTORIQUE'!D741</f>
        <v/>
      </c>
      <c r="D738" s="22" t="str">
        <f>'VIX HISTORIQUE'!F741</f>
        <v/>
      </c>
      <c r="E738" s="22" t="str">
        <f>'VIX HISTORIQUE'!H741</f>
        <v/>
      </c>
      <c r="F738" s="22" t="str">
        <f>'VIX HISTORIQUE'!J741</f>
        <v/>
      </c>
    </row>
    <row r="739" ht="15.75" customHeight="1">
      <c r="A739" s="25" t="str">
        <f>'VIX HISTORIQUE'!A742</f>
        <v/>
      </c>
      <c r="B739" s="22" t="str">
        <f>'VIX HISTORIQUE'!B742</f>
        <v/>
      </c>
      <c r="C739" s="22" t="str">
        <f>'VIX HISTORIQUE'!D742</f>
        <v/>
      </c>
      <c r="D739" s="22" t="str">
        <f>'VIX HISTORIQUE'!F742</f>
        <v/>
      </c>
      <c r="E739" s="22" t="str">
        <f>'VIX HISTORIQUE'!H742</f>
        <v/>
      </c>
      <c r="F739" s="22" t="str">
        <f>'VIX HISTORIQUE'!J742</f>
        <v/>
      </c>
    </row>
    <row r="740" ht="15.75" customHeight="1">
      <c r="A740" s="25" t="str">
        <f>'VIX HISTORIQUE'!A743</f>
        <v/>
      </c>
      <c r="B740" s="22" t="str">
        <f>'VIX HISTORIQUE'!B743</f>
        <v/>
      </c>
      <c r="C740" s="22" t="str">
        <f>'VIX HISTORIQUE'!D743</f>
        <v/>
      </c>
      <c r="D740" s="22" t="str">
        <f>'VIX HISTORIQUE'!F743</f>
        <v/>
      </c>
      <c r="E740" s="22" t="str">
        <f>'VIX HISTORIQUE'!H743</f>
        <v/>
      </c>
      <c r="F740" s="22" t="str">
        <f>'VIX HISTORIQUE'!J743</f>
        <v/>
      </c>
    </row>
    <row r="741" ht="15.75" customHeight="1">
      <c r="A741" s="25" t="str">
        <f>'VIX HISTORIQUE'!A744</f>
        <v/>
      </c>
      <c r="B741" s="22" t="str">
        <f>'VIX HISTORIQUE'!B744</f>
        <v/>
      </c>
      <c r="C741" s="22" t="str">
        <f>'VIX HISTORIQUE'!D744</f>
        <v/>
      </c>
      <c r="D741" s="22" t="str">
        <f>'VIX HISTORIQUE'!F744</f>
        <v/>
      </c>
      <c r="E741" s="22" t="str">
        <f>'VIX HISTORIQUE'!H744</f>
        <v/>
      </c>
      <c r="F741" s="22" t="str">
        <f>'VIX HISTORIQUE'!J744</f>
        <v/>
      </c>
    </row>
    <row r="742" ht="15.75" customHeight="1">
      <c r="A742" s="25" t="str">
        <f>'VIX HISTORIQUE'!A745</f>
        <v/>
      </c>
      <c r="B742" s="22" t="str">
        <f>'VIX HISTORIQUE'!B745</f>
        <v/>
      </c>
      <c r="C742" s="22" t="str">
        <f>'VIX HISTORIQUE'!D745</f>
        <v/>
      </c>
      <c r="D742" s="22" t="str">
        <f>'VIX HISTORIQUE'!F745</f>
        <v/>
      </c>
      <c r="E742" s="22" t="str">
        <f>'VIX HISTORIQUE'!H745</f>
        <v/>
      </c>
      <c r="F742" s="22" t="str">
        <f>'VIX HISTORIQUE'!J745</f>
        <v/>
      </c>
    </row>
    <row r="743" ht="15.75" customHeight="1">
      <c r="A743" s="25" t="str">
        <f>'VIX HISTORIQUE'!A746</f>
        <v/>
      </c>
      <c r="B743" s="22" t="str">
        <f>'VIX HISTORIQUE'!B746</f>
        <v/>
      </c>
      <c r="C743" s="22" t="str">
        <f>'VIX HISTORIQUE'!D746</f>
        <v/>
      </c>
      <c r="D743" s="22" t="str">
        <f>'VIX HISTORIQUE'!F746</f>
        <v/>
      </c>
      <c r="E743" s="22" t="str">
        <f>'VIX HISTORIQUE'!H746</f>
        <v/>
      </c>
      <c r="F743" s="22" t="str">
        <f>'VIX HISTORIQUE'!J746</f>
        <v/>
      </c>
    </row>
    <row r="744" ht="15.75" customHeight="1">
      <c r="A744" s="25" t="str">
        <f>'VIX HISTORIQUE'!A747</f>
        <v/>
      </c>
      <c r="B744" s="22" t="str">
        <f>'VIX HISTORIQUE'!B747</f>
        <v/>
      </c>
      <c r="C744" s="22" t="str">
        <f>'VIX HISTORIQUE'!D747</f>
        <v/>
      </c>
      <c r="D744" s="22" t="str">
        <f>'VIX HISTORIQUE'!F747</f>
        <v/>
      </c>
      <c r="E744" s="22" t="str">
        <f>'VIX HISTORIQUE'!H747</f>
        <v/>
      </c>
      <c r="F744" s="22" t="str">
        <f>'VIX HISTORIQUE'!J747</f>
        <v/>
      </c>
    </row>
    <row r="745" ht="15.75" customHeight="1">
      <c r="A745" s="25" t="str">
        <f>'VIX HISTORIQUE'!A748</f>
        <v/>
      </c>
      <c r="B745" s="22" t="str">
        <f>'VIX HISTORIQUE'!B748</f>
        <v/>
      </c>
      <c r="C745" s="22" t="str">
        <f>'VIX HISTORIQUE'!D748</f>
        <v/>
      </c>
      <c r="D745" s="22" t="str">
        <f>'VIX HISTORIQUE'!F748</f>
        <v/>
      </c>
      <c r="E745" s="22" t="str">
        <f>'VIX HISTORIQUE'!H748</f>
        <v/>
      </c>
      <c r="F745" s="22" t="str">
        <f>'VIX HISTORIQUE'!J748</f>
        <v/>
      </c>
    </row>
    <row r="746" ht="15.75" customHeight="1">
      <c r="A746" s="25" t="str">
        <f>'VIX HISTORIQUE'!A749</f>
        <v/>
      </c>
      <c r="B746" s="22" t="str">
        <f>'VIX HISTORIQUE'!B749</f>
        <v/>
      </c>
      <c r="C746" s="22" t="str">
        <f>'VIX HISTORIQUE'!D749</f>
        <v/>
      </c>
      <c r="D746" s="22" t="str">
        <f>'VIX HISTORIQUE'!F749</f>
        <v/>
      </c>
      <c r="E746" s="22" t="str">
        <f>'VIX HISTORIQUE'!H749</f>
        <v/>
      </c>
      <c r="F746" s="22" t="str">
        <f>'VIX HISTORIQUE'!J749</f>
        <v/>
      </c>
    </row>
    <row r="747" ht="15.75" customHeight="1">
      <c r="A747" s="25" t="str">
        <f>'VIX HISTORIQUE'!A750</f>
        <v/>
      </c>
      <c r="B747" s="22" t="str">
        <f>'VIX HISTORIQUE'!B750</f>
        <v/>
      </c>
      <c r="C747" s="22" t="str">
        <f>'VIX HISTORIQUE'!D750</f>
        <v/>
      </c>
      <c r="D747" s="22" t="str">
        <f>'VIX HISTORIQUE'!F750</f>
        <v/>
      </c>
      <c r="E747" s="22" t="str">
        <f>'VIX HISTORIQUE'!H750</f>
        <v/>
      </c>
      <c r="F747" s="22" t="str">
        <f>'VIX HISTORIQUE'!J750</f>
        <v/>
      </c>
    </row>
    <row r="748" ht="15.75" customHeight="1">
      <c r="A748" s="25" t="str">
        <f>'VIX HISTORIQUE'!A751</f>
        <v/>
      </c>
      <c r="B748" s="22" t="str">
        <f>'VIX HISTORIQUE'!B751</f>
        <v/>
      </c>
      <c r="C748" s="22" t="str">
        <f>'VIX HISTORIQUE'!D751</f>
        <v/>
      </c>
      <c r="D748" s="22" t="str">
        <f>'VIX HISTORIQUE'!F751</f>
        <v/>
      </c>
      <c r="E748" s="22" t="str">
        <f>'VIX HISTORIQUE'!H751</f>
        <v/>
      </c>
      <c r="F748" s="22" t="str">
        <f>'VIX HISTORIQUE'!J751</f>
        <v/>
      </c>
    </row>
    <row r="749" ht="15.75" customHeight="1">
      <c r="A749" s="25" t="str">
        <f>'VIX HISTORIQUE'!A752</f>
        <v/>
      </c>
      <c r="B749" s="22" t="str">
        <f>'VIX HISTORIQUE'!B752</f>
        <v/>
      </c>
      <c r="C749" s="22" t="str">
        <f>'VIX HISTORIQUE'!D752</f>
        <v/>
      </c>
      <c r="D749" s="22" t="str">
        <f>'VIX HISTORIQUE'!F752</f>
        <v/>
      </c>
      <c r="E749" s="22" t="str">
        <f>'VIX HISTORIQUE'!H752</f>
        <v/>
      </c>
      <c r="F749" s="22" t="str">
        <f>'VIX HISTORIQUE'!J752</f>
        <v/>
      </c>
    </row>
    <row r="750" ht="15.75" customHeight="1">
      <c r="A750" s="25" t="str">
        <f>'VIX HISTORIQUE'!A753</f>
        <v/>
      </c>
      <c r="B750" s="22" t="str">
        <f>'VIX HISTORIQUE'!B753</f>
        <v/>
      </c>
      <c r="C750" s="22" t="str">
        <f>'VIX HISTORIQUE'!D753</f>
        <v/>
      </c>
      <c r="D750" s="22" t="str">
        <f>'VIX HISTORIQUE'!F753</f>
        <v/>
      </c>
      <c r="E750" s="22" t="str">
        <f>'VIX HISTORIQUE'!H753</f>
        <v/>
      </c>
      <c r="F750" s="22" t="str">
        <f>'VIX HISTORIQUE'!J753</f>
        <v/>
      </c>
    </row>
    <row r="751" ht="15.75" customHeight="1">
      <c r="A751" s="25" t="str">
        <f>'VIX HISTORIQUE'!A754</f>
        <v/>
      </c>
      <c r="B751" s="22" t="str">
        <f>'VIX HISTORIQUE'!B754</f>
        <v/>
      </c>
      <c r="C751" s="22" t="str">
        <f>'VIX HISTORIQUE'!D754</f>
        <v/>
      </c>
      <c r="D751" s="22" t="str">
        <f>'VIX HISTORIQUE'!F754</f>
        <v/>
      </c>
      <c r="E751" s="22" t="str">
        <f>'VIX HISTORIQUE'!H754</f>
        <v/>
      </c>
      <c r="F751" s="22" t="str">
        <f>'VIX HISTORIQUE'!J754</f>
        <v/>
      </c>
    </row>
    <row r="752" ht="15.75" customHeight="1">
      <c r="A752" s="25" t="str">
        <f>'VIX HISTORIQUE'!A755</f>
        <v/>
      </c>
      <c r="B752" s="22" t="str">
        <f>'VIX HISTORIQUE'!B755</f>
        <v/>
      </c>
      <c r="C752" s="22" t="str">
        <f>'VIX HISTORIQUE'!D755</f>
        <v/>
      </c>
      <c r="D752" s="22" t="str">
        <f>'VIX HISTORIQUE'!F755</f>
        <v/>
      </c>
      <c r="E752" s="22" t="str">
        <f>'VIX HISTORIQUE'!H755</f>
        <v/>
      </c>
      <c r="F752" s="22" t="str">
        <f>'VIX HISTORIQUE'!J755</f>
        <v/>
      </c>
    </row>
    <row r="753" ht="15.75" customHeight="1">
      <c r="A753" s="25" t="str">
        <f>'VIX HISTORIQUE'!A756</f>
        <v/>
      </c>
      <c r="B753" s="22" t="str">
        <f>'VIX HISTORIQUE'!B756</f>
        <v/>
      </c>
      <c r="C753" s="22" t="str">
        <f>'VIX HISTORIQUE'!D756</f>
        <v/>
      </c>
      <c r="D753" s="22" t="str">
        <f>'VIX HISTORIQUE'!F756</f>
        <v/>
      </c>
      <c r="E753" s="22" t="str">
        <f>'VIX HISTORIQUE'!H756</f>
        <v/>
      </c>
      <c r="F753" s="22" t="str">
        <f>'VIX HISTORIQUE'!J756</f>
        <v/>
      </c>
    </row>
    <row r="754" ht="15.75" customHeight="1">
      <c r="A754" s="25" t="str">
        <f>'VIX HISTORIQUE'!A757</f>
        <v/>
      </c>
      <c r="B754" s="22" t="str">
        <f>'VIX HISTORIQUE'!B757</f>
        <v/>
      </c>
      <c r="C754" s="22" t="str">
        <f>'VIX HISTORIQUE'!D757</f>
        <v/>
      </c>
      <c r="D754" s="22" t="str">
        <f>'VIX HISTORIQUE'!F757</f>
        <v/>
      </c>
      <c r="E754" s="22" t="str">
        <f>'VIX HISTORIQUE'!H757</f>
        <v/>
      </c>
      <c r="F754" s="22" t="str">
        <f>'VIX HISTORIQUE'!J757</f>
        <v/>
      </c>
    </row>
    <row r="755" ht="15.75" customHeight="1">
      <c r="A755" s="25" t="str">
        <f>'VIX HISTORIQUE'!A758</f>
        <v/>
      </c>
      <c r="B755" s="22" t="str">
        <f>'VIX HISTORIQUE'!B758</f>
        <v/>
      </c>
      <c r="C755" s="22" t="str">
        <f>'VIX HISTORIQUE'!D758</f>
        <v/>
      </c>
      <c r="D755" s="22" t="str">
        <f>'VIX HISTORIQUE'!F758</f>
        <v/>
      </c>
      <c r="E755" s="22" t="str">
        <f>'VIX HISTORIQUE'!H758</f>
        <v/>
      </c>
      <c r="F755" s="22" t="str">
        <f>'VIX HISTORIQUE'!J758</f>
        <v/>
      </c>
    </row>
    <row r="756" ht="15.75" customHeight="1">
      <c r="A756" s="25" t="str">
        <f>'VIX HISTORIQUE'!A759</f>
        <v/>
      </c>
      <c r="B756" s="22" t="str">
        <f>'VIX HISTORIQUE'!B759</f>
        <v/>
      </c>
      <c r="C756" s="22" t="str">
        <f>'VIX HISTORIQUE'!D759</f>
        <v/>
      </c>
      <c r="D756" s="22" t="str">
        <f>'VIX HISTORIQUE'!F759</f>
        <v/>
      </c>
      <c r="E756" s="22" t="str">
        <f>'VIX HISTORIQUE'!H759</f>
        <v/>
      </c>
      <c r="F756" s="22" t="str">
        <f>'VIX HISTORIQUE'!J759</f>
        <v/>
      </c>
    </row>
    <row r="757" ht="15.75" customHeight="1">
      <c r="A757" s="25" t="str">
        <f>'VIX HISTORIQUE'!A760</f>
        <v/>
      </c>
      <c r="B757" s="22" t="str">
        <f>'VIX HISTORIQUE'!B760</f>
        <v/>
      </c>
      <c r="C757" s="22" t="str">
        <f>'VIX HISTORIQUE'!D760</f>
        <v/>
      </c>
      <c r="D757" s="22" t="str">
        <f>'VIX HISTORIQUE'!F760</f>
        <v/>
      </c>
      <c r="E757" s="22" t="str">
        <f>'VIX HISTORIQUE'!H760</f>
        <v/>
      </c>
      <c r="F757" s="22" t="str">
        <f>'VIX HISTORIQUE'!J760</f>
        <v/>
      </c>
    </row>
    <row r="758" ht="15.75" customHeight="1">
      <c r="A758" s="25" t="str">
        <f>'VIX HISTORIQUE'!A761</f>
        <v/>
      </c>
      <c r="B758" s="22" t="str">
        <f>'VIX HISTORIQUE'!B761</f>
        <v/>
      </c>
      <c r="C758" s="22" t="str">
        <f>'VIX HISTORIQUE'!D761</f>
        <v/>
      </c>
      <c r="D758" s="22" t="str">
        <f>'VIX HISTORIQUE'!F761</f>
        <v/>
      </c>
      <c r="E758" s="22" t="str">
        <f>'VIX HISTORIQUE'!H761</f>
        <v/>
      </c>
      <c r="F758" s="22" t="str">
        <f>'VIX HISTORIQUE'!J761</f>
        <v/>
      </c>
    </row>
    <row r="759" ht="15.75" customHeight="1">
      <c r="A759" s="25" t="str">
        <f>'VIX HISTORIQUE'!A762</f>
        <v/>
      </c>
      <c r="B759" s="22" t="str">
        <f>'VIX HISTORIQUE'!B762</f>
        <v/>
      </c>
      <c r="C759" s="22" t="str">
        <f>'VIX HISTORIQUE'!D762</f>
        <v/>
      </c>
      <c r="D759" s="22" t="str">
        <f>'VIX HISTORIQUE'!F762</f>
        <v/>
      </c>
      <c r="E759" s="22" t="str">
        <f>'VIX HISTORIQUE'!H762</f>
        <v/>
      </c>
      <c r="F759" s="22" t="str">
        <f>'VIX HISTORIQUE'!J762</f>
        <v/>
      </c>
    </row>
    <row r="760" ht="15.75" customHeight="1">
      <c r="A760" s="25" t="str">
        <f>'VIX HISTORIQUE'!A763</f>
        <v/>
      </c>
      <c r="B760" s="22" t="str">
        <f>'VIX HISTORIQUE'!B763</f>
        <v/>
      </c>
      <c r="C760" s="22" t="str">
        <f>'VIX HISTORIQUE'!D763</f>
        <v/>
      </c>
      <c r="D760" s="22" t="str">
        <f>'VIX HISTORIQUE'!F763</f>
        <v/>
      </c>
      <c r="E760" s="22" t="str">
        <f>'VIX HISTORIQUE'!H763</f>
        <v/>
      </c>
      <c r="F760" s="22" t="str">
        <f>'VIX HISTORIQUE'!J763</f>
        <v/>
      </c>
    </row>
    <row r="761" ht="15.75" customHeight="1">
      <c r="A761" s="25" t="str">
        <f>'VIX HISTORIQUE'!A764</f>
        <v/>
      </c>
      <c r="B761" s="22" t="str">
        <f>'VIX HISTORIQUE'!B764</f>
        <v/>
      </c>
      <c r="C761" s="22" t="str">
        <f>'VIX HISTORIQUE'!D764</f>
        <v/>
      </c>
      <c r="D761" s="22" t="str">
        <f>'VIX HISTORIQUE'!F764</f>
        <v/>
      </c>
      <c r="E761" s="22" t="str">
        <f>'VIX HISTORIQUE'!H764</f>
        <v/>
      </c>
      <c r="F761" s="22" t="str">
        <f>'VIX HISTORIQUE'!J764</f>
        <v/>
      </c>
    </row>
    <row r="762" ht="15.75" customHeight="1">
      <c r="A762" s="25" t="str">
        <f>'VIX HISTORIQUE'!A765</f>
        <v/>
      </c>
      <c r="B762" s="22" t="str">
        <f>'VIX HISTORIQUE'!B765</f>
        <v/>
      </c>
      <c r="C762" s="22" t="str">
        <f>'VIX HISTORIQUE'!D765</f>
        <v/>
      </c>
      <c r="D762" s="22" t="str">
        <f>'VIX HISTORIQUE'!F765</f>
        <v/>
      </c>
      <c r="E762" s="22" t="str">
        <f>'VIX HISTORIQUE'!H765</f>
        <v/>
      </c>
      <c r="F762" s="22" t="str">
        <f>'VIX HISTORIQUE'!J765</f>
        <v/>
      </c>
    </row>
    <row r="763" ht="15.75" customHeight="1">
      <c r="A763" s="25" t="str">
        <f>'VIX HISTORIQUE'!A766</f>
        <v/>
      </c>
      <c r="B763" s="22" t="str">
        <f>'VIX HISTORIQUE'!B766</f>
        <v/>
      </c>
      <c r="C763" s="22" t="str">
        <f>'VIX HISTORIQUE'!D766</f>
        <v/>
      </c>
      <c r="D763" s="22" t="str">
        <f>'VIX HISTORIQUE'!F766</f>
        <v/>
      </c>
      <c r="E763" s="22" t="str">
        <f>'VIX HISTORIQUE'!H766</f>
        <v/>
      </c>
      <c r="F763" s="22" t="str">
        <f>'VIX HISTORIQUE'!J766</f>
        <v/>
      </c>
    </row>
    <row r="764" ht="15.75" customHeight="1">
      <c r="A764" s="25" t="str">
        <f>'VIX HISTORIQUE'!A767</f>
        <v/>
      </c>
      <c r="B764" s="22" t="str">
        <f>'VIX HISTORIQUE'!B767</f>
        <v/>
      </c>
      <c r="C764" s="22" t="str">
        <f>'VIX HISTORIQUE'!D767</f>
        <v/>
      </c>
      <c r="D764" s="22" t="str">
        <f>'VIX HISTORIQUE'!F767</f>
        <v/>
      </c>
      <c r="E764" s="22" t="str">
        <f>'VIX HISTORIQUE'!H767</f>
        <v/>
      </c>
      <c r="F764" s="22" t="str">
        <f>'VIX HISTORIQUE'!J767</f>
        <v/>
      </c>
    </row>
    <row r="765" ht="15.75" customHeight="1">
      <c r="A765" s="25" t="str">
        <f>'VIX HISTORIQUE'!A768</f>
        <v/>
      </c>
      <c r="B765" s="22" t="str">
        <f>'VIX HISTORIQUE'!B768</f>
        <v/>
      </c>
      <c r="C765" s="22" t="str">
        <f>'VIX HISTORIQUE'!D768</f>
        <v/>
      </c>
      <c r="D765" s="22" t="str">
        <f>'VIX HISTORIQUE'!F768</f>
        <v/>
      </c>
      <c r="E765" s="22" t="str">
        <f>'VIX HISTORIQUE'!H768</f>
        <v/>
      </c>
      <c r="F765" s="22" t="str">
        <f>'VIX HISTORIQUE'!J768</f>
        <v/>
      </c>
    </row>
    <row r="766" ht="15.75" customHeight="1">
      <c r="A766" s="25" t="str">
        <f>'VIX HISTORIQUE'!A769</f>
        <v/>
      </c>
      <c r="B766" s="22" t="str">
        <f>'VIX HISTORIQUE'!B769</f>
        <v/>
      </c>
      <c r="C766" s="22" t="str">
        <f>'VIX HISTORIQUE'!D769</f>
        <v/>
      </c>
      <c r="D766" s="22" t="str">
        <f>'VIX HISTORIQUE'!F769</f>
        <v/>
      </c>
      <c r="E766" s="22" t="str">
        <f>'VIX HISTORIQUE'!H769</f>
        <v/>
      </c>
      <c r="F766" s="22" t="str">
        <f>'VIX HISTORIQUE'!J769</f>
        <v/>
      </c>
    </row>
    <row r="767" ht="15.75" customHeight="1">
      <c r="A767" s="25" t="str">
        <f>'VIX HISTORIQUE'!A770</f>
        <v/>
      </c>
      <c r="B767" s="22" t="str">
        <f>'VIX HISTORIQUE'!B770</f>
        <v/>
      </c>
      <c r="C767" s="22" t="str">
        <f>'VIX HISTORIQUE'!D770</f>
        <v/>
      </c>
      <c r="D767" s="22" t="str">
        <f>'VIX HISTORIQUE'!F770</f>
        <v/>
      </c>
      <c r="E767" s="22" t="str">
        <f>'VIX HISTORIQUE'!H770</f>
        <v/>
      </c>
      <c r="F767" s="22" t="str">
        <f>'VIX HISTORIQUE'!J770</f>
        <v/>
      </c>
    </row>
    <row r="768" ht="15.75" customHeight="1">
      <c r="A768" s="25" t="str">
        <f>'VIX HISTORIQUE'!A771</f>
        <v/>
      </c>
      <c r="B768" s="22" t="str">
        <f>'VIX HISTORIQUE'!B771</f>
        <v/>
      </c>
      <c r="C768" s="22" t="str">
        <f>'VIX HISTORIQUE'!D771</f>
        <v/>
      </c>
      <c r="D768" s="22" t="str">
        <f>'VIX HISTORIQUE'!F771</f>
        <v/>
      </c>
      <c r="E768" s="22" t="str">
        <f>'VIX HISTORIQUE'!H771</f>
        <v/>
      </c>
      <c r="F768" s="22" t="str">
        <f>'VIX HISTORIQUE'!J771</f>
        <v/>
      </c>
    </row>
    <row r="769" ht="15.75" customHeight="1">
      <c r="A769" s="25" t="str">
        <f>'VIX HISTORIQUE'!A772</f>
        <v/>
      </c>
      <c r="B769" s="22" t="str">
        <f>'VIX HISTORIQUE'!B772</f>
        <v/>
      </c>
      <c r="C769" s="22" t="str">
        <f>'VIX HISTORIQUE'!D772</f>
        <v/>
      </c>
      <c r="D769" s="22" t="str">
        <f>'VIX HISTORIQUE'!F772</f>
        <v/>
      </c>
      <c r="E769" s="22" t="str">
        <f>'VIX HISTORIQUE'!H772</f>
        <v/>
      </c>
      <c r="F769" s="22" t="str">
        <f>'VIX HISTORIQUE'!J772</f>
        <v/>
      </c>
    </row>
    <row r="770" ht="15.75" customHeight="1">
      <c r="A770" s="25" t="str">
        <f>'VIX HISTORIQUE'!A773</f>
        <v/>
      </c>
      <c r="B770" s="22" t="str">
        <f>'VIX HISTORIQUE'!B773</f>
        <v/>
      </c>
      <c r="C770" s="22" t="str">
        <f>'VIX HISTORIQUE'!D773</f>
        <v/>
      </c>
      <c r="D770" s="22" t="str">
        <f>'VIX HISTORIQUE'!F773</f>
        <v/>
      </c>
      <c r="E770" s="22" t="str">
        <f>'VIX HISTORIQUE'!H773</f>
        <v/>
      </c>
      <c r="F770" s="22" t="str">
        <f>'VIX HISTORIQUE'!J773</f>
        <v/>
      </c>
    </row>
    <row r="771" ht="15.75" customHeight="1">
      <c r="A771" s="25" t="str">
        <f>'VIX HISTORIQUE'!A774</f>
        <v/>
      </c>
      <c r="B771" s="22" t="str">
        <f>'VIX HISTORIQUE'!B774</f>
        <v/>
      </c>
      <c r="C771" s="22" t="str">
        <f>'VIX HISTORIQUE'!D774</f>
        <v/>
      </c>
      <c r="D771" s="22" t="str">
        <f>'VIX HISTORIQUE'!F774</f>
        <v/>
      </c>
      <c r="E771" s="22" t="str">
        <f>'VIX HISTORIQUE'!H774</f>
        <v/>
      </c>
      <c r="F771" s="22" t="str">
        <f>'VIX HISTORIQUE'!J774</f>
        <v/>
      </c>
    </row>
    <row r="772" ht="15.75" customHeight="1">
      <c r="A772" s="25" t="str">
        <f>'VIX HISTORIQUE'!A775</f>
        <v/>
      </c>
      <c r="B772" s="22" t="str">
        <f>'VIX HISTORIQUE'!B775</f>
        <v/>
      </c>
      <c r="C772" s="22" t="str">
        <f>'VIX HISTORIQUE'!D775</f>
        <v/>
      </c>
      <c r="D772" s="22" t="str">
        <f>'VIX HISTORIQUE'!F775</f>
        <v/>
      </c>
      <c r="E772" s="22" t="str">
        <f>'VIX HISTORIQUE'!H775</f>
        <v/>
      </c>
      <c r="F772" s="22" t="str">
        <f>'VIX HISTORIQUE'!J775</f>
        <v/>
      </c>
    </row>
    <row r="773" ht="15.75" customHeight="1">
      <c r="A773" s="25" t="str">
        <f>'VIX HISTORIQUE'!A776</f>
        <v/>
      </c>
      <c r="B773" s="22" t="str">
        <f>'VIX HISTORIQUE'!B776</f>
        <v/>
      </c>
      <c r="C773" s="22" t="str">
        <f>'VIX HISTORIQUE'!D776</f>
        <v/>
      </c>
      <c r="D773" s="22" t="str">
        <f>'VIX HISTORIQUE'!F776</f>
        <v/>
      </c>
      <c r="E773" s="22" t="str">
        <f>'VIX HISTORIQUE'!H776</f>
        <v/>
      </c>
      <c r="F773" s="22" t="str">
        <f>'VIX HISTORIQUE'!J776</f>
        <v/>
      </c>
    </row>
    <row r="774" ht="15.75" customHeight="1">
      <c r="A774" s="25" t="str">
        <f>'VIX HISTORIQUE'!A777</f>
        <v/>
      </c>
      <c r="B774" s="22" t="str">
        <f>'VIX HISTORIQUE'!B777</f>
        <v/>
      </c>
      <c r="C774" s="22" t="str">
        <f>'VIX HISTORIQUE'!D777</f>
        <v/>
      </c>
      <c r="D774" s="22" t="str">
        <f>'VIX HISTORIQUE'!F777</f>
        <v/>
      </c>
      <c r="E774" s="22" t="str">
        <f>'VIX HISTORIQUE'!H777</f>
        <v/>
      </c>
      <c r="F774" s="22" t="str">
        <f>'VIX HISTORIQUE'!J777</f>
        <v/>
      </c>
    </row>
    <row r="775" ht="15.75" customHeight="1">
      <c r="A775" s="25" t="str">
        <f>'VIX HISTORIQUE'!A778</f>
        <v/>
      </c>
      <c r="B775" s="22" t="str">
        <f>'VIX HISTORIQUE'!B778</f>
        <v/>
      </c>
      <c r="C775" s="22" t="str">
        <f>'VIX HISTORIQUE'!D778</f>
        <v/>
      </c>
      <c r="D775" s="22" t="str">
        <f>'VIX HISTORIQUE'!F778</f>
        <v/>
      </c>
      <c r="E775" s="22" t="str">
        <f>'VIX HISTORIQUE'!H778</f>
        <v/>
      </c>
      <c r="F775" s="22" t="str">
        <f>'VIX HISTORIQUE'!J778</f>
        <v/>
      </c>
    </row>
    <row r="776" ht="15.75" customHeight="1">
      <c r="A776" s="25" t="str">
        <f>'VIX HISTORIQUE'!A779</f>
        <v/>
      </c>
      <c r="B776" s="22" t="str">
        <f>'VIX HISTORIQUE'!B779</f>
        <v/>
      </c>
      <c r="C776" s="22" t="str">
        <f>'VIX HISTORIQUE'!D779</f>
        <v/>
      </c>
      <c r="D776" s="22" t="str">
        <f>'VIX HISTORIQUE'!F779</f>
        <v/>
      </c>
      <c r="E776" s="22" t="str">
        <f>'VIX HISTORIQUE'!H779</f>
        <v/>
      </c>
      <c r="F776" s="22" t="str">
        <f>'VIX HISTORIQUE'!J779</f>
        <v/>
      </c>
    </row>
    <row r="777" ht="15.75" customHeight="1">
      <c r="A777" s="25" t="str">
        <f>'VIX HISTORIQUE'!A780</f>
        <v/>
      </c>
      <c r="B777" s="22" t="str">
        <f>'VIX HISTORIQUE'!B780</f>
        <v/>
      </c>
      <c r="C777" s="22" t="str">
        <f>'VIX HISTORIQUE'!D780</f>
        <v/>
      </c>
      <c r="D777" s="22" t="str">
        <f>'VIX HISTORIQUE'!F780</f>
        <v/>
      </c>
      <c r="E777" s="22" t="str">
        <f>'VIX HISTORIQUE'!H780</f>
        <v/>
      </c>
      <c r="F777" s="22" t="str">
        <f>'VIX HISTORIQUE'!J780</f>
        <v/>
      </c>
    </row>
    <row r="778" ht="15.75" customHeight="1">
      <c r="A778" s="25" t="str">
        <f>'VIX HISTORIQUE'!A781</f>
        <v/>
      </c>
      <c r="B778" s="22" t="str">
        <f>'VIX HISTORIQUE'!B781</f>
        <v/>
      </c>
      <c r="C778" s="22" t="str">
        <f>'VIX HISTORIQUE'!D781</f>
        <v/>
      </c>
      <c r="D778" s="22" t="str">
        <f>'VIX HISTORIQUE'!F781</f>
        <v/>
      </c>
      <c r="E778" s="22" t="str">
        <f>'VIX HISTORIQUE'!H781</f>
        <v/>
      </c>
      <c r="F778" s="22" t="str">
        <f>'VIX HISTORIQUE'!J781</f>
        <v/>
      </c>
    </row>
    <row r="779" ht="15.75" customHeight="1">
      <c r="A779" s="25" t="str">
        <f>'VIX HISTORIQUE'!A782</f>
        <v/>
      </c>
      <c r="B779" s="22" t="str">
        <f>'VIX HISTORIQUE'!B782</f>
        <v/>
      </c>
      <c r="C779" s="22" t="str">
        <f>'VIX HISTORIQUE'!D782</f>
        <v/>
      </c>
      <c r="D779" s="22" t="str">
        <f>'VIX HISTORIQUE'!F782</f>
        <v/>
      </c>
      <c r="E779" s="22" t="str">
        <f>'VIX HISTORIQUE'!H782</f>
        <v/>
      </c>
      <c r="F779" s="22" t="str">
        <f>'VIX HISTORIQUE'!J782</f>
        <v/>
      </c>
    </row>
    <row r="780" ht="15.75" customHeight="1">
      <c r="A780" s="25" t="str">
        <f>'VIX HISTORIQUE'!A783</f>
        <v/>
      </c>
      <c r="B780" s="22" t="str">
        <f>'VIX HISTORIQUE'!B783</f>
        <v/>
      </c>
      <c r="C780" s="22" t="str">
        <f>'VIX HISTORIQUE'!D783</f>
        <v/>
      </c>
      <c r="D780" s="22" t="str">
        <f>'VIX HISTORIQUE'!F783</f>
        <v/>
      </c>
      <c r="E780" s="22" t="str">
        <f>'VIX HISTORIQUE'!H783</f>
        <v/>
      </c>
      <c r="F780" s="22" t="str">
        <f>'VIX HISTORIQUE'!J783</f>
        <v/>
      </c>
    </row>
    <row r="781" ht="15.75" customHeight="1">
      <c r="A781" s="25" t="str">
        <f>'VIX HISTORIQUE'!A784</f>
        <v/>
      </c>
      <c r="B781" s="22" t="str">
        <f>'VIX HISTORIQUE'!B784</f>
        <v/>
      </c>
      <c r="C781" s="22" t="str">
        <f>'VIX HISTORIQUE'!D784</f>
        <v/>
      </c>
      <c r="D781" s="22" t="str">
        <f>'VIX HISTORIQUE'!F784</f>
        <v/>
      </c>
      <c r="E781" s="22" t="str">
        <f>'VIX HISTORIQUE'!H784</f>
        <v/>
      </c>
      <c r="F781" s="22" t="str">
        <f>'VIX HISTORIQUE'!J784</f>
        <v/>
      </c>
    </row>
    <row r="782" ht="15.75" customHeight="1">
      <c r="A782" s="25" t="str">
        <f>'VIX HISTORIQUE'!A785</f>
        <v/>
      </c>
      <c r="B782" s="22" t="str">
        <f>'VIX HISTORIQUE'!B785</f>
        <v/>
      </c>
      <c r="C782" s="22" t="str">
        <f>'VIX HISTORIQUE'!D785</f>
        <v/>
      </c>
      <c r="D782" s="22" t="str">
        <f>'VIX HISTORIQUE'!F785</f>
        <v/>
      </c>
      <c r="E782" s="22" t="str">
        <f>'VIX HISTORIQUE'!H785</f>
        <v/>
      </c>
      <c r="F782" s="22" t="str">
        <f>'VIX HISTORIQUE'!J785</f>
        <v/>
      </c>
    </row>
    <row r="783" ht="15.75" customHeight="1">
      <c r="A783" s="25" t="str">
        <f>'VIX HISTORIQUE'!A786</f>
        <v/>
      </c>
      <c r="B783" s="22" t="str">
        <f>'VIX HISTORIQUE'!B786</f>
        <v/>
      </c>
      <c r="C783" s="22" t="str">
        <f>'VIX HISTORIQUE'!D786</f>
        <v/>
      </c>
      <c r="D783" s="22" t="str">
        <f>'VIX HISTORIQUE'!F786</f>
        <v/>
      </c>
      <c r="E783" s="22" t="str">
        <f>'VIX HISTORIQUE'!H786</f>
        <v/>
      </c>
      <c r="F783" s="22" t="str">
        <f>'VIX HISTORIQUE'!J786</f>
        <v/>
      </c>
    </row>
    <row r="784" ht="15.75" customHeight="1">
      <c r="A784" s="25" t="str">
        <f>'VIX HISTORIQUE'!A787</f>
        <v/>
      </c>
      <c r="B784" s="22" t="str">
        <f>'VIX HISTORIQUE'!B787</f>
        <v/>
      </c>
      <c r="C784" s="22" t="str">
        <f>'VIX HISTORIQUE'!D787</f>
        <v/>
      </c>
      <c r="D784" s="22" t="str">
        <f>'VIX HISTORIQUE'!F787</f>
        <v/>
      </c>
      <c r="E784" s="22" t="str">
        <f>'VIX HISTORIQUE'!H787</f>
        <v/>
      </c>
      <c r="F784" s="22" t="str">
        <f>'VIX HISTORIQUE'!J787</f>
        <v/>
      </c>
    </row>
    <row r="785" ht="15.75" customHeight="1">
      <c r="A785" s="25" t="str">
        <f>'VIX HISTORIQUE'!A788</f>
        <v/>
      </c>
      <c r="B785" s="22" t="str">
        <f>'VIX HISTORIQUE'!B788</f>
        <v/>
      </c>
      <c r="C785" s="22" t="str">
        <f>'VIX HISTORIQUE'!D788</f>
        <v/>
      </c>
      <c r="D785" s="22" t="str">
        <f>'VIX HISTORIQUE'!F788</f>
        <v/>
      </c>
      <c r="E785" s="22" t="str">
        <f>'VIX HISTORIQUE'!H788</f>
        <v/>
      </c>
      <c r="F785" s="22" t="str">
        <f>'VIX HISTORIQUE'!J788</f>
        <v/>
      </c>
    </row>
    <row r="786" ht="15.75" customHeight="1">
      <c r="A786" s="25" t="str">
        <f>'VIX HISTORIQUE'!A789</f>
        <v/>
      </c>
      <c r="B786" s="22" t="str">
        <f>'VIX HISTORIQUE'!B789</f>
        <v/>
      </c>
      <c r="C786" s="22" t="str">
        <f>'VIX HISTORIQUE'!D789</f>
        <v/>
      </c>
      <c r="D786" s="22" t="str">
        <f>'VIX HISTORIQUE'!F789</f>
        <v/>
      </c>
      <c r="E786" s="22" t="str">
        <f>'VIX HISTORIQUE'!H789</f>
        <v/>
      </c>
      <c r="F786" s="22" t="str">
        <f>'VIX HISTORIQUE'!J789</f>
        <v/>
      </c>
    </row>
    <row r="787" ht="15.75" customHeight="1">
      <c r="A787" s="25" t="str">
        <f>'VIX HISTORIQUE'!A790</f>
        <v/>
      </c>
      <c r="B787" s="22" t="str">
        <f>'VIX HISTORIQUE'!B790</f>
        <v/>
      </c>
      <c r="C787" s="22" t="str">
        <f>'VIX HISTORIQUE'!D790</f>
        <v/>
      </c>
      <c r="D787" s="22" t="str">
        <f>'VIX HISTORIQUE'!F790</f>
        <v/>
      </c>
      <c r="E787" s="22" t="str">
        <f>'VIX HISTORIQUE'!H790</f>
        <v/>
      </c>
      <c r="F787" s="22" t="str">
        <f>'VIX HISTORIQUE'!J790</f>
        <v/>
      </c>
    </row>
    <row r="788" ht="15.75" customHeight="1">
      <c r="A788" s="25" t="str">
        <f>'VIX HISTORIQUE'!A791</f>
        <v/>
      </c>
      <c r="B788" s="22" t="str">
        <f>'VIX HISTORIQUE'!B791</f>
        <v/>
      </c>
      <c r="C788" s="22" t="str">
        <f>'VIX HISTORIQUE'!D791</f>
        <v/>
      </c>
      <c r="D788" s="22" t="str">
        <f>'VIX HISTORIQUE'!F791</f>
        <v/>
      </c>
      <c r="E788" s="22" t="str">
        <f>'VIX HISTORIQUE'!H791</f>
        <v/>
      </c>
      <c r="F788" s="22" t="str">
        <f>'VIX HISTORIQUE'!J791</f>
        <v/>
      </c>
    </row>
    <row r="789" ht="15.75" customHeight="1">
      <c r="A789" s="25" t="str">
        <f>'VIX HISTORIQUE'!A792</f>
        <v/>
      </c>
      <c r="B789" s="22" t="str">
        <f>'VIX HISTORIQUE'!B792</f>
        <v/>
      </c>
      <c r="C789" s="22" t="str">
        <f>'VIX HISTORIQUE'!D792</f>
        <v/>
      </c>
      <c r="D789" s="22" t="str">
        <f>'VIX HISTORIQUE'!F792</f>
        <v/>
      </c>
      <c r="E789" s="22" t="str">
        <f>'VIX HISTORIQUE'!H792</f>
        <v/>
      </c>
      <c r="F789" s="22" t="str">
        <f>'VIX HISTORIQUE'!J792</f>
        <v/>
      </c>
    </row>
    <row r="790" ht="15.75" customHeight="1">
      <c r="A790" s="25" t="str">
        <f>'VIX HISTORIQUE'!A793</f>
        <v/>
      </c>
      <c r="B790" s="22" t="str">
        <f>'VIX HISTORIQUE'!B793</f>
        <v/>
      </c>
      <c r="C790" s="22" t="str">
        <f>'VIX HISTORIQUE'!D793</f>
        <v/>
      </c>
      <c r="D790" s="22" t="str">
        <f>'VIX HISTORIQUE'!F793</f>
        <v/>
      </c>
      <c r="E790" s="22" t="str">
        <f>'VIX HISTORIQUE'!H793</f>
        <v/>
      </c>
      <c r="F790" s="22" t="str">
        <f>'VIX HISTORIQUE'!J793</f>
        <v/>
      </c>
    </row>
    <row r="791" ht="15.75" customHeight="1">
      <c r="A791" s="25" t="str">
        <f>'VIX HISTORIQUE'!A794</f>
        <v/>
      </c>
      <c r="B791" s="22" t="str">
        <f>'VIX HISTORIQUE'!B794</f>
        <v/>
      </c>
      <c r="C791" s="22" t="str">
        <f>'VIX HISTORIQUE'!D794</f>
        <v/>
      </c>
      <c r="D791" s="22" t="str">
        <f>'VIX HISTORIQUE'!F794</f>
        <v/>
      </c>
      <c r="E791" s="22" t="str">
        <f>'VIX HISTORIQUE'!H794</f>
        <v/>
      </c>
      <c r="F791" s="22" t="str">
        <f>'VIX HISTORIQUE'!J794</f>
        <v/>
      </c>
    </row>
    <row r="792" ht="15.75" customHeight="1">
      <c r="A792" s="25" t="str">
        <f>'VIX HISTORIQUE'!A795</f>
        <v/>
      </c>
      <c r="B792" s="22" t="str">
        <f>'VIX HISTORIQUE'!B795</f>
        <v/>
      </c>
      <c r="C792" s="22" t="str">
        <f>'VIX HISTORIQUE'!D795</f>
        <v/>
      </c>
      <c r="D792" s="22" t="str">
        <f>'VIX HISTORIQUE'!F795</f>
        <v/>
      </c>
      <c r="E792" s="22" t="str">
        <f>'VIX HISTORIQUE'!H795</f>
        <v/>
      </c>
      <c r="F792" s="22" t="str">
        <f>'VIX HISTORIQUE'!J795</f>
        <v/>
      </c>
    </row>
    <row r="793" ht="15.75" customHeight="1">
      <c r="A793" s="25" t="str">
        <f>'VIX HISTORIQUE'!A796</f>
        <v/>
      </c>
      <c r="B793" s="22" t="str">
        <f>'VIX HISTORIQUE'!B796</f>
        <v/>
      </c>
      <c r="C793" s="22" t="str">
        <f>'VIX HISTORIQUE'!D796</f>
        <v/>
      </c>
      <c r="D793" s="22" t="str">
        <f>'VIX HISTORIQUE'!F796</f>
        <v/>
      </c>
      <c r="E793" s="22" t="str">
        <f>'VIX HISTORIQUE'!H796</f>
        <v/>
      </c>
      <c r="F793" s="22" t="str">
        <f>'VIX HISTORIQUE'!J796</f>
        <v/>
      </c>
    </row>
    <row r="794" ht="15.75" customHeight="1">
      <c r="A794" s="25" t="str">
        <f>'VIX HISTORIQUE'!A797</f>
        <v/>
      </c>
      <c r="B794" s="22" t="str">
        <f>'VIX HISTORIQUE'!B797</f>
        <v/>
      </c>
      <c r="C794" s="22" t="str">
        <f>'VIX HISTORIQUE'!D797</f>
        <v/>
      </c>
      <c r="D794" s="22" t="str">
        <f>'VIX HISTORIQUE'!F797</f>
        <v/>
      </c>
      <c r="E794" s="22" t="str">
        <f>'VIX HISTORIQUE'!H797</f>
        <v/>
      </c>
      <c r="F794" s="22" t="str">
        <f>'VIX HISTORIQUE'!J797</f>
        <v/>
      </c>
    </row>
    <row r="795" ht="15.75" customHeight="1">
      <c r="A795" s="25" t="str">
        <f>'VIX HISTORIQUE'!A798</f>
        <v/>
      </c>
      <c r="B795" s="22" t="str">
        <f>'VIX HISTORIQUE'!B798</f>
        <v/>
      </c>
      <c r="C795" s="22" t="str">
        <f>'VIX HISTORIQUE'!D798</f>
        <v/>
      </c>
      <c r="D795" s="22" t="str">
        <f>'VIX HISTORIQUE'!F798</f>
        <v/>
      </c>
      <c r="E795" s="22" t="str">
        <f>'VIX HISTORIQUE'!H798</f>
        <v/>
      </c>
      <c r="F795" s="22" t="str">
        <f>'VIX HISTORIQUE'!J798</f>
        <v/>
      </c>
    </row>
    <row r="796" ht="15.75" customHeight="1">
      <c r="A796" s="25" t="str">
        <f>'VIX HISTORIQUE'!A799</f>
        <v/>
      </c>
      <c r="B796" s="22" t="str">
        <f>'VIX HISTORIQUE'!B799</f>
        <v/>
      </c>
      <c r="C796" s="22" t="str">
        <f>'VIX HISTORIQUE'!D799</f>
        <v/>
      </c>
      <c r="D796" s="22" t="str">
        <f>'VIX HISTORIQUE'!F799</f>
        <v/>
      </c>
      <c r="E796" s="22" t="str">
        <f>'VIX HISTORIQUE'!H799</f>
        <v/>
      </c>
      <c r="F796" s="22" t="str">
        <f>'VIX HISTORIQUE'!J799</f>
        <v/>
      </c>
    </row>
    <row r="797" ht="15.75" customHeight="1">
      <c r="A797" s="25" t="str">
        <f>'VIX HISTORIQUE'!A800</f>
        <v/>
      </c>
      <c r="B797" s="22" t="str">
        <f>'VIX HISTORIQUE'!B800</f>
        <v/>
      </c>
      <c r="C797" s="22" t="str">
        <f>'VIX HISTORIQUE'!D800</f>
        <v/>
      </c>
      <c r="D797" s="22" t="str">
        <f>'VIX HISTORIQUE'!F800</f>
        <v/>
      </c>
      <c r="E797" s="22" t="str">
        <f>'VIX HISTORIQUE'!H800</f>
        <v/>
      </c>
      <c r="F797" s="22" t="str">
        <f>'VIX HISTORIQUE'!J800</f>
        <v/>
      </c>
    </row>
    <row r="798" ht="15.75" customHeight="1">
      <c r="A798" s="25" t="str">
        <f>'VIX HISTORIQUE'!A801</f>
        <v/>
      </c>
      <c r="B798" s="22" t="str">
        <f>'VIX HISTORIQUE'!B801</f>
        <v/>
      </c>
      <c r="C798" s="22" t="str">
        <f>'VIX HISTORIQUE'!D801</f>
        <v/>
      </c>
      <c r="D798" s="22" t="str">
        <f>'VIX HISTORIQUE'!F801</f>
        <v/>
      </c>
      <c r="E798" s="22" t="str">
        <f>'VIX HISTORIQUE'!H801</f>
        <v/>
      </c>
      <c r="F798" s="22" t="str">
        <f>'VIX HISTORIQUE'!J801</f>
        <v/>
      </c>
    </row>
    <row r="799" ht="15.75" customHeight="1">
      <c r="A799" s="25" t="str">
        <f>'VIX HISTORIQUE'!A802</f>
        <v/>
      </c>
      <c r="B799" s="22" t="str">
        <f>'VIX HISTORIQUE'!B802</f>
        <v/>
      </c>
      <c r="C799" s="22" t="str">
        <f>'VIX HISTORIQUE'!D802</f>
        <v/>
      </c>
      <c r="D799" s="22" t="str">
        <f>'VIX HISTORIQUE'!F802</f>
        <v/>
      </c>
      <c r="E799" s="22" t="str">
        <f>'VIX HISTORIQUE'!H802</f>
        <v/>
      </c>
      <c r="F799" s="22" t="str">
        <f>'VIX HISTORIQUE'!J802</f>
        <v/>
      </c>
    </row>
    <row r="800" ht="15.75" customHeight="1">
      <c r="A800" s="25" t="str">
        <f>'VIX HISTORIQUE'!A803</f>
        <v/>
      </c>
      <c r="B800" s="22" t="str">
        <f>'VIX HISTORIQUE'!B803</f>
        <v/>
      </c>
      <c r="C800" s="22" t="str">
        <f>'VIX HISTORIQUE'!D803</f>
        <v/>
      </c>
      <c r="D800" s="22" t="str">
        <f>'VIX HISTORIQUE'!F803</f>
        <v/>
      </c>
      <c r="E800" s="22" t="str">
        <f>'VIX HISTORIQUE'!H803</f>
        <v/>
      </c>
      <c r="F800" s="22" t="str">
        <f>'VIX HISTORIQUE'!J803</f>
        <v/>
      </c>
    </row>
    <row r="801" ht="15.75" customHeight="1">
      <c r="A801" s="25" t="str">
        <f>'VIX HISTORIQUE'!A804</f>
        <v/>
      </c>
      <c r="B801" s="22" t="str">
        <f>'VIX HISTORIQUE'!B804</f>
        <v/>
      </c>
      <c r="C801" s="22" t="str">
        <f>'VIX HISTORIQUE'!D804</f>
        <v/>
      </c>
      <c r="D801" s="22" t="str">
        <f>'VIX HISTORIQUE'!F804</f>
        <v/>
      </c>
      <c r="E801" s="22" t="str">
        <f>'VIX HISTORIQUE'!H804</f>
        <v/>
      </c>
      <c r="F801" s="22" t="str">
        <f>'VIX HISTORIQUE'!J804</f>
        <v/>
      </c>
    </row>
    <row r="802" ht="15.75" customHeight="1">
      <c r="A802" s="25" t="str">
        <f>'VIX HISTORIQUE'!A805</f>
        <v/>
      </c>
      <c r="B802" s="22" t="str">
        <f>'VIX HISTORIQUE'!B805</f>
        <v/>
      </c>
      <c r="C802" s="22" t="str">
        <f>'VIX HISTORIQUE'!D805</f>
        <v/>
      </c>
      <c r="D802" s="22" t="str">
        <f>'VIX HISTORIQUE'!F805</f>
        <v/>
      </c>
      <c r="E802" s="22" t="str">
        <f>'VIX HISTORIQUE'!H805</f>
        <v/>
      </c>
      <c r="F802" s="22" t="str">
        <f>'VIX HISTORIQUE'!J805</f>
        <v/>
      </c>
    </row>
    <row r="803" ht="15.75" customHeight="1">
      <c r="A803" s="25" t="str">
        <f>'VIX HISTORIQUE'!A806</f>
        <v/>
      </c>
      <c r="B803" s="22" t="str">
        <f>'VIX HISTORIQUE'!B806</f>
        <v/>
      </c>
      <c r="C803" s="22" t="str">
        <f>'VIX HISTORIQUE'!D806</f>
        <v/>
      </c>
      <c r="D803" s="22" t="str">
        <f>'VIX HISTORIQUE'!F806</f>
        <v/>
      </c>
      <c r="E803" s="22" t="str">
        <f>'VIX HISTORIQUE'!H806</f>
        <v/>
      </c>
      <c r="F803" s="22" t="str">
        <f>'VIX HISTORIQUE'!J806</f>
        <v/>
      </c>
    </row>
    <row r="804" ht="15.75" customHeight="1">
      <c r="A804" s="25" t="str">
        <f>'VIX HISTORIQUE'!A807</f>
        <v/>
      </c>
      <c r="B804" s="22" t="str">
        <f>'VIX HISTORIQUE'!B807</f>
        <v/>
      </c>
      <c r="C804" s="22" t="str">
        <f>'VIX HISTORIQUE'!D807</f>
        <v/>
      </c>
      <c r="D804" s="22" t="str">
        <f>'VIX HISTORIQUE'!F807</f>
        <v/>
      </c>
      <c r="E804" s="22" t="str">
        <f>'VIX HISTORIQUE'!H807</f>
        <v/>
      </c>
      <c r="F804" s="22" t="str">
        <f>'VIX HISTORIQUE'!J807</f>
        <v/>
      </c>
    </row>
    <row r="805" ht="15.75" customHeight="1">
      <c r="A805" s="25" t="str">
        <f>'VIX HISTORIQUE'!A808</f>
        <v/>
      </c>
      <c r="B805" s="22" t="str">
        <f>'VIX HISTORIQUE'!B808</f>
        <v/>
      </c>
      <c r="C805" s="22" t="str">
        <f>'VIX HISTORIQUE'!D808</f>
        <v/>
      </c>
      <c r="D805" s="22" t="str">
        <f>'VIX HISTORIQUE'!F808</f>
        <v/>
      </c>
      <c r="E805" s="22" t="str">
        <f>'VIX HISTORIQUE'!H808</f>
        <v/>
      </c>
      <c r="F805" s="22" t="str">
        <f>'VIX HISTORIQUE'!J808</f>
        <v/>
      </c>
    </row>
    <row r="806" ht="15.75" customHeight="1">
      <c r="A806" s="25" t="str">
        <f>'VIX HISTORIQUE'!A809</f>
        <v/>
      </c>
      <c r="B806" s="22" t="str">
        <f>'VIX HISTORIQUE'!B809</f>
        <v/>
      </c>
      <c r="C806" s="22" t="str">
        <f>'VIX HISTORIQUE'!D809</f>
        <v/>
      </c>
      <c r="D806" s="22" t="str">
        <f>'VIX HISTORIQUE'!F809</f>
        <v/>
      </c>
      <c r="E806" s="22" t="str">
        <f>'VIX HISTORIQUE'!H809</f>
        <v/>
      </c>
      <c r="F806" s="22" t="str">
        <f>'VIX HISTORIQUE'!J809</f>
        <v/>
      </c>
    </row>
    <row r="807" ht="15.75" customHeight="1">
      <c r="A807" s="25" t="str">
        <f>'VIX HISTORIQUE'!A810</f>
        <v/>
      </c>
      <c r="B807" s="22" t="str">
        <f>'VIX HISTORIQUE'!B810</f>
        <v/>
      </c>
      <c r="C807" s="22" t="str">
        <f>'VIX HISTORIQUE'!D810</f>
        <v/>
      </c>
      <c r="D807" s="22" t="str">
        <f>'VIX HISTORIQUE'!F810</f>
        <v/>
      </c>
      <c r="E807" s="22" t="str">
        <f>'VIX HISTORIQUE'!H810</f>
        <v/>
      </c>
      <c r="F807" s="22" t="str">
        <f>'VIX HISTORIQUE'!J810</f>
        <v/>
      </c>
    </row>
    <row r="808" ht="15.75" customHeight="1">
      <c r="A808" s="25" t="str">
        <f>'VIX HISTORIQUE'!A811</f>
        <v/>
      </c>
      <c r="B808" s="22" t="str">
        <f>'VIX HISTORIQUE'!B811</f>
        <v/>
      </c>
      <c r="C808" s="22" t="str">
        <f>'VIX HISTORIQUE'!D811</f>
        <v/>
      </c>
      <c r="D808" s="22" t="str">
        <f>'VIX HISTORIQUE'!F811</f>
        <v/>
      </c>
      <c r="E808" s="22" t="str">
        <f>'VIX HISTORIQUE'!H811</f>
        <v/>
      </c>
      <c r="F808" s="22" t="str">
        <f>'VIX HISTORIQUE'!J811</f>
        <v/>
      </c>
    </row>
    <row r="809" ht="15.75" customHeight="1">
      <c r="A809" s="25" t="str">
        <f>'VIX HISTORIQUE'!A812</f>
        <v/>
      </c>
      <c r="B809" s="22" t="str">
        <f>'VIX HISTORIQUE'!B812</f>
        <v/>
      </c>
      <c r="C809" s="22" t="str">
        <f>'VIX HISTORIQUE'!D812</f>
        <v/>
      </c>
      <c r="D809" s="22" t="str">
        <f>'VIX HISTORIQUE'!F812</f>
        <v/>
      </c>
      <c r="E809" s="22" t="str">
        <f>'VIX HISTORIQUE'!H812</f>
        <v/>
      </c>
      <c r="F809" s="22" t="str">
        <f>'VIX HISTORIQUE'!J812</f>
        <v/>
      </c>
    </row>
    <row r="810" ht="15.75" customHeight="1">
      <c r="A810" s="25" t="str">
        <f>'VIX HISTORIQUE'!A813</f>
        <v/>
      </c>
      <c r="B810" s="22" t="str">
        <f>'VIX HISTORIQUE'!B813</f>
        <v/>
      </c>
      <c r="C810" s="22" t="str">
        <f>'VIX HISTORIQUE'!D813</f>
        <v/>
      </c>
      <c r="D810" s="22" t="str">
        <f>'VIX HISTORIQUE'!F813</f>
        <v/>
      </c>
      <c r="E810" s="22" t="str">
        <f>'VIX HISTORIQUE'!H813</f>
        <v/>
      </c>
      <c r="F810" s="22" t="str">
        <f>'VIX HISTORIQUE'!J813</f>
        <v/>
      </c>
    </row>
    <row r="811" ht="15.75" customHeight="1">
      <c r="A811" s="25" t="str">
        <f>'VIX HISTORIQUE'!A814</f>
        <v/>
      </c>
      <c r="B811" s="22" t="str">
        <f>'VIX HISTORIQUE'!B814</f>
        <v/>
      </c>
      <c r="C811" s="22" t="str">
        <f>'VIX HISTORIQUE'!D814</f>
        <v/>
      </c>
      <c r="D811" s="22" t="str">
        <f>'VIX HISTORIQUE'!F814</f>
        <v/>
      </c>
      <c r="E811" s="22" t="str">
        <f>'VIX HISTORIQUE'!H814</f>
        <v/>
      </c>
      <c r="F811" s="22" t="str">
        <f>'VIX HISTORIQUE'!J814</f>
        <v/>
      </c>
    </row>
    <row r="812" ht="15.75" customHeight="1">
      <c r="A812" s="25" t="str">
        <f>'VIX HISTORIQUE'!A815</f>
        <v/>
      </c>
      <c r="B812" s="22" t="str">
        <f>'VIX HISTORIQUE'!B815</f>
        <v/>
      </c>
      <c r="C812" s="22" t="str">
        <f>'VIX HISTORIQUE'!D815</f>
        <v/>
      </c>
      <c r="D812" s="22" t="str">
        <f>'VIX HISTORIQUE'!F815</f>
        <v/>
      </c>
      <c r="E812" s="22" t="str">
        <f>'VIX HISTORIQUE'!H815</f>
        <v/>
      </c>
      <c r="F812" s="22" t="str">
        <f>'VIX HISTORIQUE'!J815</f>
        <v/>
      </c>
    </row>
    <row r="813" ht="15.75" customHeight="1">
      <c r="A813" s="25" t="str">
        <f>'VIX HISTORIQUE'!A816</f>
        <v/>
      </c>
      <c r="B813" s="22" t="str">
        <f>'VIX HISTORIQUE'!B816</f>
        <v/>
      </c>
      <c r="C813" s="22" t="str">
        <f>'VIX HISTORIQUE'!D816</f>
        <v/>
      </c>
      <c r="D813" s="22" t="str">
        <f>'VIX HISTORIQUE'!F816</f>
        <v/>
      </c>
      <c r="E813" s="22" t="str">
        <f>'VIX HISTORIQUE'!H816</f>
        <v/>
      </c>
      <c r="F813" s="22" t="str">
        <f>'VIX HISTORIQUE'!J816</f>
        <v/>
      </c>
    </row>
    <row r="814" ht="15.75" customHeight="1">
      <c r="A814" s="25" t="str">
        <f>'VIX HISTORIQUE'!A817</f>
        <v/>
      </c>
      <c r="B814" s="22" t="str">
        <f>'VIX HISTORIQUE'!B817</f>
        <v/>
      </c>
      <c r="C814" s="22" t="str">
        <f>'VIX HISTORIQUE'!D817</f>
        <v/>
      </c>
      <c r="D814" s="22" t="str">
        <f>'VIX HISTORIQUE'!F817</f>
        <v/>
      </c>
      <c r="E814" s="22" t="str">
        <f>'VIX HISTORIQUE'!H817</f>
        <v/>
      </c>
      <c r="F814" s="22" t="str">
        <f>'VIX HISTORIQUE'!J817</f>
        <v/>
      </c>
    </row>
    <row r="815" ht="15.75" customHeight="1">
      <c r="A815" s="25" t="str">
        <f>'VIX HISTORIQUE'!A818</f>
        <v/>
      </c>
      <c r="B815" s="22" t="str">
        <f>'VIX HISTORIQUE'!B818</f>
        <v/>
      </c>
      <c r="C815" s="22" t="str">
        <f>'VIX HISTORIQUE'!D818</f>
        <v/>
      </c>
      <c r="D815" s="22" t="str">
        <f>'VIX HISTORIQUE'!F818</f>
        <v/>
      </c>
      <c r="E815" s="22" t="str">
        <f>'VIX HISTORIQUE'!H818</f>
        <v/>
      </c>
      <c r="F815" s="22" t="str">
        <f>'VIX HISTORIQUE'!J818</f>
        <v/>
      </c>
    </row>
    <row r="816" ht="15.75" customHeight="1">
      <c r="A816" s="25" t="str">
        <f>'VIX HISTORIQUE'!A819</f>
        <v/>
      </c>
      <c r="B816" s="22" t="str">
        <f>'VIX HISTORIQUE'!B819</f>
        <v/>
      </c>
      <c r="C816" s="22" t="str">
        <f>'VIX HISTORIQUE'!D819</f>
        <v/>
      </c>
      <c r="D816" s="22" t="str">
        <f>'VIX HISTORIQUE'!F819</f>
        <v/>
      </c>
      <c r="E816" s="22" t="str">
        <f>'VIX HISTORIQUE'!H819</f>
        <v/>
      </c>
      <c r="F816" s="22" t="str">
        <f>'VIX HISTORIQUE'!J819</f>
        <v/>
      </c>
    </row>
    <row r="817" ht="15.75" customHeight="1">
      <c r="A817" s="25" t="str">
        <f>'VIX HISTORIQUE'!A820</f>
        <v/>
      </c>
      <c r="B817" s="22" t="str">
        <f>'VIX HISTORIQUE'!B820</f>
        <v/>
      </c>
      <c r="C817" s="22" t="str">
        <f>'VIX HISTORIQUE'!D820</f>
        <v/>
      </c>
      <c r="D817" s="22" t="str">
        <f>'VIX HISTORIQUE'!F820</f>
        <v/>
      </c>
      <c r="E817" s="22" t="str">
        <f>'VIX HISTORIQUE'!H820</f>
        <v/>
      </c>
      <c r="F817" s="22" t="str">
        <f>'VIX HISTORIQUE'!J820</f>
        <v/>
      </c>
    </row>
    <row r="818" ht="15.75" customHeight="1">
      <c r="A818" s="25" t="str">
        <f>'VIX HISTORIQUE'!A821</f>
        <v/>
      </c>
      <c r="B818" s="22" t="str">
        <f>'VIX HISTORIQUE'!B821</f>
        <v/>
      </c>
      <c r="C818" s="22" t="str">
        <f>'VIX HISTORIQUE'!D821</f>
        <v/>
      </c>
      <c r="D818" s="22" t="str">
        <f>'VIX HISTORIQUE'!F821</f>
        <v/>
      </c>
      <c r="E818" s="22" t="str">
        <f>'VIX HISTORIQUE'!H821</f>
        <v/>
      </c>
      <c r="F818" s="22" t="str">
        <f>'VIX HISTORIQUE'!J821</f>
        <v/>
      </c>
    </row>
    <row r="819" ht="15.75" customHeight="1">
      <c r="A819" s="25" t="str">
        <f>'VIX HISTORIQUE'!A822</f>
        <v/>
      </c>
      <c r="B819" s="22" t="str">
        <f>'VIX HISTORIQUE'!B822</f>
        <v/>
      </c>
      <c r="C819" s="22" t="str">
        <f>'VIX HISTORIQUE'!D822</f>
        <v/>
      </c>
      <c r="D819" s="22" t="str">
        <f>'VIX HISTORIQUE'!F822</f>
        <v/>
      </c>
      <c r="E819" s="22" t="str">
        <f>'VIX HISTORIQUE'!H822</f>
        <v/>
      </c>
      <c r="F819" s="22" t="str">
        <f>'VIX HISTORIQUE'!J822</f>
        <v/>
      </c>
    </row>
    <row r="820" ht="15.75" customHeight="1">
      <c r="A820" s="25" t="str">
        <f>'VIX HISTORIQUE'!A823</f>
        <v/>
      </c>
      <c r="B820" s="22" t="str">
        <f>'VIX HISTORIQUE'!B823</f>
        <v/>
      </c>
      <c r="C820" s="22" t="str">
        <f>'VIX HISTORIQUE'!D823</f>
        <v/>
      </c>
      <c r="D820" s="22" t="str">
        <f>'VIX HISTORIQUE'!F823</f>
        <v/>
      </c>
      <c r="E820" s="22" t="str">
        <f>'VIX HISTORIQUE'!H823</f>
        <v/>
      </c>
      <c r="F820" s="22" t="str">
        <f>'VIX HISTORIQUE'!J823</f>
        <v/>
      </c>
    </row>
    <row r="821" ht="15.75" customHeight="1">
      <c r="A821" s="25" t="str">
        <f>'VIX HISTORIQUE'!A824</f>
        <v/>
      </c>
      <c r="B821" s="22" t="str">
        <f>'VIX HISTORIQUE'!B824</f>
        <v/>
      </c>
      <c r="C821" s="22" t="str">
        <f>'VIX HISTORIQUE'!D824</f>
        <v/>
      </c>
      <c r="D821" s="22" t="str">
        <f>'VIX HISTORIQUE'!F824</f>
        <v/>
      </c>
      <c r="E821" s="22" t="str">
        <f>'VIX HISTORIQUE'!H824</f>
        <v/>
      </c>
      <c r="F821" s="22" t="str">
        <f>'VIX HISTORIQUE'!J824</f>
        <v/>
      </c>
    </row>
    <row r="822" ht="15.75" customHeight="1">
      <c r="A822" s="25" t="str">
        <f>'VIX HISTORIQUE'!A825</f>
        <v/>
      </c>
      <c r="B822" s="22" t="str">
        <f>'VIX HISTORIQUE'!B825</f>
        <v/>
      </c>
      <c r="C822" s="22" t="str">
        <f>'VIX HISTORIQUE'!D825</f>
        <v/>
      </c>
      <c r="D822" s="22" t="str">
        <f>'VIX HISTORIQUE'!F825</f>
        <v/>
      </c>
      <c r="E822" s="22" t="str">
        <f>'VIX HISTORIQUE'!H825</f>
        <v/>
      </c>
      <c r="F822" s="22" t="str">
        <f>'VIX HISTORIQUE'!J825</f>
        <v/>
      </c>
    </row>
    <row r="823" ht="15.75" customHeight="1">
      <c r="A823" s="25" t="str">
        <f>'VIX HISTORIQUE'!A826</f>
        <v/>
      </c>
      <c r="B823" s="22" t="str">
        <f>'VIX HISTORIQUE'!B826</f>
        <v/>
      </c>
      <c r="C823" s="22" t="str">
        <f>'VIX HISTORIQUE'!D826</f>
        <v/>
      </c>
      <c r="D823" s="22" t="str">
        <f>'VIX HISTORIQUE'!F826</f>
        <v/>
      </c>
      <c r="E823" s="22" t="str">
        <f>'VIX HISTORIQUE'!H826</f>
        <v/>
      </c>
      <c r="F823" s="22" t="str">
        <f>'VIX HISTORIQUE'!J826</f>
        <v/>
      </c>
    </row>
    <row r="824" ht="15.75" customHeight="1">
      <c r="A824" s="25" t="str">
        <f>'VIX HISTORIQUE'!A827</f>
        <v/>
      </c>
      <c r="B824" s="22" t="str">
        <f>'VIX HISTORIQUE'!B827</f>
        <v/>
      </c>
      <c r="C824" s="22" t="str">
        <f>'VIX HISTORIQUE'!D827</f>
        <v/>
      </c>
      <c r="D824" s="22" t="str">
        <f>'VIX HISTORIQUE'!F827</f>
        <v/>
      </c>
      <c r="E824" s="22" t="str">
        <f>'VIX HISTORIQUE'!H827</f>
        <v/>
      </c>
      <c r="F824" s="22" t="str">
        <f>'VIX HISTORIQUE'!J827</f>
        <v/>
      </c>
    </row>
    <row r="825" ht="15.75" customHeight="1">
      <c r="A825" s="25" t="str">
        <f>'VIX HISTORIQUE'!A828</f>
        <v/>
      </c>
      <c r="B825" s="22" t="str">
        <f>'VIX HISTORIQUE'!B828</f>
        <v/>
      </c>
      <c r="C825" s="22" t="str">
        <f>'VIX HISTORIQUE'!D828</f>
        <v/>
      </c>
      <c r="D825" s="22" t="str">
        <f>'VIX HISTORIQUE'!F828</f>
        <v/>
      </c>
      <c r="E825" s="22" t="str">
        <f>'VIX HISTORIQUE'!H828</f>
        <v/>
      </c>
      <c r="F825" s="22" t="str">
        <f>'VIX HISTORIQUE'!J828</f>
        <v/>
      </c>
    </row>
    <row r="826" ht="15.75" customHeight="1">
      <c r="A826" s="25" t="str">
        <f>'VIX HISTORIQUE'!A829</f>
        <v/>
      </c>
      <c r="B826" s="22" t="str">
        <f>'VIX HISTORIQUE'!B829</f>
        <v/>
      </c>
      <c r="C826" s="22" t="str">
        <f>'VIX HISTORIQUE'!D829</f>
        <v/>
      </c>
      <c r="D826" s="22" t="str">
        <f>'VIX HISTORIQUE'!F829</f>
        <v/>
      </c>
      <c r="E826" s="22" t="str">
        <f>'VIX HISTORIQUE'!H829</f>
        <v/>
      </c>
      <c r="F826" s="22" t="str">
        <f>'VIX HISTORIQUE'!J829</f>
        <v/>
      </c>
    </row>
    <row r="827" ht="15.75" customHeight="1">
      <c r="A827" s="25" t="str">
        <f>'VIX HISTORIQUE'!A830</f>
        <v/>
      </c>
      <c r="B827" s="22" t="str">
        <f>'VIX HISTORIQUE'!B830</f>
        <v/>
      </c>
      <c r="C827" s="22" t="str">
        <f>'VIX HISTORIQUE'!D830</f>
        <v/>
      </c>
      <c r="D827" s="22" t="str">
        <f>'VIX HISTORIQUE'!F830</f>
        <v/>
      </c>
      <c r="E827" s="22" t="str">
        <f>'VIX HISTORIQUE'!H830</f>
        <v/>
      </c>
      <c r="F827" s="22" t="str">
        <f>'VIX HISTORIQUE'!J830</f>
        <v/>
      </c>
    </row>
    <row r="828" ht="15.75" customHeight="1">
      <c r="A828" s="25" t="str">
        <f>'VIX HISTORIQUE'!A831</f>
        <v/>
      </c>
      <c r="B828" s="22" t="str">
        <f>'VIX HISTORIQUE'!B831</f>
        <v/>
      </c>
      <c r="C828" s="22" t="str">
        <f>'VIX HISTORIQUE'!D831</f>
        <v/>
      </c>
      <c r="D828" s="22" t="str">
        <f>'VIX HISTORIQUE'!F831</f>
        <v/>
      </c>
      <c r="E828" s="22" t="str">
        <f>'VIX HISTORIQUE'!H831</f>
        <v/>
      </c>
      <c r="F828" s="22" t="str">
        <f>'VIX HISTORIQUE'!J831</f>
        <v/>
      </c>
    </row>
    <row r="829" ht="15.75" customHeight="1">
      <c r="A829" s="25" t="str">
        <f>'VIX HISTORIQUE'!A832</f>
        <v/>
      </c>
      <c r="B829" s="22" t="str">
        <f>'VIX HISTORIQUE'!B832</f>
        <v/>
      </c>
      <c r="C829" s="22" t="str">
        <f>'VIX HISTORIQUE'!D832</f>
        <v/>
      </c>
      <c r="D829" s="22" t="str">
        <f>'VIX HISTORIQUE'!F832</f>
        <v/>
      </c>
      <c r="E829" s="22" t="str">
        <f>'VIX HISTORIQUE'!H832</f>
        <v/>
      </c>
      <c r="F829" s="22" t="str">
        <f>'VIX HISTORIQUE'!J832</f>
        <v/>
      </c>
    </row>
    <row r="830" ht="15.75" customHeight="1">
      <c r="A830" s="25" t="str">
        <f>'VIX HISTORIQUE'!A833</f>
        <v/>
      </c>
      <c r="B830" s="22" t="str">
        <f>'VIX HISTORIQUE'!B833</f>
        <v/>
      </c>
      <c r="C830" s="22" t="str">
        <f>'VIX HISTORIQUE'!D833</f>
        <v/>
      </c>
      <c r="D830" s="22" t="str">
        <f>'VIX HISTORIQUE'!F833</f>
        <v/>
      </c>
      <c r="E830" s="22" t="str">
        <f>'VIX HISTORIQUE'!H833</f>
        <v/>
      </c>
      <c r="F830" s="22" t="str">
        <f>'VIX HISTORIQUE'!J833</f>
        <v/>
      </c>
    </row>
    <row r="831" ht="15.75" customHeight="1">
      <c r="A831" s="25" t="str">
        <f>'VIX HISTORIQUE'!A834</f>
        <v/>
      </c>
      <c r="B831" s="22" t="str">
        <f>'VIX HISTORIQUE'!B834</f>
        <v/>
      </c>
      <c r="C831" s="22" t="str">
        <f>'VIX HISTORIQUE'!D834</f>
        <v/>
      </c>
      <c r="D831" s="22" t="str">
        <f>'VIX HISTORIQUE'!F834</f>
        <v/>
      </c>
      <c r="E831" s="22" t="str">
        <f>'VIX HISTORIQUE'!H834</f>
        <v/>
      </c>
      <c r="F831" s="22" t="str">
        <f>'VIX HISTORIQUE'!J834</f>
        <v/>
      </c>
    </row>
    <row r="832" ht="15.75" customHeight="1">
      <c r="A832" s="25" t="str">
        <f>'VIX HISTORIQUE'!A835</f>
        <v/>
      </c>
      <c r="B832" s="22" t="str">
        <f>'VIX HISTORIQUE'!B835</f>
        <v/>
      </c>
      <c r="C832" s="22" t="str">
        <f>'VIX HISTORIQUE'!D835</f>
        <v/>
      </c>
      <c r="D832" s="22" t="str">
        <f>'VIX HISTORIQUE'!F835</f>
        <v/>
      </c>
      <c r="E832" s="22" t="str">
        <f>'VIX HISTORIQUE'!H835</f>
        <v/>
      </c>
      <c r="F832" s="22" t="str">
        <f>'VIX HISTORIQUE'!J835</f>
        <v/>
      </c>
    </row>
    <row r="833" ht="15.75" customHeight="1">
      <c r="A833" s="25" t="str">
        <f>'VIX HISTORIQUE'!A836</f>
        <v/>
      </c>
      <c r="B833" s="22" t="str">
        <f>'VIX HISTORIQUE'!B836</f>
        <v/>
      </c>
      <c r="C833" s="22" t="str">
        <f>'VIX HISTORIQUE'!D836</f>
        <v/>
      </c>
      <c r="D833" s="22" t="str">
        <f>'VIX HISTORIQUE'!F836</f>
        <v/>
      </c>
      <c r="E833" s="22" t="str">
        <f>'VIX HISTORIQUE'!H836</f>
        <v/>
      </c>
      <c r="F833" s="22" t="str">
        <f>'VIX HISTORIQUE'!J836</f>
        <v/>
      </c>
    </row>
    <row r="834" ht="15.75" customHeight="1">
      <c r="A834" s="25" t="str">
        <f>'VIX HISTORIQUE'!A837</f>
        <v/>
      </c>
      <c r="B834" s="22" t="str">
        <f>'VIX HISTORIQUE'!B837</f>
        <v/>
      </c>
      <c r="C834" s="22" t="str">
        <f>'VIX HISTORIQUE'!D837</f>
        <v/>
      </c>
      <c r="D834" s="22" t="str">
        <f>'VIX HISTORIQUE'!F837</f>
        <v/>
      </c>
      <c r="E834" s="22" t="str">
        <f>'VIX HISTORIQUE'!H837</f>
        <v/>
      </c>
      <c r="F834" s="22" t="str">
        <f>'VIX HISTORIQUE'!J837</f>
        <v/>
      </c>
    </row>
    <row r="835" ht="15.75" customHeight="1">
      <c r="A835" s="25" t="str">
        <f>'VIX HISTORIQUE'!A838</f>
        <v/>
      </c>
      <c r="B835" s="22" t="str">
        <f>'VIX HISTORIQUE'!B838</f>
        <v/>
      </c>
      <c r="C835" s="22" t="str">
        <f>'VIX HISTORIQUE'!D838</f>
        <v/>
      </c>
      <c r="D835" s="22" t="str">
        <f>'VIX HISTORIQUE'!F838</f>
        <v/>
      </c>
      <c r="E835" s="22" t="str">
        <f>'VIX HISTORIQUE'!H838</f>
        <v/>
      </c>
      <c r="F835" s="22" t="str">
        <f>'VIX HISTORIQUE'!J838</f>
        <v/>
      </c>
    </row>
    <row r="836" ht="15.75" customHeight="1">
      <c r="A836" s="25" t="str">
        <f>'VIX HISTORIQUE'!A839</f>
        <v/>
      </c>
      <c r="B836" s="22" t="str">
        <f>'VIX HISTORIQUE'!B839</f>
        <v/>
      </c>
      <c r="C836" s="22" t="str">
        <f>'VIX HISTORIQUE'!D839</f>
        <v/>
      </c>
      <c r="D836" s="22" t="str">
        <f>'VIX HISTORIQUE'!F839</f>
        <v/>
      </c>
      <c r="E836" s="22" t="str">
        <f>'VIX HISTORIQUE'!H839</f>
        <v/>
      </c>
      <c r="F836" s="22" t="str">
        <f>'VIX HISTORIQUE'!J839</f>
        <v/>
      </c>
    </row>
    <row r="837" ht="15.75" customHeight="1">
      <c r="A837" s="25" t="str">
        <f>'VIX HISTORIQUE'!A840</f>
        <v/>
      </c>
      <c r="B837" s="22" t="str">
        <f>'VIX HISTORIQUE'!B840</f>
        <v/>
      </c>
      <c r="C837" s="22" t="str">
        <f>'VIX HISTORIQUE'!D840</f>
        <v/>
      </c>
      <c r="D837" s="22" t="str">
        <f>'VIX HISTORIQUE'!F840</f>
        <v/>
      </c>
      <c r="E837" s="22" t="str">
        <f>'VIX HISTORIQUE'!H840</f>
        <v/>
      </c>
      <c r="F837" s="22" t="str">
        <f>'VIX HISTORIQUE'!J840</f>
        <v/>
      </c>
    </row>
    <row r="838" ht="15.75" customHeight="1">
      <c r="A838" s="25" t="str">
        <f>'VIX HISTORIQUE'!A841</f>
        <v/>
      </c>
      <c r="B838" s="22" t="str">
        <f>'VIX HISTORIQUE'!B841</f>
        <v/>
      </c>
      <c r="C838" s="22" t="str">
        <f>'VIX HISTORIQUE'!D841</f>
        <v/>
      </c>
      <c r="D838" s="22" t="str">
        <f>'VIX HISTORIQUE'!F841</f>
        <v/>
      </c>
      <c r="E838" s="22" t="str">
        <f>'VIX HISTORIQUE'!H841</f>
        <v/>
      </c>
      <c r="F838" s="22" t="str">
        <f>'VIX HISTORIQUE'!J841</f>
        <v/>
      </c>
    </row>
    <row r="839" ht="15.75" customHeight="1">
      <c r="A839" s="25" t="str">
        <f>'VIX HISTORIQUE'!A842</f>
        <v/>
      </c>
      <c r="B839" s="22" t="str">
        <f>'VIX HISTORIQUE'!B842</f>
        <v/>
      </c>
      <c r="C839" s="22" t="str">
        <f>'VIX HISTORIQUE'!D842</f>
        <v/>
      </c>
      <c r="D839" s="22" t="str">
        <f>'VIX HISTORIQUE'!F842</f>
        <v/>
      </c>
      <c r="E839" s="22" t="str">
        <f>'VIX HISTORIQUE'!H842</f>
        <v/>
      </c>
      <c r="F839" s="22" t="str">
        <f>'VIX HISTORIQUE'!J842</f>
        <v/>
      </c>
    </row>
    <row r="840" ht="15.75" customHeight="1">
      <c r="A840" s="25" t="str">
        <f>'VIX HISTORIQUE'!A843</f>
        <v/>
      </c>
      <c r="B840" s="22" t="str">
        <f>'VIX HISTORIQUE'!B843</f>
        <v/>
      </c>
      <c r="C840" s="22" t="str">
        <f>'VIX HISTORIQUE'!D843</f>
        <v/>
      </c>
      <c r="D840" s="22" t="str">
        <f>'VIX HISTORIQUE'!F843</f>
        <v/>
      </c>
      <c r="E840" s="22" t="str">
        <f>'VIX HISTORIQUE'!H843</f>
        <v/>
      </c>
      <c r="F840" s="22" t="str">
        <f>'VIX HISTORIQUE'!J843</f>
        <v/>
      </c>
    </row>
    <row r="841" ht="15.75" customHeight="1">
      <c r="A841" s="25" t="str">
        <f>'VIX HISTORIQUE'!A844</f>
        <v/>
      </c>
      <c r="B841" s="22" t="str">
        <f>'VIX HISTORIQUE'!B844</f>
        <v/>
      </c>
      <c r="C841" s="22" t="str">
        <f>'VIX HISTORIQUE'!D844</f>
        <v/>
      </c>
      <c r="D841" s="22" t="str">
        <f>'VIX HISTORIQUE'!F844</f>
        <v/>
      </c>
      <c r="E841" s="22" t="str">
        <f>'VIX HISTORIQUE'!H844</f>
        <v/>
      </c>
      <c r="F841" s="22" t="str">
        <f>'VIX HISTORIQUE'!J844</f>
        <v/>
      </c>
    </row>
    <row r="842" ht="15.75" customHeight="1">
      <c r="A842" s="25" t="str">
        <f>'VIX HISTORIQUE'!A845</f>
        <v/>
      </c>
      <c r="B842" s="22" t="str">
        <f>'VIX HISTORIQUE'!B845</f>
        <v/>
      </c>
      <c r="C842" s="22" t="str">
        <f>'VIX HISTORIQUE'!D845</f>
        <v/>
      </c>
      <c r="D842" s="22" t="str">
        <f>'VIX HISTORIQUE'!F845</f>
        <v/>
      </c>
      <c r="E842" s="22" t="str">
        <f>'VIX HISTORIQUE'!H845</f>
        <v/>
      </c>
      <c r="F842" s="22" t="str">
        <f>'VIX HISTORIQUE'!J845</f>
        <v/>
      </c>
    </row>
    <row r="843" ht="15.75" customHeight="1">
      <c r="A843" s="25" t="str">
        <f>'VIX HISTORIQUE'!A846</f>
        <v/>
      </c>
      <c r="B843" s="22" t="str">
        <f>'VIX HISTORIQUE'!B846</f>
        <v/>
      </c>
      <c r="C843" s="22" t="str">
        <f>'VIX HISTORIQUE'!D846</f>
        <v/>
      </c>
      <c r="D843" s="22" t="str">
        <f>'VIX HISTORIQUE'!F846</f>
        <v/>
      </c>
      <c r="E843" s="22" t="str">
        <f>'VIX HISTORIQUE'!H846</f>
        <v/>
      </c>
      <c r="F843" s="22" t="str">
        <f>'VIX HISTORIQUE'!J846</f>
        <v/>
      </c>
    </row>
    <row r="844" ht="15.75" customHeight="1">
      <c r="A844" s="25" t="str">
        <f>'VIX HISTORIQUE'!A847</f>
        <v/>
      </c>
      <c r="B844" s="22" t="str">
        <f>'VIX HISTORIQUE'!B847</f>
        <v/>
      </c>
      <c r="C844" s="22" t="str">
        <f>'VIX HISTORIQUE'!D847</f>
        <v/>
      </c>
      <c r="D844" s="22" t="str">
        <f>'VIX HISTORIQUE'!F847</f>
        <v/>
      </c>
      <c r="E844" s="22" t="str">
        <f>'VIX HISTORIQUE'!H847</f>
        <v/>
      </c>
      <c r="F844" s="22" t="str">
        <f>'VIX HISTORIQUE'!J847</f>
        <v/>
      </c>
    </row>
    <row r="845" ht="15.75" customHeight="1">
      <c r="A845" s="25" t="str">
        <f>'VIX HISTORIQUE'!A848</f>
        <v/>
      </c>
      <c r="B845" s="22" t="str">
        <f>'VIX HISTORIQUE'!B848</f>
        <v/>
      </c>
      <c r="C845" s="22" t="str">
        <f>'VIX HISTORIQUE'!D848</f>
        <v/>
      </c>
      <c r="D845" s="22" t="str">
        <f>'VIX HISTORIQUE'!F848</f>
        <v/>
      </c>
      <c r="E845" s="22" t="str">
        <f>'VIX HISTORIQUE'!H848</f>
        <v/>
      </c>
      <c r="F845" s="22" t="str">
        <f>'VIX HISTORIQUE'!J848</f>
        <v/>
      </c>
    </row>
    <row r="846" ht="15.75" customHeight="1">
      <c r="A846" s="25" t="str">
        <f>'VIX HISTORIQUE'!A849</f>
        <v/>
      </c>
      <c r="B846" s="22" t="str">
        <f>'VIX HISTORIQUE'!B849</f>
        <v/>
      </c>
      <c r="C846" s="22" t="str">
        <f>'VIX HISTORIQUE'!D849</f>
        <v/>
      </c>
      <c r="D846" s="22" t="str">
        <f>'VIX HISTORIQUE'!F849</f>
        <v/>
      </c>
      <c r="E846" s="22" t="str">
        <f>'VIX HISTORIQUE'!H849</f>
        <v/>
      </c>
      <c r="F846" s="22" t="str">
        <f>'VIX HISTORIQUE'!J849</f>
        <v/>
      </c>
    </row>
    <row r="847" ht="15.75" customHeight="1">
      <c r="A847" s="25" t="str">
        <f>'VIX HISTORIQUE'!A850</f>
        <v/>
      </c>
      <c r="B847" s="22" t="str">
        <f>'VIX HISTORIQUE'!B850</f>
        <v/>
      </c>
      <c r="C847" s="22" t="str">
        <f>'VIX HISTORIQUE'!D850</f>
        <v/>
      </c>
      <c r="D847" s="22" t="str">
        <f>'VIX HISTORIQUE'!F850</f>
        <v/>
      </c>
      <c r="E847" s="22" t="str">
        <f>'VIX HISTORIQUE'!H850</f>
        <v/>
      </c>
      <c r="F847" s="22" t="str">
        <f>'VIX HISTORIQUE'!J850</f>
        <v/>
      </c>
    </row>
    <row r="848" ht="15.75" customHeight="1">
      <c r="A848" s="25" t="str">
        <f>'VIX HISTORIQUE'!A851</f>
        <v/>
      </c>
      <c r="B848" s="22" t="str">
        <f>'VIX HISTORIQUE'!B851</f>
        <v/>
      </c>
      <c r="C848" s="22" t="str">
        <f>'VIX HISTORIQUE'!D851</f>
        <v/>
      </c>
      <c r="D848" s="22" t="str">
        <f>'VIX HISTORIQUE'!F851</f>
        <v/>
      </c>
      <c r="E848" s="22" t="str">
        <f>'VIX HISTORIQUE'!H851</f>
        <v/>
      </c>
      <c r="F848" s="22" t="str">
        <f>'VIX HISTORIQUE'!J851</f>
        <v/>
      </c>
    </row>
    <row r="849" ht="15.75" customHeight="1">
      <c r="A849" s="25" t="str">
        <f>'VIX HISTORIQUE'!A852</f>
        <v/>
      </c>
      <c r="B849" s="22" t="str">
        <f>'VIX HISTORIQUE'!B852</f>
        <v/>
      </c>
      <c r="C849" s="22" t="str">
        <f>'VIX HISTORIQUE'!D852</f>
        <v/>
      </c>
      <c r="D849" s="22" t="str">
        <f>'VIX HISTORIQUE'!F852</f>
        <v/>
      </c>
      <c r="E849" s="22" t="str">
        <f>'VIX HISTORIQUE'!H852</f>
        <v/>
      </c>
      <c r="F849" s="22" t="str">
        <f>'VIX HISTORIQUE'!J852</f>
        <v/>
      </c>
    </row>
    <row r="850" ht="15.75" customHeight="1">
      <c r="A850" s="25" t="str">
        <f>'VIX HISTORIQUE'!A853</f>
        <v/>
      </c>
      <c r="B850" s="22" t="str">
        <f>'VIX HISTORIQUE'!B853</f>
        <v/>
      </c>
      <c r="C850" s="22" t="str">
        <f>'VIX HISTORIQUE'!D853</f>
        <v/>
      </c>
      <c r="D850" s="22" t="str">
        <f>'VIX HISTORIQUE'!F853</f>
        <v/>
      </c>
      <c r="E850" s="22" t="str">
        <f>'VIX HISTORIQUE'!H853</f>
        <v/>
      </c>
      <c r="F850" s="22" t="str">
        <f>'VIX HISTORIQUE'!J853</f>
        <v/>
      </c>
    </row>
    <row r="851" ht="15.75" customHeight="1">
      <c r="A851" s="25" t="str">
        <f>'VIX HISTORIQUE'!A854</f>
        <v/>
      </c>
      <c r="B851" s="22" t="str">
        <f>'VIX HISTORIQUE'!B854</f>
        <v/>
      </c>
      <c r="C851" s="22" t="str">
        <f>'VIX HISTORIQUE'!D854</f>
        <v/>
      </c>
      <c r="D851" s="22" t="str">
        <f>'VIX HISTORIQUE'!F854</f>
        <v/>
      </c>
      <c r="E851" s="22" t="str">
        <f>'VIX HISTORIQUE'!H854</f>
        <v/>
      </c>
      <c r="F851" s="22" t="str">
        <f>'VIX HISTORIQUE'!J854</f>
        <v/>
      </c>
    </row>
    <row r="852" ht="15.75" customHeight="1">
      <c r="A852" s="25" t="str">
        <f>'VIX HISTORIQUE'!A855</f>
        <v/>
      </c>
      <c r="B852" s="22" t="str">
        <f>'VIX HISTORIQUE'!B855</f>
        <v/>
      </c>
      <c r="C852" s="22" t="str">
        <f>'VIX HISTORIQUE'!D855</f>
        <v/>
      </c>
      <c r="D852" s="22" t="str">
        <f>'VIX HISTORIQUE'!F855</f>
        <v/>
      </c>
      <c r="E852" s="22" t="str">
        <f>'VIX HISTORIQUE'!H855</f>
        <v/>
      </c>
      <c r="F852" s="22" t="str">
        <f>'VIX HISTORIQUE'!J855</f>
        <v/>
      </c>
    </row>
    <row r="853" ht="15.75" customHeight="1">
      <c r="A853" s="25" t="str">
        <f>'VIX HISTORIQUE'!A856</f>
        <v/>
      </c>
      <c r="B853" s="22" t="str">
        <f>'VIX HISTORIQUE'!B856</f>
        <v/>
      </c>
      <c r="C853" s="22" t="str">
        <f>'VIX HISTORIQUE'!D856</f>
        <v/>
      </c>
      <c r="D853" s="22" t="str">
        <f>'VIX HISTORIQUE'!F856</f>
        <v/>
      </c>
      <c r="E853" s="22" t="str">
        <f>'VIX HISTORIQUE'!H856</f>
        <v/>
      </c>
      <c r="F853" s="22" t="str">
        <f>'VIX HISTORIQUE'!J856</f>
        <v/>
      </c>
    </row>
    <row r="854" ht="15.75" customHeight="1">
      <c r="A854" s="25" t="str">
        <f>'VIX HISTORIQUE'!A857</f>
        <v/>
      </c>
      <c r="B854" s="22" t="str">
        <f>'VIX HISTORIQUE'!B857</f>
        <v/>
      </c>
      <c r="C854" s="22" t="str">
        <f>'VIX HISTORIQUE'!D857</f>
        <v/>
      </c>
      <c r="D854" s="22" t="str">
        <f>'VIX HISTORIQUE'!F857</f>
        <v/>
      </c>
      <c r="E854" s="22" t="str">
        <f>'VIX HISTORIQUE'!H857</f>
        <v/>
      </c>
      <c r="F854" s="22" t="str">
        <f>'VIX HISTORIQUE'!J857</f>
        <v/>
      </c>
    </row>
    <row r="855" ht="15.75" customHeight="1">
      <c r="A855" s="25" t="str">
        <f>'VIX HISTORIQUE'!A858</f>
        <v/>
      </c>
      <c r="B855" s="22" t="str">
        <f>'VIX HISTORIQUE'!B858</f>
        <v/>
      </c>
      <c r="C855" s="22" t="str">
        <f>'VIX HISTORIQUE'!D858</f>
        <v/>
      </c>
      <c r="D855" s="22" t="str">
        <f>'VIX HISTORIQUE'!F858</f>
        <v/>
      </c>
      <c r="E855" s="22" t="str">
        <f>'VIX HISTORIQUE'!H858</f>
        <v/>
      </c>
      <c r="F855" s="22" t="str">
        <f>'VIX HISTORIQUE'!J858</f>
        <v/>
      </c>
    </row>
    <row r="856" ht="15.75" customHeight="1">
      <c r="A856" s="25" t="str">
        <f>'VIX HISTORIQUE'!A859</f>
        <v/>
      </c>
      <c r="B856" s="22" t="str">
        <f>'VIX HISTORIQUE'!B859</f>
        <v/>
      </c>
      <c r="C856" s="22" t="str">
        <f>'VIX HISTORIQUE'!D859</f>
        <v/>
      </c>
      <c r="D856" s="22" t="str">
        <f>'VIX HISTORIQUE'!F859</f>
        <v/>
      </c>
      <c r="E856" s="22" t="str">
        <f>'VIX HISTORIQUE'!H859</f>
        <v/>
      </c>
      <c r="F856" s="22" t="str">
        <f>'VIX HISTORIQUE'!J859</f>
        <v/>
      </c>
    </row>
    <row r="857" ht="15.75" customHeight="1">
      <c r="A857" s="25" t="str">
        <f>'VIX HISTORIQUE'!A860</f>
        <v/>
      </c>
      <c r="B857" s="22" t="str">
        <f>'VIX HISTORIQUE'!B860</f>
        <v/>
      </c>
      <c r="C857" s="22" t="str">
        <f>'VIX HISTORIQUE'!D860</f>
        <v/>
      </c>
      <c r="D857" s="22" t="str">
        <f>'VIX HISTORIQUE'!F860</f>
        <v/>
      </c>
      <c r="E857" s="22" t="str">
        <f>'VIX HISTORIQUE'!H860</f>
        <v/>
      </c>
      <c r="F857" s="22" t="str">
        <f>'VIX HISTORIQUE'!J860</f>
        <v/>
      </c>
    </row>
    <row r="858" ht="15.75" customHeight="1">
      <c r="A858" s="25" t="str">
        <f>'VIX HISTORIQUE'!A861</f>
        <v/>
      </c>
      <c r="B858" s="22" t="str">
        <f>'VIX HISTORIQUE'!B861</f>
        <v/>
      </c>
      <c r="C858" s="22" t="str">
        <f>'VIX HISTORIQUE'!D861</f>
        <v/>
      </c>
      <c r="D858" s="22" t="str">
        <f>'VIX HISTORIQUE'!F861</f>
        <v/>
      </c>
      <c r="E858" s="22" t="str">
        <f>'VIX HISTORIQUE'!H861</f>
        <v/>
      </c>
      <c r="F858" s="22" t="str">
        <f>'VIX HISTORIQUE'!J861</f>
        <v/>
      </c>
    </row>
    <row r="859" ht="15.75" customHeight="1">
      <c r="A859" s="25" t="str">
        <f>'VIX HISTORIQUE'!A862</f>
        <v/>
      </c>
      <c r="B859" s="22" t="str">
        <f>'VIX HISTORIQUE'!B862</f>
        <v/>
      </c>
      <c r="C859" s="22" t="str">
        <f>'VIX HISTORIQUE'!D862</f>
        <v/>
      </c>
      <c r="D859" s="22" t="str">
        <f>'VIX HISTORIQUE'!F862</f>
        <v/>
      </c>
      <c r="E859" s="22" t="str">
        <f>'VIX HISTORIQUE'!H862</f>
        <v/>
      </c>
      <c r="F859" s="22" t="str">
        <f>'VIX HISTORIQUE'!J862</f>
        <v/>
      </c>
    </row>
    <row r="860" ht="15.75" customHeight="1">
      <c r="A860" s="25" t="str">
        <f>'VIX HISTORIQUE'!A863</f>
        <v/>
      </c>
      <c r="B860" s="22" t="str">
        <f>'VIX HISTORIQUE'!B863</f>
        <v/>
      </c>
      <c r="C860" s="22" t="str">
        <f>'VIX HISTORIQUE'!D863</f>
        <v/>
      </c>
      <c r="D860" s="22" t="str">
        <f>'VIX HISTORIQUE'!F863</f>
        <v/>
      </c>
      <c r="E860" s="22" t="str">
        <f>'VIX HISTORIQUE'!H863</f>
        <v/>
      </c>
      <c r="F860" s="22" t="str">
        <f>'VIX HISTORIQUE'!J863</f>
        <v/>
      </c>
    </row>
    <row r="861" ht="15.75" customHeight="1">
      <c r="A861" s="25" t="str">
        <f>'VIX HISTORIQUE'!A864</f>
        <v/>
      </c>
      <c r="B861" s="22" t="str">
        <f>'VIX HISTORIQUE'!B864</f>
        <v/>
      </c>
      <c r="C861" s="22" t="str">
        <f>'VIX HISTORIQUE'!D864</f>
        <v/>
      </c>
      <c r="D861" s="22" t="str">
        <f>'VIX HISTORIQUE'!F864</f>
        <v/>
      </c>
      <c r="E861" s="22" t="str">
        <f>'VIX HISTORIQUE'!H864</f>
        <v/>
      </c>
      <c r="F861" s="22" t="str">
        <f>'VIX HISTORIQUE'!J864</f>
        <v/>
      </c>
    </row>
    <row r="862" ht="15.75" customHeight="1">
      <c r="A862" s="25" t="str">
        <f>'VIX HISTORIQUE'!A865</f>
        <v/>
      </c>
      <c r="B862" s="22" t="str">
        <f>'VIX HISTORIQUE'!B865</f>
        <v/>
      </c>
      <c r="C862" s="22" t="str">
        <f>'VIX HISTORIQUE'!D865</f>
        <v/>
      </c>
      <c r="D862" s="22" t="str">
        <f>'VIX HISTORIQUE'!F865</f>
        <v/>
      </c>
      <c r="E862" s="22" t="str">
        <f>'VIX HISTORIQUE'!H865</f>
        <v/>
      </c>
      <c r="F862" s="22" t="str">
        <f>'VIX HISTORIQUE'!J865</f>
        <v/>
      </c>
    </row>
    <row r="863" ht="15.75" customHeight="1">
      <c r="A863" s="25" t="str">
        <f>'VIX HISTORIQUE'!A866</f>
        <v/>
      </c>
      <c r="B863" s="22" t="str">
        <f>'VIX HISTORIQUE'!B866</f>
        <v/>
      </c>
      <c r="C863" s="22" t="str">
        <f>'VIX HISTORIQUE'!D866</f>
        <v/>
      </c>
      <c r="D863" s="22" t="str">
        <f>'VIX HISTORIQUE'!F866</f>
        <v/>
      </c>
      <c r="E863" s="22" t="str">
        <f>'VIX HISTORIQUE'!H866</f>
        <v/>
      </c>
      <c r="F863" s="22" t="str">
        <f>'VIX HISTORIQUE'!J866</f>
        <v/>
      </c>
    </row>
    <row r="864" ht="15.75" customHeight="1">
      <c r="A864" s="25" t="str">
        <f>'VIX HISTORIQUE'!A867</f>
        <v/>
      </c>
      <c r="B864" s="22" t="str">
        <f>'VIX HISTORIQUE'!B867</f>
        <v/>
      </c>
      <c r="C864" s="22" t="str">
        <f>'VIX HISTORIQUE'!D867</f>
        <v/>
      </c>
      <c r="D864" s="22" t="str">
        <f>'VIX HISTORIQUE'!F867</f>
        <v/>
      </c>
      <c r="E864" s="22" t="str">
        <f>'VIX HISTORIQUE'!H867</f>
        <v/>
      </c>
      <c r="F864" s="22" t="str">
        <f>'VIX HISTORIQUE'!J867</f>
        <v/>
      </c>
    </row>
    <row r="865" ht="15.75" customHeight="1">
      <c r="A865" s="25" t="str">
        <f>'VIX HISTORIQUE'!A868</f>
        <v/>
      </c>
      <c r="B865" s="22" t="str">
        <f>'VIX HISTORIQUE'!B868</f>
        <v/>
      </c>
      <c r="C865" s="22" t="str">
        <f>'VIX HISTORIQUE'!D868</f>
        <v/>
      </c>
      <c r="D865" s="22" t="str">
        <f>'VIX HISTORIQUE'!F868</f>
        <v/>
      </c>
      <c r="E865" s="22" t="str">
        <f>'VIX HISTORIQUE'!H868</f>
        <v/>
      </c>
      <c r="F865" s="22" t="str">
        <f>'VIX HISTORIQUE'!J868</f>
        <v/>
      </c>
    </row>
    <row r="866" ht="15.75" customHeight="1">
      <c r="A866" s="25" t="str">
        <f>'VIX HISTORIQUE'!A869</f>
        <v/>
      </c>
      <c r="B866" s="22" t="str">
        <f>'VIX HISTORIQUE'!B869</f>
        <v/>
      </c>
      <c r="C866" s="22" t="str">
        <f>'VIX HISTORIQUE'!D869</f>
        <v/>
      </c>
      <c r="D866" s="22" t="str">
        <f>'VIX HISTORIQUE'!F869</f>
        <v/>
      </c>
      <c r="E866" s="22" t="str">
        <f>'VIX HISTORIQUE'!H869</f>
        <v/>
      </c>
      <c r="F866" s="22" t="str">
        <f>'VIX HISTORIQUE'!J869</f>
        <v/>
      </c>
    </row>
    <row r="867" ht="15.75" customHeight="1">
      <c r="A867" s="25" t="str">
        <f>'VIX HISTORIQUE'!A870</f>
        <v/>
      </c>
      <c r="B867" s="22" t="str">
        <f>'VIX HISTORIQUE'!B870</f>
        <v/>
      </c>
      <c r="C867" s="22" t="str">
        <f>'VIX HISTORIQUE'!D870</f>
        <v/>
      </c>
      <c r="D867" s="22" t="str">
        <f>'VIX HISTORIQUE'!F870</f>
        <v/>
      </c>
      <c r="E867" s="22" t="str">
        <f>'VIX HISTORIQUE'!H870</f>
        <v/>
      </c>
      <c r="F867" s="22" t="str">
        <f>'VIX HISTORIQUE'!J870</f>
        <v/>
      </c>
    </row>
    <row r="868" ht="15.75" customHeight="1">
      <c r="A868" s="25" t="str">
        <f>'VIX HISTORIQUE'!A871</f>
        <v/>
      </c>
      <c r="B868" s="22" t="str">
        <f>'VIX HISTORIQUE'!B871</f>
        <v/>
      </c>
      <c r="C868" s="22" t="str">
        <f>'VIX HISTORIQUE'!D871</f>
        <v/>
      </c>
      <c r="D868" s="22" t="str">
        <f>'VIX HISTORIQUE'!F871</f>
        <v/>
      </c>
      <c r="E868" s="22" t="str">
        <f>'VIX HISTORIQUE'!H871</f>
        <v/>
      </c>
      <c r="F868" s="22" t="str">
        <f>'VIX HISTORIQUE'!J871</f>
        <v/>
      </c>
    </row>
    <row r="869" ht="15.75" customHeight="1">
      <c r="A869" s="25" t="str">
        <f>'VIX HISTORIQUE'!A872</f>
        <v/>
      </c>
      <c r="B869" s="22" t="str">
        <f>'VIX HISTORIQUE'!B872</f>
        <v/>
      </c>
      <c r="C869" s="22" t="str">
        <f>'VIX HISTORIQUE'!D872</f>
        <v/>
      </c>
      <c r="D869" s="22" t="str">
        <f>'VIX HISTORIQUE'!F872</f>
        <v/>
      </c>
      <c r="E869" s="22" t="str">
        <f>'VIX HISTORIQUE'!H872</f>
        <v/>
      </c>
      <c r="F869" s="22" t="str">
        <f>'VIX HISTORIQUE'!J872</f>
        <v/>
      </c>
    </row>
    <row r="870" ht="15.75" customHeight="1">
      <c r="A870" s="25" t="str">
        <f>'VIX HISTORIQUE'!A873</f>
        <v/>
      </c>
      <c r="B870" s="22" t="str">
        <f>'VIX HISTORIQUE'!B873</f>
        <v/>
      </c>
      <c r="C870" s="22" t="str">
        <f>'VIX HISTORIQUE'!D873</f>
        <v/>
      </c>
      <c r="D870" s="22" t="str">
        <f>'VIX HISTORIQUE'!F873</f>
        <v/>
      </c>
      <c r="E870" s="22" t="str">
        <f>'VIX HISTORIQUE'!H873</f>
        <v/>
      </c>
      <c r="F870" s="22" t="str">
        <f>'VIX HISTORIQUE'!J873</f>
        <v/>
      </c>
    </row>
    <row r="871" ht="15.75" customHeight="1">
      <c r="A871" s="25" t="str">
        <f>'VIX HISTORIQUE'!A874</f>
        <v/>
      </c>
      <c r="B871" s="22" t="str">
        <f>'VIX HISTORIQUE'!B874</f>
        <v/>
      </c>
      <c r="C871" s="22" t="str">
        <f>'VIX HISTORIQUE'!D874</f>
        <v/>
      </c>
      <c r="D871" s="22" t="str">
        <f>'VIX HISTORIQUE'!F874</f>
        <v/>
      </c>
      <c r="E871" s="22" t="str">
        <f>'VIX HISTORIQUE'!H874</f>
        <v/>
      </c>
      <c r="F871" s="22" t="str">
        <f>'VIX HISTORIQUE'!J874</f>
        <v/>
      </c>
    </row>
    <row r="872" ht="15.75" customHeight="1">
      <c r="A872" s="25" t="str">
        <f>'VIX HISTORIQUE'!A875</f>
        <v/>
      </c>
      <c r="B872" s="22" t="str">
        <f>'VIX HISTORIQUE'!B875</f>
        <v/>
      </c>
      <c r="C872" s="22" t="str">
        <f>'VIX HISTORIQUE'!D875</f>
        <v/>
      </c>
      <c r="D872" s="22" t="str">
        <f>'VIX HISTORIQUE'!F875</f>
        <v/>
      </c>
      <c r="E872" s="22" t="str">
        <f>'VIX HISTORIQUE'!H875</f>
        <v/>
      </c>
      <c r="F872" s="22" t="str">
        <f>'VIX HISTORIQUE'!J875</f>
        <v/>
      </c>
    </row>
    <row r="873" ht="15.75" customHeight="1">
      <c r="A873" s="25" t="str">
        <f>'VIX HISTORIQUE'!A876</f>
        <v/>
      </c>
      <c r="B873" s="22" t="str">
        <f>'VIX HISTORIQUE'!B876</f>
        <v/>
      </c>
      <c r="C873" s="22" t="str">
        <f>'VIX HISTORIQUE'!D876</f>
        <v/>
      </c>
      <c r="D873" s="22" t="str">
        <f>'VIX HISTORIQUE'!F876</f>
        <v/>
      </c>
      <c r="E873" s="22" t="str">
        <f>'VIX HISTORIQUE'!H876</f>
        <v/>
      </c>
      <c r="F873" s="22" t="str">
        <f>'VIX HISTORIQUE'!J876</f>
        <v/>
      </c>
    </row>
    <row r="874" ht="15.75" customHeight="1">
      <c r="A874" s="25" t="str">
        <f>'VIX HISTORIQUE'!A877</f>
        <v/>
      </c>
      <c r="B874" s="22" t="str">
        <f>'VIX HISTORIQUE'!B877</f>
        <v/>
      </c>
      <c r="C874" s="22" t="str">
        <f>'VIX HISTORIQUE'!D877</f>
        <v/>
      </c>
      <c r="D874" s="22" t="str">
        <f>'VIX HISTORIQUE'!F877</f>
        <v/>
      </c>
      <c r="E874" s="22" t="str">
        <f>'VIX HISTORIQUE'!H877</f>
        <v/>
      </c>
      <c r="F874" s="22" t="str">
        <f>'VIX HISTORIQUE'!J877</f>
        <v/>
      </c>
    </row>
    <row r="875" ht="15.75" customHeight="1">
      <c r="A875" s="25" t="str">
        <f>'VIX HISTORIQUE'!A878</f>
        <v/>
      </c>
      <c r="B875" s="22" t="str">
        <f>'VIX HISTORIQUE'!B878</f>
        <v/>
      </c>
      <c r="C875" s="22" t="str">
        <f>'VIX HISTORIQUE'!D878</f>
        <v/>
      </c>
      <c r="D875" s="22" t="str">
        <f>'VIX HISTORIQUE'!F878</f>
        <v/>
      </c>
      <c r="E875" s="22" t="str">
        <f>'VIX HISTORIQUE'!H878</f>
        <v/>
      </c>
      <c r="F875" s="22" t="str">
        <f>'VIX HISTORIQUE'!J878</f>
        <v/>
      </c>
    </row>
    <row r="876" ht="15.75" customHeight="1">
      <c r="A876" s="25" t="str">
        <f>'VIX HISTORIQUE'!A879</f>
        <v/>
      </c>
      <c r="B876" s="22" t="str">
        <f>'VIX HISTORIQUE'!B879</f>
        <v/>
      </c>
      <c r="C876" s="22" t="str">
        <f>'VIX HISTORIQUE'!D879</f>
        <v/>
      </c>
      <c r="D876" s="22" t="str">
        <f>'VIX HISTORIQUE'!F879</f>
        <v/>
      </c>
      <c r="E876" s="22" t="str">
        <f>'VIX HISTORIQUE'!H879</f>
        <v/>
      </c>
      <c r="F876" s="22" t="str">
        <f>'VIX HISTORIQUE'!J879</f>
        <v/>
      </c>
    </row>
    <row r="877" ht="15.75" customHeight="1">
      <c r="A877" s="25" t="str">
        <f>'VIX HISTORIQUE'!A880</f>
        <v/>
      </c>
      <c r="B877" s="22" t="str">
        <f>'VIX HISTORIQUE'!B880</f>
        <v/>
      </c>
      <c r="C877" s="22" t="str">
        <f>'VIX HISTORIQUE'!D880</f>
        <v/>
      </c>
      <c r="D877" s="22" t="str">
        <f>'VIX HISTORIQUE'!F880</f>
        <v/>
      </c>
      <c r="E877" s="22" t="str">
        <f>'VIX HISTORIQUE'!H880</f>
        <v/>
      </c>
      <c r="F877" s="22" t="str">
        <f>'VIX HISTORIQUE'!J880</f>
        <v/>
      </c>
    </row>
    <row r="878" ht="15.75" customHeight="1">
      <c r="A878" s="25" t="str">
        <f>'VIX HISTORIQUE'!A881</f>
        <v/>
      </c>
      <c r="B878" s="22" t="str">
        <f>'VIX HISTORIQUE'!B881</f>
        <v/>
      </c>
      <c r="C878" s="22" t="str">
        <f>'VIX HISTORIQUE'!D881</f>
        <v/>
      </c>
      <c r="D878" s="22" t="str">
        <f>'VIX HISTORIQUE'!F881</f>
        <v/>
      </c>
      <c r="E878" s="22" t="str">
        <f>'VIX HISTORIQUE'!H881</f>
        <v/>
      </c>
      <c r="F878" s="22" t="str">
        <f>'VIX HISTORIQUE'!J881</f>
        <v/>
      </c>
    </row>
    <row r="879" ht="15.75" customHeight="1">
      <c r="A879" s="25" t="str">
        <f>'VIX HISTORIQUE'!A882</f>
        <v/>
      </c>
      <c r="B879" s="22" t="str">
        <f>'VIX HISTORIQUE'!B882</f>
        <v/>
      </c>
      <c r="C879" s="22" t="str">
        <f>'VIX HISTORIQUE'!D882</f>
        <v/>
      </c>
      <c r="D879" s="22" t="str">
        <f>'VIX HISTORIQUE'!F882</f>
        <v/>
      </c>
      <c r="E879" s="22" t="str">
        <f>'VIX HISTORIQUE'!H882</f>
        <v/>
      </c>
      <c r="F879" s="22" t="str">
        <f>'VIX HISTORIQUE'!J882</f>
        <v/>
      </c>
    </row>
    <row r="880" ht="15.75" customHeight="1">
      <c r="A880" s="25" t="str">
        <f>'VIX HISTORIQUE'!A883</f>
        <v/>
      </c>
      <c r="B880" s="22" t="str">
        <f>'VIX HISTORIQUE'!B883</f>
        <v/>
      </c>
      <c r="C880" s="22" t="str">
        <f>'VIX HISTORIQUE'!D883</f>
        <v/>
      </c>
      <c r="D880" s="22" t="str">
        <f>'VIX HISTORIQUE'!F883</f>
        <v/>
      </c>
      <c r="E880" s="22" t="str">
        <f>'VIX HISTORIQUE'!H883</f>
        <v/>
      </c>
      <c r="F880" s="22" t="str">
        <f>'VIX HISTORIQUE'!J883</f>
        <v/>
      </c>
    </row>
    <row r="881" ht="15.75" customHeight="1">
      <c r="A881" s="25" t="str">
        <f>'VIX HISTORIQUE'!A884</f>
        <v/>
      </c>
      <c r="B881" s="22" t="str">
        <f>'VIX HISTORIQUE'!B884</f>
        <v/>
      </c>
      <c r="C881" s="22" t="str">
        <f>'VIX HISTORIQUE'!D884</f>
        <v/>
      </c>
      <c r="D881" s="22" t="str">
        <f>'VIX HISTORIQUE'!F884</f>
        <v/>
      </c>
      <c r="E881" s="22" t="str">
        <f>'VIX HISTORIQUE'!H884</f>
        <v/>
      </c>
      <c r="F881" s="22" t="str">
        <f>'VIX HISTORIQUE'!J884</f>
        <v/>
      </c>
    </row>
    <row r="882" ht="15.75" customHeight="1">
      <c r="A882" s="25" t="str">
        <f>'VIX HISTORIQUE'!A885</f>
        <v/>
      </c>
      <c r="B882" s="22" t="str">
        <f>'VIX HISTORIQUE'!B885</f>
        <v/>
      </c>
      <c r="C882" s="22" t="str">
        <f>'VIX HISTORIQUE'!D885</f>
        <v/>
      </c>
      <c r="D882" s="22" t="str">
        <f>'VIX HISTORIQUE'!F885</f>
        <v/>
      </c>
      <c r="E882" s="22" t="str">
        <f>'VIX HISTORIQUE'!H885</f>
        <v/>
      </c>
      <c r="F882" s="22" t="str">
        <f>'VIX HISTORIQUE'!J885</f>
        <v/>
      </c>
    </row>
    <row r="883" ht="15.75" customHeight="1">
      <c r="A883" s="25" t="str">
        <f>'VIX HISTORIQUE'!A886</f>
        <v/>
      </c>
      <c r="B883" s="22" t="str">
        <f>'VIX HISTORIQUE'!B886</f>
        <v/>
      </c>
      <c r="C883" s="22" t="str">
        <f>'VIX HISTORIQUE'!D886</f>
        <v/>
      </c>
      <c r="D883" s="22" t="str">
        <f>'VIX HISTORIQUE'!F886</f>
        <v/>
      </c>
      <c r="E883" s="22" t="str">
        <f>'VIX HISTORIQUE'!H886</f>
        <v/>
      </c>
      <c r="F883" s="22" t="str">
        <f>'VIX HISTORIQUE'!J886</f>
        <v/>
      </c>
    </row>
    <row r="884" ht="15.75" customHeight="1">
      <c r="A884" s="25" t="str">
        <f>'VIX HISTORIQUE'!A887</f>
        <v/>
      </c>
      <c r="B884" s="22" t="str">
        <f>'VIX HISTORIQUE'!B887</f>
        <v/>
      </c>
      <c r="C884" s="22" t="str">
        <f>'VIX HISTORIQUE'!D887</f>
        <v/>
      </c>
      <c r="D884" s="22" t="str">
        <f>'VIX HISTORIQUE'!F887</f>
        <v/>
      </c>
      <c r="E884" s="22" t="str">
        <f>'VIX HISTORIQUE'!H887</f>
        <v/>
      </c>
      <c r="F884" s="22" t="str">
        <f>'VIX HISTORIQUE'!J887</f>
        <v/>
      </c>
    </row>
    <row r="885" ht="15.75" customHeight="1">
      <c r="A885" s="25" t="str">
        <f>'VIX HISTORIQUE'!A888</f>
        <v/>
      </c>
      <c r="B885" s="22" t="str">
        <f>'VIX HISTORIQUE'!B888</f>
        <v/>
      </c>
      <c r="C885" s="22" t="str">
        <f>'VIX HISTORIQUE'!D888</f>
        <v/>
      </c>
      <c r="D885" s="22" t="str">
        <f>'VIX HISTORIQUE'!F888</f>
        <v/>
      </c>
      <c r="E885" s="22" t="str">
        <f>'VIX HISTORIQUE'!H888</f>
        <v/>
      </c>
      <c r="F885" s="22" t="str">
        <f>'VIX HISTORIQUE'!J888</f>
        <v/>
      </c>
    </row>
    <row r="886" ht="15.75" customHeight="1">
      <c r="A886" s="25" t="str">
        <f>'VIX HISTORIQUE'!A889</f>
        <v/>
      </c>
      <c r="B886" s="22" t="str">
        <f>'VIX HISTORIQUE'!B889</f>
        <v/>
      </c>
      <c r="C886" s="22" t="str">
        <f>'VIX HISTORIQUE'!D889</f>
        <v/>
      </c>
      <c r="D886" s="22" t="str">
        <f>'VIX HISTORIQUE'!F889</f>
        <v/>
      </c>
      <c r="E886" s="22" t="str">
        <f>'VIX HISTORIQUE'!H889</f>
        <v/>
      </c>
      <c r="F886" s="22" t="str">
        <f>'VIX HISTORIQUE'!J889</f>
        <v/>
      </c>
    </row>
    <row r="887" ht="15.75" customHeight="1">
      <c r="A887" s="25" t="str">
        <f>'VIX HISTORIQUE'!A890</f>
        <v/>
      </c>
      <c r="B887" s="22" t="str">
        <f>'VIX HISTORIQUE'!B890</f>
        <v/>
      </c>
      <c r="C887" s="22" t="str">
        <f>'VIX HISTORIQUE'!D890</f>
        <v/>
      </c>
      <c r="D887" s="22" t="str">
        <f>'VIX HISTORIQUE'!F890</f>
        <v/>
      </c>
      <c r="E887" s="22" t="str">
        <f>'VIX HISTORIQUE'!H890</f>
        <v/>
      </c>
      <c r="F887" s="22" t="str">
        <f>'VIX HISTORIQUE'!J890</f>
        <v/>
      </c>
    </row>
    <row r="888" ht="15.75" customHeight="1">
      <c r="A888" s="25" t="str">
        <f>'VIX HISTORIQUE'!A891</f>
        <v/>
      </c>
      <c r="B888" s="22" t="str">
        <f>'VIX HISTORIQUE'!B891</f>
        <v/>
      </c>
      <c r="C888" s="22" t="str">
        <f>'VIX HISTORIQUE'!D891</f>
        <v/>
      </c>
      <c r="D888" s="22" t="str">
        <f>'VIX HISTORIQUE'!F891</f>
        <v/>
      </c>
      <c r="E888" s="22" t="str">
        <f>'VIX HISTORIQUE'!H891</f>
        <v/>
      </c>
      <c r="F888" s="22" t="str">
        <f>'VIX HISTORIQUE'!J891</f>
        <v/>
      </c>
    </row>
    <row r="889" ht="15.75" customHeight="1">
      <c r="A889" s="25" t="str">
        <f>'VIX HISTORIQUE'!A892</f>
        <v/>
      </c>
      <c r="B889" s="22" t="str">
        <f>'VIX HISTORIQUE'!B892</f>
        <v/>
      </c>
      <c r="C889" s="22" t="str">
        <f>'VIX HISTORIQUE'!D892</f>
        <v/>
      </c>
      <c r="D889" s="22" t="str">
        <f>'VIX HISTORIQUE'!F892</f>
        <v/>
      </c>
      <c r="E889" s="22" t="str">
        <f>'VIX HISTORIQUE'!H892</f>
        <v/>
      </c>
      <c r="F889" s="22" t="str">
        <f>'VIX HISTORIQUE'!J892</f>
        <v/>
      </c>
    </row>
    <row r="890" ht="15.75" customHeight="1">
      <c r="A890" s="25" t="str">
        <f>'VIX HISTORIQUE'!A893</f>
        <v/>
      </c>
      <c r="B890" s="22" t="str">
        <f>'VIX HISTORIQUE'!B893</f>
        <v/>
      </c>
      <c r="C890" s="22" t="str">
        <f>'VIX HISTORIQUE'!D893</f>
        <v/>
      </c>
      <c r="D890" s="22" t="str">
        <f>'VIX HISTORIQUE'!F893</f>
        <v/>
      </c>
      <c r="E890" s="22" t="str">
        <f>'VIX HISTORIQUE'!H893</f>
        <v/>
      </c>
      <c r="F890" s="22" t="str">
        <f>'VIX HISTORIQUE'!J893</f>
        <v/>
      </c>
    </row>
    <row r="891" ht="15.75" customHeight="1">
      <c r="A891" s="25" t="str">
        <f>'VIX HISTORIQUE'!A894</f>
        <v/>
      </c>
      <c r="B891" s="22" t="str">
        <f>'VIX HISTORIQUE'!B894</f>
        <v/>
      </c>
      <c r="C891" s="22" t="str">
        <f>'VIX HISTORIQUE'!D894</f>
        <v/>
      </c>
      <c r="D891" s="22" t="str">
        <f>'VIX HISTORIQUE'!F894</f>
        <v/>
      </c>
      <c r="E891" s="22" t="str">
        <f>'VIX HISTORIQUE'!H894</f>
        <v/>
      </c>
      <c r="F891" s="22" t="str">
        <f>'VIX HISTORIQUE'!J894</f>
        <v/>
      </c>
    </row>
    <row r="892" ht="15.75" customHeight="1">
      <c r="A892" s="25" t="str">
        <f>'VIX HISTORIQUE'!A895</f>
        <v/>
      </c>
      <c r="B892" s="22" t="str">
        <f>'VIX HISTORIQUE'!B895</f>
        <v/>
      </c>
      <c r="C892" s="22" t="str">
        <f>'VIX HISTORIQUE'!D895</f>
        <v/>
      </c>
      <c r="D892" s="22" t="str">
        <f>'VIX HISTORIQUE'!F895</f>
        <v/>
      </c>
      <c r="E892" s="22" t="str">
        <f>'VIX HISTORIQUE'!H895</f>
        <v/>
      </c>
      <c r="F892" s="22" t="str">
        <f>'VIX HISTORIQUE'!J895</f>
        <v/>
      </c>
    </row>
    <row r="893" ht="15.75" customHeight="1">
      <c r="A893" s="25" t="str">
        <f>'VIX HISTORIQUE'!A896</f>
        <v/>
      </c>
      <c r="B893" s="22" t="str">
        <f>'VIX HISTORIQUE'!B896</f>
        <v/>
      </c>
      <c r="C893" s="22" t="str">
        <f>'VIX HISTORIQUE'!D896</f>
        <v/>
      </c>
      <c r="D893" s="22" t="str">
        <f>'VIX HISTORIQUE'!F896</f>
        <v/>
      </c>
      <c r="E893" s="22" t="str">
        <f>'VIX HISTORIQUE'!H896</f>
        <v/>
      </c>
      <c r="F893" s="22" t="str">
        <f>'VIX HISTORIQUE'!J896</f>
        <v/>
      </c>
    </row>
    <row r="894" ht="15.75" customHeight="1">
      <c r="A894" s="25" t="str">
        <f>'VIX HISTORIQUE'!A897</f>
        <v/>
      </c>
      <c r="B894" s="22" t="str">
        <f>'VIX HISTORIQUE'!B897</f>
        <v/>
      </c>
      <c r="C894" s="22" t="str">
        <f>'VIX HISTORIQUE'!D897</f>
        <v/>
      </c>
      <c r="D894" s="22" t="str">
        <f>'VIX HISTORIQUE'!F897</f>
        <v/>
      </c>
      <c r="E894" s="22" t="str">
        <f>'VIX HISTORIQUE'!H897</f>
        <v/>
      </c>
      <c r="F894" s="22" t="str">
        <f>'VIX HISTORIQUE'!J897</f>
        <v/>
      </c>
    </row>
    <row r="895" ht="15.75" customHeight="1">
      <c r="A895" s="25" t="str">
        <f>'VIX HISTORIQUE'!A898</f>
        <v/>
      </c>
      <c r="B895" s="22" t="str">
        <f>'VIX HISTORIQUE'!B898</f>
        <v/>
      </c>
      <c r="C895" s="22" t="str">
        <f>'VIX HISTORIQUE'!D898</f>
        <v/>
      </c>
      <c r="D895" s="22" t="str">
        <f>'VIX HISTORIQUE'!F898</f>
        <v/>
      </c>
      <c r="E895" s="22" t="str">
        <f>'VIX HISTORIQUE'!H898</f>
        <v/>
      </c>
      <c r="F895" s="22" t="str">
        <f>'VIX HISTORIQUE'!J898</f>
        <v/>
      </c>
    </row>
    <row r="896" ht="15.75" customHeight="1">
      <c r="A896" s="25" t="str">
        <f>'VIX HISTORIQUE'!A899</f>
        <v/>
      </c>
      <c r="B896" s="22" t="str">
        <f>'VIX HISTORIQUE'!B899</f>
        <v/>
      </c>
      <c r="C896" s="22" t="str">
        <f>'VIX HISTORIQUE'!D899</f>
        <v/>
      </c>
      <c r="D896" s="22" t="str">
        <f>'VIX HISTORIQUE'!F899</f>
        <v/>
      </c>
      <c r="E896" s="22" t="str">
        <f>'VIX HISTORIQUE'!H899</f>
        <v/>
      </c>
      <c r="F896" s="22" t="str">
        <f>'VIX HISTORIQUE'!J899</f>
        <v/>
      </c>
    </row>
    <row r="897" ht="15.75" customHeight="1">
      <c r="A897" s="25" t="str">
        <f>'VIX HISTORIQUE'!A900</f>
        <v/>
      </c>
      <c r="B897" s="22" t="str">
        <f>'VIX HISTORIQUE'!B900</f>
        <v/>
      </c>
      <c r="C897" s="22" t="str">
        <f>'VIX HISTORIQUE'!D900</f>
        <v/>
      </c>
      <c r="D897" s="22" t="str">
        <f>'VIX HISTORIQUE'!F900</f>
        <v/>
      </c>
      <c r="E897" s="22" t="str">
        <f>'VIX HISTORIQUE'!H900</f>
        <v/>
      </c>
      <c r="F897" s="22" t="str">
        <f>'VIX HISTORIQUE'!J900</f>
        <v/>
      </c>
    </row>
    <row r="898" ht="15.75" customHeight="1">
      <c r="A898" s="25" t="str">
        <f>'VIX HISTORIQUE'!A901</f>
        <v/>
      </c>
      <c r="B898" s="22" t="str">
        <f>'VIX HISTORIQUE'!B901</f>
        <v/>
      </c>
      <c r="C898" s="22" t="str">
        <f>'VIX HISTORIQUE'!D901</f>
        <v/>
      </c>
      <c r="D898" s="22" t="str">
        <f>'VIX HISTORIQUE'!F901</f>
        <v/>
      </c>
      <c r="E898" s="22" t="str">
        <f>'VIX HISTORIQUE'!H901</f>
        <v/>
      </c>
      <c r="F898" s="22" t="str">
        <f>'VIX HISTORIQUE'!J901</f>
        <v/>
      </c>
    </row>
    <row r="899" ht="15.75" customHeight="1">
      <c r="A899" s="25" t="str">
        <f>'VIX HISTORIQUE'!A902</f>
        <v/>
      </c>
      <c r="B899" s="22" t="str">
        <f>'VIX HISTORIQUE'!B902</f>
        <v/>
      </c>
      <c r="C899" s="22" t="str">
        <f>'VIX HISTORIQUE'!D902</f>
        <v/>
      </c>
      <c r="D899" s="22" t="str">
        <f>'VIX HISTORIQUE'!F902</f>
        <v/>
      </c>
      <c r="E899" s="22" t="str">
        <f>'VIX HISTORIQUE'!H902</f>
        <v/>
      </c>
      <c r="F899" s="22" t="str">
        <f>'VIX HISTORIQUE'!J902</f>
        <v/>
      </c>
    </row>
    <row r="900" ht="15.75" customHeight="1">
      <c r="A900" s="25" t="str">
        <f>'VIX HISTORIQUE'!A903</f>
        <v/>
      </c>
      <c r="B900" s="22" t="str">
        <f>'VIX HISTORIQUE'!B903</f>
        <v/>
      </c>
      <c r="C900" s="22" t="str">
        <f>'VIX HISTORIQUE'!D903</f>
        <v/>
      </c>
      <c r="D900" s="22" t="str">
        <f>'VIX HISTORIQUE'!F903</f>
        <v/>
      </c>
      <c r="E900" s="22" t="str">
        <f>'VIX HISTORIQUE'!H903</f>
        <v/>
      </c>
      <c r="F900" s="22" t="str">
        <f>'VIX HISTORIQUE'!J903</f>
        <v/>
      </c>
    </row>
    <row r="901" ht="15.75" customHeight="1">
      <c r="A901" s="25" t="str">
        <f>'VIX HISTORIQUE'!A904</f>
        <v/>
      </c>
      <c r="B901" s="22" t="str">
        <f>'VIX HISTORIQUE'!B904</f>
        <v/>
      </c>
      <c r="C901" s="22" t="str">
        <f>'VIX HISTORIQUE'!D904</f>
        <v/>
      </c>
      <c r="D901" s="22" t="str">
        <f>'VIX HISTORIQUE'!F904</f>
        <v/>
      </c>
      <c r="E901" s="22" t="str">
        <f>'VIX HISTORIQUE'!H904</f>
        <v/>
      </c>
      <c r="F901" s="22" t="str">
        <f>'VIX HISTORIQUE'!J904</f>
        <v/>
      </c>
    </row>
    <row r="902" ht="15.75" customHeight="1">
      <c r="A902" s="25" t="str">
        <f>'VIX HISTORIQUE'!A905</f>
        <v/>
      </c>
      <c r="B902" s="22" t="str">
        <f>'VIX HISTORIQUE'!B905</f>
        <v/>
      </c>
      <c r="C902" s="22" t="str">
        <f>'VIX HISTORIQUE'!D905</f>
        <v/>
      </c>
      <c r="D902" s="22" t="str">
        <f>'VIX HISTORIQUE'!F905</f>
        <v/>
      </c>
      <c r="E902" s="22" t="str">
        <f>'VIX HISTORIQUE'!H905</f>
        <v/>
      </c>
      <c r="F902" s="22" t="str">
        <f>'VIX HISTORIQUE'!J905</f>
        <v/>
      </c>
    </row>
    <row r="903" ht="15.75" customHeight="1">
      <c r="A903" s="25" t="str">
        <f>'VIX HISTORIQUE'!A906</f>
        <v/>
      </c>
      <c r="B903" s="22" t="str">
        <f>'VIX HISTORIQUE'!B906</f>
        <v/>
      </c>
      <c r="C903" s="22" t="str">
        <f>'VIX HISTORIQUE'!D906</f>
        <v/>
      </c>
      <c r="D903" s="22" t="str">
        <f>'VIX HISTORIQUE'!F906</f>
        <v/>
      </c>
      <c r="E903" s="22" t="str">
        <f>'VIX HISTORIQUE'!H906</f>
        <v/>
      </c>
      <c r="F903" s="22" t="str">
        <f>'VIX HISTORIQUE'!J906</f>
        <v/>
      </c>
    </row>
    <row r="904" ht="15.75" customHeight="1">
      <c r="A904" s="25" t="str">
        <f>'VIX HISTORIQUE'!A907</f>
        <v/>
      </c>
      <c r="B904" s="22" t="str">
        <f>'VIX HISTORIQUE'!B907</f>
        <v/>
      </c>
      <c r="C904" s="22" t="str">
        <f>'VIX HISTORIQUE'!D907</f>
        <v/>
      </c>
      <c r="D904" s="22" t="str">
        <f>'VIX HISTORIQUE'!F907</f>
        <v/>
      </c>
      <c r="E904" s="22" t="str">
        <f>'VIX HISTORIQUE'!H907</f>
        <v/>
      </c>
      <c r="F904" s="22" t="str">
        <f>'VIX HISTORIQUE'!J907</f>
        <v/>
      </c>
    </row>
    <row r="905" ht="15.75" customHeight="1">
      <c r="A905" s="25" t="str">
        <f>'VIX HISTORIQUE'!A908</f>
        <v/>
      </c>
      <c r="B905" s="22" t="str">
        <f>'VIX HISTORIQUE'!B908</f>
        <v/>
      </c>
      <c r="C905" s="22" t="str">
        <f>'VIX HISTORIQUE'!D908</f>
        <v/>
      </c>
      <c r="D905" s="22" t="str">
        <f>'VIX HISTORIQUE'!F908</f>
        <v/>
      </c>
      <c r="E905" s="22" t="str">
        <f>'VIX HISTORIQUE'!H908</f>
        <v/>
      </c>
      <c r="F905" s="22" t="str">
        <f>'VIX HISTORIQUE'!J908</f>
        <v/>
      </c>
    </row>
    <row r="906" ht="15.75" customHeight="1">
      <c r="A906" s="25" t="str">
        <f>'VIX HISTORIQUE'!A909</f>
        <v/>
      </c>
      <c r="B906" s="22" t="str">
        <f>'VIX HISTORIQUE'!B909</f>
        <v/>
      </c>
      <c r="C906" s="22" t="str">
        <f>'VIX HISTORIQUE'!D909</f>
        <v/>
      </c>
      <c r="D906" s="22" t="str">
        <f>'VIX HISTORIQUE'!F909</f>
        <v/>
      </c>
      <c r="E906" s="22" t="str">
        <f>'VIX HISTORIQUE'!H909</f>
        <v/>
      </c>
      <c r="F906" s="22" t="str">
        <f>'VIX HISTORIQUE'!J909</f>
        <v/>
      </c>
    </row>
    <row r="907" ht="15.75" customHeight="1">
      <c r="A907" s="25" t="str">
        <f>'VIX HISTORIQUE'!A910</f>
        <v/>
      </c>
      <c r="B907" s="22" t="str">
        <f>'VIX HISTORIQUE'!B910</f>
        <v/>
      </c>
      <c r="C907" s="22" t="str">
        <f>'VIX HISTORIQUE'!D910</f>
        <v/>
      </c>
      <c r="D907" s="22" t="str">
        <f>'VIX HISTORIQUE'!F910</f>
        <v/>
      </c>
      <c r="E907" s="22" t="str">
        <f>'VIX HISTORIQUE'!H910</f>
        <v/>
      </c>
      <c r="F907" s="22" t="str">
        <f>'VIX HISTORIQUE'!J910</f>
        <v/>
      </c>
    </row>
    <row r="908" ht="15.75" customHeight="1">
      <c r="A908" s="25" t="str">
        <f>'VIX HISTORIQUE'!A911</f>
        <v/>
      </c>
      <c r="B908" s="22" t="str">
        <f>'VIX HISTORIQUE'!B911</f>
        <v/>
      </c>
      <c r="C908" s="22" t="str">
        <f>'VIX HISTORIQUE'!D911</f>
        <v/>
      </c>
      <c r="D908" s="22" t="str">
        <f>'VIX HISTORIQUE'!F911</f>
        <v/>
      </c>
      <c r="E908" s="22" t="str">
        <f>'VIX HISTORIQUE'!H911</f>
        <v/>
      </c>
      <c r="F908" s="22" t="str">
        <f>'VIX HISTORIQUE'!J911</f>
        <v/>
      </c>
    </row>
    <row r="909" ht="15.75" customHeight="1">
      <c r="A909" s="25" t="str">
        <f>'VIX HISTORIQUE'!A912</f>
        <v/>
      </c>
      <c r="B909" s="22" t="str">
        <f>'VIX HISTORIQUE'!B912</f>
        <v/>
      </c>
      <c r="C909" s="22" t="str">
        <f>'VIX HISTORIQUE'!D912</f>
        <v/>
      </c>
      <c r="D909" s="22" t="str">
        <f>'VIX HISTORIQUE'!F912</f>
        <v/>
      </c>
      <c r="E909" s="22" t="str">
        <f>'VIX HISTORIQUE'!H912</f>
        <v/>
      </c>
      <c r="F909" s="22" t="str">
        <f>'VIX HISTORIQUE'!J912</f>
        <v/>
      </c>
    </row>
    <row r="910" ht="15.75" customHeight="1">
      <c r="A910" s="25" t="str">
        <f>'VIX HISTORIQUE'!A913</f>
        <v/>
      </c>
      <c r="B910" s="22" t="str">
        <f>'VIX HISTORIQUE'!B913</f>
        <v/>
      </c>
      <c r="C910" s="22" t="str">
        <f>'VIX HISTORIQUE'!D913</f>
        <v/>
      </c>
      <c r="D910" s="22" t="str">
        <f>'VIX HISTORIQUE'!F913</f>
        <v/>
      </c>
      <c r="E910" s="22" t="str">
        <f>'VIX HISTORIQUE'!H913</f>
        <v/>
      </c>
      <c r="F910" s="22" t="str">
        <f>'VIX HISTORIQUE'!J913</f>
        <v/>
      </c>
    </row>
    <row r="911" ht="15.75" customHeight="1">
      <c r="A911" s="25" t="str">
        <f>'VIX HISTORIQUE'!A914</f>
        <v/>
      </c>
      <c r="B911" s="22" t="str">
        <f>'VIX HISTORIQUE'!B914</f>
        <v/>
      </c>
      <c r="C911" s="22" t="str">
        <f>'VIX HISTORIQUE'!D914</f>
        <v/>
      </c>
      <c r="D911" s="22" t="str">
        <f>'VIX HISTORIQUE'!F914</f>
        <v/>
      </c>
      <c r="E911" s="22" t="str">
        <f>'VIX HISTORIQUE'!H914</f>
        <v/>
      </c>
      <c r="F911" s="22" t="str">
        <f>'VIX HISTORIQUE'!J914</f>
        <v/>
      </c>
    </row>
    <row r="912" ht="15.75" customHeight="1">
      <c r="A912" s="25" t="str">
        <f>'VIX HISTORIQUE'!A915</f>
        <v/>
      </c>
      <c r="B912" s="22" t="str">
        <f>'VIX HISTORIQUE'!B915</f>
        <v/>
      </c>
      <c r="C912" s="22" t="str">
        <f>'VIX HISTORIQUE'!D915</f>
        <v/>
      </c>
      <c r="D912" s="22" t="str">
        <f>'VIX HISTORIQUE'!F915</f>
        <v/>
      </c>
      <c r="E912" s="22" t="str">
        <f>'VIX HISTORIQUE'!H915</f>
        <v/>
      </c>
      <c r="F912" s="22" t="str">
        <f>'VIX HISTORIQUE'!J915</f>
        <v/>
      </c>
    </row>
    <row r="913" ht="15.75" customHeight="1">
      <c r="A913" s="25" t="str">
        <f>'VIX HISTORIQUE'!A916</f>
        <v/>
      </c>
      <c r="B913" s="22" t="str">
        <f>'VIX HISTORIQUE'!B916</f>
        <v/>
      </c>
      <c r="C913" s="22" t="str">
        <f>'VIX HISTORIQUE'!D916</f>
        <v/>
      </c>
      <c r="D913" s="22" t="str">
        <f>'VIX HISTORIQUE'!F916</f>
        <v/>
      </c>
      <c r="E913" s="22" t="str">
        <f>'VIX HISTORIQUE'!H916</f>
        <v/>
      </c>
      <c r="F913" s="22" t="str">
        <f>'VIX HISTORIQUE'!J916</f>
        <v/>
      </c>
    </row>
    <row r="914" ht="15.75" customHeight="1">
      <c r="A914" s="25" t="str">
        <f>'VIX HISTORIQUE'!A917</f>
        <v/>
      </c>
      <c r="B914" s="22" t="str">
        <f>'VIX HISTORIQUE'!B917</f>
        <v/>
      </c>
      <c r="C914" s="22" t="str">
        <f>'VIX HISTORIQUE'!D917</f>
        <v/>
      </c>
      <c r="D914" s="22" t="str">
        <f>'VIX HISTORIQUE'!F917</f>
        <v/>
      </c>
      <c r="E914" s="22" t="str">
        <f>'VIX HISTORIQUE'!H917</f>
        <v/>
      </c>
      <c r="F914" s="22" t="str">
        <f>'VIX HISTORIQUE'!J917</f>
        <v/>
      </c>
    </row>
    <row r="915" ht="15.75" customHeight="1">
      <c r="A915" s="25" t="str">
        <f>'VIX HISTORIQUE'!A918</f>
        <v/>
      </c>
      <c r="B915" s="22" t="str">
        <f>'VIX HISTORIQUE'!B918</f>
        <v/>
      </c>
      <c r="C915" s="22" t="str">
        <f>'VIX HISTORIQUE'!D918</f>
        <v/>
      </c>
      <c r="D915" s="22" t="str">
        <f>'VIX HISTORIQUE'!F918</f>
        <v/>
      </c>
      <c r="E915" s="22" t="str">
        <f>'VIX HISTORIQUE'!H918</f>
        <v/>
      </c>
      <c r="F915" s="22" t="str">
        <f>'VIX HISTORIQUE'!J918</f>
        <v/>
      </c>
    </row>
    <row r="916" ht="15.75" customHeight="1">
      <c r="A916" s="25" t="str">
        <f>'VIX HISTORIQUE'!A919</f>
        <v/>
      </c>
      <c r="B916" s="22" t="str">
        <f>'VIX HISTORIQUE'!B919</f>
        <v/>
      </c>
      <c r="C916" s="22" t="str">
        <f>'VIX HISTORIQUE'!D919</f>
        <v/>
      </c>
      <c r="D916" s="22" t="str">
        <f>'VIX HISTORIQUE'!F919</f>
        <v/>
      </c>
      <c r="E916" s="22" t="str">
        <f>'VIX HISTORIQUE'!H919</f>
        <v/>
      </c>
      <c r="F916" s="22" t="str">
        <f>'VIX HISTORIQUE'!J919</f>
        <v/>
      </c>
    </row>
    <row r="917" ht="15.75" customHeight="1">
      <c r="A917" s="25" t="str">
        <f>'VIX HISTORIQUE'!A920</f>
        <v/>
      </c>
      <c r="B917" s="22" t="str">
        <f>'VIX HISTORIQUE'!B920</f>
        <v/>
      </c>
      <c r="C917" s="22" t="str">
        <f>'VIX HISTORIQUE'!D920</f>
        <v/>
      </c>
      <c r="D917" s="22" t="str">
        <f>'VIX HISTORIQUE'!F920</f>
        <v/>
      </c>
      <c r="E917" s="22" t="str">
        <f>'VIX HISTORIQUE'!H920</f>
        <v/>
      </c>
      <c r="F917" s="22" t="str">
        <f>'VIX HISTORIQUE'!J920</f>
        <v/>
      </c>
    </row>
    <row r="918" ht="15.75" customHeight="1">
      <c r="A918" s="25" t="str">
        <f>'VIX HISTORIQUE'!A921</f>
        <v/>
      </c>
      <c r="B918" s="22" t="str">
        <f>'VIX HISTORIQUE'!B921</f>
        <v/>
      </c>
      <c r="C918" s="22" t="str">
        <f>'VIX HISTORIQUE'!D921</f>
        <v/>
      </c>
      <c r="D918" s="22" t="str">
        <f>'VIX HISTORIQUE'!F921</f>
        <v/>
      </c>
      <c r="E918" s="22" t="str">
        <f>'VIX HISTORIQUE'!H921</f>
        <v/>
      </c>
      <c r="F918" s="22" t="str">
        <f>'VIX HISTORIQUE'!J921</f>
        <v/>
      </c>
    </row>
    <row r="919" ht="15.75" customHeight="1">
      <c r="A919" s="25" t="str">
        <f>'VIX HISTORIQUE'!A922</f>
        <v/>
      </c>
      <c r="B919" s="22" t="str">
        <f>'VIX HISTORIQUE'!B922</f>
        <v/>
      </c>
      <c r="C919" s="22" t="str">
        <f>'VIX HISTORIQUE'!D922</f>
        <v/>
      </c>
      <c r="D919" s="22" t="str">
        <f>'VIX HISTORIQUE'!F922</f>
        <v/>
      </c>
      <c r="E919" s="22" t="str">
        <f>'VIX HISTORIQUE'!H922</f>
        <v/>
      </c>
      <c r="F919" s="22" t="str">
        <f>'VIX HISTORIQUE'!J922</f>
        <v/>
      </c>
    </row>
    <row r="920" ht="15.75" customHeight="1">
      <c r="A920" s="25" t="str">
        <f>'VIX HISTORIQUE'!A923</f>
        <v/>
      </c>
      <c r="B920" s="22" t="str">
        <f>'VIX HISTORIQUE'!B923</f>
        <v/>
      </c>
      <c r="C920" s="22" t="str">
        <f>'VIX HISTORIQUE'!D923</f>
        <v/>
      </c>
      <c r="D920" s="22" t="str">
        <f>'VIX HISTORIQUE'!F923</f>
        <v/>
      </c>
      <c r="E920" s="22" t="str">
        <f>'VIX HISTORIQUE'!H923</f>
        <v/>
      </c>
      <c r="F920" s="22" t="str">
        <f>'VIX HISTORIQUE'!J923</f>
        <v/>
      </c>
    </row>
    <row r="921" ht="15.75" customHeight="1">
      <c r="A921" s="25" t="str">
        <f>'VIX HISTORIQUE'!A924</f>
        <v/>
      </c>
      <c r="B921" s="22" t="str">
        <f>'VIX HISTORIQUE'!B924</f>
        <v/>
      </c>
      <c r="C921" s="22" t="str">
        <f>'VIX HISTORIQUE'!D924</f>
        <v/>
      </c>
      <c r="D921" s="22" t="str">
        <f>'VIX HISTORIQUE'!F924</f>
        <v/>
      </c>
      <c r="E921" s="22" t="str">
        <f>'VIX HISTORIQUE'!H924</f>
        <v/>
      </c>
      <c r="F921" s="22" t="str">
        <f>'VIX HISTORIQUE'!J924</f>
        <v/>
      </c>
    </row>
    <row r="922" ht="15.75" customHeight="1">
      <c r="A922" s="25" t="str">
        <f>'VIX HISTORIQUE'!A925</f>
        <v/>
      </c>
      <c r="B922" s="22" t="str">
        <f>'VIX HISTORIQUE'!B925</f>
        <v/>
      </c>
      <c r="C922" s="22" t="str">
        <f>'VIX HISTORIQUE'!D925</f>
        <v/>
      </c>
      <c r="D922" s="22" t="str">
        <f>'VIX HISTORIQUE'!F925</f>
        <v/>
      </c>
      <c r="E922" s="22" t="str">
        <f>'VIX HISTORIQUE'!H925</f>
        <v/>
      </c>
      <c r="F922" s="22" t="str">
        <f>'VIX HISTORIQUE'!J925</f>
        <v/>
      </c>
    </row>
    <row r="923" ht="15.75" customHeight="1">
      <c r="A923" s="25" t="str">
        <f>'VIX HISTORIQUE'!A926</f>
        <v/>
      </c>
      <c r="B923" s="22" t="str">
        <f>'VIX HISTORIQUE'!B926</f>
        <v/>
      </c>
      <c r="C923" s="22" t="str">
        <f>'VIX HISTORIQUE'!D926</f>
        <v/>
      </c>
      <c r="D923" s="22" t="str">
        <f>'VIX HISTORIQUE'!F926</f>
        <v/>
      </c>
      <c r="E923" s="22" t="str">
        <f>'VIX HISTORIQUE'!H926</f>
        <v/>
      </c>
      <c r="F923" s="22" t="str">
        <f>'VIX HISTORIQUE'!J926</f>
        <v/>
      </c>
    </row>
    <row r="924" ht="15.75" customHeight="1">
      <c r="A924" s="25" t="str">
        <f>'VIX HISTORIQUE'!A927</f>
        <v/>
      </c>
      <c r="B924" s="22" t="str">
        <f>'VIX HISTORIQUE'!B927</f>
        <v/>
      </c>
      <c r="C924" s="22" t="str">
        <f>'VIX HISTORIQUE'!D927</f>
        <v/>
      </c>
      <c r="D924" s="22" t="str">
        <f>'VIX HISTORIQUE'!F927</f>
        <v/>
      </c>
      <c r="E924" s="22" t="str">
        <f>'VIX HISTORIQUE'!H927</f>
        <v/>
      </c>
      <c r="F924" s="22" t="str">
        <f>'VIX HISTORIQUE'!J927</f>
        <v/>
      </c>
    </row>
    <row r="925" ht="15.75" customHeight="1">
      <c r="A925" s="25" t="str">
        <f>'VIX HISTORIQUE'!A928</f>
        <v/>
      </c>
      <c r="B925" s="22" t="str">
        <f>'VIX HISTORIQUE'!B928</f>
        <v/>
      </c>
      <c r="C925" s="22" t="str">
        <f>'VIX HISTORIQUE'!D928</f>
        <v/>
      </c>
      <c r="D925" s="22" t="str">
        <f>'VIX HISTORIQUE'!F928</f>
        <v/>
      </c>
      <c r="E925" s="22" t="str">
        <f>'VIX HISTORIQUE'!H928</f>
        <v/>
      </c>
      <c r="F925" s="22" t="str">
        <f>'VIX HISTORIQUE'!J928</f>
        <v/>
      </c>
    </row>
    <row r="926" ht="15.75" customHeight="1">
      <c r="A926" s="25" t="str">
        <f>'VIX HISTORIQUE'!A929</f>
        <v/>
      </c>
      <c r="B926" s="22" t="str">
        <f>'VIX HISTORIQUE'!B929</f>
        <v/>
      </c>
      <c r="C926" s="22" t="str">
        <f>'VIX HISTORIQUE'!D929</f>
        <v/>
      </c>
      <c r="D926" s="22" t="str">
        <f>'VIX HISTORIQUE'!F929</f>
        <v/>
      </c>
      <c r="E926" s="22" t="str">
        <f>'VIX HISTORIQUE'!H929</f>
        <v/>
      </c>
      <c r="F926" s="22" t="str">
        <f>'VIX HISTORIQUE'!J929</f>
        <v/>
      </c>
    </row>
    <row r="927" ht="15.75" customHeight="1">
      <c r="A927" s="25" t="str">
        <f>'VIX HISTORIQUE'!A930</f>
        <v/>
      </c>
      <c r="B927" s="22" t="str">
        <f>'VIX HISTORIQUE'!B930</f>
        <v/>
      </c>
      <c r="C927" s="22" t="str">
        <f>'VIX HISTORIQUE'!D930</f>
        <v/>
      </c>
      <c r="D927" s="22" t="str">
        <f>'VIX HISTORIQUE'!F930</f>
        <v/>
      </c>
      <c r="E927" s="22" t="str">
        <f>'VIX HISTORIQUE'!H930</f>
        <v/>
      </c>
      <c r="F927" s="22" t="str">
        <f>'VIX HISTORIQUE'!J930</f>
        <v/>
      </c>
    </row>
    <row r="928" ht="15.75" customHeight="1">
      <c r="A928" s="25" t="str">
        <f>'VIX HISTORIQUE'!A931</f>
        <v/>
      </c>
      <c r="B928" s="22" t="str">
        <f>'VIX HISTORIQUE'!B931</f>
        <v/>
      </c>
      <c r="C928" s="22" t="str">
        <f>'VIX HISTORIQUE'!D931</f>
        <v/>
      </c>
      <c r="D928" s="22" t="str">
        <f>'VIX HISTORIQUE'!F931</f>
        <v/>
      </c>
      <c r="E928" s="22" t="str">
        <f>'VIX HISTORIQUE'!H931</f>
        <v/>
      </c>
      <c r="F928" s="22" t="str">
        <f>'VIX HISTORIQUE'!J931</f>
        <v/>
      </c>
    </row>
    <row r="929" ht="15.75" customHeight="1">
      <c r="A929" s="25" t="str">
        <f>'VIX HISTORIQUE'!A932</f>
        <v/>
      </c>
      <c r="B929" s="22" t="str">
        <f>'VIX HISTORIQUE'!B932</f>
        <v/>
      </c>
      <c r="C929" s="22" t="str">
        <f>'VIX HISTORIQUE'!D932</f>
        <v/>
      </c>
      <c r="D929" s="22" t="str">
        <f>'VIX HISTORIQUE'!F932</f>
        <v/>
      </c>
      <c r="E929" s="22" t="str">
        <f>'VIX HISTORIQUE'!H932</f>
        <v/>
      </c>
      <c r="F929" s="22" t="str">
        <f>'VIX HISTORIQUE'!J932</f>
        <v/>
      </c>
    </row>
    <row r="930" ht="15.75" customHeight="1">
      <c r="A930" s="25" t="str">
        <f>'VIX HISTORIQUE'!A933</f>
        <v/>
      </c>
      <c r="B930" s="22" t="str">
        <f>'VIX HISTORIQUE'!B933</f>
        <v/>
      </c>
      <c r="C930" s="22" t="str">
        <f>'VIX HISTORIQUE'!D933</f>
        <v/>
      </c>
      <c r="D930" s="22" t="str">
        <f>'VIX HISTORIQUE'!F933</f>
        <v/>
      </c>
      <c r="E930" s="22" t="str">
        <f>'VIX HISTORIQUE'!H933</f>
        <v/>
      </c>
      <c r="F930" s="22" t="str">
        <f>'VIX HISTORIQUE'!J933</f>
        <v/>
      </c>
    </row>
    <row r="931" ht="15.75" customHeight="1">
      <c r="A931" s="25" t="str">
        <f>'VIX HISTORIQUE'!A934</f>
        <v/>
      </c>
      <c r="B931" s="22" t="str">
        <f>'VIX HISTORIQUE'!B934</f>
        <v/>
      </c>
      <c r="C931" s="22" t="str">
        <f>'VIX HISTORIQUE'!D934</f>
        <v/>
      </c>
      <c r="D931" s="22" t="str">
        <f>'VIX HISTORIQUE'!F934</f>
        <v/>
      </c>
      <c r="E931" s="22" t="str">
        <f>'VIX HISTORIQUE'!H934</f>
        <v/>
      </c>
      <c r="F931" s="22" t="str">
        <f>'VIX HISTORIQUE'!J934</f>
        <v/>
      </c>
    </row>
    <row r="932" ht="15.75" customHeight="1">
      <c r="A932" s="25" t="str">
        <f>'VIX HISTORIQUE'!A935</f>
        <v/>
      </c>
      <c r="B932" s="22" t="str">
        <f>'VIX HISTORIQUE'!B935</f>
        <v/>
      </c>
      <c r="C932" s="22" t="str">
        <f>'VIX HISTORIQUE'!D935</f>
        <v/>
      </c>
      <c r="D932" s="22" t="str">
        <f>'VIX HISTORIQUE'!F935</f>
        <v/>
      </c>
      <c r="E932" s="22" t="str">
        <f>'VIX HISTORIQUE'!H935</f>
        <v/>
      </c>
      <c r="F932" s="22" t="str">
        <f>'VIX HISTORIQUE'!J935</f>
        <v/>
      </c>
    </row>
    <row r="933" ht="15.75" customHeight="1">
      <c r="A933" s="25" t="str">
        <f>'VIX HISTORIQUE'!A936</f>
        <v/>
      </c>
      <c r="B933" s="22" t="str">
        <f>'VIX HISTORIQUE'!B936</f>
        <v/>
      </c>
      <c r="C933" s="22" t="str">
        <f>'VIX HISTORIQUE'!D936</f>
        <v/>
      </c>
      <c r="D933" s="22" t="str">
        <f>'VIX HISTORIQUE'!F936</f>
        <v/>
      </c>
      <c r="E933" s="22" t="str">
        <f>'VIX HISTORIQUE'!H936</f>
        <v/>
      </c>
      <c r="F933" s="22" t="str">
        <f>'VIX HISTORIQUE'!J936</f>
        <v/>
      </c>
    </row>
    <row r="934" ht="15.75" customHeight="1">
      <c r="A934" s="25" t="str">
        <f>'VIX HISTORIQUE'!A937</f>
        <v/>
      </c>
      <c r="B934" s="22" t="str">
        <f>'VIX HISTORIQUE'!B937</f>
        <v/>
      </c>
      <c r="C934" s="22" t="str">
        <f>'VIX HISTORIQUE'!D937</f>
        <v/>
      </c>
      <c r="D934" s="22" t="str">
        <f>'VIX HISTORIQUE'!F937</f>
        <v/>
      </c>
      <c r="E934" s="22" t="str">
        <f>'VIX HISTORIQUE'!H937</f>
        <v/>
      </c>
      <c r="F934" s="22" t="str">
        <f>'VIX HISTORIQUE'!J937</f>
        <v/>
      </c>
    </row>
    <row r="935" ht="15.75" customHeight="1">
      <c r="A935" s="25" t="str">
        <f>'VIX HISTORIQUE'!A938</f>
        <v/>
      </c>
      <c r="B935" s="22" t="str">
        <f>'VIX HISTORIQUE'!B938</f>
        <v/>
      </c>
      <c r="C935" s="22" t="str">
        <f>'VIX HISTORIQUE'!D938</f>
        <v/>
      </c>
      <c r="D935" s="22" t="str">
        <f>'VIX HISTORIQUE'!F938</f>
        <v/>
      </c>
      <c r="E935" s="22" t="str">
        <f>'VIX HISTORIQUE'!H938</f>
        <v/>
      </c>
      <c r="F935" s="22" t="str">
        <f>'VIX HISTORIQUE'!J938</f>
        <v/>
      </c>
    </row>
    <row r="936" ht="15.75" customHeight="1">
      <c r="A936" s="25" t="str">
        <f>'VIX HISTORIQUE'!A939</f>
        <v/>
      </c>
      <c r="B936" s="22" t="str">
        <f>'VIX HISTORIQUE'!B939</f>
        <v/>
      </c>
      <c r="C936" s="22" t="str">
        <f>'VIX HISTORIQUE'!D939</f>
        <v/>
      </c>
      <c r="D936" s="22" t="str">
        <f>'VIX HISTORIQUE'!F939</f>
        <v/>
      </c>
      <c r="E936" s="22" t="str">
        <f>'VIX HISTORIQUE'!H939</f>
        <v/>
      </c>
      <c r="F936" s="22" t="str">
        <f>'VIX HISTORIQUE'!J939</f>
        <v/>
      </c>
    </row>
    <row r="937" ht="15.75" customHeight="1">
      <c r="A937" s="25" t="str">
        <f>'VIX HISTORIQUE'!A940</f>
        <v/>
      </c>
      <c r="B937" s="22" t="str">
        <f>'VIX HISTORIQUE'!B940</f>
        <v/>
      </c>
      <c r="C937" s="22" t="str">
        <f>'VIX HISTORIQUE'!D940</f>
        <v/>
      </c>
      <c r="D937" s="22" t="str">
        <f>'VIX HISTORIQUE'!F940</f>
        <v/>
      </c>
      <c r="E937" s="22" t="str">
        <f>'VIX HISTORIQUE'!H940</f>
        <v/>
      </c>
      <c r="F937" s="22" t="str">
        <f>'VIX HISTORIQUE'!J940</f>
        <v/>
      </c>
    </row>
    <row r="938" ht="15.75" customHeight="1">
      <c r="A938" s="25" t="str">
        <f>'VIX HISTORIQUE'!A941</f>
        <v/>
      </c>
      <c r="B938" s="22" t="str">
        <f>'VIX HISTORIQUE'!B941</f>
        <v/>
      </c>
      <c r="C938" s="22" t="str">
        <f>'VIX HISTORIQUE'!D941</f>
        <v/>
      </c>
      <c r="D938" s="22" t="str">
        <f>'VIX HISTORIQUE'!F941</f>
        <v/>
      </c>
      <c r="E938" s="22" t="str">
        <f>'VIX HISTORIQUE'!H941</f>
        <v/>
      </c>
      <c r="F938" s="22" t="str">
        <f>'VIX HISTORIQUE'!J941</f>
        <v/>
      </c>
    </row>
    <row r="939" ht="15.75" customHeight="1">
      <c r="A939" s="25" t="str">
        <f>'VIX HISTORIQUE'!A942</f>
        <v/>
      </c>
      <c r="B939" s="22" t="str">
        <f>'VIX HISTORIQUE'!B942</f>
        <v/>
      </c>
      <c r="C939" s="22" t="str">
        <f>'VIX HISTORIQUE'!D942</f>
        <v/>
      </c>
      <c r="D939" s="22" t="str">
        <f>'VIX HISTORIQUE'!F942</f>
        <v/>
      </c>
      <c r="E939" s="22" t="str">
        <f>'VIX HISTORIQUE'!H942</f>
        <v/>
      </c>
      <c r="F939" s="22" t="str">
        <f>'VIX HISTORIQUE'!J942</f>
        <v/>
      </c>
    </row>
    <row r="940" ht="15.75" customHeight="1">
      <c r="A940" s="25" t="str">
        <f>'VIX HISTORIQUE'!A943</f>
        <v/>
      </c>
      <c r="B940" s="22" t="str">
        <f>'VIX HISTORIQUE'!B943</f>
        <v/>
      </c>
      <c r="C940" s="22" t="str">
        <f>'VIX HISTORIQUE'!D943</f>
        <v/>
      </c>
      <c r="D940" s="22" t="str">
        <f>'VIX HISTORIQUE'!F943</f>
        <v/>
      </c>
      <c r="E940" s="22" t="str">
        <f>'VIX HISTORIQUE'!H943</f>
        <v/>
      </c>
      <c r="F940" s="22" t="str">
        <f>'VIX HISTORIQUE'!J943</f>
        <v/>
      </c>
    </row>
    <row r="941" ht="15.75" customHeight="1">
      <c r="A941" s="25" t="str">
        <f>'VIX HISTORIQUE'!A944</f>
        <v/>
      </c>
      <c r="B941" s="22" t="str">
        <f>'VIX HISTORIQUE'!B944</f>
        <v/>
      </c>
      <c r="C941" s="22" t="str">
        <f>'VIX HISTORIQUE'!D944</f>
        <v/>
      </c>
      <c r="D941" s="22" t="str">
        <f>'VIX HISTORIQUE'!F944</f>
        <v/>
      </c>
      <c r="E941" s="22" t="str">
        <f>'VIX HISTORIQUE'!H944</f>
        <v/>
      </c>
      <c r="F941" s="22" t="str">
        <f>'VIX HISTORIQUE'!J944</f>
        <v/>
      </c>
    </row>
    <row r="942" ht="15.75" customHeight="1">
      <c r="A942" s="25" t="str">
        <f>'VIX HISTORIQUE'!A945</f>
        <v/>
      </c>
      <c r="B942" s="22" t="str">
        <f>'VIX HISTORIQUE'!B945</f>
        <v/>
      </c>
      <c r="C942" s="22" t="str">
        <f>'VIX HISTORIQUE'!D945</f>
        <v/>
      </c>
      <c r="D942" s="22" t="str">
        <f>'VIX HISTORIQUE'!F945</f>
        <v/>
      </c>
      <c r="E942" s="22" t="str">
        <f>'VIX HISTORIQUE'!H945</f>
        <v/>
      </c>
      <c r="F942" s="22" t="str">
        <f>'VIX HISTORIQUE'!J945</f>
        <v/>
      </c>
    </row>
    <row r="943" ht="15.75" customHeight="1">
      <c r="A943" s="25" t="str">
        <f>'VIX HISTORIQUE'!A946</f>
        <v/>
      </c>
      <c r="B943" s="22" t="str">
        <f>'VIX HISTORIQUE'!B946</f>
        <v/>
      </c>
      <c r="C943" s="22" t="str">
        <f>'VIX HISTORIQUE'!D946</f>
        <v/>
      </c>
      <c r="D943" s="22" t="str">
        <f>'VIX HISTORIQUE'!F946</f>
        <v/>
      </c>
      <c r="E943" s="22" t="str">
        <f>'VIX HISTORIQUE'!H946</f>
        <v/>
      </c>
      <c r="F943" s="22" t="str">
        <f>'VIX HISTORIQUE'!J946</f>
        <v/>
      </c>
    </row>
    <row r="944" ht="15.75" customHeight="1">
      <c r="A944" s="25" t="str">
        <f>'VIX HISTORIQUE'!A947</f>
        <v/>
      </c>
      <c r="B944" s="22" t="str">
        <f>'VIX HISTORIQUE'!B947</f>
        <v/>
      </c>
      <c r="C944" s="22" t="str">
        <f>'VIX HISTORIQUE'!D947</f>
        <v/>
      </c>
      <c r="D944" s="22" t="str">
        <f>'VIX HISTORIQUE'!F947</f>
        <v/>
      </c>
      <c r="E944" s="22" t="str">
        <f>'VIX HISTORIQUE'!H947</f>
        <v/>
      </c>
      <c r="F944" s="22" t="str">
        <f>'VIX HISTORIQUE'!J947</f>
        <v/>
      </c>
    </row>
    <row r="945" ht="15.75" customHeight="1">
      <c r="A945" s="25" t="str">
        <f>'VIX HISTORIQUE'!A948</f>
        <v/>
      </c>
      <c r="B945" s="22" t="str">
        <f>'VIX HISTORIQUE'!B948</f>
        <v/>
      </c>
      <c r="C945" s="22" t="str">
        <f>'VIX HISTORIQUE'!D948</f>
        <v/>
      </c>
      <c r="D945" s="22" t="str">
        <f>'VIX HISTORIQUE'!F948</f>
        <v/>
      </c>
      <c r="E945" s="22" t="str">
        <f>'VIX HISTORIQUE'!H948</f>
        <v/>
      </c>
      <c r="F945" s="22" t="str">
        <f>'VIX HISTORIQUE'!J948</f>
        <v/>
      </c>
    </row>
    <row r="946" ht="15.75" customHeight="1">
      <c r="A946" s="25" t="str">
        <f>'VIX HISTORIQUE'!A949</f>
        <v/>
      </c>
      <c r="B946" s="22" t="str">
        <f>'VIX HISTORIQUE'!B949</f>
        <v/>
      </c>
      <c r="C946" s="22" t="str">
        <f>'VIX HISTORIQUE'!D949</f>
        <v/>
      </c>
      <c r="D946" s="22" t="str">
        <f>'VIX HISTORIQUE'!F949</f>
        <v/>
      </c>
      <c r="E946" s="22" t="str">
        <f>'VIX HISTORIQUE'!H949</f>
        <v/>
      </c>
      <c r="F946" s="22" t="str">
        <f>'VIX HISTORIQUE'!J949</f>
        <v/>
      </c>
    </row>
    <row r="947" ht="15.75" customHeight="1">
      <c r="A947" s="25" t="str">
        <f>'VIX HISTORIQUE'!A950</f>
        <v/>
      </c>
      <c r="B947" s="22" t="str">
        <f>'VIX HISTORIQUE'!B950</f>
        <v/>
      </c>
      <c r="C947" s="22" t="str">
        <f>'VIX HISTORIQUE'!D950</f>
        <v/>
      </c>
      <c r="D947" s="22" t="str">
        <f>'VIX HISTORIQUE'!F950</f>
        <v/>
      </c>
      <c r="E947" s="22" t="str">
        <f>'VIX HISTORIQUE'!H950</f>
        <v/>
      </c>
      <c r="F947" s="22" t="str">
        <f>'VIX HISTORIQUE'!J950</f>
        <v/>
      </c>
    </row>
    <row r="948" ht="15.75" customHeight="1">
      <c r="A948" s="25" t="str">
        <f>'VIX HISTORIQUE'!A951</f>
        <v/>
      </c>
      <c r="B948" s="22" t="str">
        <f>'VIX HISTORIQUE'!B951</f>
        <v/>
      </c>
      <c r="C948" s="22" t="str">
        <f>'VIX HISTORIQUE'!D951</f>
        <v/>
      </c>
      <c r="D948" s="22" t="str">
        <f>'VIX HISTORIQUE'!F951</f>
        <v/>
      </c>
      <c r="E948" s="22" t="str">
        <f>'VIX HISTORIQUE'!H951</f>
        <v/>
      </c>
      <c r="F948" s="22" t="str">
        <f>'VIX HISTORIQUE'!J951</f>
        <v/>
      </c>
    </row>
    <row r="949" ht="15.75" customHeight="1">
      <c r="A949" s="25" t="str">
        <f>'VIX HISTORIQUE'!A952</f>
        <v/>
      </c>
      <c r="B949" s="22" t="str">
        <f>'VIX HISTORIQUE'!B952</f>
        <v/>
      </c>
      <c r="C949" s="22" t="str">
        <f>'VIX HISTORIQUE'!D952</f>
        <v/>
      </c>
      <c r="D949" s="22" t="str">
        <f>'VIX HISTORIQUE'!F952</f>
        <v/>
      </c>
      <c r="E949" s="22" t="str">
        <f>'VIX HISTORIQUE'!H952</f>
        <v/>
      </c>
      <c r="F949" s="22" t="str">
        <f>'VIX HISTORIQUE'!J952</f>
        <v/>
      </c>
    </row>
    <row r="950" ht="15.75" customHeight="1">
      <c r="A950" s="25" t="str">
        <f>'VIX HISTORIQUE'!A953</f>
        <v/>
      </c>
      <c r="B950" s="22" t="str">
        <f>'VIX HISTORIQUE'!B953</f>
        <v/>
      </c>
      <c r="C950" s="22" t="str">
        <f>'VIX HISTORIQUE'!D953</f>
        <v/>
      </c>
      <c r="D950" s="22" t="str">
        <f>'VIX HISTORIQUE'!F953</f>
        <v/>
      </c>
      <c r="E950" s="22" t="str">
        <f>'VIX HISTORIQUE'!H953</f>
        <v/>
      </c>
      <c r="F950" s="22" t="str">
        <f>'VIX HISTORIQUE'!J953</f>
        <v/>
      </c>
    </row>
    <row r="951" ht="15.75" customHeight="1">
      <c r="A951" s="25" t="str">
        <f>'VIX HISTORIQUE'!A954</f>
        <v/>
      </c>
      <c r="B951" s="22" t="str">
        <f>'VIX HISTORIQUE'!B954</f>
        <v/>
      </c>
      <c r="C951" s="22" t="str">
        <f>'VIX HISTORIQUE'!D954</f>
        <v/>
      </c>
      <c r="D951" s="22" t="str">
        <f>'VIX HISTORIQUE'!F954</f>
        <v/>
      </c>
      <c r="E951" s="22" t="str">
        <f>'VIX HISTORIQUE'!H954</f>
        <v/>
      </c>
      <c r="F951" s="22" t="str">
        <f>'VIX HISTORIQUE'!J954</f>
        <v/>
      </c>
    </row>
    <row r="952" ht="15.75" customHeight="1">
      <c r="A952" s="25" t="str">
        <f>'VIX HISTORIQUE'!A955</f>
        <v/>
      </c>
      <c r="B952" s="22" t="str">
        <f>'VIX HISTORIQUE'!B955</f>
        <v/>
      </c>
      <c r="C952" s="22" t="str">
        <f>'VIX HISTORIQUE'!D955</f>
        <v/>
      </c>
      <c r="D952" s="22" t="str">
        <f>'VIX HISTORIQUE'!F955</f>
        <v/>
      </c>
      <c r="E952" s="22" t="str">
        <f>'VIX HISTORIQUE'!H955</f>
        <v/>
      </c>
      <c r="F952" s="22" t="str">
        <f>'VIX HISTORIQUE'!J955</f>
        <v/>
      </c>
    </row>
    <row r="953" ht="15.75" customHeight="1">
      <c r="A953" s="25" t="str">
        <f>'VIX HISTORIQUE'!A956</f>
        <v/>
      </c>
      <c r="B953" s="22" t="str">
        <f>'VIX HISTORIQUE'!B956</f>
        <v/>
      </c>
      <c r="C953" s="22" t="str">
        <f>'VIX HISTORIQUE'!D956</f>
        <v/>
      </c>
      <c r="D953" s="22" t="str">
        <f>'VIX HISTORIQUE'!F956</f>
        <v/>
      </c>
      <c r="E953" s="22" t="str">
        <f>'VIX HISTORIQUE'!H956</f>
        <v/>
      </c>
      <c r="F953" s="22" t="str">
        <f>'VIX HISTORIQUE'!J956</f>
        <v/>
      </c>
    </row>
    <row r="954" ht="15.75" customHeight="1">
      <c r="A954" s="25" t="str">
        <f>'VIX HISTORIQUE'!A957</f>
        <v/>
      </c>
      <c r="B954" s="22" t="str">
        <f>'VIX HISTORIQUE'!B957</f>
        <v/>
      </c>
      <c r="C954" s="22" t="str">
        <f>'VIX HISTORIQUE'!D957</f>
        <v/>
      </c>
      <c r="D954" s="22" t="str">
        <f>'VIX HISTORIQUE'!F957</f>
        <v/>
      </c>
      <c r="E954" s="22" t="str">
        <f>'VIX HISTORIQUE'!H957</f>
        <v/>
      </c>
      <c r="F954" s="22" t="str">
        <f>'VIX HISTORIQUE'!J957</f>
        <v/>
      </c>
    </row>
    <row r="955" ht="15.75" customHeight="1">
      <c r="A955" s="25" t="str">
        <f>'VIX HISTORIQUE'!A958</f>
        <v/>
      </c>
      <c r="B955" s="22" t="str">
        <f>'VIX HISTORIQUE'!B958</f>
        <v/>
      </c>
      <c r="C955" s="22" t="str">
        <f>'VIX HISTORIQUE'!D958</f>
        <v/>
      </c>
      <c r="D955" s="22" t="str">
        <f>'VIX HISTORIQUE'!F958</f>
        <v/>
      </c>
      <c r="E955" s="22" t="str">
        <f>'VIX HISTORIQUE'!H958</f>
        <v/>
      </c>
      <c r="F955" s="22" t="str">
        <f>'VIX HISTORIQUE'!J958</f>
        <v/>
      </c>
    </row>
    <row r="956" ht="15.75" customHeight="1">
      <c r="A956" s="25" t="str">
        <f>'VIX HISTORIQUE'!A959</f>
        <v/>
      </c>
      <c r="B956" s="22" t="str">
        <f>'VIX HISTORIQUE'!B959</f>
        <v/>
      </c>
      <c r="C956" s="22" t="str">
        <f>'VIX HISTORIQUE'!D959</f>
        <v/>
      </c>
      <c r="D956" s="22" t="str">
        <f>'VIX HISTORIQUE'!F959</f>
        <v/>
      </c>
      <c r="E956" s="22" t="str">
        <f>'VIX HISTORIQUE'!H959</f>
        <v/>
      </c>
      <c r="F956" s="22" t="str">
        <f>'VIX HISTORIQUE'!J959</f>
        <v/>
      </c>
    </row>
    <row r="957" ht="15.75" customHeight="1">
      <c r="A957" s="25" t="str">
        <f>'VIX HISTORIQUE'!A960</f>
        <v/>
      </c>
      <c r="B957" s="22" t="str">
        <f>'VIX HISTORIQUE'!B960</f>
        <v/>
      </c>
      <c r="C957" s="22" t="str">
        <f>'VIX HISTORIQUE'!D960</f>
        <v/>
      </c>
      <c r="D957" s="22" t="str">
        <f>'VIX HISTORIQUE'!F960</f>
        <v/>
      </c>
      <c r="E957" s="22" t="str">
        <f>'VIX HISTORIQUE'!H960</f>
        <v/>
      </c>
      <c r="F957" s="22" t="str">
        <f>'VIX HISTORIQUE'!J960</f>
        <v/>
      </c>
    </row>
    <row r="958" ht="15.75" customHeight="1">
      <c r="A958" s="25" t="str">
        <f>'VIX HISTORIQUE'!A961</f>
        <v/>
      </c>
      <c r="B958" s="22" t="str">
        <f>'VIX HISTORIQUE'!B961</f>
        <v/>
      </c>
      <c r="C958" s="22" t="str">
        <f>'VIX HISTORIQUE'!D961</f>
        <v/>
      </c>
      <c r="D958" s="22" t="str">
        <f>'VIX HISTORIQUE'!F961</f>
        <v/>
      </c>
      <c r="E958" s="22" t="str">
        <f>'VIX HISTORIQUE'!H961</f>
        <v/>
      </c>
      <c r="F958" s="22" t="str">
        <f>'VIX HISTORIQUE'!J961</f>
        <v/>
      </c>
    </row>
    <row r="959" ht="15.75" customHeight="1">
      <c r="A959" s="25" t="str">
        <f>'VIX HISTORIQUE'!A962</f>
        <v/>
      </c>
      <c r="B959" s="22" t="str">
        <f>'VIX HISTORIQUE'!B962</f>
        <v/>
      </c>
      <c r="C959" s="22" t="str">
        <f>'VIX HISTORIQUE'!D962</f>
        <v/>
      </c>
      <c r="D959" s="22" t="str">
        <f>'VIX HISTORIQUE'!F962</f>
        <v/>
      </c>
      <c r="E959" s="22" t="str">
        <f>'VIX HISTORIQUE'!H962</f>
        <v/>
      </c>
      <c r="F959" s="22" t="str">
        <f>'VIX HISTORIQUE'!J962</f>
        <v/>
      </c>
    </row>
    <row r="960" ht="15.75" customHeight="1">
      <c r="A960" s="25" t="str">
        <f>'VIX HISTORIQUE'!A963</f>
        <v/>
      </c>
      <c r="B960" s="22" t="str">
        <f>'VIX HISTORIQUE'!B963</f>
        <v/>
      </c>
      <c r="C960" s="22" t="str">
        <f>'VIX HISTORIQUE'!D963</f>
        <v/>
      </c>
      <c r="D960" s="22" t="str">
        <f>'VIX HISTORIQUE'!F963</f>
        <v/>
      </c>
      <c r="E960" s="22" t="str">
        <f>'VIX HISTORIQUE'!H963</f>
        <v/>
      </c>
      <c r="F960" s="22" t="str">
        <f>'VIX HISTORIQUE'!J963</f>
        <v/>
      </c>
    </row>
    <row r="961" ht="15.75" customHeight="1">
      <c r="A961" s="25" t="str">
        <f>'VIX HISTORIQUE'!A964</f>
        <v/>
      </c>
      <c r="B961" s="22" t="str">
        <f>'VIX HISTORIQUE'!B964</f>
        <v/>
      </c>
      <c r="C961" s="22" t="str">
        <f>'VIX HISTORIQUE'!D964</f>
        <v/>
      </c>
      <c r="D961" s="22" t="str">
        <f>'VIX HISTORIQUE'!F964</f>
        <v/>
      </c>
      <c r="E961" s="22" t="str">
        <f>'VIX HISTORIQUE'!H964</f>
        <v/>
      </c>
      <c r="F961" s="22" t="str">
        <f>'VIX HISTORIQUE'!J964</f>
        <v/>
      </c>
    </row>
    <row r="962" ht="15.75" customHeight="1">
      <c r="A962" s="25" t="str">
        <f>'VIX HISTORIQUE'!A965</f>
        <v/>
      </c>
      <c r="B962" s="22" t="str">
        <f>'VIX HISTORIQUE'!B965</f>
        <v/>
      </c>
      <c r="C962" s="22" t="str">
        <f>'VIX HISTORIQUE'!D965</f>
        <v/>
      </c>
      <c r="D962" s="22" t="str">
        <f>'VIX HISTORIQUE'!F965</f>
        <v/>
      </c>
      <c r="E962" s="22" t="str">
        <f>'VIX HISTORIQUE'!H965</f>
        <v/>
      </c>
      <c r="F962" s="22" t="str">
        <f>'VIX HISTORIQUE'!J965</f>
        <v/>
      </c>
    </row>
    <row r="963" ht="15.75" customHeight="1">
      <c r="A963" s="25" t="str">
        <f>'VIX HISTORIQUE'!A966</f>
        <v/>
      </c>
      <c r="B963" s="22" t="str">
        <f>'VIX HISTORIQUE'!B966</f>
        <v/>
      </c>
      <c r="C963" s="22" t="str">
        <f>'VIX HISTORIQUE'!D966</f>
        <v/>
      </c>
      <c r="D963" s="22" t="str">
        <f>'VIX HISTORIQUE'!F966</f>
        <v/>
      </c>
      <c r="E963" s="22" t="str">
        <f>'VIX HISTORIQUE'!H966</f>
        <v/>
      </c>
      <c r="F963" s="22" t="str">
        <f>'VIX HISTORIQUE'!J966</f>
        <v/>
      </c>
    </row>
    <row r="964" ht="15.75" customHeight="1">
      <c r="A964" s="25" t="str">
        <f>'VIX HISTORIQUE'!A967</f>
        <v/>
      </c>
      <c r="B964" s="22" t="str">
        <f>'VIX HISTORIQUE'!B967</f>
        <v/>
      </c>
      <c r="C964" s="22" t="str">
        <f>'VIX HISTORIQUE'!D967</f>
        <v/>
      </c>
      <c r="D964" s="22" t="str">
        <f>'VIX HISTORIQUE'!F967</f>
        <v/>
      </c>
      <c r="E964" s="22" t="str">
        <f>'VIX HISTORIQUE'!H967</f>
        <v/>
      </c>
      <c r="F964" s="22" t="str">
        <f>'VIX HISTORIQUE'!J967</f>
        <v/>
      </c>
    </row>
    <row r="965" ht="15.75" customHeight="1">
      <c r="A965" s="25" t="str">
        <f>'VIX HISTORIQUE'!A968</f>
        <v/>
      </c>
      <c r="B965" s="22" t="str">
        <f>'VIX HISTORIQUE'!B968</f>
        <v/>
      </c>
      <c r="C965" s="22" t="str">
        <f>'VIX HISTORIQUE'!D968</f>
        <v/>
      </c>
      <c r="D965" s="22" t="str">
        <f>'VIX HISTORIQUE'!F968</f>
        <v/>
      </c>
      <c r="E965" s="22" t="str">
        <f>'VIX HISTORIQUE'!H968</f>
        <v/>
      </c>
      <c r="F965" s="22" t="str">
        <f>'VIX HISTORIQUE'!J968</f>
        <v/>
      </c>
    </row>
    <row r="966" ht="15.75" customHeight="1">
      <c r="A966" s="25" t="str">
        <f>'VIX HISTORIQUE'!A969</f>
        <v/>
      </c>
      <c r="B966" s="22" t="str">
        <f>'VIX HISTORIQUE'!B969</f>
        <v/>
      </c>
      <c r="C966" s="22" t="str">
        <f>'VIX HISTORIQUE'!D969</f>
        <v/>
      </c>
      <c r="D966" s="22" t="str">
        <f>'VIX HISTORIQUE'!F969</f>
        <v/>
      </c>
      <c r="E966" s="22" t="str">
        <f>'VIX HISTORIQUE'!H969</f>
        <v/>
      </c>
      <c r="F966" s="22" t="str">
        <f>'VIX HISTORIQUE'!J969</f>
        <v/>
      </c>
    </row>
    <row r="967" ht="15.75" customHeight="1">
      <c r="A967" s="25" t="str">
        <f>'VIX HISTORIQUE'!A970</f>
        <v/>
      </c>
      <c r="B967" s="22" t="str">
        <f>'VIX HISTORIQUE'!B970</f>
        <v/>
      </c>
      <c r="C967" s="22" t="str">
        <f>'VIX HISTORIQUE'!D970</f>
        <v/>
      </c>
      <c r="D967" s="22" t="str">
        <f>'VIX HISTORIQUE'!F970</f>
        <v/>
      </c>
      <c r="E967" s="22" t="str">
        <f>'VIX HISTORIQUE'!H970</f>
        <v/>
      </c>
      <c r="F967" s="22" t="str">
        <f>'VIX HISTORIQUE'!J970</f>
        <v/>
      </c>
    </row>
    <row r="968" ht="15.75" customHeight="1">
      <c r="A968" s="25" t="str">
        <f>'VIX HISTORIQUE'!A971</f>
        <v/>
      </c>
      <c r="B968" s="22" t="str">
        <f>'VIX HISTORIQUE'!B971</f>
        <v/>
      </c>
      <c r="C968" s="22" t="str">
        <f>'VIX HISTORIQUE'!D971</f>
        <v/>
      </c>
      <c r="D968" s="22" t="str">
        <f>'VIX HISTORIQUE'!F971</f>
        <v/>
      </c>
      <c r="E968" s="22" t="str">
        <f>'VIX HISTORIQUE'!H971</f>
        <v/>
      </c>
      <c r="F968" s="22" t="str">
        <f>'VIX HISTORIQUE'!J971</f>
        <v/>
      </c>
    </row>
    <row r="969" ht="15.75" customHeight="1">
      <c r="A969" s="25" t="str">
        <f>'VIX HISTORIQUE'!A972</f>
        <v/>
      </c>
      <c r="B969" s="22" t="str">
        <f>'VIX HISTORIQUE'!B972</f>
        <v/>
      </c>
      <c r="C969" s="22" t="str">
        <f>'VIX HISTORIQUE'!D972</f>
        <v/>
      </c>
      <c r="D969" s="22" t="str">
        <f>'VIX HISTORIQUE'!F972</f>
        <v/>
      </c>
      <c r="E969" s="22" t="str">
        <f>'VIX HISTORIQUE'!H972</f>
        <v/>
      </c>
      <c r="F969" s="22" t="str">
        <f>'VIX HISTORIQUE'!J972</f>
        <v/>
      </c>
    </row>
    <row r="970" ht="15.75" customHeight="1">
      <c r="A970" s="25" t="str">
        <f>'VIX HISTORIQUE'!A973</f>
        <v/>
      </c>
      <c r="B970" s="22" t="str">
        <f>'VIX HISTORIQUE'!B973</f>
        <v/>
      </c>
      <c r="C970" s="22" t="str">
        <f>'VIX HISTORIQUE'!D973</f>
        <v/>
      </c>
      <c r="D970" s="22" t="str">
        <f>'VIX HISTORIQUE'!F973</f>
        <v/>
      </c>
      <c r="E970" s="22" t="str">
        <f>'VIX HISTORIQUE'!H973</f>
        <v/>
      </c>
      <c r="F970" s="22" t="str">
        <f>'VIX HISTORIQUE'!J973</f>
        <v/>
      </c>
    </row>
    <row r="971" ht="15.75" customHeight="1">
      <c r="A971" s="25" t="str">
        <f>'VIX HISTORIQUE'!A974</f>
        <v/>
      </c>
      <c r="B971" s="22" t="str">
        <f>'VIX HISTORIQUE'!B974</f>
        <v/>
      </c>
      <c r="C971" s="22" t="str">
        <f>'VIX HISTORIQUE'!D974</f>
        <v/>
      </c>
      <c r="D971" s="22" t="str">
        <f>'VIX HISTORIQUE'!F974</f>
        <v/>
      </c>
      <c r="E971" s="22" t="str">
        <f>'VIX HISTORIQUE'!H974</f>
        <v/>
      </c>
      <c r="F971" s="22" t="str">
        <f>'VIX HISTORIQUE'!J974</f>
        <v/>
      </c>
    </row>
    <row r="972" ht="15.75" customHeight="1">
      <c r="A972" s="25" t="str">
        <f>'VIX HISTORIQUE'!A975</f>
        <v/>
      </c>
      <c r="B972" s="22" t="str">
        <f>'VIX HISTORIQUE'!B975</f>
        <v/>
      </c>
      <c r="C972" s="22" t="str">
        <f>'VIX HISTORIQUE'!D975</f>
        <v/>
      </c>
      <c r="D972" s="22" t="str">
        <f>'VIX HISTORIQUE'!F975</f>
        <v/>
      </c>
      <c r="E972" s="22" t="str">
        <f>'VIX HISTORIQUE'!H975</f>
        <v/>
      </c>
      <c r="F972" s="22" t="str">
        <f>'VIX HISTORIQUE'!J975</f>
        <v/>
      </c>
    </row>
    <row r="973" ht="15.75" customHeight="1">
      <c r="A973" s="25" t="str">
        <f>'VIX HISTORIQUE'!A976</f>
        <v/>
      </c>
      <c r="B973" s="22" t="str">
        <f>'VIX HISTORIQUE'!B976</f>
        <v/>
      </c>
      <c r="C973" s="22" t="str">
        <f>'VIX HISTORIQUE'!D976</f>
        <v/>
      </c>
      <c r="D973" s="22" t="str">
        <f>'VIX HISTORIQUE'!F976</f>
        <v/>
      </c>
      <c r="E973" s="22" t="str">
        <f>'VIX HISTORIQUE'!H976</f>
        <v/>
      </c>
      <c r="F973" s="22" t="str">
        <f>'VIX HISTORIQUE'!J976</f>
        <v/>
      </c>
    </row>
    <row r="974" ht="15.75" customHeight="1">
      <c r="A974" s="25" t="str">
        <f>'VIX HISTORIQUE'!A977</f>
        <v/>
      </c>
      <c r="B974" s="22" t="str">
        <f>'VIX HISTORIQUE'!B977</f>
        <v/>
      </c>
      <c r="C974" s="22" t="str">
        <f>'VIX HISTORIQUE'!D977</f>
        <v/>
      </c>
      <c r="D974" s="22" t="str">
        <f>'VIX HISTORIQUE'!F977</f>
        <v/>
      </c>
      <c r="E974" s="22" t="str">
        <f>'VIX HISTORIQUE'!H977</f>
        <v/>
      </c>
      <c r="F974" s="22" t="str">
        <f>'VIX HISTORIQUE'!J977</f>
        <v/>
      </c>
    </row>
    <row r="975" ht="15.75" customHeight="1">
      <c r="A975" s="25" t="str">
        <f>'VIX HISTORIQUE'!A978</f>
        <v/>
      </c>
      <c r="B975" s="22" t="str">
        <f>'VIX HISTORIQUE'!B978</f>
        <v/>
      </c>
      <c r="C975" s="22" t="str">
        <f>'VIX HISTORIQUE'!D978</f>
        <v/>
      </c>
      <c r="D975" s="22" t="str">
        <f>'VIX HISTORIQUE'!F978</f>
        <v/>
      </c>
      <c r="E975" s="22" t="str">
        <f>'VIX HISTORIQUE'!H978</f>
        <v/>
      </c>
      <c r="F975" s="22" t="str">
        <f>'VIX HISTORIQUE'!J978</f>
        <v/>
      </c>
    </row>
    <row r="976" ht="15.75" customHeight="1">
      <c r="A976" s="25" t="str">
        <f>'VIX HISTORIQUE'!A979</f>
        <v/>
      </c>
      <c r="B976" s="22" t="str">
        <f>'VIX HISTORIQUE'!B979</f>
        <v/>
      </c>
      <c r="C976" s="22" t="str">
        <f>'VIX HISTORIQUE'!D979</f>
        <v/>
      </c>
      <c r="D976" s="22" t="str">
        <f>'VIX HISTORIQUE'!F979</f>
        <v/>
      </c>
      <c r="E976" s="22" t="str">
        <f>'VIX HISTORIQUE'!H979</f>
        <v/>
      </c>
      <c r="F976" s="22" t="str">
        <f>'VIX HISTORIQUE'!J979</f>
        <v/>
      </c>
    </row>
    <row r="977" ht="15.75" customHeight="1">
      <c r="A977" s="25" t="str">
        <f>'VIX HISTORIQUE'!A980</f>
        <v/>
      </c>
      <c r="B977" s="22" t="str">
        <f>'VIX HISTORIQUE'!B980</f>
        <v/>
      </c>
      <c r="C977" s="22" t="str">
        <f>'VIX HISTORIQUE'!D980</f>
        <v/>
      </c>
      <c r="D977" s="22" t="str">
        <f>'VIX HISTORIQUE'!F980</f>
        <v/>
      </c>
      <c r="E977" s="22" t="str">
        <f>'VIX HISTORIQUE'!H980</f>
        <v/>
      </c>
      <c r="F977" s="22" t="str">
        <f>'VIX HISTORIQUE'!J980</f>
        <v/>
      </c>
    </row>
    <row r="978" ht="15.75" customHeight="1">
      <c r="A978" s="25" t="str">
        <f>'VIX HISTORIQUE'!A981</f>
        <v/>
      </c>
      <c r="B978" s="22" t="str">
        <f>'VIX HISTORIQUE'!B981</f>
        <v/>
      </c>
      <c r="C978" s="22" t="str">
        <f>'VIX HISTORIQUE'!D981</f>
        <v/>
      </c>
      <c r="D978" s="22" t="str">
        <f>'VIX HISTORIQUE'!F981</f>
        <v/>
      </c>
      <c r="E978" s="22" t="str">
        <f>'VIX HISTORIQUE'!H981</f>
        <v/>
      </c>
      <c r="F978" s="22" t="str">
        <f>'VIX HISTORIQUE'!J981</f>
        <v/>
      </c>
    </row>
    <row r="979" ht="15.75" customHeight="1">
      <c r="A979" s="25" t="str">
        <f>'VIX HISTORIQUE'!A982</f>
        <v/>
      </c>
      <c r="B979" s="22" t="str">
        <f>'VIX HISTORIQUE'!B982</f>
        <v/>
      </c>
      <c r="C979" s="22" t="str">
        <f>'VIX HISTORIQUE'!D982</f>
        <v/>
      </c>
      <c r="D979" s="22" t="str">
        <f>'VIX HISTORIQUE'!F982</f>
        <v/>
      </c>
      <c r="E979" s="22" t="str">
        <f>'VIX HISTORIQUE'!H982</f>
        <v/>
      </c>
      <c r="F979" s="22" t="str">
        <f>'VIX HISTORIQUE'!J982</f>
        <v/>
      </c>
    </row>
    <row r="980" ht="15.75" customHeight="1">
      <c r="A980" s="25" t="str">
        <f>'VIX HISTORIQUE'!A983</f>
        <v/>
      </c>
      <c r="B980" s="22" t="str">
        <f>'VIX HISTORIQUE'!B983</f>
        <v/>
      </c>
      <c r="C980" s="22" t="str">
        <f>'VIX HISTORIQUE'!D983</f>
        <v/>
      </c>
      <c r="D980" s="22" t="str">
        <f>'VIX HISTORIQUE'!F983</f>
        <v/>
      </c>
      <c r="E980" s="22" t="str">
        <f>'VIX HISTORIQUE'!H983</f>
        <v/>
      </c>
      <c r="F980" s="22" t="str">
        <f>'VIX HISTORIQUE'!J983</f>
        <v/>
      </c>
    </row>
    <row r="981" ht="15.75" customHeight="1">
      <c r="A981" s="25" t="str">
        <f>'VIX HISTORIQUE'!A984</f>
        <v/>
      </c>
      <c r="B981" s="22" t="str">
        <f>'VIX HISTORIQUE'!B984</f>
        <v/>
      </c>
      <c r="C981" s="22" t="str">
        <f>'VIX HISTORIQUE'!D984</f>
        <v/>
      </c>
      <c r="D981" s="22" t="str">
        <f>'VIX HISTORIQUE'!F984</f>
        <v/>
      </c>
      <c r="E981" s="22" t="str">
        <f>'VIX HISTORIQUE'!H984</f>
        <v/>
      </c>
      <c r="F981" s="22" t="str">
        <f>'VIX HISTORIQUE'!J984</f>
        <v/>
      </c>
    </row>
    <row r="982" ht="15.75" customHeight="1">
      <c r="A982" s="25" t="str">
        <f>'VIX HISTORIQUE'!A985</f>
        <v/>
      </c>
      <c r="B982" s="22" t="str">
        <f>'VIX HISTORIQUE'!B985</f>
        <v/>
      </c>
      <c r="C982" s="22" t="str">
        <f>'VIX HISTORIQUE'!D985</f>
        <v/>
      </c>
      <c r="D982" s="22" t="str">
        <f>'VIX HISTORIQUE'!F985</f>
        <v/>
      </c>
      <c r="E982" s="22" t="str">
        <f>'VIX HISTORIQUE'!H985</f>
        <v/>
      </c>
      <c r="F982" s="22" t="str">
        <f>'VIX HISTORIQUE'!J985</f>
        <v/>
      </c>
    </row>
    <row r="983" ht="15.75" customHeight="1">
      <c r="A983" s="25" t="str">
        <f>'VIX HISTORIQUE'!A986</f>
        <v/>
      </c>
      <c r="B983" s="22" t="str">
        <f>'VIX HISTORIQUE'!B986</f>
        <v/>
      </c>
      <c r="C983" s="22" t="str">
        <f>'VIX HISTORIQUE'!D986</f>
        <v/>
      </c>
      <c r="D983" s="22" t="str">
        <f>'VIX HISTORIQUE'!F986</f>
        <v/>
      </c>
      <c r="E983" s="22" t="str">
        <f>'VIX HISTORIQUE'!H986</f>
        <v/>
      </c>
      <c r="F983" s="22" t="str">
        <f>'VIX HISTORIQUE'!J986</f>
        <v/>
      </c>
    </row>
    <row r="984" ht="15.75" customHeight="1">
      <c r="A984" s="25" t="str">
        <f>'VIX HISTORIQUE'!A987</f>
        <v/>
      </c>
      <c r="B984" s="22" t="str">
        <f>'VIX HISTORIQUE'!B987</f>
        <v/>
      </c>
      <c r="C984" s="22" t="str">
        <f>'VIX HISTORIQUE'!D987</f>
        <v/>
      </c>
      <c r="D984" s="22" t="str">
        <f>'VIX HISTORIQUE'!F987</f>
        <v/>
      </c>
      <c r="E984" s="22" t="str">
        <f>'VIX HISTORIQUE'!H987</f>
        <v/>
      </c>
      <c r="F984" s="22" t="str">
        <f>'VIX HISTORIQUE'!J987</f>
        <v/>
      </c>
    </row>
    <row r="985" ht="15.75" customHeight="1">
      <c r="A985" s="25" t="str">
        <f>'VIX HISTORIQUE'!A988</f>
        <v/>
      </c>
      <c r="B985" s="22" t="str">
        <f>'VIX HISTORIQUE'!B988</f>
        <v/>
      </c>
      <c r="C985" s="22" t="str">
        <f>'VIX HISTORIQUE'!D988</f>
        <v/>
      </c>
      <c r="D985" s="22" t="str">
        <f>'VIX HISTORIQUE'!F988</f>
        <v/>
      </c>
      <c r="E985" s="22" t="str">
        <f>'VIX HISTORIQUE'!H988</f>
        <v/>
      </c>
      <c r="F985" s="22" t="str">
        <f>'VIX HISTORIQUE'!J988</f>
        <v/>
      </c>
    </row>
    <row r="986" ht="15.75" customHeight="1">
      <c r="A986" s="25" t="str">
        <f>'VIX HISTORIQUE'!A989</f>
        <v/>
      </c>
      <c r="B986" s="22" t="str">
        <f>'VIX HISTORIQUE'!B989</f>
        <v/>
      </c>
      <c r="C986" s="22" t="str">
        <f>'VIX HISTORIQUE'!D989</f>
        <v/>
      </c>
      <c r="D986" s="22" t="str">
        <f>'VIX HISTORIQUE'!F989</f>
        <v/>
      </c>
      <c r="E986" s="22" t="str">
        <f>'VIX HISTORIQUE'!H989</f>
        <v/>
      </c>
      <c r="F986" s="22" t="str">
        <f>'VIX HISTORIQUE'!J989</f>
        <v/>
      </c>
    </row>
    <row r="987" ht="15.75" customHeight="1">
      <c r="A987" s="25" t="str">
        <f>'VIX HISTORIQUE'!A990</f>
        <v/>
      </c>
      <c r="B987" s="22" t="str">
        <f>'VIX HISTORIQUE'!B990</f>
        <v/>
      </c>
      <c r="C987" s="22" t="str">
        <f>'VIX HISTORIQUE'!D990</f>
        <v/>
      </c>
      <c r="D987" s="22" t="str">
        <f>'VIX HISTORIQUE'!F990</f>
        <v/>
      </c>
      <c r="E987" s="22" t="str">
        <f>'VIX HISTORIQUE'!H990</f>
        <v/>
      </c>
      <c r="F987" s="22" t="str">
        <f>'VIX HISTORIQUE'!J990</f>
        <v/>
      </c>
    </row>
    <row r="988" ht="15.75" customHeight="1">
      <c r="A988" s="25" t="str">
        <f>'VIX HISTORIQUE'!A991</f>
        <v/>
      </c>
      <c r="B988" s="22" t="str">
        <f>'VIX HISTORIQUE'!B991</f>
        <v/>
      </c>
      <c r="C988" s="22" t="str">
        <f>'VIX HISTORIQUE'!D991</f>
        <v/>
      </c>
      <c r="D988" s="22" t="str">
        <f>'VIX HISTORIQUE'!F991</f>
        <v/>
      </c>
      <c r="E988" s="22" t="str">
        <f>'VIX HISTORIQUE'!H991</f>
        <v/>
      </c>
      <c r="F988" s="22" t="str">
        <f>'VIX HISTORIQUE'!J991</f>
        <v/>
      </c>
    </row>
    <row r="989" ht="15.75" customHeight="1">
      <c r="A989" s="25" t="str">
        <f>'VIX HISTORIQUE'!A992</f>
        <v/>
      </c>
      <c r="B989" s="22" t="str">
        <f>'VIX HISTORIQUE'!B992</f>
        <v/>
      </c>
      <c r="C989" s="22" t="str">
        <f>'VIX HISTORIQUE'!D992</f>
        <v/>
      </c>
      <c r="D989" s="22" t="str">
        <f>'VIX HISTORIQUE'!F992</f>
        <v/>
      </c>
      <c r="E989" s="22" t="str">
        <f>'VIX HISTORIQUE'!H992</f>
        <v/>
      </c>
      <c r="F989" s="22" t="str">
        <f>'VIX HISTORIQUE'!J992</f>
        <v/>
      </c>
    </row>
    <row r="990" ht="15.75" customHeight="1">
      <c r="A990" s="25" t="str">
        <f>'VIX HISTORIQUE'!A993</f>
        <v/>
      </c>
      <c r="B990" s="22" t="str">
        <f>'VIX HISTORIQUE'!B993</f>
        <v/>
      </c>
      <c r="C990" s="22" t="str">
        <f>'VIX HISTORIQUE'!D993</f>
        <v/>
      </c>
      <c r="D990" s="22" t="str">
        <f>'VIX HISTORIQUE'!F993</f>
        <v/>
      </c>
      <c r="E990" s="22" t="str">
        <f>'VIX HISTORIQUE'!H993</f>
        <v/>
      </c>
      <c r="F990" s="22" t="str">
        <f>'VIX HISTORIQUE'!J993</f>
        <v/>
      </c>
    </row>
    <row r="991" ht="15.75" customHeight="1">
      <c r="A991" s="25" t="str">
        <f>'VIX HISTORIQUE'!A994</f>
        <v/>
      </c>
      <c r="B991" s="22" t="str">
        <f>'VIX HISTORIQUE'!B994</f>
        <v/>
      </c>
      <c r="C991" s="22" t="str">
        <f>'VIX HISTORIQUE'!D994</f>
        <v/>
      </c>
      <c r="D991" s="22" t="str">
        <f>'VIX HISTORIQUE'!F994</f>
        <v/>
      </c>
      <c r="E991" s="22" t="str">
        <f>'VIX HISTORIQUE'!H994</f>
        <v/>
      </c>
      <c r="F991" s="22" t="str">
        <f>'VIX HISTORIQUE'!J994</f>
        <v/>
      </c>
    </row>
    <row r="992" ht="15.75" customHeight="1">
      <c r="A992" s="25" t="str">
        <f>'VIX HISTORIQUE'!A995</f>
        <v/>
      </c>
      <c r="B992" s="22" t="str">
        <f>'VIX HISTORIQUE'!B995</f>
        <v/>
      </c>
      <c r="C992" s="22" t="str">
        <f>'VIX HISTORIQUE'!D995</f>
        <v/>
      </c>
      <c r="D992" s="22" t="str">
        <f>'VIX HISTORIQUE'!F995</f>
        <v/>
      </c>
      <c r="E992" s="22" t="str">
        <f>'VIX HISTORIQUE'!H995</f>
        <v/>
      </c>
      <c r="F992" s="22" t="str">
        <f>'VIX HISTORIQUE'!J995</f>
        <v/>
      </c>
    </row>
    <row r="993" ht="15.75" customHeight="1">
      <c r="A993" s="25" t="str">
        <f>'VIX HISTORIQUE'!A996</f>
        <v/>
      </c>
      <c r="B993" s="22" t="str">
        <f>'VIX HISTORIQUE'!B996</f>
        <v/>
      </c>
      <c r="C993" s="22" t="str">
        <f>'VIX HISTORIQUE'!D996</f>
        <v/>
      </c>
      <c r="D993" s="22" t="str">
        <f>'VIX HISTORIQUE'!F996</f>
        <v/>
      </c>
      <c r="E993" s="22" t="str">
        <f>'VIX HISTORIQUE'!H996</f>
        <v/>
      </c>
      <c r="F993" s="22" t="str">
        <f>'VIX HISTORIQUE'!J996</f>
        <v/>
      </c>
    </row>
    <row r="994" ht="15.75" customHeight="1">
      <c r="A994" s="25" t="str">
        <f>'VIX HISTORIQUE'!A997</f>
        <v/>
      </c>
      <c r="B994" s="22" t="str">
        <f>'VIX HISTORIQUE'!B997</f>
        <v/>
      </c>
      <c r="C994" s="22" t="str">
        <f>'VIX HISTORIQUE'!D997</f>
        <v/>
      </c>
      <c r="D994" s="22" t="str">
        <f>'VIX HISTORIQUE'!F997</f>
        <v/>
      </c>
      <c r="E994" s="22" t="str">
        <f>'VIX HISTORIQUE'!H997</f>
        <v/>
      </c>
      <c r="F994" s="22" t="str">
        <f>'VIX HISTORIQUE'!J997</f>
        <v/>
      </c>
    </row>
    <row r="995" ht="15.75" customHeight="1">
      <c r="A995" s="25" t="str">
        <f>'VIX HISTORIQUE'!A998</f>
        <v/>
      </c>
      <c r="B995" s="22" t="str">
        <f>'VIX HISTORIQUE'!B998</f>
        <v/>
      </c>
      <c r="C995" s="22" t="str">
        <f>'VIX HISTORIQUE'!D998</f>
        <v/>
      </c>
      <c r="D995" s="22" t="str">
        <f>'VIX HISTORIQUE'!F998</f>
        <v/>
      </c>
      <c r="E995" s="22" t="str">
        <f>'VIX HISTORIQUE'!H998</f>
        <v/>
      </c>
      <c r="F995" s="22" t="str">
        <f>'VIX HISTORIQUE'!J998</f>
        <v/>
      </c>
    </row>
    <row r="996" ht="15.75" customHeight="1">
      <c r="A996" s="25" t="str">
        <f>'VIX HISTORIQUE'!A999</f>
        <v/>
      </c>
      <c r="B996" s="22" t="str">
        <f>'VIX HISTORIQUE'!B999</f>
        <v/>
      </c>
      <c r="C996" s="22" t="str">
        <f>'VIX HISTORIQUE'!D999</f>
        <v/>
      </c>
      <c r="D996" s="22" t="str">
        <f>'VIX HISTORIQUE'!F999</f>
        <v/>
      </c>
      <c r="E996" s="22" t="str">
        <f>'VIX HISTORIQUE'!H999</f>
        <v/>
      </c>
      <c r="F996" s="22" t="str">
        <f>'VIX HISTORIQUE'!J999</f>
        <v/>
      </c>
    </row>
    <row r="997" ht="15.75" customHeight="1">
      <c r="A997" s="25" t="str">
        <f>'VIX HISTORIQUE'!A1000</f>
        <v/>
      </c>
      <c r="B997" s="22" t="str">
        <f>'VIX HISTORIQUE'!B1000</f>
        <v/>
      </c>
      <c r="C997" s="22" t="str">
        <f>'VIX HISTORIQUE'!D1000</f>
        <v/>
      </c>
      <c r="D997" s="22" t="str">
        <f>'VIX HISTORIQUE'!F1000</f>
        <v/>
      </c>
      <c r="E997" s="22" t="str">
        <f>'VIX HISTORIQUE'!H1000</f>
        <v/>
      </c>
      <c r="F997" s="22" t="str">
        <f>'VIX HISTORIQUE'!J1000</f>
        <v/>
      </c>
    </row>
    <row r="998" ht="15.75" customHeight="1">
      <c r="A998" s="25" t="str">
        <f>'VIX HISTORIQUE'!A1001</f>
        <v/>
      </c>
      <c r="B998" s="22" t="str">
        <f>'VIX HISTORIQUE'!B1001</f>
        <v/>
      </c>
      <c r="C998" s="22" t="str">
        <f>'VIX HISTORIQUE'!D1001</f>
        <v/>
      </c>
      <c r="D998" s="22" t="str">
        <f>'VIX HISTORIQUE'!F1001</f>
        <v/>
      </c>
      <c r="E998" s="22" t="str">
        <f>'VIX HISTORIQUE'!H1001</f>
        <v/>
      </c>
      <c r="F998" s="22" t="str">
        <f>'VIX HISTORIQUE'!J1001</f>
        <v/>
      </c>
    </row>
    <row r="999" ht="15.75" customHeight="1">
      <c r="A999" s="25" t="str">
        <f>'VIX HISTORIQUE'!A1002</f>
        <v/>
      </c>
      <c r="B999" s="22" t="str">
        <f>'VIX HISTORIQUE'!B1002</f>
        <v/>
      </c>
      <c r="C999" s="22" t="str">
        <f>'VIX HISTORIQUE'!D1002</f>
        <v/>
      </c>
      <c r="D999" s="22" t="str">
        <f>'VIX HISTORIQUE'!F1002</f>
        <v/>
      </c>
      <c r="E999" s="22" t="str">
        <f>'VIX HISTORIQUE'!H1002</f>
        <v/>
      </c>
      <c r="F999" s="22" t="str">
        <f>'VIX HISTORIQUE'!J1002</f>
        <v/>
      </c>
    </row>
    <row r="1000" ht="15.75" customHeight="1">
      <c r="A1000" s="25" t="str">
        <f>'VIX HISTORIQUE'!A1003</f>
        <v/>
      </c>
      <c r="B1000" s="22" t="str">
        <f>'VIX HISTORIQUE'!B1003</f>
        <v/>
      </c>
      <c r="C1000" s="22" t="str">
        <f>'VIX HISTORIQUE'!D1003</f>
        <v/>
      </c>
      <c r="D1000" s="22" t="str">
        <f>'VIX HISTORIQUE'!F1003</f>
        <v/>
      </c>
      <c r="E1000" s="22" t="str">
        <f>'VIX HISTORIQUE'!H1003</f>
        <v/>
      </c>
      <c r="F1000" s="22" t="str">
        <f>'VIX HISTORIQUE'!J1003</f>
        <v/>
      </c>
    </row>
    <row r="1001" ht="15.75" customHeight="1">
      <c r="A1001" s="25" t="str">
        <f>'VIX HISTORIQUE'!A1004</f>
        <v/>
      </c>
      <c r="B1001" s="22" t="str">
        <f>'VIX HISTORIQUE'!B1004</f>
        <v/>
      </c>
      <c r="C1001" s="22" t="str">
        <f>'VIX HISTORIQUE'!D1004</f>
        <v/>
      </c>
      <c r="D1001" s="22" t="str">
        <f>'VIX HISTORIQUE'!F1004</f>
        <v/>
      </c>
      <c r="E1001" s="22" t="str">
        <f>'VIX HISTORIQUE'!H1004</f>
        <v/>
      </c>
      <c r="F1001" s="22" t="str">
        <f>'VIX HISTORIQUE'!J1004</f>
        <v/>
      </c>
    </row>
    <row r="1002" ht="15.75" customHeight="1">
      <c r="A1002" s="25" t="str">
        <f>'VIX HISTORIQUE'!A1005</f>
        <v/>
      </c>
      <c r="B1002" s="22" t="str">
        <f>'VIX HISTORIQUE'!B1005</f>
        <v/>
      </c>
      <c r="C1002" s="22" t="str">
        <f>'VIX HISTORIQUE'!D1005</f>
        <v/>
      </c>
      <c r="D1002" s="22" t="str">
        <f>'VIX HISTORIQUE'!F1005</f>
        <v/>
      </c>
      <c r="E1002" s="22" t="str">
        <f>'VIX HISTORIQUE'!H1005</f>
        <v/>
      </c>
      <c r="F1002" s="22" t="str">
        <f>'VIX HISTORIQUE'!J1005</f>
        <v/>
      </c>
    </row>
    <row r="1003" ht="15.75" customHeight="1">
      <c r="A1003" s="25" t="str">
        <f>'VIX HISTORIQUE'!A1006</f>
        <v/>
      </c>
      <c r="B1003" s="22" t="str">
        <f>'VIX HISTORIQUE'!B1006</f>
        <v/>
      </c>
      <c r="C1003" s="22" t="str">
        <f>'VIX HISTORIQUE'!D1006</f>
        <v/>
      </c>
      <c r="D1003" s="22" t="str">
        <f>'VIX HISTORIQUE'!F1006</f>
        <v/>
      </c>
      <c r="E1003" s="22" t="str">
        <f>'VIX HISTORIQUE'!H1006</f>
        <v/>
      </c>
      <c r="F1003" s="22" t="str">
        <f>'VIX HISTORIQUE'!J1006</f>
        <v/>
      </c>
    </row>
    <row r="1004" ht="15.75" customHeight="1">
      <c r="A1004" s="25" t="str">
        <f>'VIX HISTORIQUE'!A1007</f>
        <v/>
      </c>
      <c r="B1004" s="22" t="str">
        <f>'VIX HISTORIQUE'!B1007</f>
        <v/>
      </c>
      <c r="C1004" s="22" t="str">
        <f>'VIX HISTORIQUE'!D1007</f>
        <v/>
      </c>
      <c r="D1004" s="22" t="str">
        <f>'VIX HISTORIQUE'!F1007</f>
        <v/>
      </c>
      <c r="E1004" s="22" t="str">
        <f>'VIX HISTORIQUE'!H1007</f>
        <v/>
      </c>
      <c r="F1004" s="22" t="str">
        <f>'VIX HISTORIQUE'!J1007</f>
        <v/>
      </c>
    </row>
    <row r="1005" ht="15.75" customHeight="1">
      <c r="A1005" s="25" t="str">
        <f>'VIX HISTORIQUE'!A1008</f>
        <v/>
      </c>
      <c r="B1005" s="22" t="str">
        <f>'VIX HISTORIQUE'!B1008</f>
        <v/>
      </c>
      <c r="C1005" s="22" t="str">
        <f>'VIX HISTORIQUE'!D1008</f>
        <v/>
      </c>
      <c r="D1005" s="22" t="str">
        <f>'VIX HISTORIQUE'!F1008</f>
        <v/>
      </c>
      <c r="E1005" s="22" t="str">
        <f>'VIX HISTORIQUE'!H1008</f>
        <v/>
      </c>
      <c r="F1005" s="22" t="str">
        <f>'VIX HISTORIQUE'!J1008</f>
        <v/>
      </c>
    </row>
    <row r="1006" ht="15.75" customHeight="1">
      <c r="A1006" s="25" t="str">
        <f>'VIX HISTORIQUE'!A1009</f>
        <v/>
      </c>
      <c r="B1006" s="22" t="str">
        <f>'VIX HISTORIQUE'!B1009</f>
        <v/>
      </c>
      <c r="C1006" s="22" t="str">
        <f>'VIX HISTORIQUE'!D1009</f>
        <v/>
      </c>
      <c r="D1006" s="22" t="str">
        <f>'VIX HISTORIQUE'!F1009</f>
        <v/>
      </c>
      <c r="E1006" s="22" t="str">
        <f>'VIX HISTORIQUE'!H1009</f>
        <v/>
      </c>
      <c r="F1006" s="22" t="str">
        <f>'VIX HISTORIQUE'!J1009</f>
        <v/>
      </c>
    </row>
    <row r="1007" ht="15.75" customHeight="1">
      <c r="A1007" s="25" t="str">
        <f>'VIX HISTORIQUE'!A1010</f>
        <v/>
      </c>
      <c r="B1007" s="22" t="str">
        <f>'VIX HISTORIQUE'!B1010</f>
        <v/>
      </c>
      <c r="C1007" s="22" t="str">
        <f>'VIX HISTORIQUE'!D1010</f>
        <v/>
      </c>
      <c r="D1007" s="22" t="str">
        <f>'VIX HISTORIQUE'!F1010</f>
        <v/>
      </c>
      <c r="E1007" s="22" t="str">
        <f>'VIX HISTORIQUE'!H1010</f>
        <v/>
      </c>
      <c r="F1007" s="22" t="str">
        <f>'VIX HISTORIQUE'!J1010</f>
        <v/>
      </c>
    </row>
    <row r="1008" ht="15.75" customHeight="1">
      <c r="A1008" s="25" t="str">
        <f>'VIX HISTORIQUE'!A1011</f>
        <v/>
      </c>
      <c r="B1008" s="22" t="str">
        <f>'VIX HISTORIQUE'!B1011</f>
        <v/>
      </c>
      <c r="C1008" s="22" t="str">
        <f>'VIX HISTORIQUE'!D1011</f>
        <v/>
      </c>
      <c r="D1008" s="22" t="str">
        <f>'VIX HISTORIQUE'!F1011</f>
        <v/>
      </c>
      <c r="E1008" s="22" t="str">
        <f>'VIX HISTORIQUE'!H1011</f>
        <v/>
      </c>
      <c r="F1008" s="22" t="str">
        <f>'VIX HISTORIQUE'!J1011</f>
        <v/>
      </c>
    </row>
    <row r="1009" ht="15.75" customHeight="1">
      <c r="A1009" s="25" t="str">
        <f>'VIX HISTORIQUE'!A1012</f>
        <v/>
      </c>
      <c r="B1009" s="22" t="str">
        <f>'VIX HISTORIQUE'!B1012</f>
        <v/>
      </c>
      <c r="C1009" s="22" t="str">
        <f>'VIX HISTORIQUE'!D1012</f>
        <v/>
      </c>
      <c r="D1009" s="22" t="str">
        <f>'VIX HISTORIQUE'!F1012</f>
        <v/>
      </c>
      <c r="E1009" s="22" t="str">
        <f>'VIX HISTORIQUE'!H1012</f>
        <v/>
      </c>
      <c r="F1009" s="22" t="str">
        <f>'VIX HISTORIQUE'!J1012</f>
        <v/>
      </c>
    </row>
    <row r="1010" ht="15.75" customHeight="1">
      <c r="A1010" s="25" t="str">
        <f>'VIX HISTORIQUE'!A1013</f>
        <v/>
      </c>
      <c r="B1010" s="22" t="str">
        <f>'VIX HISTORIQUE'!B1013</f>
        <v/>
      </c>
      <c r="C1010" s="22" t="str">
        <f>'VIX HISTORIQUE'!D1013</f>
        <v/>
      </c>
      <c r="D1010" s="22" t="str">
        <f>'VIX HISTORIQUE'!F1013</f>
        <v/>
      </c>
      <c r="E1010" s="22" t="str">
        <f>'VIX HISTORIQUE'!H1013</f>
        <v/>
      </c>
      <c r="F1010" s="22" t="str">
        <f>'VIX HISTORIQUE'!J1013</f>
        <v/>
      </c>
    </row>
    <row r="1011" ht="15.75" customHeight="1">
      <c r="A1011" s="25" t="str">
        <f>'VIX HISTORIQUE'!A1014</f>
        <v/>
      </c>
      <c r="B1011" s="22" t="str">
        <f>'VIX HISTORIQUE'!B1014</f>
        <v/>
      </c>
      <c r="C1011" s="22" t="str">
        <f>'VIX HISTORIQUE'!D1014</f>
        <v/>
      </c>
      <c r="D1011" s="22" t="str">
        <f>'VIX HISTORIQUE'!F1014</f>
        <v/>
      </c>
      <c r="E1011" s="22" t="str">
        <f>'VIX HISTORIQUE'!H1014</f>
        <v/>
      </c>
      <c r="F1011" s="22" t="str">
        <f>'VIX HISTORIQUE'!J1014</f>
        <v/>
      </c>
    </row>
    <row r="1012" ht="15.75" customHeight="1">
      <c r="A1012" s="25" t="str">
        <f>'VIX HISTORIQUE'!A1015</f>
        <v/>
      </c>
      <c r="B1012" s="22" t="str">
        <f>'VIX HISTORIQUE'!B1015</f>
        <v/>
      </c>
      <c r="C1012" s="22" t="str">
        <f>'VIX HISTORIQUE'!D1015</f>
        <v/>
      </c>
      <c r="D1012" s="22" t="str">
        <f>'VIX HISTORIQUE'!F1015</f>
        <v/>
      </c>
      <c r="E1012" s="22" t="str">
        <f>'VIX HISTORIQUE'!H1015</f>
        <v/>
      </c>
      <c r="F1012" s="22" t="str">
        <f>'VIX HISTORIQUE'!J1015</f>
        <v/>
      </c>
    </row>
    <row r="1013" ht="15.75" customHeight="1">
      <c r="A1013" s="25" t="str">
        <f>'VIX HISTORIQUE'!A1016</f>
        <v/>
      </c>
      <c r="B1013" s="22" t="str">
        <f>'VIX HISTORIQUE'!B1016</f>
        <v/>
      </c>
      <c r="C1013" s="22" t="str">
        <f>'VIX HISTORIQUE'!D1016</f>
        <v/>
      </c>
      <c r="D1013" s="22" t="str">
        <f>'VIX HISTORIQUE'!F1016</f>
        <v/>
      </c>
      <c r="E1013" s="22" t="str">
        <f>'VIX HISTORIQUE'!H1016</f>
        <v/>
      </c>
      <c r="F1013" s="22" t="str">
        <f>'VIX HISTORIQUE'!J1016</f>
        <v/>
      </c>
    </row>
    <row r="1014" ht="15.75" customHeight="1">
      <c r="A1014" s="25" t="str">
        <f>'VIX HISTORIQUE'!A1017</f>
        <v/>
      </c>
      <c r="B1014" s="22" t="str">
        <f>'VIX HISTORIQUE'!B1017</f>
        <v/>
      </c>
      <c r="C1014" s="22" t="str">
        <f>'VIX HISTORIQUE'!D1017</f>
        <v/>
      </c>
      <c r="D1014" s="22" t="str">
        <f>'VIX HISTORIQUE'!F1017</f>
        <v/>
      </c>
      <c r="E1014" s="22" t="str">
        <f>'VIX HISTORIQUE'!H1017</f>
        <v/>
      </c>
      <c r="F1014" s="22" t="str">
        <f>'VIX HISTORIQUE'!J1017</f>
        <v/>
      </c>
    </row>
    <row r="1015" ht="15.75" customHeight="1">
      <c r="A1015" s="25" t="str">
        <f>'VIX HISTORIQUE'!A1018</f>
        <v/>
      </c>
      <c r="B1015" s="22" t="str">
        <f>'VIX HISTORIQUE'!B1018</f>
        <v/>
      </c>
      <c r="C1015" s="22" t="str">
        <f>'VIX HISTORIQUE'!D1018</f>
        <v/>
      </c>
      <c r="D1015" s="22" t="str">
        <f>'VIX HISTORIQUE'!F1018</f>
        <v/>
      </c>
      <c r="E1015" s="22" t="str">
        <f>'VIX HISTORIQUE'!H1018</f>
        <v/>
      </c>
      <c r="F1015" s="22" t="str">
        <f>'VIX HISTORIQUE'!J1018</f>
        <v/>
      </c>
    </row>
    <row r="1016" ht="15.75" customHeight="1">
      <c r="A1016" s="25" t="str">
        <f>'VIX HISTORIQUE'!A1019</f>
        <v/>
      </c>
      <c r="B1016" s="22" t="str">
        <f>'VIX HISTORIQUE'!B1019</f>
        <v/>
      </c>
      <c r="C1016" s="22" t="str">
        <f>'VIX HISTORIQUE'!D1019</f>
        <v/>
      </c>
      <c r="D1016" s="22" t="str">
        <f>'VIX HISTORIQUE'!F1019</f>
        <v/>
      </c>
      <c r="E1016" s="22" t="str">
        <f>'VIX HISTORIQUE'!H1019</f>
        <v/>
      </c>
      <c r="F1016" s="22" t="str">
        <f>'VIX HISTORIQUE'!J1019</f>
        <v/>
      </c>
    </row>
    <row r="1017" ht="15.75" customHeight="1">
      <c r="A1017" s="25" t="str">
        <f>'VIX HISTORIQUE'!A1020</f>
        <v/>
      </c>
      <c r="B1017" s="22" t="str">
        <f>'VIX HISTORIQUE'!B1020</f>
        <v/>
      </c>
      <c r="C1017" s="22" t="str">
        <f>'VIX HISTORIQUE'!D1020</f>
        <v/>
      </c>
      <c r="D1017" s="22" t="str">
        <f>'VIX HISTORIQUE'!F1020</f>
        <v/>
      </c>
      <c r="E1017" s="22" t="str">
        <f>'VIX HISTORIQUE'!H1020</f>
        <v/>
      </c>
      <c r="F1017" s="22" t="str">
        <f>'VIX HISTORIQUE'!J1020</f>
        <v/>
      </c>
    </row>
    <row r="1018" ht="15.75" customHeight="1">
      <c r="A1018" s="25" t="str">
        <f>'VIX HISTORIQUE'!A1021</f>
        <v/>
      </c>
      <c r="B1018" s="22" t="str">
        <f>'VIX HISTORIQUE'!B1021</f>
        <v/>
      </c>
      <c r="C1018" s="22" t="str">
        <f>'VIX HISTORIQUE'!D1021</f>
        <v/>
      </c>
      <c r="D1018" s="22" t="str">
        <f>'VIX HISTORIQUE'!F1021</f>
        <v/>
      </c>
      <c r="E1018" s="22" t="str">
        <f>'VIX HISTORIQUE'!H1021</f>
        <v/>
      </c>
      <c r="F1018" s="22" t="str">
        <f>'VIX HISTORIQUE'!J1021</f>
        <v/>
      </c>
    </row>
    <row r="1019" ht="15.75" customHeight="1">
      <c r="A1019" s="25" t="str">
        <f>'VIX HISTORIQUE'!A1022</f>
        <v/>
      </c>
      <c r="B1019" s="22" t="str">
        <f>'VIX HISTORIQUE'!B1022</f>
        <v/>
      </c>
      <c r="C1019" s="22" t="str">
        <f>'VIX HISTORIQUE'!D1022</f>
        <v/>
      </c>
      <c r="D1019" s="22" t="str">
        <f>'VIX HISTORIQUE'!F1022</f>
        <v/>
      </c>
      <c r="E1019" s="22" t="str">
        <f>'VIX HISTORIQUE'!H1022</f>
        <v/>
      </c>
      <c r="F1019" s="22" t="str">
        <f>'VIX HISTORIQUE'!J1022</f>
        <v/>
      </c>
    </row>
    <row r="1020" ht="15.75" customHeight="1">
      <c r="A1020" s="25" t="str">
        <f>'VIX HISTORIQUE'!A1023</f>
        <v/>
      </c>
      <c r="B1020" s="22" t="str">
        <f>'VIX HISTORIQUE'!B1023</f>
        <v/>
      </c>
      <c r="C1020" s="22" t="str">
        <f>'VIX HISTORIQUE'!D1023</f>
        <v/>
      </c>
      <c r="D1020" s="22" t="str">
        <f>'VIX HISTORIQUE'!F1023</f>
        <v/>
      </c>
      <c r="E1020" s="22" t="str">
        <f>'VIX HISTORIQUE'!H1023</f>
        <v/>
      </c>
      <c r="F1020" s="22" t="str">
        <f>'VIX HISTORIQUE'!J1023</f>
        <v/>
      </c>
    </row>
    <row r="1021" ht="15.75" customHeight="1">
      <c r="A1021" s="25" t="str">
        <f>'VIX HISTORIQUE'!A1024</f>
        <v/>
      </c>
      <c r="B1021" s="22" t="str">
        <f>'VIX HISTORIQUE'!B1024</f>
        <v/>
      </c>
      <c r="C1021" s="22" t="str">
        <f>'VIX HISTORIQUE'!D1024</f>
        <v/>
      </c>
      <c r="D1021" s="22" t="str">
        <f>'VIX HISTORIQUE'!F1024</f>
        <v/>
      </c>
      <c r="E1021" s="22" t="str">
        <f>'VIX HISTORIQUE'!H1024</f>
        <v/>
      </c>
      <c r="F1021" s="22" t="str">
        <f>'VIX HISTORIQUE'!J1024</f>
        <v/>
      </c>
    </row>
    <row r="1022" ht="15.75" customHeight="1">
      <c r="A1022" s="25" t="str">
        <f>'VIX HISTORIQUE'!A1025</f>
        <v/>
      </c>
      <c r="B1022" s="22" t="str">
        <f>'VIX HISTORIQUE'!B1025</f>
        <v/>
      </c>
      <c r="C1022" s="22" t="str">
        <f>'VIX HISTORIQUE'!D1025</f>
        <v/>
      </c>
      <c r="D1022" s="22" t="str">
        <f>'VIX HISTORIQUE'!F1025</f>
        <v/>
      </c>
      <c r="E1022" s="22" t="str">
        <f>'VIX HISTORIQUE'!H1025</f>
        <v/>
      </c>
      <c r="F1022" s="22" t="str">
        <f>'VIX HISTORIQUE'!J1025</f>
        <v/>
      </c>
    </row>
    <row r="1023" ht="15.75" customHeight="1">
      <c r="A1023" s="25" t="str">
        <f>'VIX HISTORIQUE'!A1026</f>
        <v/>
      </c>
      <c r="B1023" s="22" t="str">
        <f>'VIX HISTORIQUE'!B1026</f>
        <v/>
      </c>
      <c r="C1023" s="22" t="str">
        <f>'VIX HISTORIQUE'!D1026</f>
        <v/>
      </c>
      <c r="D1023" s="22" t="str">
        <f>'VIX HISTORIQUE'!F1026</f>
        <v/>
      </c>
      <c r="E1023" s="22" t="str">
        <f>'VIX HISTORIQUE'!H1026</f>
        <v/>
      </c>
      <c r="F1023" s="22" t="str">
        <f>'VIX HISTORIQUE'!J1026</f>
        <v/>
      </c>
    </row>
    <row r="1024" ht="15.75" customHeight="1">
      <c r="A1024" s="25" t="str">
        <f>'VIX HISTORIQUE'!A1027</f>
        <v/>
      </c>
      <c r="B1024" s="22" t="str">
        <f>'VIX HISTORIQUE'!B1027</f>
        <v/>
      </c>
      <c r="C1024" s="22" t="str">
        <f>'VIX HISTORIQUE'!D1027</f>
        <v/>
      </c>
      <c r="D1024" s="22" t="str">
        <f>'VIX HISTORIQUE'!F1027</f>
        <v/>
      </c>
      <c r="E1024" s="22" t="str">
        <f>'VIX HISTORIQUE'!H1027</f>
        <v/>
      </c>
      <c r="F1024" s="22" t="str">
        <f>'VIX HISTORIQUE'!J1027</f>
        <v/>
      </c>
    </row>
    <row r="1025" ht="15.75" customHeight="1">
      <c r="A1025" s="25" t="str">
        <f>'VIX HISTORIQUE'!A1028</f>
        <v/>
      </c>
      <c r="B1025" s="22" t="str">
        <f>'VIX HISTORIQUE'!B1028</f>
        <v/>
      </c>
      <c r="C1025" s="22" t="str">
        <f>'VIX HISTORIQUE'!D1028</f>
        <v/>
      </c>
      <c r="D1025" s="22" t="str">
        <f>'VIX HISTORIQUE'!F1028</f>
        <v/>
      </c>
      <c r="E1025" s="22" t="str">
        <f>'VIX HISTORIQUE'!H1028</f>
        <v/>
      </c>
      <c r="F1025" s="22" t="str">
        <f>'VIX HISTORIQUE'!J1028</f>
        <v/>
      </c>
    </row>
    <row r="1026" ht="15.75" customHeight="1">
      <c r="A1026" s="25" t="str">
        <f>'VIX HISTORIQUE'!A1029</f>
        <v/>
      </c>
      <c r="B1026" s="22" t="str">
        <f>'VIX HISTORIQUE'!B1029</f>
        <v/>
      </c>
      <c r="C1026" s="22" t="str">
        <f>'VIX HISTORIQUE'!D1029</f>
        <v/>
      </c>
      <c r="D1026" s="22" t="str">
        <f>'VIX HISTORIQUE'!F1029</f>
        <v/>
      </c>
      <c r="E1026" s="22" t="str">
        <f>'VIX HISTORIQUE'!H1029</f>
        <v/>
      </c>
      <c r="F1026" s="22" t="str">
        <f>'VIX HISTORIQUE'!J1029</f>
        <v/>
      </c>
    </row>
    <row r="1027" ht="15.75" customHeight="1">
      <c r="A1027" s="25" t="str">
        <f>'VIX HISTORIQUE'!A1030</f>
        <v/>
      </c>
      <c r="B1027" s="22" t="str">
        <f>'VIX HISTORIQUE'!B1030</f>
        <v/>
      </c>
      <c r="C1027" s="22" t="str">
        <f>'VIX HISTORIQUE'!D1030</f>
        <v/>
      </c>
      <c r="D1027" s="22" t="str">
        <f>'VIX HISTORIQUE'!F1030</f>
        <v/>
      </c>
      <c r="E1027" s="22" t="str">
        <f>'VIX HISTORIQUE'!H1030</f>
        <v/>
      </c>
      <c r="F1027" s="22" t="str">
        <f>'VIX HISTORIQUE'!J1030</f>
        <v/>
      </c>
    </row>
    <row r="1028" ht="15.75" customHeight="1">
      <c r="A1028" s="25" t="str">
        <f>'VIX HISTORIQUE'!A1031</f>
        <v/>
      </c>
      <c r="B1028" s="22" t="str">
        <f>'VIX HISTORIQUE'!B1031</f>
        <v/>
      </c>
      <c r="C1028" s="22" t="str">
        <f>'VIX HISTORIQUE'!D1031</f>
        <v/>
      </c>
      <c r="D1028" s="22" t="str">
        <f>'VIX HISTORIQUE'!F1031</f>
        <v/>
      </c>
      <c r="E1028" s="22" t="str">
        <f>'VIX HISTORIQUE'!H1031</f>
        <v/>
      </c>
      <c r="F1028" s="22" t="str">
        <f>'VIX HISTORIQUE'!J1031</f>
        <v/>
      </c>
    </row>
    <row r="1029" ht="15.75" customHeight="1">
      <c r="A1029" s="25" t="str">
        <f>'VIX HISTORIQUE'!A1032</f>
        <v/>
      </c>
      <c r="B1029" s="22" t="str">
        <f>'VIX HISTORIQUE'!B1032</f>
        <v/>
      </c>
      <c r="C1029" s="22" t="str">
        <f>'VIX HISTORIQUE'!D1032</f>
        <v/>
      </c>
      <c r="D1029" s="22" t="str">
        <f>'VIX HISTORIQUE'!F1032</f>
        <v/>
      </c>
      <c r="E1029" s="22" t="str">
        <f>'VIX HISTORIQUE'!H1032</f>
        <v/>
      </c>
      <c r="F1029" s="22" t="str">
        <f>'VIX HISTORIQUE'!J1032</f>
        <v/>
      </c>
    </row>
    <row r="1030" ht="15.75" customHeight="1">
      <c r="A1030" s="25" t="str">
        <f>'VIX HISTORIQUE'!A1033</f>
        <v/>
      </c>
      <c r="B1030" s="22" t="str">
        <f>'VIX HISTORIQUE'!B1033</f>
        <v/>
      </c>
      <c r="C1030" s="22" t="str">
        <f>'VIX HISTORIQUE'!D1033</f>
        <v/>
      </c>
      <c r="D1030" s="22" t="str">
        <f>'VIX HISTORIQUE'!F1033</f>
        <v/>
      </c>
      <c r="E1030" s="22" t="str">
        <f>'VIX HISTORIQUE'!H1033</f>
        <v/>
      </c>
      <c r="F1030" s="22" t="str">
        <f>'VIX HISTORIQUE'!J1033</f>
        <v/>
      </c>
    </row>
    <row r="1031" ht="15.75" customHeight="1">
      <c r="A1031" s="25" t="str">
        <f>'VIX HISTORIQUE'!A1034</f>
        <v/>
      </c>
      <c r="B1031" s="22" t="str">
        <f>'VIX HISTORIQUE'!B1034</f>
        <v/>
      </c>
      <c r="C1031" s="22" t="str">
        <f>'VIX HISTORIQUE'!D1034</f>
        <v/>
      </c>
      <c r="D1031" s="22" t="str">
        <f>'VIX HISTORIQUE'!F1034</f>
        <v/>
      </c>
      <c r="E1031" s="22" t="str">
        <f>'VIX HISTORIQUE'!H1034</f>
        <v/>
      </c>
      <c r="F1031" s="22" t="str">
        <f>'VIX HISTORIQUE'!J1034</f>
        <v/>
      </c>
    </row>
    <row r="1032" ht="15.75" customHeight="1">
      <c r="A1032" s="25" t="str">
        <f>'VIX HISTORIQUE'!A1035</f>
        <v/>
      </c>
      <c r="B1032" s="22" t="str">
        <f>'VIX HISTORIQUE'!B1035</f>
        <v/>
      </c>
      <c r="C1032" s="22" t="str">
        <f>'VIX HISTORIQUE'!D1035</f>
        <v/>
      </c>
      <c r="D1032" s="22" t="str">
        <f>'VIX HISTORIQUE'!F1035</f>
        <v/>
      </c>
      <c r="E1032" s="22" t="str">
        <f>'VIX HISTORIQUE'!H1035</f>
        <v/>
      </c>
      <c r="F1032" s="22" t="str">
        <f>'VIX HISTORIQUE'!J1035</f>
        <v/>
      </c>
    </row>
    <row r="1033" ht="15.75" customHeight="1">
      <c r="A1033" s="25" t="str">
        <f>'VIX HISTORIQUE'!A1036</f>
        <v/>
      </c>
      <c r="B1033" s="22" t="str">
        <f>'VIX HISTORIQUE'!B1036</f>
        <v/>
      </c>
      <c r="C1033" s="22" t="str">
        <f>'VIX HISTORIQUE'!D1036</f>
        <v/>
      </c>
      <c r="D1033" s="22" t="str">
        <f>'VIX HISTORIQUE'!F1036</f>
        <v/>
      </c>
      <c r="E1033" s="22" t="str">
        <f>'VIX HISTORIQUE'!H1036</f>
        <v/>
      </c>
      <c r="F1033" s="22" t="str">
        <f>'VIX HISTORIQUE'!J1036</f>
        <v/>
      </c>
    </row>
    <row r="1034" ht="15.75" customHeight="1">
      <c r="A1034" s="25" t="str">
        <f>'VIX HISTORIQUE'!A1037</f>
        <v/>
      </c>
      <c r="B1034" s="22" t="str">
        <f>'VIX HISTORIQUE'!B1037</f>
        <v/>
      </c>
      <c r="C1034" s="22" t="str">
        <f>'VIX HISTORIQUE'!D1037</f>
        <v/>
      </c>
      <c r="D1034" s="22" t="str">
        <f>'VIX HISTORIQUE'!F1037</f>
        <v/>
      </c>
      <c r="E1034" s="22" t="str">
        <f>'VIX HISTORIQUE'!H1037</f>
        <v/>
      </c>
      <c r="F1034" s="22" t="str">
        <f>'VIX HISTORIQUE'!J1037</f>
        <v/>
      </c>
    </row>
    <row r="1035" ht="15.75" customHeight="1">
      <c r="A1035" s="25" t="str">
        <f>'VIX HISTORIQUE'!A1038</f>
        <v/>
      </c>
      <c r="B1035" s="22" t="str">
        <f>'VIX HISTORIQUE'!B1038</f>
        <v/>
      </c>
      <c r="C1035" s="22" t="str">
        <f>'VIX HISTORIQUE'!D1038</f>
        <v/>
      </c>
      <c r="D1035" s="22" t="str">
        <f>'VIX HISTORIQUE'!F1038</f>
        <v/>
      </c>
      <c r="E1035" s="22" t="str">
        <f>'VIX HISTORIQUE'!H1038</f>
        <v/>
      </c>
      <c r="F1035" s="22" t="str">
        <f>'VIX HISTORIQUE'!J1038</f>
        <v/>
      </c>
    </row>
    <row r="1036" ht="15.75" customHeight="1">
      <c r="A1036" s="25" t="str">
        <f>'VIX HISTORIQUE'!A1039</f>
        <v/>
      </c>
      <c r="B1036" s="22" t="str">
        <f>'VIX HISTORIQUE'!B1039</f>
        <v/>
      </c>
      <c r="C1036" s="22" t="str">
        <f>'VIX HISTORIQUE'!D1039</f>
        <v/>
      </c>
      <c r="D1036" s="22" t="str">
        <f>'VIX HISTORIQUE'!F1039</f>
        <v/>
      </c>
      <c r="E1036" s="22" t="str">
        <f>'VIX HISTORIQUE'!H1039</f>
        <v/>
      </c>
      <c r="F1036" s="22" t="str">
        <f>'VIX HISTORIQUE'!J1039</f>
        <v/>
      </c>
    </row>
    <row r="1037" ht="15.75" customHeight="1">
      <c r="A1037" s="25" t="str">
        <f>'VIX HISTORIQUE'!A1040</f>
        <v/>
      </c>
      <c r="B1037" s="22" t="str">
        <f>'VIX HISTORIQUE'!B1040</f>
        <v/>
      </c>
      <c r="C1037" s="22" t="str">
        <f>'VIX HISTORIQUE'!D1040</f>
        <v/>
      </c>
      <c r="D1037" s="22" t="str">
        <f>'VIX HISTORIQUE'!F1040</f>
        <v/>
      </c>
      <c r="E1037" s="22" t="str">
        <f>'VIX HISTORIQUE'!H1040</f>
        <v/>
      </c>
      <c r="F1037" s="22" t="str">
        <f>'VIX HISTORIQUE'!J1040</f>
        <v/>
      </c>
    </row>
    <row r="1038" ht="15.75" customHeight="1">
      <c r="A1038" s="25" t="str">
        <f>'VIX HISTORIQUE'!A1041</f>
        <v/>
      </c>
      <c r="B1038" s="22" t="str">
        <f>'VIX HISTORIQUE'!B1041</f>
        <v/>
      </c>
      <c r="C1038" s="22" t="str">
        <f>'VIX HISTORIQUE'!D1041</f>
        <v/>
      </c>
      <c r="D1038" s="22" t="str">
        <f>'VIX HISTORIQUE'!F1041</f>
        <v/>
      </c>
      <c r="E1038" s="22" t="str">
        <f>'VIX HISTORIQUE'!H1041</f>
        <v/>
      </c>
      <c r="F1038" s="22" t="str">
        <f>'VIX HISTORIQUE'!J1041</f>
        <v/>
      </c>
    </row>
    <row r="1039" ht="15.75" customHeight="1">
      <c r="A1039" s="25" t="str">
        <f>'VIX HISTORIQUE'!A1042</f>
        <v/>
      </c>
      <c r="B1039" s="22" t="str">
        <f>'VIX HISTORIQUE'!B1042</f>
        <v/>
      </c>
      <c r="C1039" s="22" t="str">
        <f>'VIX HISTORIQUE'!D1042</f>
        <v/>
      </c>
      <c r="D1039" s="22" t="str">
        <f>'VIX HISTORIQUE'!F1042</f>
        <v/>
      </c>
      <c r="E1039" s="22" t="str">
        <f>'VIX HISTORIQUE'!H1042</f>
        <v/>
      </c>
      <c r="F1039" s="22" t="str">
        <f>'VIX HISTORIQUE'!J1042</f>
        <v/>
      </c>
    </row>
    <row r="1040" ht="15.75" customHeight="1">
      <c r="A1040" s="25" t="str">
        <f>'VIX HISTORIQUE'!A1043</f>
        <v/>
      </c>
      <c r="B1040" s="22" t="str">
        <f>'VIX HISTORIQUE'!B1043</f>
        <v/>
      </c>
      <c r="C1040" s="22" t="str">
        <f>'VIX HISTORIQUE'!D1043</f>
        <v/>
      </c>
      <c r="D1040" s="22" t="str">
        <f>'VIX HISTORIQUE'!F1043</f>
        <v/>
      </c>
      <c r="E1040" s="22" t="str">
        <f>'VIX HISTORIQUE'!H1043</f>
        <v/>
      </c>
      <c r="F1040" s="22" t="str">
        <f>'VIX HISTORIQUE'!J1043</f>
        <v/>
      </c>
    </row>
    <row r="1041" ht="15.75" customHeight="1">
      <c r="A1041" s="25" t="str">
        <f>'VIX HISTORIQUE'!A1044</f>
        <v/>
      </c>
      <c r="B1041" s="22" t="str">
        <f>'VIX HISTORIQUE'!B1044</f>
        <v/>
      </c>
      <c r="C1041" s="22" t="str">
        <f>'VIX HISTORIQUE'!D1044</f>
        <v/>
      </c>
      <c r="D1041" s="22" t="str">
        <f>'VIX HISTORIQUE'!F1044</f>
        <v/>
      </c>
      <c r="E1041" s="22" t="str">
        <f>'VIX HISTORIQUE'!H1044</f>
        <v/>
      </c>
      <c r="F1041" s="22" t="str">
        <f>'VIX HISTORIQUE'!J1044</f>
        <v/>
      </c>
    </row>
    <row r="1042" ht="15.75" customHeight="1">
      <c r="A1042" s="25" t="str">
        <f>'VIX HISTORIQUE'!A1045</f>
        <v/>
      </c>
      <c r="B1042" s="22" t="str">
        <f>'VIX HISTORIQUE'!B1045</f>
        <v/>
      </c>
      <c r="C1042" s="22" t="str">
        <f>'VIX HISTORIQUE'!D1045</f>
        <v/>
      </c>
      <c r="D1042" s="22" t="str">
        <f>'VIX HISTORIQUE'!F1045</f>
        <v/>
      </c>
      <c r="E1042" s="22" t="str">
        <f>'VIX HISTORIQUE'!H1045</f>
        <v/>
      </c>
      <c r="F1042" s="22" t="str">
        <f>'VIX HISTORIQUE'!J1045</f>
        <v/>
      </c>
    </row>
    <row r="1043" ht="15.75" customHeight="1">
      <c r="A1043" s="25" t="str">
        <f>'VIX HISTORIQUE'!A1046</f>
        <v/>
      </c>
      <c r="B1043" s="22" t="str">
        <f>'VIX HISTORIQUE'!B1046</f>
        <v/>
      </c>
      <c r="C1043" s="22" t="str">
        <f>'VIX HISTORIQUE'!D1046</f>
        <v/>
      </c>
      <c r="D1043" s="22" t="str">
        <f>'VIX HISTORIQUE'!F1046</f>
        <v/>
      </c>
      <c r="E1043" s="22" t="str">
        <f>'VIX HISTORIQUE'!H1046</f>
        <v/>
      </c>
      <c r="F1043" s="22" t="str">
        <f>'VIX HISTORIQUE'!J1046</f>
        <v/>
      </c>
    </row>
    <row r="1044" ht="15.75" customHeight="1">
      <c r="A1044" s="25" t="str">
        <f>'VIX HISTORIQUE'!A1047</f>
        <v/>
      </c>
      <c r="B1044" s="22" t="str">
        <f>'VIX HISTORIQUE'!B1047</f>
        <v/>
      </c>
      <c r="C1044" s="22" t="str">
        <f>'VIX HISTORIQUE'!D1047</f>
        <v/>
      </c>
      <c r="D1044" s="22" t="str">
        <f>'VIX HISTORIQUE'!F1047</f>
        <v/>
      </c>
      <c r="E1044" s="22" t="str">
        <f>'VIX HISTORIQUE'!H1047</f>
        <v/>
      </c>
      <c r="F1044" s="22" t="str">
        <f>'VIX HISTORIQUE'!J1047</f>
        <v/>
      </c>
    </row>
    <row r="1045" ht="15.75" customHeight="1">
      <c r="A1045" s="25" t="str">
        <f>'VIX HISTORIQUE'!A1048</f>
        <v/>
      </c>
      <c r="B1045" s="22" t="str">
        <f>'VIX HISTORIQUE'!B1048</f>
        <v/>
      </c>
      <c r="C1045" s="22" t="str">
        <f>'VIX HISTORIQUE'!D1048</f>
        <v/>
      </c>
      <c r="D1045" s="22" t="str">
        <f>'VIX HISTORIQUE'!F1048</f>
        <v/>
      </c>
      <c r="E1045" s="22" t="str">
        <f>'VIX HISTORIQUE'!H1048</f>
        <v/>
      </c>
      <c r="F1045" s="22" t="str">
        <f>'VIX HISTORIQUE'!J1048</f>
        <v/>
      </c>
    </row>
    <row r="1046" ht="15.75" customHeight="1">
      <c r="A1046" s="25" t="str">
        <f>'VIX HISTORIQUE'!A1049</f>
        <v/>
      </c>
      <c r="B1046" s="22" t="str">
        <f>'VIX HISTORIQUE'!B1049</f>
        <v/>
      </c>
      <c r="C1046" s="22" t="str">
        <f>'VIX HISTORIQUE'!D1049</f>
        <v/>
      </c>
      <c r="D1046" s="22" t="str">
        <f>'VIX HISTORIQUE'!F1049</f>
        <v/>
      </c>
      <c r="E1046" s="22" t="str">
        <f>'VIX HISTORIQUE'!H1049</f>
        <v/>
      </c>
      <c r="F1046" s="22" t="str">
        <f>'VIX HISTORIQUE'!J1049</f>
        <v/>
      </c>
    </row>
    <row r="1047" ht="15.75" customHeight="1">
      <c r="A1047" s="25" t="str">
        <f>'VIX HISTORIQUE'!A1050</f>
        <v/>
      </c>
      <c r="B1047" s="22" t="str">
        <f>'VIX HISTORIQUE'!B1050</f>
        <v/>
      </c>
      <c r="C1047" s="22" t="str">
        <f>'VIX HISTORIQUE'!D1050</f>
        <v/>
      </c>
      <c r="D1047" s="22" t="str">
        <f>'VIX HISTORIQUE'!F1050</f>
        <v/>
      </c>
      <c r="E1047" s="22" t="str">
        <f>'VIX HISTORIQUE'!H1050</f>
        <v/>
      </c>
      <c r="F1047" s="22" t="str">
        <f>'VIX HISTORIQUE'!J1050</f>
        <v/>
      </c>
    </row>
    <row r="1048" ht="15.75" customHeight="1">
      <c r="A1048" s="25" t="str">
        <f>'VIX HISTORIQUE'!A1051</f>
        <v/>
      </c>
      <c r="B1048" s="22" t="str">
        <f>'VIX HISTORIQUE'!B1051</f>
        <v/>
      </c>
      <c r="C1048" s="22" t="str">
        <f>'VIX HISTORIQUE'!D1051</f>
        <v/>
      </c>
      <c r="D1048" s="22" t="str">
        <f>'VIX HISTORIQUE'!F1051</f>
        <v/>
      </c>
      <c r="E1048" s="22" t="str">
        <f>'VIX HISTORIQUE'!H1051</f>
        <v/>
      </c>
      <c r="F1048" s="22" t="str">
        <f>'VIX HISTORIQUE'!J1051</f>
        <v/>
      </c>
    </row>
    <row r="1049" ht="15.75" customHeight="1">
      <c r="A1049" s="25" t="str">
        <f>'VIX HISTORIQUE'!A1052</f>
        <v/>
      </c>
      <c r="B1049" s="22" t="str">
        <f>'VIX HISTORIQUE'!B1052</f>
        <v/>
      </c>
      <c r="C1049" s="22" t="str">
        <f>'VIX HISTORIQUE'!D1052</f>
        <v/>
      </c>
      <c r="D1049" s="22" t="str">
        <f>'VIX HISTORIQUE'!F1052</f>
        <v/>
      </c>
      <c r="E1049" s="22" t="str">
        <f>'VIX HISTORIQUE'!H1052</f>
        <v/>
      </c>
      <c r="F1049" s="22" t="str">
        <f>'VIX HISTORIQUE'!J1052</f>
        <v/>
      </c>
    </row>
    <row r="1050" ht="15.75" customHeight="1">
      <c r="A1050" s="25" t="str">
        <f>'VIX HISTORIQUE'!A1053</f>
        <v/>
      </c>
      <c r="B1050" s="22" t="str">
        <f>'VIX HISTORIQUE'!B1053</f>
        <v/>
      </c>
      <c r="C1050" s="22" t="str">
        <f>'VIX HISTORIQUE'!D1053</f>
        <v/>
      </c>
      <c r="D1050" s="22" t="str">
        <f>'VIX HISTORIQUE'!F1053</f>
        <v/>
      </c>
      <c r="E1050" s="22" t="str">
        <f>'VIX HISTORIQUE'!H1053</f>
        <v/>
      </c>
      <c r="F1050" s="22" t="str">
        <f>'VIX HISTORIQUE'!J1053</f>
        <v/>
      </c>
    </row>
    <row r="1051" ht="15.75" customHeight="1">
      <c r="A1051" s="25" t="str">
        <f>'VIX HISTORIQUE'!A1054</f>
        <v/>
      </c>
      <c r="B1051" s="22" t="str">
        <f>'VIX HISTORIQUE'!B1054</f>
        <v/>
      </c>
      <c r="C1051" s="22" t="str">
        <f>'VIX HISTORIQUE'!D1054</f>
        <v/>
      </c>
      <c r="D1051" s="22" t="str">
        <f>'VIX HISTORIQUE'!F1054</f>
        <v/>
      </c>
      <c r="E1051" s="22" t="str">
        <f>'VIX HISTORIQUE'!H1054</f>
        <v/>
      </c>
      <c r="F1051" s="22" t="str">
        <f>'VIX HISTORIQUE'!J1054</f>
        <v/>
      </c>
    </row>
    <row r="1052" ht="15.75" customHeight="1">
      <c r="A1052" s="25" t="str">
        <f>'VIX HISTORIQUE'!A1055</f>
        <v/>
      </c>
      <c r="B1052" s="22" t="str">
        <f>'VIX HISTORIQUE'!B1055</f>
        <v/>
      </c>
      <c r="C1052" s="22" t="str">
        <f>'VIX HISTORIQUE'!D1055</f>
        <v/>
      </c>
      <c r="D1052" s="22" t="str">
        <f>'VIX HISTORIQUE'!F1055</f>
        <v/>
      </c>
      <c r="E1052" s="22" t="str">
        <f>'VIX HISTORIQUE'!H1055</f>
        <v/>
      </c>
      <c r="F1052" s="22" t="str">
        <f>'VIX HISTORIQUE'!J1055</f>
        <v/>
      </c>
    </row>
    <row r="1053" ht="15.75" customHeight="1">
      <c r="A1053" s="25" t="str">
        <f>'VIX HISTORIQUE'!A1056</f>
        <v/>
      </c>
      <c r="B1053" s="22" t="str">
        <f>'VIX HISTORIQUE'!B1056</f>
        <v/>
      </c>
      <c r="C1053" s="22" t="str">
        <f>'VIX HISTORIQUE'!D1056</f>
        <v/>
      </c>
      <c r="D1053" s="22" t="str">
        <f>'VIX HISTORIQUE'!F1056</f>
        <v/>
      </c>
      <c r="E1053" s="22" t="str">
        <f>'VIX HISTORIQUE'!H1056</f>
        <v/>
      </c>
      <c r="F1053" s="22" t="str">
        <f>'VIX HISTORIQUE'!J1056</f>
        <v/>
      </c>
    </row>
    <row r="1054" ht="15.75" customHeight="1">
      <c r="A1054" s="25" t="str">
        <f>'VIX HISTORIQUE'!A1057</f>
        <v/>
      </c>
      <c r="B1054" s="22" t="str">
        <f>'VIX HISTORIQUE'!B1057</f>
        <v/>
      </c>
      <c r="C1054" s="22" t="str">
        <f>'VIX HISTORIQUE'!D1057</f>
        <v/>
      </c>
      <c r="D1054" s="22" t="str">
        <f>'VIX HISTORIQUE'!F1057</f>
        <v/>
      </c>
      <c r="E1054" s="22" t="str">
        <f>'VIX HISTORIQUE'!H1057</f>
        <v/>
      </c>
      <c r="F1054" s="22" t="str">
        <f>'VIX HISTORIQUE'!J1057</f>
        <v/>
      </c>
    </row>
    <row r="1055" ht="15.75" customHeight="1">
      <c r="A1055" s="25" t="str">
        <f>'VIX HISTORIQUE'!A1058</f>
        <v/>
      </c>
      <c r="B1055" s="22" t="str">
        <f>'VIX HISTORIQUE'!B1058</f>
        <v/>
      </c>
      <c r="C1055" s="22" t="str">
        <f>'VIX HISTORIQUE'!D1058</f>
        <v/>
      </c>
      <c r="D1055" s="22" t="str">
        <f>'VIX HISTORIQUE'!F1058</f>
        <v/>
      </c>
      <c r="E1055" s="22" t="str">
        <f>'VIX HISTORIQUE'!H1058</f>
        <v/>
      </c>
      <c r="F1055" s="22" t="str">
        <f>'VIX HISTORIQUE'!J1058</f>
        <v/>
      </c>
    </row>
    <row r="1056" ht="15.75" customHeight="1">
      <c r="A1056" s="25" t="str">
        <f>'VIX HISTORIQUE'!A1059</f>
        <v/>
      </c>
      <c r="B1056" s="22" t="str">
        <f>'VIX HISTORIQUE'!B1059</f>
        <v/>
      </c>
      <c r="C1056" s="22" t="str">
        <f>'VIX HISTORIQUE'!D1059</f>
        <v/>
      </c>
      <c r="D1056" s="22" t="str">
        <f>'VIX HISTORIQUE'!F1059</f>
        <v/>
      </c>
      <c r="E1056" s="22" t="str">
        <f>'VIX HISTORIQUE'!H1059</f>
        <v/>
      </c>
      <c r="F1056" s="22" t="str">
        <f>'VIX HISTORIQUE'!J1059</f>
        <v/>
      </c>
    </row>
    <row r="1057" ht="15.75" customHeight="1">
      <c r="A1057" s="25" t="str">
        <f>'VIX HISTORIQUE'!A1060</f>
        <v/>
      </c>
      <c r="B1057" s="22" t="str">
        <f>'VIX HISTORIQUE'!B1060</f>
        <v/>
      </c>
      <c r="C1057" s="22" t="str">
        <f>'VIX HISTORIQUE'!D1060</f>
        <v/>
      </c>
      <c r="D1057" s="22" t="str">
        <f>'VIX HISTORIQUE'!F1060</f>
        <v/>
      </c>
      <c r="E1057" s="22" t="str">
        <f>'VIX HISTORIQUE'!H1060</f>
        <v/>
      </c>
      <c r="F1057" s="22" t="str">
        <f>'VIX HISTORIQUE'!J1060</f>
        <v/>
      </c>
    </row>
    <row r="1058" ht="15.75" customHeight="1">
      <c r="A1058" s="25" t="str">
        <f>'VIX HISTORIQUE'!A1061</f>
        <v/>
      </c>
      <c r="B1058" s="22" t="str">
        <f>'VIX HISTORIQUE'!B1061</f>
        <v/>
      </c>
      <c r="C1058" s="22" t="str">
        <f>'VIX HISTORIQUE'!D1061</f>
        <v/>
      </c>
      <c r="D1058" s="22" t="str">
        <f>'VIX HISTORIQUE'!F1061</f>
        <v/>
      </c>
      <c r="E1058" s="22" t="str">
        <f>'VIX HISTORIQUE'!H1061</f>
        <v/>
      </c>
      <c r="F1058" s="22" t="str">
        <f>'VIX HISTORIQUE'!J1061</f>
        <v/>
      </c>
    </row>
    <row r="1059" ht="15.75" customHeight="1">
      <c r="A1059" s="25" t="str">
        <f>'VIX HISTORIQUE'!A1062</f>
        <v/>
      </c>
      <c r="B1059" s="22" t="str">
        <f>'VIX HISTORIQUE'!B1062</f>
        <v/>
      </c>
      <c r="C1059" s="22" t="str">
        <f>'VIX HISTORIQUE'!D1062</f>
        <v/>
      </c>
      <c r="D1059" s="22" t="str">
        <f>'VIX HISTORIQUE'!F1062</f>
        <v/>
      </c>
      <c r="E1059" s="22" t="str">
        <f>'VIX HISTORIQUE'!H1062</f>
        <v/>
      </c>
      <c r="F1059" s="22" t="str">
        <f>'VIX HISTORIQUE'!J1062</f>
        <v/>
      </c>
    </row>
    <row r="1060" ht="15.75" customHeight="1">
      <c r="A1060" s="25" t="str">
        <f>'VIX HISTORIQUE'!A1063</f>
        <v/>
      </c>
      <c r="B1060" s="22" t="str">
        <f>'VIX HISTORIQUE'!B1063</f>
        <v/>
      </c>
      <c r="C1060" s="22" t="str">
        <f>'VIX HISTORIQUE'!D1063</f>
        <v/>
      </c>
      <c r="D1060" s="22" t="str">
        <f>'VIX HISTORIQUE'!F1063</f>
        <v/>
      </c>
      <c r="E1060" s="22" t="str">
        <f>'VIX HISTORIQUE'!H1063</f>
        <v/>
      </c>
      <c r="F1060" s="22" t="str">
        <f>'VIX HISTORIQUE'!J1063</f>
        <v/>
      </c>
    </row>
    <row r="1061" ht="15.75" customHeight="1">
      <c r="A1061" s="25" t="str">
        <f>'VIX HISTORIQUE'!A1064</f>
        <v/>
      </c>
      <c r="B1061" s="22" t="str">
        <f>'VIX HISTORIQUE'!B1064</f>
        <v/>
      </c>
      <c r="C1061" s="22" t="str">
        <f>'VIX HISTORIQUE'!D1064</f>
        <v/>
      </c>
      <c r="D1061" s="22" t="str">
        <f>'VIX HISTORIQUE'!F1064</f>
        <v/>
      </c>
      <c r="E1061" s="22" t="str">
        <f>'VIX HISTORIQUE'!H1064</f>
        <v/>
      </c>
      <c r="F1061" s="22" t="str">
        <f>'VIX HISTORIQUE'!J1064</f>
        <v/>
      </c>
    </row>
    <row r="1062" ht="15.75" customHeight="1">
      <c r="A1062" s="25" t="str">
        <f>'VIX HISTORIQUE'!A1065</f>
        <v/>
      </c>
      <c r="B1062" s="22" t="str">
        <f>'VIX HISTORIQUE'!B1065</f>
        <v/>
      </c>
      <c r="C1062" s="22" t="str">
        <f>'VIX HISTORIQUE'!D1065</f>
        <v/>
      </c>
      <c r="D1062" s="22" t="str">
        <f>'VIX HISTORIQUE'!F1065</f>
        <v/>
      </c>
      <c r="E1062" s="22" t="str">
        <f>'VIX HISTORIQUE'!H1065</f>
        <v/>
      </c>
      <c r="F1062" s="22" t="str">
        <f>'VIX HISTORIQUE'!J1065</f>
        <v/>
      </c>
    </row>
    <row r="1063" ht="15.75" customHeight="1">
      <c r="A1063" s="25" t="str">
        <f>'VIX HISTORIQUE'!A1066</f>
        <v/>
      </c>
      <c r="B1063" s="22" t="str">
        <f>'VIX HISTORIQUE'!B1066</f>
        <v/>
      </c>
      <c r="C1063" s="22" t="str">
        <f>'VIX HISTORIQUE'!D1066</f>
        <v/>
      </c>
      <c r="D1063" s="22" t="str">
        <f>'VIX HISTORIQUE'!F1066</f>
        <v/>
      </c>
      <c r="E1063" s="22" t="str">
        <f>'VIX HISTORIQUE'!H1066</f>
        <v/>
      </c>
      <c r="F1063" s="22" t="str">
        <f>'VIX HISTORIQUE'!J1066</f>
        <v/>
      </c>
    </row>
    <row r="1064" ht="15.75" customHeight="1">
      <c r="A1064" s="25" t="str">
        <f>'VIX HISTORIQUE'!A1067</f>
        <v/>
      </c>
      <c r="B1064" s="22" t="str">
        <f>'VIX HISTORIQUE'!B1067</f>
        <v/>
      </c>
      <c r="C1064" s="22" t="str">
        <f>'VIX HISTORIQUE'!D1067</f>
        <v/>
      </c>
      <c r="D1064" s="22" t="str">
        <f>'VIX HISTORIQUE'!F1067</f>
        <v/>
      </c>
      <c r="E1064" s="22" t="str">
        <f>'VIX HISTORIQUE'!H1067</f>
        <v/>
      </c>
      <c r="F1064" s="22" t="str">
        <f>'VIX HISTORIQUE'!J1067</f>
        <v/>
      </c>
    </row>
    <row r="1065" ht="15.75" customHeight="1">
      <c r="A1065" s="25" t="str">
        <f>'VIX HISTORIQUE'!A1068</f>
        <v/>
      </c>
      <c r="B1065" s="22" t="str">
        <f>'VIX HISTORIQUE'!B1068</f>
        <v/>
      </c>
      <c r="C1065" s="22" t="str">
        <f>'VIX HISTORIQUE'!D1068</f>
        <v/>
      </c>
      <c r="D1065" s="22" t="str">
        <f>'VIX HISTORIQUE'!F1068</f>
        <v/>
      </c>
      <c r="E1065" s="22" t="str">
        <f>'VIX HISTORIQUE'!H1068</f>
        <v/>
      </c>
      <c r="F1065" s="22" t="str">
        <f>'VIX HISTORIQUE'!J1068</f>
        <v/>
      </c>
    </row>
    <row r="1066" ht="15.75" customHeight="1">
      <c r="A1066" s="25" t="str">
        <f>'VIX HISTORIQUE'!A1069</f>
        <v/>
      </c>
      <c r="B1066" s="22" t="str">
        <f>'VIX HISTORIQUE'!B1069</f>
        <v/>
      </c>
      <c r="C1066" s="22" t="str">
        <f>'VIX HISTORIQUE'!D1069</f>
        <v/>
      </c>
      <c r="D1066" s="22" t="str">
        <f>'VIX HISTORIQUE'!F1069</f>
        <v/>
      </c>
      <c r="E1066" s="22" t="str">
        <f>'VIX HISTORIQUE'!H1069</f>
        <v/>
      </c>
      <c r="F1066" s="22" t="str">
        <f>'VIX HISTORIQUE'!J1069</f>
        <v/>
      </c>
    </row>
    <row r="1067" ht="15.75" customHeight="1">
      <c r="A1067" s="25" t="str">
        <f>'VIX HISTORIQUE'!A1070</f>
        <v/>
      </c>
      <c r="B1067" s="22" t="str">
        <f>'VIX HISTORIQUE'!B1070</f>
        <v/>
      </c>
      <c r="C1067" s="22" t="str">
        <f>'VIX HISTORIQUE'!D1070</f>
        <v/>
      </c>
      <c r="D1067" s="22" t="str">
        <f>'VIX HISTORIQUE'!F1070</f>
        <v/>
      </c>
      <c r="E1067" s="22" t="str">
        <f>'VIX HISTORIQUE'!H1070</f>
        <v/>
      </c>
      <c r="F1067" s="22" t="str">
        <f>'VIX HISTORIQUE'!J1070</f>
        <v/>
      </c>
    </row>
    <row r="1068" ht="15.75" customHeight="1">
      <c r="A1068" s="25" t="str">
        <f>'VIX HISTORIQUE'!A1071</f>
        <v/>
      </c>
      <c r="B1068" s="22" t="str">
        <f>'VIX HISTORIQUE'!B1071</f>
        <v/>
      </c>
      <c r="C1068" s="22" t="str">
        <f>'VIX HISTORIQUE'!D1071</f>
        <v/>
      </c>
      <c r="D1068" s="22" t="str">
        <f>'VIX HISTORIQUE'!F1071</f>
        <v/>
      </c>
      <c r="E1068" s="22" t="str">
        <f>'VIX HISTORIQUE'!H1071</f>
        <v/>
      </c>
      <c r="F1068" s="22" t="str">
        <f>'VIX HISTORIQUE'!J1071</f>
        <v/>
      </c>
    </row>
    <row r="1069" ht="15.75" customHeight="1">
      <c r="A1069" s="25" t="str">
        <f>'VIX HISTORIQUE'!A1072</f>
        <v/>
      </c>
      <c r="B1069" s="22" t="str">
        <f>'VIX HISTORIQUE'!B1072</f>
        <v/>
      </c>
      <c r="C1069" s="22" t="str">
        <f>'VIX HISTORIQUE'!D1072</f>
        <v/>
      </c>
      <c r="D1069" s="22" t="str">
        <f>'VIX HISTORIQUE'!F1072</f>
        <v/>
      </c>
      <c r="E1069" s="22" t="str">
        <f>'VIX HISTORIQUE'!H1072</f>
        <v/>
      </c>
      <c r="F1069" s="22" t="str">
        <f>'VIX HISTORIQUE'!J1072</f>
        <v/>
      </c>
    </row>
    <row r="1070" ht="15.75" customHeight="1">
      <c r="A1070" s="25" t="str">
        <f>'VIX HISTORIQUE'!A1073</f>
        <v/>
      </c>
      <c r="B1070" s="22" t="str">
        <f>'VIX HISTORIQUE'!B1073</f>
        <v/>
      </c>
      <c r="C1070" s="22" t="str">
        <f>'VIX HISTORIQUE'!D1073</f>
        <v/>
      </c>
      <c r="D1070" s="22" t="str">
        <f>'VIX HISTORIQUE'!F1073</f>
        <v/>
      </c>
      <c r="E1070" s="22" t="str">
        <f>'VIX HISTORIQUE'!H1073</f>
        <v/>
      </c>
      <c r="F1070" s="22" t="str">
        <f>'VIX HISTORIQUE'!J1073</f>
        <v/>
      </c>
    </row>
    <row r="1071" ht="15.75" customHeight="1">
      <c r="A1071" s="25" t="str">
        <f>'VIX HISTORIQUE'!A1074</f>
        <v/>
      </c>
      <c r="B1071" s="22" t="str">
        <f>'VIX HISTORIQUE'!B1074</f>
        <v/>
      </c>
      <c r="C1071" s="22" t="str">
        <f>'VIX HISTORIQUE'!D1074</f>
        <v/>
      </c>
      <c r="D1071" s="22" t="str">
        <f>'VIX HISTORIQUE'!F1074</f>
        <v/>
      </c>
      <c r="E1071" s="22" t="str">
        <f>'VIX HISTORIQUE'!H1074</f>
        <v/>
      </c>
      <c r="F1071" s="22" t="str">
        <f>'VIX HISTORIQUE'!J1074</f>
        <v/>
      </c>
    </row>
    <row r="1072" ht="15.75" customHeight="1">
      <c r="A1072" s="25" t="str">
        <f>'VIX HISTORIQUE'!A1075</f>
        <v/>
      </c>
      <c r="B1072" s="22" t="str">
        <f>'VIX HISTORIQUE'!B1075</f>
        <v/>
      </c>
      <c r="C1072" s="22" t="str">
        <f>'VIX HISTORIQUE'!D1075</f>
        <v/>
      </c>
      <c r="D1072" s="22" t="str">
        <f>'VIX HISTORIQUE'!F1075</f>
        <v/>
      </c>
      <c r="E1072" s="22" t="str">
        <f>'VIX HISTORIQUE'!H1075</f>
        <v/>
      </c>
      <c r="F1072" s="22" t="str">
        <f>'VIX HISTORIQUE'!J1075</f>
        <v/>
      </c>
    </row>
    <row r="1073" ht="15.75" customHeight="1">
      <c r="A1073" s="25" t="str">
        <f>'VIX HISTORIQUE'!A1076</f>
        <v/>
      </c>
      <c r="B1073" s="22" t="str">
        <f>'VIX HISTORIQUE'!B1076</f>
        <v/>
      </c>
      <c r="C1073" s="22" t="str">
        <f>'VIX HISTORIQUE'!D1076</f>
        <v/>
      </c>
      <c r="D1073" s="22" t="str">
        <f>'VIX HISTORIQUE'!F1076</f>
        <v/>
      </c>
      <c r="E1073" s="22" t="str">
        <f>'VIX HISTORIQUE'!H1076</f>
        <v/>
      </c>
      <c r="F1073" s="22" t="str">
        <f>'VIX HISTORIQUE'!J1076</f>
        <v/>
      </c>
    </row>
    <row r="1074" ht="15.75" customHeight="1">
      <c r="A1074" s="25" t="str">
        <f>'VIX HISTORIQUE'!A1077</f>
        <v/>
      </c>
      <c r="B1074" s="22" t="str">
        <f>'VIX HISTORIQUE'!B1077</f>
        <v/>
      </c>
      <c r="C1074" s="22" t="str">
        <f>'VIX HISTORIQUE'!D1077</f>
        <v/>
      </c>
      <c r="D1074" s="22" t="str">
        <f>'VIX HISTORIQUE'!F1077</f>
        <v/>
      </c>
      <c r="E1074" s="22" t="str">
        <f>'VIX HISTORIQUE'!H1077</f>
        <v/>
      </c>
      <c r="F1074" s="22" t="str">
        <f>'VIX HISTORIQUE'!J1077</f>
        <v/>
      </c>
    </row>
    <row r="1075" ht="15.75" customHeight="1">
      <c r="A1075" s="25" t="str">
        <f>'VIX HISTORIQUE'!A1078</f>
        <v/>
      </c>
      <c r="B1075" s="22" t="str">
        <f>'VIX HISTORIQUE'!B1078</f>
        <v/>
      </c>
      <c r="C1075" s="22" t="str">
        <f>'VIX HISTORIQUE'!D1078</f>
        <v/>
      </c>
      <c r="D1075" s="22" t="str">
        <f>'VIX HISTORIQUE'!F1078</f>
        <v/>
      </c>
      <c r="E1075" s="22" t="str">
        <f>'VIX HISTORIQUE'!H1078</f>
        <v/>
      </c>
      <c r="F1075" s="22" t="str">
        <f>'VIX HISTORIQUE'!J1078</f>
        <v/>
      </c>
    </row>
    <row r="1076" ht="15.75" customHeight="1">
      <c r="A1076" s="25" t="str">
        <f>'VIX HISTORIQUE'!A1079</f>
        <v/>
      </c>
      <c r="B1076" s="22" t="str">
        <f>'VIX HISTORIQUE'!B1079</f>
        <v/>
      </c>
      <c r="C1076" s="22" t="str">
        <f>'VIX HISTORIQUE'!D1079</f>
        <v/>
      </c>
      <c r="D1076" s="22" t="str">
        <f>'VIX HISTORIQUE'!F1079</f>
        <v/>
      </c>
      <c r="E1076" s="22" t="str">
        <f>'VIX HISTORIQUE'!H1079</f>
        <v/>
      </c>
      <c r="F1076" s="22" t="str">
        <f>'VIX HISTORIQUE'!J1079</f>
        <v/>
      </c>
    </row>
    <row r="1077" ht="15.75" customHeight="1">
      <c r="A1077" s="25" t="str">
        <f>'VIX HISTORIQUE'!A1080</f>
        <v/>
      </c>
      <c r="B1077" s="22" t="str">
        <f>'VIX HISTORIQUE'!B1080</f>
        <v/>
      </c>
      <c r="C1077" s="22" t="str">
        <f>'VIX HISTORIQUE'!D1080</f>
        <v/>
      </c>
      <c r="D1077" s="22" t="str">
        <f>'VIX HISTORIQUE'!F1080</f>
        <v/>
      </c>
      <c r="E1077" s="22" t="str">
        <f>'VIX HISTORIQUE'!H1080</f>
        <v/>
      </c>
      <c r="F1077" s="22" t="str">
        <f>'VIX HISTORIQUE'!J1080</f>
        <v/>
      </c>
    </row>
    <row r="1078" ht="15.75" customHeight="1">
      <c r="A1078" s="25" t="str">
        <f>'VIX HISTORIQUE'!A1081</f>
        <v/>
      </c>
      <c r="B1078" s="22" t="str">
        <f>'VIX HISTORIQUE'!B1081</f>
        <v/>
      </c>
      <c r="C1078" s="22" t="str">
        <f>'VIX HISTORIQUE'!D1081</f>
        <v/>
      </c>
      <c r="D1078" s="22" t="str">
        <f>'VIX HISTORIQUE'!F1081</f>
        <v/>
      </c>
      <c r="E1078" s="22" t="str">
        <f>'VIX HISTORIQUE'!H1081</f>
        <v/>
      </c>
      <c r="F1078" s="22" t="str">
        <f>'VIX HISTORIQUE'!J1081</f>
        <v/>
      </c>
    </row>
    <row r="1079" ht="15.75" customHeight="1">
      <c r="A1079" s="25" t="str">
        <f>'VIX HISTORIQUE'!A1082</f>
        <v/>
      </c>
      <c r="B1079" s="22" t="str">
        <f>'VIX HISTORIQUE'!B1082</f>
        <v/>
      </c>
      <c r="C1079" s="22" t="str">
        <f>'VIX HISTORIQUE'!D1082</f>
        <v/>
      </c>
      <c r="D1079" s="22" t="str">
        <f>'VIX HISTORIQUE'!F1082</f>
        <v/>
      </c>
      <c r="E1079" s="22" t="str">
        <f>'VIX HISTORIQUE'!H1082</f>
        <v/>
      </c>
      <c r="F1079" s="22" t="str">
        <f>'VIX HISTORIQUE'!J1082</f>
        <v/>
      </c>
    </row>
    <row r="1080" ht="15.75" customHeight="1">
      <c r="A1080" s="25" t="str">
        <f>'VIX HISTORIQUE'!A1083</f>
        <v/>
      </c>
      <c r="B1080" s="22" t="str">
        <f>'VIX HISTORIQUE'!B1083</f>
        <v/>
      </c>
      <c r="C1080" s="22" t="str">
        <f>'VIX HISTORIQUE'!D1083</f>
        <v/>
      </c>
      <c r="D1080" s="22" t="str">
        <f>'VIX HISTORIQUE'!F1083</f>
        <v/>
      </c>
      <c r="E1080" s="22" t="str">
        <f>'VIX HISTORIQUE'!H1083</f>
        <v/>
      </c>
      <c r="F1080" s="22" t="str">
        <f>'VIX HISTORIQUE'!J1083</f>
        <v/>
      </c>
    </row>
    <row r="1081" ht="15.75" customHeight="1">
      <c r="A1081" s="25" t="str">
        <f>'VIX HISTORIQUE'!A1084</f>
        <v/>
      </c>
      <c r="B1081" s="22" t="str">
        <f>'VIX HISTORIQUE'!B1084</f>
        <v/>
      </c>
      <c r="C1081" s="22" t="str">
        <f>'VIX HISTORIQUE'!D1084</f>
        <v/>
      </c>
      <c r="D1081" s="22" t="str">
        <f>'VIX HISTORIQUE'!F1084</f>
        <v/>
      </c>
      <c r="E1081" s="22" t="str">
        <f>'VIX HISTORIQUE'!H1084</f>
        <v/>
      </c>
      <c r="F1081" s="22" t="str">
        <f>'VIX HISTORIQUE'!J1084</f>
        <v/>
      </c>
    </row>
    <row r="1082" ht="15.75" customHeight="1">
      <c r="A1082" s="25" t="str">
        <f>'VIX HISTORIQUE'!A1085</f>
        <v/>
      </c>
      <c r="B1082" s="22" t="str">
        <f>'VIX HISTORIQUE'!B1085</f>
        <v/>
      </c>
      <c r="C1082" s="22" t="str">
        <f>'VIX HISTORIQUE'!D1085</f>
        <v/>
      </c>
      <c r="D1082" s="22" t="str">
        <f>'VIX HISTORIQUE'!F1085</f>
        <v/>
      </c>
      <c r="E1082" s="22" t="str">
        <f>'VIX HISTORIQUE'!H1085</f>
        <v/>
      </c>
      <c r="F1082" s="22" t="str">
        <f>'VIX HISTORIQUE'!J1085</f>
        <v/>
      </c>
    </row>
    <row r="1083" ht="15.75" customHeight="1">
      <c r="A1083" s="25" t="str">
        <f>'VIX HISTORIQUE'!A1086</f>
        <v/>
      </c>
      <c r="B1083" s="22" t="str">
        <f>'VIX HISTORIQUE'!B1086</f>
        <v/>
      </c>
      <c r="C1083" s="22" t="str">
        <f>'VIX HISTORIQUE'!D1086</f>
        <v/>
      </c>
      <c r="D1083" s="22" t="str">
        <f>'VIX HISTORIQUE'!F1086</f>
        <v/>
      </c>
      <c r="E1083" s="22" t="str">
        <f>'VIX HISTORIQUE'!H1086</f>
        <v/>
      </c>
      <c r="F1083" s="22" t="str">
        <f>'VIX HISTORIQUE'!J1086</f>
        <v/>
      </c>
    </row>
    <row r="1084" ht="15.75" customHeight="1">
      <c r="A1084" s="25" t="str">
        <f>'VIX HISTORIQUE'!A1087</f>
        <v/>
      </c>
      <c r="B1084" s="22" t="str">
        <f>'VIX HISTORIQUE'!B1087</f>
        <v/>
      </c>
      <c r="C1084" s="22" t="str">
        <f>'VIX HISTORIQUE'!D1087</f>
        <v/>
      </c>
      <c r="D1084" s="22" t="str">
        <f>'VIX HISTORIQUE'!F1087</f>
        <v/>
      </c>
      <c r="E1084" s="22" t="str">
        <f>'VIX HISTORIQUE'!H1087</f>
        <v/>
      </c>
      <c r="F1084" s="22" t="str">
        <f>'VIX HISTORIQUE'!J1087</f>
        <v/>
      </c>
    </row>
    <row r="1085" ht="15.75" customHeight="1">
      <c r="A1085" s="25" t="str">
        <f>'VIX HISTORIQUE'!A1088</f>
        <v/>
      </c>
      <c r="B1085" s="22" t="str">
        <f>'VIX HISTORIQUE'!B1088</f>
        <v/>
      </c>
      <c r="C1085" s="22" t="str">
        <f>'VIX HISTORIQUE'!D1088</f>
        <v/>
      </c>
      <c r="D1085" s="22" t="str">
        <f>'VIX HISTORIQUE'!F1088</f>
        <v/>
      </c>
      <c r="E1085" s="22" t="str">
        <f>'VIX HISTORIQUE'!H1088</f>
        <v/>
      </c>
      <c r="F1085" s="22" t="str">
        <f>'VIX HISTORIQUE'!J1088</f>
        <v/>
      </c>
    </row>
    <row r="1086" ht="15.75" customHeight="1">
      <c r="A1086" s="25" t="str">
        <f>'VIX HISTORIQUE'!A1089</f>
        <v/>
      </c>
      <c r="B1086" s="22" t="str">
        <f>'VIX HISTORIQUE'!B1089</f>
        <v/>
      </c>
      <c r="C1086" s="22" t="str">
        <f>'VIX HISTORIQUE'!D1089</f>
        <v/>
      </c>
      <c r="D1086" s="22" t="str">
        <f>'VIX HISTORIQUE'!F1089</f>
        <v/>
      </c>
      <c r="E1086" s="22" t="str">
        <f>'VIX HISTORIQUE'!H1089</f>
        <v/>
      </c>
      <c r="F1086" s="22" t="str">
        <f>'VIX HISTORIQUE'!J1089</f>
        <v/>
      </c>
    </row>
    <row r="1087" ht="15.75" customHeight="1">
      <c r="A1087" s="25" t="str">
        <f>'VIX HISTORIQUE'!A1090</f>
        <v/>
      </c>
      <c r="B1087" s="22" t="str">
        <f>'VIX HISTORIQUE'!B1090</f>
        <v/>
      </c>
      <c r="C1087" s="22" t="str">
        <f>'VIX HISTORIQUE'!D1090</f>
        <v/>
      </c>
      <c r="D1087" s="22" t="str">
        <f>'VIX HISTORIQUE'!F1090</f>
        <v/>
      </c>
      <c r="E1087" s="22" t="str">
        <f>'VIX HISTORIQUE'!H1090</f>
        <v/>
      </c>
      <c r="F1087" s="22" t="str">
        <f>'VIX HISTORIQUE'!J1090</f>
        <v/>
      </c>
    </row>
    <row r="1088" ht="15.75" customHeight="1">
      <c r="A1088" s="25" t="str">
        <f>'VIX HISTORIQUE'!A1091</f>
        <v/>
      </c>
      <c r="B1088" s="22" t="str">
        <f>'VIX HISTORIQUE'!B1091</f>
        <v/>
      </c>
      <c r="C1088" s="22" t="str">
        <f>'VIX HISTORIQUE'!D1091</f>
        <v/>
      </c>
      <c r="D1088" s="22" t="str">
        <f>'VIX HISTORIQUE'!F1091</f>
        <v/>
      </c>
      <c r="E1088" s="22" t="str">
        <f>'VIX HISTORIQUE'!H1091</f>
        <v/>
      </c>
      <c r="F1088" s="22" t="str">
        <f>'VIX HISTORIQUE'!J1091</f>
        <v/>
      </c>
    </row>
    <row r="1089" ht="15.75" customHeight="1">
      <c r="A1089" s="25" t="str">
        <f>'VIX HISTORIQUE'!A1092</f>
        <v/>
      </c>
      <c r="B1089" s="22" t="str">
        <f>'VIX HISTORIQUE'!B1092</f>
        <v/>
      </c>
      <c r="C1089" s="22" t="str">
        <f>'VIX HISTORIQUE'!D1092</f>
        <v/>
      </c>
      <c r="D1089" s="22" t="str">
        <f>'VIX HISTORIQUE'!F1092</f>
        <v/>
      </c>
      <c r="E1089" s="22" t="str">
        <f>'VIX HISTORIQUE'!H1092</f>
        <v/>
      </c>
      <c r="F1089" s="22" t="str">
        <f>'VIX HISTORIQUE'!J1092</f>
        <v/>
      </c>
    </row>
    <row r="1090" ht="15.75" customHeight="1">
      <c r="A1090" s="25" t="str">
        <f>'VIX HISTORIQUE'!A1093</f>
        <v/>
      </c>
      <c r="B1090" s="22" t="str">
        <f>'VIX HISTORIQUE'!B1093</f>
        <v/>
      </c>
      <c r="C1090" s="22" t="str">
        <f>'VIX HISTORIQUE'!D1093</f>
        <v/>
      </c>
      <c r="D1090" s="22" t="str">
        <f>'VIX HISTORIQUE'!F1093</f>
        <v/>
      </c>
      <c r="E1090" s="22" t="str">
        <f>'VIX HISTORIQUE'!H1093</f>
        <v/>
      </c>
      <c r="F1090" s="22" t="str">
        <f>'VIX HISTORIQUE'!J1093</f>
        <v/>
      </c>
    </row>
    <row r="1091" ht="15.75" customHeight="1">
      <c r="A1091" s="25" t="str">
        <f>'VIX HISTORIQUE'!A1094</f>
        <v/>
      </c>
      <c r="B1091" s="22" t="str">
        <f>'VIX HISTORIQUE'!B1094</f>
        <v/>
      </c>
      <c r="C1091" s="22" t="str">
        <f>'VIX HISTORIQUE'!D1094</f>
        <v/>
      </c>
      <c r="D1091" s="22" t="str">
        <f>'VIX HISTORIQUE'!F1094</f>
        <v/>
      </c>
      <c r="E1091" s="22" t="str">
        <f>'VIX HISTORIQUE'!H1094</f>
        <v/>
      </c>
      <c r="F1091" s="22" t="str">
        <f>'VIX HISTORIQUE'!J1094</f>
        <v/>
      </c>
    </row>
    <row r="1092" ht="15.75" customHeight="1">
      <c r="A1092" s="25" t="str">
        <f>'VIX HISTORIQUE'!A1095</f>
        <v/>
      </c>
      <c r="B1092" s="22" t="str">
        <f>'VIX HISTORIQUE'!B1095</f>
        <v/>
      </c>
      <c r="C1092" s="22" t="str">
        <f>'VIX HISTORIQUE'!D1095</f>
        <v/>
      </c>
      <c r="D1092" s="22" t="str">
        <f>'VIX HISTORIQUE'!F1095</f>
        <v/>
      </c>
      <c r="E1092" s="22" t="str">
        <f>'VIX HISTORIQUE'!H1095</f>
        <v/>
      </c>
      <c r="F1092" s="22" t="str">
        <f>'VIX HISTORIQUE'!J1095</f>
        <v/>
      </c>
    </row>
    <row r="1093" ht="15.75" customHeight="1">
      <c r="A1093" s="25" t="str">
        <f>'VIX HISTORIQUE'!A1096</f>
        <v/>
      </c>
      <c r="B1093" s="22" t="str">
        <f>'VIX HISTORIQUE'!B1096</f>
        <v/>
      </c>
      <c r="C1093" s="22" t="str">
        <f>'VIX HISTORIQUE'!D1096</f>
        <v/>
      </c>
      <c r="D1093" s="22" t="str">
        <f>'VIX HISTORIQUE'!F1096</f>
        <v/>
      </c>
      <c r="E1093" s="22" t="str">
        <f>'VIX HISTORIQUE'!H1096</f>
        <v/>
      </c>
      <c r="F1093" s="22" t="str">
        <f>'VIX HISTORIQUE'!J1096</f>
        <v/>
      </c>
    </row>
    <row r="1094" ht="15.75" customHeight="1">
      <c r="A1094" s="25" t="str">
        <f>'VIX HISTORIQUE'!A1097</f>
        <v/>
      </c>
      <c r="B1094" s="22" t="str">
        <f>'VIX HISTORIQUE'!B1097</f>
        <v/>
      </c>
      <c r="C1094" s="22" t="str">
        <f>'VIX HISTORIQUE'!D1097</f>
        <v/>
      </c>
      <c r="D1094" s="22" t="str">
        <f>'VIX HISTORIQUE'!F1097</f>
        <v/>
      </c>
      <c r="E1094" s="22" t="str">
        <f>'VIX HISTORIQUE'!H1097</f>
        <v/>
      </c>
      <c r="F1094" s="22" t="str">
        <f>'VIX HISTORIQUE'!J1097</f>
        <v/>
      </c>
    </row>
    <row r="1095" ht="15.75" customHeight="1">
      <c r="A1095" s="25" t="str">
        <f>'VIX HISTORIQUE'!A1098</f>
        <v/>
      </c>
      <c r="B1095" s="22" t="str">
        <f>'VIX HISTORIQUE'!B1098</f>
        <v/>
      </c>
      <c r="C1095" s="22" t="str">
        <f>'VIX HISTORIQUE'!D1098</f>
        <v/>
      </c>
      <c r="D1095" s="22" t="str">
        <f>'VIX HISTORIQUE'!F1098</f>
        <v/>
      </c>
      <c r="E1095" s="22" t="str">
        <f>'VIX HISTORIQUE'!H1098</f>
        <v/>
      </c>
      <c r="F1095" s="22" t="str">
        <f>'VIX HISTORIQUE'!J1098</f>
        <v/>
      </c>
    </row>
    <row r="1096" ht="15.75" customHeight="1">
      <c r="A1096" s="25" t="str">
        <f>'VIX HISTORIQUE'!A1099</f>
        <v/>
      </c>
      <c r="B1096" s="22" t="str">
        <f>'VIX HISTORIQUE'!B1099</f>
        <v/>
      </c>
      <c r="C1096" s="22" t="str">
        <f>'VIX HISTORIQUE'!D1099</f>
        <v/>
      </c>
      <c r="D1096" s="22" t="str">
        <f>'VIX HISTORIQUE'!F1099</f>
        <v/>
      </c>
      <c r="E1096" s="22" t="str">
        <f>'VIX HISTORIQUE'!H1099</f>
        <v/>
      </c>
      <c r="F1096" s="22" t="str">
        <f>'VIX HISTORIQUE'!J1099</f>
        <v/>
      </c>
    </row>
    <row r="1097" ht="15.75" customHeight="1">
      <c r="A1097" s="25" t="str">
        <f>'VIX HISTORIQUE'!A1100</f>
        <v/>
      </c>
      <c r="B1097" s="22" t="str">
        <f>'VIX HISTORIQUE'!B1100</f>
        <v/>
      </c>
      <c r="C1097" s="22" t="str">
        <f>'VIX HISTORIQUE'!D1100</f>
        <v/>
      </c>
      <c r="D1097" s="22" t="str">
        <f>'VIX HISTORIQUE'!F1100</f>
        <v/>
      </c>
      <c r="E1097" s="22" t="str">
        <f>'VIX HISTORIQUE'!H1100</f>
        <v/>
      </c>
      <c r="F1097" s="22" t="str">
        <f>'VIX HISTORIQUE'!J1100</f>
        <v/>
      </c>
    </row>
    <row r="1098" ht="15.75" customHeight="1">
      <c r="A1098" s="25" t="str">
        <f>'VIX HISTORIQUE'!A1101</f>
        <v/>
      </c>
      <c r="B1098" s="22" t="str">
        <f>'VIX HISTORIQUE'!B1101</f>
        <v/>
      </c>
      <c r="C1098" s="22" t="str">
        <f>'VIX HISTORIQUE'!D1101</f>
        <v/>
      </c>
      <c r="D1098" s="22" t="str">
        <f>'VIX HISTORIQUE'!F1101</f>
        <v/>
      </c>
      <c r="E1098" s="22" t="str">
        <f>'VIX HISTORIQUE'!H1101</f>
        <v/>
      </c>
      <c r="F1098" s="22" t="str">
        <f>'VIX HISTORIQUE'!J1101</f>
        <v/>
      </c>
    </row>
    <row r="1099" ht="15.75" customHeight="1">
      <c r="A1099" s="25" t="str">
        <f>'VIX HISTORIQUE'!A1102</f>
        <v/>
      </c>
      <c r="B1099" s="22" t="str">
        <f>'VIX HISTORIQUE'!B1102</f>
        <v/>
      </c>
      <c r="C1099" s="22" t="str">
        <f>'VIX HISTORIQUE'!D1102</f>
        <v/>
      </c>
      <c r="D1099" s="22" t="str">
        <f>'VIX HISTORIQUE'!F1102</f>
        <v/>
      </c>
      <c r="E1099" s="22" t="str">
        <f>'VIX HISTORIQUE'!H1102</f>
        <v/>
      </c>
      <c r="F1099" s="22" t="str">
        <f>'VIX HISTORIQUE'!J1102</f>
        <v/>
      </c>
    </row>
    <row r="1100" ht="15.75" customHeight="1">
      <c r="A1100" s="25" t="str">
        <f>'VIX HISTORIQUE'!A1103</f>
        <v/>
      </c>
      <c r="B1100" s="22" t="str">
        <f>'VIX HISTORIQUE'!B1103</f>
        <v/>
      </c>
      <c r="C1100" s="22" t="str">
        <f>'VIX HISTORIQUE'!D1103</f>
        <v/>
      </c>
      <c r="D1100" s="22" t="str">
        <f>'VIX HISTORIQUE'!F1103</f>
        <v/>
      </c>
      <c r="E1100" s="22" t="str">
        <f>'VIX HISTORIQUE'!H1103</f>
        <v/>
      </c>
      <c r="F1100" s="22" t="str">
        <f>'VIX HISTORIQUE'!J1103</f>
        <v/>
      </c>
    </row>
    <row r="1101" ht="15.75" customHeight="1">
      <c r="A1101" s="25" t="str">
        <f>'VIX HISTORIQUE'!A1104</f>
        <v/>
      </c>
      <c r="B1101" s="22" t="str">
        <f>'VIX HISTORIQUE'!B1104</f>
        <v/>
      </c>
      <c r="C1101" s="22" t="str">
        <f>'VIX HISTORIQUE'!D1104</f>
        <v/>
      </c>
      <c r="D1101" s="22" t="str">
        <f>'VIX HISTORIQUE'!F1104</f>
        <v/>
      </c>
      <c r="E1101" s="22" t="str">
        <f>'VIX HISTORIQUE'!H1104</f>
        <v/>
      </c>
      <c r="F1101" s="22" t="str">
        <f>'VIX HISTORIQUE'!J1104</f>
        <v/>
      </c>
    </row>
    <row r="1102" ht="15.75" customHeight="1">
      <c r="A1102" s="25" t="str">
        <f>'VIX HISTORIQUE'!A1105</f>
        <v/>
      </c>
      <c r="B1102" s="22" t="str">
        <f>'VIX HISTORIQUE'!B1105</f>
        <v/>
      </c>
      <c r="C1102" s="22" t="str">
        <f>'VIX HISTORIQUE'!D1105</f>
        <v/>
      </c>
      <c r="D1102" s="22" t="str">
        <f>'VIX HISTORIQUE'!F1105</f>
        <v/>
      </c>
      <c r="E1102" s="22" t="str">
        <f>'VIX HISTORIQUE'!H1105</f>
        <v/>
      </c>
      <c r="F1102" s="22" t="str">
        <f>'VIX HISTORIQUE'!J1105</f>
        <v/>
      </c>
    </row>
    <row r="1103" ht="15.75" customHeight="1">
      <c r="A1103" s="25" t="str">
        <f>'VIX HISTORIQUE'!A1106</f>
        <v/>
      </c>
      <c r="B1103" s="22" t="str">
        <f>'VIX HISTORIQUE'!B1106</f>
        <v/>
      </c>
      <c r="C1103" s="22" t="str">
        <f>'VIX HISTORIQUE'!D1106</f>
        <v/>
      </c>
      <c r="D1103" s="22" t="str">
        <f>'VIX HISTORIQUE'!F1106</f>
        <v/>
      </c>
      <c r="E1103" s="22" t="str">
        <f>'VIX HISTORIQUE'!H1106</f>
        <v/>
      </c>
      <c r="F1103" s="22" t="str">
        <f>'VIX HISTORIQUE'!J1106</f>
        <v/>
      </c>
    </row>
    <row r="1104" ht="15.75" customHeight="1">
      <c r="A1104" s="25" t="str">
        <f>'VIX HISTORIQUE'!A1107</f>
        <v/>
      </c>
      <c r="B1104" s="22" t="str">
        <f>'VIX HISTORIQUE'!B1107</f>
        <v/>
      </c>
      <c r="C1104" s="22" t="str">
        <f>'VIX HISTORIQUE'!D1107</f>
        <v/>
      </c>
      <c r="D1104" s="22" t="str">
        <f>'VIX HISTORIQUE'!F1107</f>
        <v/>
      </c>
      <c r="E1104" s="22" t="str">
        <f>'VIX HISTORIQUE'!H1107</f>
        <v/>
      </c>
      <c r="F1104" s="22" t="str">
        <f>'VIX HISTORIQUE'!J1107</f>
        <v/>
      </c>
    </row>
    <row r="1105" ht="15.75" customHeight="1">
      <c r="A1105" s="25" t="str">
        <f>'VIX HISTORIQUE'!A1108</f>
        <v/>
      </c>
      <c r="B1105" s="22" t="str">
        <f>'VIX HISTORIQUE'!B1108</f>
        <v/>
      </c>
      <c r="C1105" s="22" t="str">
        <f>'VIX HISTORIQUE'!D1108</f>
        <v/>
      </c>
      <c r="D1105" s="22" t="str">
        <f>'VIX HISTORIQUE'!F1108</f>
        <v/>
      </c>
      <c r="E1105" s="22" t="str">
        <f>'VIX HISTORIQUE'!H1108</f>
        <v/>
      </c>
      <c r="F1105" s="22" t="str">
        <f>'VIX HISTORIQUE'!J1108</f>
        <v/>
      </c>
    </row>
    <row r="1106" ht="15.75" customHeight="1">
      <c r="A1106" s="25" t="str">
        <f>'VIX HISTORIQUE'!A1109</f>
        <v/>
      </c>
      <c r="B1106" s="22" t="str">
        <f>'VIX HISTORIQUE'!B1109</f>
        <v/>
      </c>
      <c r="C1106" s="22" t="str">
        <f>'VIX HISTORIQUE'!D1109</f>
        <v/>
      </c>
      <c r="D1106" s="22" t="str">
        <f>'VIX HISTORIQUE'!F1109</f>
        <v/>
      </c>
      <c r="E1106" s="22" t="str">
        <f>'VIX HISTORIQUE'!H1109</f>
        <v/>
      </c>
      <c r="F1106" s="22" t="str">
        <f>'VIX HISTORIQUE'!J1109</f>
        <v/>
      </c>
    </row>
    <row r="1107" ht="15.75" customHeight="1">
      <c r="A1107" s="25" t="str">
        <f>'VIX HISTORIQUE'!A1110</f>
        <v/>
      </c>
      <c r="B1107" s="22" t="str">
        <f>'VIX HISTORIQUE'!B1110</f>
        <v/>
      </c>
      <c r="C1107" s="22" t="str">
        <f>'VIX HISTORIQUE'!D1110</f>
        <v/>
      </c>
      <c r="D1107" s="22" t="str">
        <f>'VIX HISTORIQUE'!F1110</f>
        <v/>
      </c>
      <c r="E1107" s="22" t="str">
        <f>'VIX HISTORIQUE'!H1110</f>
        <v/>
      </c>
      <c r="F1107" s="22" t="str">
        <f>'VIX HISTORIQUE'!J1110</f>
        <v/>
      </c>
    </row>
    <row r="1108" ht="15.75" customHeight="1">
      <c r="A1108" s="25" t="str">
        <f>'VIX HISTORIQUE'!A1111</f>
        <v/>
      </c>
      <c r="B1108" s="22" t="str">
        <f>'VIX HISTORIQUE'!B1111</f>
        <v/>
      </c>
      <c r="C1108" s="22" t="str">
        <f>'VIX HISTORIQUE'!D1111</f>
        <v/>
      </c>
      <c r="D1108" s="22" t="str">
        <f>'VIX HISTORIQUE'!F1111</f>
        <v/>
      </c>
      <c r="E1108" s="22" t="str">
        <f>'VIX HISTORIQUE'!H1111</f>
        <v/>
      </c>
      <c r="F1108" s="22" t="str">
        <f>'VIX HISTORIQUE'!J1111</f>
        <v/>
      </c>
    </row>
    <row r="1109" ht="15.75" customHeight="1">
      <c r="A1109" s="25" t="str">
        <f>'VIX HISTORIQUE'!A1112</f>
        <v/>
      </c>
      <c r="B1109" s="22" t="str">
        <f>'VIX HISTORIQUE'!B1112</f>
        <v/>
      </c>
      <c r="C1109" s="22" t="str">
        <f>'VIX HISTORIQUE'!D1112</f>
        <v/>
      </c>
      <c r="D1109" s="22" t="str">
        <f>'VIX HISTORIQUE'!F1112</f>
        <v/>
      </c>
      <c r="E1109" s="22" t="str">
        <f>'VIX HISTORIQUE'!H1112</f>
        <v/>
      </c>
      <c r="F1109" s="22" t="str">
        <f>'VIX HISTORIQUE'!J1112</f>
        <v/>
      </c>
    </row>
    <row r="1110" ht="15.75" customHeight="1">
      <c r="A1110" s="25" t="str">
        <f>'VIX HISTORIQUE'!A1113</f>
        <v/>
      </c>
      <c r="B1110" s="22" t="str">
        <f>'VIX HISTORIQUE'!B1113</f>
        <v/>
      </c>
      <c r="C1110" s="22" t="str">
        <f>'VIX HISTORIQUE'!D1113</f>
        <v/>
      </c>
      <c r="D1110" s="22" t="str">
        <f>'VIX HISTORIQUE'!F1113</f>
        <v/>
      </c>
      <c r="E1110" s="22" t="str">
        <f>'VIX HISTORIQUE'!H1113</f>
        <v/>
      </c>
      <c r="F1110" s="22" t="str">
        <f>'VIX HISTORIQUE'!J1113</f>
        <v/>
      </c>
    </row>
    <row r="1111" ht="15.75" customHeight="1">
      <c r="A1111" s="25" t="str">
        <f>'VIX HISTORIQUE'!A1114</f>
        <v/>
      </c>
      <c r="B1111" s="22" t="str">
        <f>'VIX HISTORIQUE'!B1114</f>
        <v/>
      </c>
      <c r="C1111" s="22" t="str">
        <f>'VIX HISTORIQUE'!D1114</f>
        <v/>
      </c>
      <c r="D1111" s="22" t="str">
        <f>'VIX HISTORIQUE'!F1114</f>
        <v/>
      </c>
      <c r="E1111" s="22" t="str">
        <f>'VIX HISTORIQUE'!H1114</f>
        <v/>
      </c>
      <c r="F1111" s="22" t="str">
        <f>'VIX HISTORIQUE'!J1114</f>
        <v/>
      </c>
    </row>
    <row r="1112" ht="15.75" customHeight="1">
      <c r="A1112" s="25" t="str">
        <f>'VIX HISTORIQUE'!A1115</f>
        <v/>
      </c>
      <c r="B1112" s="22" t="str">
        <f>'VIX HISTORIQUE'!B1115</f>
        <v/>
      </c>
      <c r="C1112" s="22" t="str">
        <f>'VIX HISTORIQUE'!D1115</f>
        <v/>
      </c>
      <c r="D1112" s="22" t="str">
        <f>'VIX HISTORIQUE'!F1115</f>
        <v/>
      </c>
      <c r="E1112" s="22" t="str">
        <f>'VIX HISTORIQUE'!H1115</f>
        <v/>
      </c>
      <c r="F1112" s="22" t="str">
        <f>'VIX HISTORIQUE'!J1115</f>
        <v/>
      </c>
    </row>
    <row r="1113" ht="15.75" customHeight="1">
      <c r="A1113" s="25" t="str">
        <f>'VIX HISTORIQUE'!A1116</f>
        <v/>
      </c>
      <c r="B1113" s="22" t="str">
        <f>'VIX HISTORIQUE'!B1116</f>
        <v/>
      </c>
      <c r="C1113" s="22" t="str">
        <f>'VIX HISTORIQUE'!D1116</f>
        <v/>
      </c>
      <c r="D1113" s="22" t="str">
        <f>'VIX HISTORIQUE'!F1116</f>
        <v/>
      </c>
      <c r="E1113" s="22" t="str">
        <f>'VIX HISTORIQUE'!H1116</f>
        <v/>
      </c>
      <c r="F1113" s="22" t="str">
        <f>'VIX HISTORIQUE'!J1116</f>
        <v/>
      </c>
    </row>
    <row r="1114" ht="15.75" customHeight="1">
      <c r="A1114" s="25" t="str">
        <f>'VIX HISTORIQUE'!A1117</f>
        <v/>
      </c>
      <c r="B1114" s="22" t="str">
        <f>'VIX HISTORIQUE'!B1117</f>
        <v/>
      </c>
      <c r="C1114" s="22" t="str">
        <f>'VIX HISTORIQUE'!D1117</f>
        <v/>
      </c>
      <c r="D1114" s="22" t="str">
        <f>'VIX HISTORIQUE'!F1117</f>
        <v/>
      </c>
      <c r="E1114" s="22" t="str">
        <f>'VIX HISTORIQUE'!H1117</f>
        <v/>
      </c>
      <c r="F1114" s="22" t="str">
        <f>'VIX HISTORIQUE'!J1117</f>
        <v/>
      </c>
    </row>
    <row r="1115" ht="15.75" customHeight="1">
      <c r="A1115" s="25" t="str">
        <f>'VIX HISTORIQUE'!A1118</f>
        <v/>
      </c>
      <c r="B1115" s="22" t="str">
        <f>'VIX HISTORIQUE'!B1118</f>
        <v/>
      </c>
      <c r="C1115" s="22" t="str">
        <f>'VIX HISTORIQUE'!D1118</f>
        <v/>
      </c>
      <c r="D1115" s="22" t="str">
        <f>'VIX HISTORIQUE'!F1118</f>
        <v/>
      </c>
      <c r="E1115" s="22" t="str">
        <f>'VIX HISTORIQUE'!H1118</f>
        <v/>
      </c>
      <c r="F1115" s="22" t="str">
        <f>'VIX HISTORIQUE'!J1118</f>
        <v/>
      </c>
    </row>
    <row r="1116" ht="15.75" customHeight="1">
      <c r="A1116" s="25" t="str">
        <f>'VIX HISTORIQUE'!A1119</f>
        <v/>
      </c>
      <c r="B1116" s="22" t="str">
        <f>'VIX HISTORIQUE'!B1119</f>
        <v/>
      </c>
      <c r="C1116" s="22" t="str">
        <f>'VIX HISTORIQUE'!D1119</f>
        <v/>
      </c>
      <c r="D1116" s="22" t="str">
        <f>'VIX HISTORIQUE'!F1119</f>
        <v/>
      </c>
      <c r="E1116" s="22" t="str">
        <f>'VIX HISTORIQUE'!H1119</f>
        <v/>
      </c>
      <c r="F1116" s="22" t="str">
        <f>'VIX HISTORIQUE'!J1119</f>
        <v/>
      </c>
    </row>
    <row r="1117" ht="15.75" customHeight="1">
      <c r="A1117" s="25" t="str">
        <f>'VIX HISTORIQUE'!A1120</f>
        <v/>
      </c>
      <c r="B1117" s="22" t="str">
        <f>'VIX HISTORIQUE'!B1120</f>
        <v/>
      </c>
      <c r="C1117" s="22" t="str">
        <f>'VIX HISTORIQUE'!D1120</f>
        <v/>
      </c>
      <c r="D1117" s="22" t="str">
        <f>'VIX HISTORIQUE'!F1120</f>
        <v/>
      </c>
      <c r="E1117" s="22" t="str">
        <f>'VIX HISTORIQUE'!H1120</f>
        <v/>
      </c>
      <c r="F1117" s="22" t="str">
        <f>'VIX HISTORIQUE'!J1120</f>
        <v/>
      </c>
    </row>
    <row r="1118" ht="15.75" customHeight="1">
      <c r="A1118" s="25" t="str">
        <f>'VIX HISTORIQUE'!A1121</f>
        <v/>
      </c>
      <c r="B1118" s="22" t="str">
        <f>'VIX HISTORIQUE'!B1121</f>
        <v/>
      </c>
      <c r="C1118" s="22" t="str">
        <f>'VIX HISTORIQUE'!D1121</f>
        <v/>
      </c>
      <c r="D1118" s="22" t="str">
        <f>'VIX HISTORIQUE'!F1121</f>
        <v/>
      </c>
      <c r="E1118" s="22" t="str">
        <f>'VIX HISTORIQUE'!H1121</f>
        <v/>
      </c>
      <c r="F1118" s="22" t="str">
        <f>'VIX HISTORIQUE'!J1121</f>
        <v/>
      </c>
    </row>
    <row r="1119" ht="15.75" customHeight="1">
      <c r="A1119" s="25" t="str">
        <f>'VIX HISTORIQUE'!A1122</f>
        <v/>
      </c>
      <c r="B1119" s="22" t="str">
        <f>'VIX HISTORIQUE'!B1122</f>
        <v/>
      </c>
      <c r="C1119" s="22" t="str">
        <f>'VIX HISTORIQUE'!D1122</f>
        <v/>
      </c>
      <c r="D1119" s="22" t="str">
        <f>'VIX HISTORIQUE'!F1122</f>
        <v/>
      </c>
      <c r="E1119" s="22" t="str">
        <f>'VIX HISTORIQUE'!H1122</f>
        <v/>
      </c>
      <c r="F1119" s="22" t="str">
        <f>'VIX HISTORIQUE'!J1122</f>
        <v/>
      </c>
    </row>
    <row r="1120" ht="15.75" customHeight="1">
      <c r="A1120" s="25" t="str">
        <f>'VIX HISTORIQUE'!A1123</f>
        <v/>
      </c>
      <c r="B1120" s="22" t="str">
        <f>'VIX HISTORIQUE'!B1123</f>
        <v/>
      </c>
      <c r="C1120" s="22" t="str">
        <f>'VIX HISTORIQUE'!D1123</f>
        <v/>
      </c>
      <c r="D1120" s="22" t="str">
        <f>'VIX HISTORIQUE'!F1123</f>
        <v/>
      </c>
      <c r="E1120" s="22" t="str">
        <f>'VIX HISTORIQUE'!H1123</f>
        <v/>
      </c>
      <c r="F1120" s="22" t="str">
        <f>'VIX HISTORIQUE'!J1123</f>
        <v/>
      </c>
    </row>
    <row r="1121" ht="15.75" customHeight="1">
      <c r="A1121" s="25" t="str">
        <f>'VIX HISTORIQUE'!A1124</f>
        <v/>
      </c>
      <c r="B1121" s="22" t="str">
        <f>'VIX HISTORIQUE'!B1124</f>
        <v/>
      </c>
      <c r="C1121" s="22" t="str">
        <f>'VIX HISTORIQUE'!D1124</f>
        <v/>
      </c>
      <c r="D1121" s="22" t="str">
        <f>'VIX HISTORIQUE'!F1124</f>
        <v/>
      </c>
      <c r="E1121" s="22" t="str">
        <f>'VIX HISTORIQUE'!H1124</f>
        <v/>
      </c>
      <c r="F1121" s="22" t="str">
        <f>'VIX HISTORIQUE'!J1124</f>
        <v/>
      </c>
    </row>
    <row r="1122" ht="15.75" customHeight="1">
      <c r="A1122" s="25" t="str">
        <f>'VIX HISTORIQUE'!A1125</f>
        <v/>
      </c>
      <c r="B1122" s="22" t="str">
        <f>'VIX HISTORIQUE'!B1125</f>
        <v/>
      </c>
      <c r="C1122" s="22" t="str">
        <f>'VIX HISTORIQUE'!D1125</f>
        <v/>
      </c>
      <c r="D1122" s="22" t="str">
        <f>'VIX HISTORIQUE'!F1125</f>
        <v/>
      </c>
      <c r="E1122" s="22" t="str">
        <f>'VIX HISTORIQUE'!H1125</f>
        <v/>
      </c>
      <c r="F1122" s="22" t="str">
        <f>'VIX HISTORIQUE'!J1125</f>
        <v/>
      </c>
    </row>
    <row r="1123" ht="15.75" customHeight="1">
      <c r="A1123" s="25" t="str">
        <f>'VIX HISTORIQUE'!A1126</f>
        <v/>
      </c>
      <c r="B1123" s="22" t="str">
        <f>'VIX HISTORIQUE'!B1126</f>
        <v/>
      </c>
      <c r="C1123" s="22" t="str">
        <f>'VIX HISTORIQUE'!D1126</f>
        <v/>
      </c>
      <c r="D1123" s="22" t="str">
        <f>'VIX HISTORIQUE'!F1126</f>
        <v/>
      </c>
      <c r="E1123" s="22" t="str">
        <f>'VIX HISTORIQUE'!H1126</f>
        <v/>
      </c>
      <c r="F1123" s="22" t="str">
        <f>'VIX HISTORIQUE'!J1126</f>
        <v/>
      </c>
    </row>
    <row r="1124" ht="15.75" customHeight="1">
      <c r="A1124" s="25" t="str">
        <f>'VIX HISTORIQUE'!A1127</f>
        <v/>
      </c>
      <c r="B1124" s="22" t="str">
        <f>'VIX HISTORIQUE'!B1127</f>
        <v/>
      </c>
      <c r="C1124" s="22" t="str">
        <f>'VIX HISTORIQUE'!D1127</f>
        <v/>
      </c>
      <c r="D1124" s="22" t="str">
        <f>'VIX HISTORIQUE'!F1127</f>
        <v/>
      </c>
      <c r="E1124" s="22" t="str">
        <f>'VIX HISTORIQUE'!H1127</f>
        <v/>
      </c>
      <c r="F1124" s="22" t="str">
        <f>'VIX HISTORIQUE'!J1127</f>
        <v/>
      </c>
    </row>
    <row r="1125" ht="15.75" customHeight="1">
      <c r="A1125" s="25" t="str">
        <f>'VIX HISTORIQUE'!A1128</f>
        <v/>
      </c>
      <c r="B1125" s="22" t="str">
        <f>'VIX HISTORIQUE'!B1128</f>
        <v/>
      </c>
      <c r="C1125" s="22" t="str">
        <f>'VIX HISTORIQUE'!D1128</f>
        <v/>
      </c>
      <c r="D1125" s="22" t="str">
        <f>'VIX HISTORIQUE'!F1128</f>
        <v/>
      </c>
      <c r="E1125" s="22" t="str">
        <f>'VIX HISTORIQUE'!H1128</f>
        <v/>
      </c>
      <c r="F1125" s="22" t="str">
        <f>'VIX HISTORIQUE'!J1128</f>
        <v/>
      </c>
    </row>
    <row r="1126" ht="15.75" customHeight="1">
      <c r="A1126" s="25" t="str">
        <f>'VIX HISTORIQUE'!A1129</f>
        <v/>
      </c>
      <c r="B1126" s="22" t="str">
        <f>'VIX HISTORIQUE'!B1129</f>
        <v/>
      </c>
      <c r="C1126" s="22" t="str">
        <f>'VIX HISTORIQUE'!D1129</f>
        <v/>
      </c>
      <c r="D1126" s="22" t="str">
        <f>'VIX HISTORIQUE'!F1129</f>
        <v/>
      </c>
      <c r="E1126" s="22" t="str">
        <f>'VIX HISTORIQUE'!H1129</f>
        <v/>
      </c>
      <c r="F1126" s="22" t="str">
        <f>'VIX HISTORIQUE'!J1129</f>
        <v/>
      </c>
    </row>
    <row r="1127" ht="15.75" customHeight="1">
      <c r="A1127" s="25" t="str">
        <f>'VIX HISTORIQUE'!A1130</f>
        <v/>
      </c>
      <c r="B1127" s="22" t="str">
        <f>'VIX HISTORIQUE'!B1130</f>
        <v/>
      </c>
      <c r="C1127" s="22" t="str">
        <f>'VIX HISTORIQUE'!D1130</f>
        <v/>
      </c>
      <c r="D1127" s="22" t="str">
        <f>'VIX HISTORIQUE'!F1130</f>
        <v/>
      </c>
      <c r="E1127" s="22" t="str">
        <f>'VIX HISTORIQUE'!H1130</f>
        <v/>
      </c>
      <c r="F1127" s="22" t="str">
        <f>'VIX HISTORIQUE'!J1130</f>
        <v/>
      </c>
    </row>
    <row r="1128" ht="15.75" customHeight="1">
      <c r="A1128" s="25" t="str">
        <f>'VIX HISTORIQUE'!A1131</f>
        <v/>
      </c>
      <c r="B1128" s="22" t="str">
        <f>'VIX HISTORIQUE'!B1131</f>
        <v/>
      </c>
      <c r="C1128" s="22" t="str">
        <f>'VIX HISTORIQUE'!D1131</f>
        <v/>
      </c>
      <c r="D1128" s="22" t="str">
        <f>'VIX HISTORIQUE'!F1131</f>
        <v/>
      </c>
      <c r="E1128" s="22" t="str">
        <f>'VIX HISTORIQUE'!H1131</f>
        <v/>
      </c>
      <c r="F1128" s="22" t="str">
        <f>'VIX HISTORIQUE'!J1131</f>
        <v/>
      </c>
    </row>
    <row r="1129" ht="15.75" customHeight="1">
      <c r="A1129" s="25" t="str">
        <f>'VIX HISTORIQUE'!A1132</f>
        <v/>
      </c>
      <c r="B1129" s="22" t="str">
        <f>'VIX HISTORIQUE'!B1132</f>
        <v/>
      </c>
      <c r="C1129" s="22" t="str">
        <f>'VIX HISTORIQUE'!D1132</f>
        <v/>
      </c>
      <c r="D1129" s="22" t="str">
        <f>'VIX HISTORIQUE'!F1132</f>
        <v/>
      </c>
      <c r="E1129" s="22" t="str">
        <f>'VIX HISTORIQUE'!H1132</f>
        <v/>
      </c>
      <c r="F1129" s="22" t="str">
        <f>'VIX HISTORIQUE'!J1132</f>
        <v/>
      </c>
    </row>
    <row r="1130" ht="15.75" customHeight="1">
      <c r="A1130" s="25" t="str">
        <f>'VIX HISTORIQUE'!A1133</f>
        <v/>
      </c>
      <c r="B1130" s="22" t="str">
        <f>'VIX HISTORIQUE'!B1133</f>
        <v/>
      </c>
      <c r="C1130" s="22" t="str">
        <f>'VIX HISTORIQUE'!D1133</f>
        <v/>
      </c>
      <c r="D1130" s="22" t="str">
        <f>'VIX HISTORIQUE'!F1133</f>
        <v/>
      </c>
      <c r="E1130" s="22" t="str">
        <f>'VIX HISTORIQUE'!H1133</f>
        <v/>
      </c>
      <c r="F1130" s="22" t="str">
        <f>'VIX HISTORIQUE'!J1133</f>
        <v/>
      </c>
    </row>
    <row r="1131" ht="15.75" customHeight="1">
      <c r="A1131" s="25" t="str">
        <f>'VIX HISTORIQUE'!A1134</f>
        <v/>
      </c>
      <c r="B1131" s="22" t="str">
        <f>'VIX HISTORIQUE'!B1134</f>
        <v/>
      </c>
      <c r="C1131" s="22" t="str">
        <f>'VIX HISTORIQUE'!D1134</f>
        <v/>
      </c>
      <c r="D1131" s="22" t="str">
        <f>'VIX HISTORIQUE'!F1134</f>
        <v/>
      </c>
      <c r="E1131" s="22" t="str">
        <f>'VIX HISTORIQUE'!H1134</f>
        <v/>
      </c>
      <c r="F1131" s="22" t="str">
        <f>'VIX HISTORIQUE'!J1134</f>
        <v/>
      </c>
    </row>
    <row r="1132" ht="15.75" customHeight="1">
      <c r="A1132" s="25" t="str">
        <f>'VIX HISTORIQUE'!A1135</f>
        <v/>
      </c>
      <c r="B1132" s="22" t="str">
        <f>'VIX HISTORIQUE'!B1135</f>
        <v/>
      </c>
      <c r="C1132" s="22" t="str">
        <f>'VIX HISTORIQUE'!D1135</f>
        <v/>
      </c>
      <c r="D1132" s="22" t="str">
        <f>'VIX HISTORIQUE'!F1135</f>
        <v/>
      </c>
      <c r="E1132" s="22" t="str">
        <f>'VIX HISTORIQUE'!H1135</f>
        <v/>
      </c>
      <c r="F1132" s="22" t="str">
        <f>'VIX HISTORIQUE'!J1135</f>
        <v/>
      </c>
    </row>
    <row r="1133" ht="15.75" customHeight="1">
      <c r="A1133" s="25" t="str">
        <f>'VIX HISTORIQUE'!A1136</f>
        <v/>
      </c>
      <c r="B1133" s="22" t="str">
        <f>'VIX HISTORIQUE'!B1136</f>
        <v/>
      </c>
      <c r="C1133" s="22" t="str">
        <f>'VIX HISTORIQUE'!D1136</f>
        <v/>
      </c>
      <c r="D1133" s="22" t="str">
        <f>'VIX HISTORIQUE'!F1136</f>
        <v/>
      </c>
      <c r="E1133" s="22" t="str">
        <f>'VIX HISTORIQUE'!H1136</f>
        <v/>
      </c>
      <c r="F1133" s="22" t="str">
        <f>'VIX HISTORIQUE'!J1136</f>
        <v/>
      </c>
    </row>
    <row r="1134" ht="15.75" customHeight="1">
      <c r="A1134" s="25" t="str">
        <f>'VIX HISTORIQUE'!A1137</f>
        <v/>
      </c>
      <c r="B1134" s="22" t="str">
        <f>'VIX HISTORIQUE'!B1137</f>
        <v/>
      </c>
      <c r="C1134" s="22" t="str">
        <f>'VIX HISTORIQUE'!D1137</f>
        <v/>
      </c>
      <c r="D1134" s="22" t="str">
        <f>'VIX HISTORIQUE'!F1137</f>
        <v/>
      </c>
      <c r="E1134" s="22" t="str">
        <f>'VIX HISTORIQUE'!H1137</f>
        <v/>
      </c>
      <c r="F1134" s="22" t="str">
        <f>'VIX HISTORIQUE'!J1137</f>
        <v/>
      </c>
    </row>
    <row r="1135" ht="15.75" customHeight="1">
      <c r="A1135" s="25" t="str">
        <f>'VIX HISTORIQUE'!A1138</f>
        <v/>
      </c>
      <c r="B1135" s="22" t="str">
        <f>'VIX HISTORIQUE'!B1138</f>
        <v/>
      </c>
      <c r="C1135" s="22" t="str">
        <f>'VIX HISTORIQUE'!D1138</f>
        <v/>
      </c>
      <c r="D1135" s="22" t="str">
        <f>'VIX HISTORIQUE'!F1138</f>
        <v/>
      </c>
      <c r="E1135" s="22" t="str">
        <f>'VIX HISTORIQUE'!H1138</f>
        <v/>
      </c>
      <c r="F1135" s="22" t="str">
        <f>'VIX HISTORIQUE'!J1138</f>
        <v/>
      </c>
    </row>
    <row r="1136" ht="15.75" customHeight="1">
      <c r="A1136" s="25" t="str">
        <f>'VIX HISTORIQUE'!A1139</f>
        <v/>
      </c>
      <c r="B1136" s="22" t="str">
        <f>'VIX HISTORIQUE'!B1139</f>
        <v/>
      </c>
      <c r="C1136" s="22" t="str">
        <f>'VIX HISTORIQUE'!D1139</f>
        <v/>
      </c>
      <c r="D1136" s="22" t="str">
        <f>'VIX HISTORIQUE'!F1139</f>
        <v/>
      </c>
      <c r="E1136" s="22" t="str">
        <f>'VIX HISTORIQUE'!H1139</f>
        <v/>
      </c>
      <c r="F1136" s="22" t="str">
        <f>'VIX HISTORIQUE'!J1139</f>
        <v/>
      </c>
    </row>
    <row r="1137" ht="15.75" customHeight="1">
      <c r="A1137" s="25" t="str">
        <f>'VIX HISTORIQUE'!A1140</f>
        <v/>
      </c>
      <c r="B1137" s="22" t="str">
        <f>'VIX HISTORIQUE'!B1140</f>
        <v/>
      </c>
      <c r="C1137" s="22" t="str">
        <f>'VIX HISTORIQUE'!D1140</f>
        <v/>
      </c>
      <c r="D1137" s="22" t="str">
        <f>'VIX HISTORIQUE'!F1140</f>
        <v/>
      </c>
      <c r="E1137" s="22" t="str">
        <f>'VIX HISTORIQUE'!H1140</f>
        <v/>
      </c>
      <c r="F1137" s="22" t="str">
        <f>'VIX HISTORIQUE'!J1140</f>
        <v/>
      </c>
    </row>
    <row r="1138" ht="15.75" customHeight="1">
      <c r="A1138" s="25" t="str">
        <f>'VIX HISTORIQUE'!A1141</f>
        <v/>
      </c>
      <c r="B1138" s="22" t="str">
        <f>'VIX HISTORIQUE'!B1141</f>
        <v/>
      </c>
      <c r="C1138" s="22" t="str">
        <f>'VIX HISTORIQUE'!D1141</f>
        <v/>
      </c>
      <c r="D1138" s="22" t="str">
        <f>'VIX HISTORIQUE'!F1141</f>
        <v/>
      </c>
      <c r="E1138" s="22" t="str">
        <f>'VIX HISTORIQUE'!H1141</f>
        <v/>
      </c>
      <c r="F1138" s="22" t="str">
        <f>'VIX HISTORIQUE'!J1141</f>
        <v/>
      </c>
    </row>
    <row r="1139" ht="15.75" customHeight="1">
      <c r="A1139" s="25" t="str">
        <f>'VIX HISTORIQUE'!A1142</f>
        <v/>
      </c>
      <c r="B1139" s="22" t="str">
        <f>'VIX HISTORIQUE'!B1142</f>
        <v/>
      </c>
      <c r="C1139" s="22" t="str">
        <f>'VIX HISTORIQUE'!D1142</f>
        <v/>
      </c>
      <c r="D1139" s="22" t="str">
        <f>'VIX HISTORIQUE'!F1142</f>
        <v/>
      </c>
      <c r="E1139" s="22" t="str">
        <f>'VIX HISTORIQUE'!H1142</f>
        <v/>
      </c>
      <c r="F1139" s="22" t="str">
        <f>'VIX HISTORIQUE'!J1142</f>
        <v/>
      </c>
    </row>
    <row r="1140" ht="15.75" customHeight="1">
      <c r="A1140" s="25" t="str">
        <f>'VIX HISTORIQUE'!A1143</f>
        <v/>
      </c>
      <c r="B1140" s="22" t="str">
        <f>'VIX HISTORIQUE'!B1143</f>
        <v/>
      </c>
      <c r="C1140" s="22" t="str">
        <f>'VIX HISTORIQUE'!D1143</f>
        <v/>
      </c>
      <c r="D1140" s="22" t="str">
        <f>'VIX HISTORIQUE'!F1143</f>
        <v/>
      </c>
      <c r="E1140" s="22" t="str">
        <f>'VIX HISTORIQUE'!H1143</f>
        <v/>
      </c>
      <c r="F1140" s="22" t="str">
        <f>'VIX HISTORIQUE'!J1143</f>
        <v/>
      </c>
    </row>
    <row r="1141" ht="15.75" customHeight="1">
      <c r="A1141" s="25" t="str">
        <f>'VIX HISTORIQUE'!A1144</f>
        <v/>
      </c>
      <c r="B1141" s="22" t="str">
        <f>'VIX HISTORIQUE'!B1144</f>
        <v/>
      </c>
      <c r="C1141" s="22" t="str">
        <f>'VIX HISTORIQUE'!D1144</f>
        <v/>
      </c>
      <c r="D1141" s="22" t="str">
        <f>'VIX HISTORIQUE'!F1144</f>
        <v/>
      </c>
      <c r="E1141" s="22" t="str">
        <f>'VIX HISTORIQUE'!H1144</f>
        <v/>
      </c>
      <c r="F1141" s="22" t="str">
        <f>'VIX HISTORIQUE'!J1144</f>
        <v/>
      </c>
    </row>
    <row r="1142" ht="15.75" customHeight="1">
      <c r="A1142" s="25" t="str">
        <f>'VIX HISTORIQUE'!A1145</f>
        <v/>
      </c>
      <c r="B1142" s="22" t="str">
        <f>'VIX HISTORIQUE'!B1145</f>
        <v/>
      </c>
      <c r="C1142" s="22" t="str">
        <f>'VIX HISTORIQUE'!D1145</f>
        <v/>
      </c>
      <c r="D1142" s="22" t="str">
        <f>'VIX HISTORIQUE'!F1145</f>
        <v/>
      </c>
      <c r="E1142" s="22" t="str">
        <f>'VIX HISTORIQUE'!H1145</f>
        <v/>
      </c>
      <c r="F1142" s="22" t="str">
        <f>'VIX HISTORIQUE'!J1145</f>
        <v/>
      </c>
    </row>
    <row r="1143" ht="15.75" customHeight="1">
      <c r="A1143" s="25" t="str">
        <f>'VIX HISTORIQUE'!A1146</f>
        <v/>
      </c>
      <c r="B1143" s="22" t="str">
        <f>'VIX HISTORIQUE'!B1146</f>
        <v/>
      </c>
      <c r="C1143" s="22" t="str">
        <f>'VIX HISTORIQUE'!D1146</f>
        <v/>
      </c>
      <c r="D1143" s="22" t="str">
        <f>'VIX HISTORIQUE'!F1146</f>
        <v/>
      </c>
      <c r="E1143" s="22" t="str">
        <f>'VIX HISTORIQUE'!H1146</f>
        <v/>
      </c>
      <c r="F1143" s="22" t="str">
        <f>'VIX HISTORIQUE'!J1146</f>
        <v/>
      </c>
    </row>
    <row r="1144" ht="15.75" customHeight="1">
      <c r="A1144" s="25" t="str">
        <f>'VIX HISTORIQUE'!A1147</f>
        <v/>
      </c>
      <c r="B1144" s="22" t="str">
        <f>'VIX HISTORIQUE'!B1147</f>
        <v/>
      </c>
      <c r="C1144" s="22" t="str">
        <f>'VIX HISTORIQUE'!D1147</f>
        <v/>
      </c>
      <c r="D1144" s="22" t="str">
        <f>'VIX HISTORIQUE'!F1147</f>
        <v/>
      </c>
      <c r="E1144" s="22" t="str">
        <f>'VIX HISTORIQUE'!H1147</f>
        <v/>
      </c>
      <c r="F1144" s="22" t="str">
        <f>'VIX HISTORIQUE'!J1147</f>
        <v/>
      </c>
    </row>
    <row r="1145" ht="15.75" customHeight="1">
      <c r="A1145" s="25" t="str">
        <f>'VIX HISTORIQUE'!A1148</f>
        <v/>
      </c>
      <c r="B1145" s="22" t="str">
        <f>'VIX HISTORIQUE'!B1148</f>
        <v/>
      </c>
      <c r="C1145" s="22" t="str">
        <f>'VIX HISTORIQUE'!D1148</f>
        <v/>
      </c>
      <c r="D1145" s="22" t="str">
        <f>'VIX HISTORIQUE'!F1148</f>
        <v/>
      </c>
      <c r="E1145" s="22" t="str">
        <f>'VIX HISTORIQUE'!H1148</f>
        <v/>
      </c>
      <c r="F1145" s="22" t="str">
        <f>'VIX HISTORIQUE'!J1148</f>
        <v/>
      </c>
    </row>
    <row r="1146" ht="15.75" customHeight="1">
      <c r="A1146" s="25" t="str">
        <f>'VIX HISTORIQUE'!A1149</f>
        <v/>
      </c>
      <c r="B1146" s="22" t="str">
        <f>'VIX HISTORIQUE'!B1149</f>
        <v/>
      </c>
      <c r="C1146" s="22" t="str">
        <f>'VIX HISTORIQUE'!D1149</f>
        <v/>
      </c>
      <c r="D1146" s="22" t="str">
        <f>'VIX HISTORIQUE'!F1149</f>
        <v/>
      </c>
      <c r="E1146" s="22" t="str">
        <f>'VIX HISTORIQUE'!H1149</f>
        <v/>
      </c>
      <c r="F1146" s="22" t="str">
        <f>'VIX HISTORIQUE'!J1149</f>
        <v/>
      </c>
    </row>
    <row r="1147" ht="15.75" customHeight="1">
      <c r="A1147" s="25" t="str">
        <f>'VIX HISTORIQUE'!A1150</f>
        <v/>
      </c>
      <c r="B1147" s="22" t="str">
        <f>'VIX HISTORIQUE'!B1150</f>
        <v/>
      </c>
      <c r="C1147" s="22" t="str">
        <f>'VIX HISTORIQUE'!D1150</f>
        <v/>
      </c>
      <c r="D1147" s="22" t="str">
        <f>'VIX HISTORIQUE'!F1150</f>
        <v/>
      </c>
      <c r="E1147" s="22" t="str">
        <f>'VIX HISTORIQUE'!H1150</f>
        <v/>
      </c>
      <c r="F1147" s="22" t="str">
        <f>'VIX HISTORIQUE'!J1150</f>
        <v/>
      </c>
    </row>
    <row r="1148" ht="15.75" customHeight="1">
      <c r="A1148" s="25" t="str">
        <f>'VIX HISTORIQUE'!A1151</f>
        <v/>
      </c>
      <c r="B1148" s="22" t="str">
        <f>'VIX HISTORIQUE'!B1151</f>
        <v/>
      </c>
      <c r="C1148" s="22" t="str">
        <f>'VIX HISTORIQUE'!D1151</f>
        <v/>
      </c>
      <c r="D1148" s="22" t="str">
        <f>'VIX HISTORIQUE'!F1151</f>
        <v/>
      </c>
      <c r="E1148" s="22" t="str">
        <f>'VIX HISTORIQUE'!H1151</f>
        <v/>
      </c>
      <c r="F1148" s="22" t="str">
        <f>'VIX HISTORIQUE'!J1151</f>
        <v/>
      </c>
    </row>
    <row r="1149" ht="15.75" customHeight="1">
      <c r="A1149" s="25" t="str">
        <f>'VIX HISTORIQUE'!A1152</f>
        <v/>
      </c>
      <c r="B1149" s="22" t="str">
        <f>'VIX HISTORIQUE'!B1152</f>
        <v/>
      </c>
      <c r="C1149" s="22" t="str">
        <f>'VIX HISTORIQUE'!D1152</f>
        <v/>
      </c>
      <c r="D1149" s="22" t="str">
        <f>'VIX HISTORIQUE'!F1152</f>
        <v/>
      </c>
      <c r="E1149" s="22" t="str">
        <f>'VIX HISTORIQUE'!H1152</f>
        <v/>
      </c>
      <c r="F1149" s="22" t="str">
        <f>'VIX HISTORIQUE'!J1152</f>
        <v/>
      </c>
    </row>
    <row r="1150" ht="15.75" customHeight="1">
      <c r="A1150" s="25" t="str">
        <f>'VIX HISTORIQUE'!A1153</f>
        <v/>
      </c>
      <c r="B1150" s="22" t="str">
        <f>'VIX HISTORIQUE'!B1153</f>
        <v/>
      </c>
      <c r="C1150" s="22" t="str">
        <f>'VIX HISTORIQUE'!D1153</f>
        <v/>
      </c>
      <c r="D1150" s="22" t="str">
        <f>'VIX HISTORIQUE'!F1153</f>
        <v/>
      </c>
      <c r="E1150" s="22" t="str">
        <f>'VIX HISTORIQUE'!H1153</f>
        <v/>
      </c>
      <c r="F1150" s="22" t="str">
        <f>'VIX HISTORIQUE'!J1153</f>
        <v/>
      </c>
    </row>
    <row r="1151" ht="15.75" customHeight="1">
      <c r="A1151" s="25" t="str">
        <f>'VIX HISTORIQUE'!A1154</f>
        <v/>
      </c>
      <c r="B1151" s="22" t="str">
        <f>'VIX HISTORIQUE'!B1154</f>
        <v/>
      </c>
      <c r="C1151" s="22" t="str">
        <f>'VIX HISTORIQUE'!D1154</f>
        <v/>
      </c>
      <c r="D1151" s="22" t="str">
        <f>'VIX HISTORIQUE'!F1154</f>
        <v/>
      </c>
      <c r="E1151" s="22" t="str">
        <f>'VIX HISTORIQUE'!H1154</f>
        <v/>
      </c>
      <c r="F1151" s="22" t="str">
        <f>'VIX HISTORIQUE'!J1154</f>
        <v/>
      </c>
    </row>
    <row r="1152" ht="15.75" customHeight="1">
      <c r="A1152" s="25" t="str">
        <f>'VIX HISTORIQUE'!A1155</f>
        <v/>
      </c>
      <c r="B1152" s="22" t="str">
        <f>'VIX HISTORIQUE'!B1155</f>
        <v/>
      </c>
      <c r="C1152" s="22" t="str">
        <f>'VIX HISTORIQUE'!D1155</f>
        <v/>
      </c>
      <c r="D1152" s="22" t="str">
        <f>'VIX HISTORIQUE'!F1155</f>
        <v/>
      </c>
      <c r="E1152" s="22" t="str">
        <f>'VIX HISTORIQUE'!H1155</f>
        <v/>
      </c>
      <c r="F1152" s="22" t="str">
        <f>'VIX HISTORIQUE'!J1155</f>
        <v/>
      </c>
    </row>
    <row r="1153" ht="15.75" customHeight="1">
      <c r="A1153" s="25" t="str">
        <f>'VIX HISTORIQUE'!A1156</f>
        <v/>
      </c>
      <c r="B1153" s="22" t="str">
        <f>'VIX HISTORIQUE'!B1156</f>
        <v/>
      </c>
      <c r="C1153" s="22" t="str">
        <f>'VIX HISTORIQUE'!D1156</f>
        <v/>
      </c>
      <c r="D1153" s="22" t="str">
        <f>'VIX HISTORIQUE'!F1156</f>
        <v/>
      </c>
      <c r="E1153" s="22" t="str">
        <f>'VIX HISTORIQUE'!H1156</f>
        <v/>
      </c>
      <c r="F1153" s="22" t="str">
        <f>'VIX HISTORIQUE'!J1156</f>
        <v/>
      </c>
    </row>
    <row r="1154" ht="15.75" customHeight="1">
      <c r="A1154" s="25" t="str">
        <f>'VIX HISTORIQUE'!A1157</f>
        <v/>
      </c>
      <c r="B1154" s="22" t="str">
        <f>'VIX HISTORIQUE'!B1157</f>
        <v/>
      </c>
      <c r="C1154" s="22" t="str">
        <f>'VIX HISTORIQUE'!D1157</f>
        <v/>
      </c>
      <c r="D1154" s="22" t="str">
        <f>'VIX HISTORIQUE'!F1157</f>
        <v/>
      </c>
      <c r="E1154" s="22" t="str">
        <f>'VIX HISTORIQUE'!H1157</f>
        <v/>
      </c>
      <c r="F1154" s="22" t="str">
        <f>'VIX HISTORIQUE'!J1157</f>
        <v/>
      </c>
    </row>
    <row r="1155" ht="15.75" customHeight="1">
      <c r="A1155" s="25" t="str">
        <f>'VIX HISTORIQUE'!A1158</f>
        <v/>
      </c>
      <c r="B1155" s="22" t="str">
        <f>'VIX HISTORIQUE'!B1158</f>
        <v/>
      </c>
      <c r="C1155" s="22" t="str">
        <f>'VIX HISTORIQUE'!D1158</f>
        <v/>
      </c>
      <c r="D1155" s="22" t="str">
        <f>'VIX HISTORIQUE'!F1158</f>
        <v/>
      </c>
      <c r="E1155" s="22" t="str">
        <f>'VIX HISTORIQUE'!H1158</f>
        <v/>
      </c>
      <c r="F1155" s="22" t="str">
        <f>'VIX HISTORIQUE'!J1158</f>
        <v/>
      </c>
    </row>
    <row r="1156" ht="15.75" customHeight="1">
      <c r="A1156" s="25" t="str">
        <f>'VIX HISTORIQUE'!A1159</f>
        <v/>
      </c>
      <c r="B1156" s="22" t="str">
        <f>'VIX HISTORIQUE'!B1159</f>
        <v/>
      </c>
      <c r="C1156" s="22" t="str">
        <f>'VIX HISTORIQUE'!D1159</f>
        <v/>
      </c>
      <c r="D1156" s="22" t="str">
        <f>'VIX HISTORIQUE'!F1159</f>
        <v/>
      </c>
      <c r="E1156" s="22" t="str">
        <f>'VIX HISTORIQUE'!H1159</f>
        <v/>
      </c>
      <c r="F1156" s="22" t="str">
        <f>'VIX HISTORIQUE'!J1159</f>
        <v/>
      </c>
    </row>
    <row r="1157" ht="15.75" customHeight="1">
      <c r="A1157" s="25" t="str">
        <f>'VIX HISTORIQUE'!A1160</f>
        <v/>
      </c>
      <c r="B1157" s="22" t="str">
        <f>'VIX HISTORIQUE'!B1160</f>
        <v/>
      </c>
      <c r="C1157" s="22" t="str">
        <f>'VIX HISTORIQUE'!D1160</f>
        <v/>
      </c>
      <c r="D1157" s="22" t="str">
        <f>'VIX HISTORIQUE'!F1160</f>
        <v/>
      </c>
      <c r="E1157" s="22" t="str">
        <f>'VIX HISTORIQUE'!H1160</f>
        <v/>
      </c>
      <c r="F1157" s="22" t="str">
        <f>'VIX HISTORIQUE'!J1160</f>
        <v/>
      </c>
    </row>
    <row r="1158" ht="15.75" customHeight="1">
      <c r="A1158" s="25" t="str">
        <f>'VIX HISTORIQUE'!A1161</f>
        <v/>
      </c>
      <c r="B1158" s="22" t="str">
        <f>'VIX HISTORIQUE'!B1161</f>
        <v/>
      </c>
      <c r="C1158" s="22" t="str">
        <f>'VIX HISTORIQUE'!D1161</f>
        <v/>
      </c>
      <c r="D1158" s="22" t="str">
        <f>'VIX HISTORIQUE'!F1161</f>
        <v/>
      </c>
      <c r="E1158" s="22" t="str">
        <f>'VIX HISTORIQUE'!H1161</f>
        <v/>
      </c>
      <c r="F1158" s="22" t="str">
        <f>'VIX HISTORIQUE'!J1161</f>
        <v/>
      </c>
    </row>
    <row r="1159" ht="15.75" customHeight="1">
      <c r="A1159" s="25" t="str">
        <f>'VIX HISTORIQUE'!A1162</f>
        <v/>
      </c>
      <c r="B1159" s="22" t="str">
        <f>'VIX HISTORIQUE'!B1162</f>
        <v/>
      </c>
      <c r="C1159" s="22" t="str">
        <f>'VIX HISTORIQUE'!D1162</f>
        <v/>
      </c>
      <c r="D1159" s="22" t="str">
        <f>'VIX HISTORIQUE'!F1162</f>
        <v/>
      </c>
      <c r="E1159" s="22" t="str">
        <f>'VIX HISTORIQUE'!H1162</f>
        <v/>
      </c>
      <c r="F1159" s="22" t="str">
        <f>'VIX HISTORIQUE'!J1162</f>
        <v/>
      </c>
    </row>
    <row r="1160" ht="15.75" customHeight="1">
      <c r="A1160" s="25" t="str">
        <f>'VIX HISTORIQUE'!A1163</f>
        <v/>
      </c>
      <c r="B1160" s="22" t="str">
        <f>'VIX HISTORIQUE'!B1163</f>
        <v/>
      </c>
      <c r="C1160" s="22" t="str">
        <f>'VIX HISTORIQUE'!D1163</f>
        <v/>
      </c>
      <c r="D1160" s="22" t="str">
        <f>'VIX HISTORIQUE'!F1163</f>
        <v/>
      </c>
      <c r="E1160" s="22" t="str">
        <f>'VIX HISTORIQUE'!H1163</f>
        <v/>
      </c>
      <c r="F1160" s="22" t="str">
        <f>'VIX HISTORIQUE'!J1163</f>
        <v/>
      </c>
    </row>
    <row r="1161" ht="15.75" customHeight="1">
      <c r="A1161" s="25" t="str">
        <f>'VIX HISTORIQUE'!A1164</f>
        <v/>
      </c>
      <c r="B1161" s="22" t="str">
        <f>'VIX HISTORIQUE'!B1164</f>
        <v/>
      </c>
      <c r="C1161" s="22" t="str">
        <f>'VIX HISTORIQUE'!D1164</f>
        <v/>
      </c>
      <c r="D1161" s="22" t="str">
        <f>'VIX HISTORIQUE'!F1164</f>
        <v/>
      </c>
      <c r="E1161" s="22" t="str">
        <f>'VIX HISTORIQUE'!H1164</f>
        <v/>
      </c>
      <c r="F1161" s="22" t="str">
        <f>'VIX HISTORIQUE'!J1164</f>
        <v/>
      </c>
    </row>
    <row r="1162" ht="15.75" customHeight="1">
      <c r="A1162" s="25" t="str">
        <f>'VIX HISTORIQUE'!A1165</f>
        <v/>
      </c>
      <c r="B1162" s="22" t="str">
        <f>'VIX HISTORIQUE'!B1165</f>
        <v/>
      </c>
      <c r="C1162" s="22" t="str">
        <f>'VIX HISTORIQUE'!D1165</f>
        <v/>
      </c>
      <c r="D1162" s="22" t="str">
        <f>'VIX HISTORIQUE'!F1165</f>
        <v/>
      </c>
      <c r="E1162" s="22" t="str">
        <f>'VIX HISTORIQUE'!H1165</f>
        <v/>
      </c>
      <c r="F1162" s="22" t="str">
        <f>'VIX HISTORIQUE'!J1165</f>
        <v/>
      </c>
    </row>
    <row r="1163" ht="15.75" customHeight="1">
      <c r="A1163" s="25" t="str">
        <f>'VIX HISTORIQUE'!A1166</f>
        <v/>
      </c>
      <c r="B1163" s="22" t="str">
        <f>'VIX HISTORIQUE'!B1166</f>
        <v/>
      </c>
      <c r="C1163" s="22" t="str">
        <f>'VIX HISTORIQUE'!D1166</f>
        <v/>
      </c>
      <c r="D1163" s="22" t="str">
        <f>'VIX HISTORIQUE'!F1166</f>
        <v/>
      </c>
      <c r="E1163" s="22" t="str">
        <f>'VIX HISTORIQUE'!H1166</f>
        <v/>
      </c>
      <c r="F1163" s="22" t="str">
        <f>'VIX HISTORIQUE'!J1166</f>
        <v/>
      </c>
    </row>
    <row r="1164" ht="15.75" customHeight="1">
      <c r="A1164" s="25" t="str">
        <f>'VIX HISTORIQUE'!A1167</f>
        <v/>
      </c>
      <c r="B1164" s="22" t="str">
        <f>'VIX HISTORIQUE'!B1167</f>
        <v/>
      </c>
      <c r="C1164" s="22" t="str">
        <f>'VIX HISTORIQUE'!D1167</f>
        <v/>
      </c>
      <c r="D1164" s="22" t="str">
        <f>'VIX HISTORIQUE'!F1167</f>
        <v/>
      </c>
      <c r="E1164" s="22" t="str">
        <f>'VIX HISTORIQUE'!H1167</f>
        <v/>
      </c>
      <c r="F1164" s="22" t="str">
        <f>'VIX HISTORIQUE'!J1167</f>
        <v/>
      </c>
    </row>
    <row r="1165" ht="15.75" customHeight="1">
      <c r="A1165" s="25" t="str">
        <f>'VIX HISTORIQUE'!A1168</f>
        <v/>
      </c>
      <c r="B1165" s="22" t="str">
        <f>'VIX HISTORIQUE'!B1168</f>
        <v/>
      </c>
      <c r="C1165" s="22" t="str">
        <f>'VIX HISTORIQUE'!D1168</f>
        <v/>
      </c>
      <c r="D1165" s="22" t="str">
        <f>'VIX HISTORIQUE'!F1168</f>
        <v/>
      </c>
      <c r="E1165" s="22" t="str">
        <f>'VIX HISTORIQUE'!H1168</f>
        <v/>
      </c>
      <c r="F1165" s="22" t="str">
        <f>'VIX HISTORIQUE'!J1168</f>
        <v/>
      </c>
    </row>
    <row r="1166" ht="15.75" customHeight="1">
      <c r="A1166" s="25" t="str">
        <f>'VIX HISTORIQUE'!A1169</f>
        <v/>
      </c>
      <c r="B1166" s="22" t="str">
        <f>'VIX HISTORIQUE'!B1169</f>
        <v/>
      </c>
      <c r="C1166" s="22" t="str">
        <f>'VIX HISTORIQUE'!D1169</f>
        <v/>
      </c>
      <c r="D1166" s="22" t="str">
        <f>'VIX HISTORIQUE'!F1169</f>
        <v/>
      </c>
      <c r="E1166" s="22" t="str">
        <f>'VIX HISTORIQUE'!H1169</f>
        <v/>
      </c>
      <c r="F1166" s="22" t="str">
        <f>'VIX HISTORIQUE'!J1169</f>
        <v/>
      </c>
    </row>
    <row r="1167" ht="15.75" customHeight="1">
      <c r="A1167" s="25" t="str">
        <f>'VIX HISTORIQUE'!A1170</f>
        <v/>
      </c>
      <c r="B1167" s="22" t="str">
        <f>'VIX HISTORIQUE'!B1170</f>
        <v/>
      </c>
      <c r="C1167" s="22" t="str">
        <f>'VIX HISTORIQUE'!D1170</f>
        <v/>
      </c>
      <c r="D1167" s="22" t="str">
        <f>'VIX HISTORIQUE'!F1170</f>
        <v/>
      </c>
      <c r="E1167" s="22" t="str">
        <f>'VIX HISTORIQUE'!H1170</f>
        <v/>
      </c>
      <c r="F1167" s="22" t="str">
        <f>'VIX HISTORIQUE'!J1170</f>
        <v/>
      </c>
    </row>
    <row r="1168" ht="15.75" customHeight="1">
      <c r="A1168" s="25" t="str">
        <f>'VIX HISTORIQUE'!A1171</f>
        <v/>
      </c>
      <c r="B1168" s="22" t="str">
        <f>'VIX HISTORIQUE'!B1171</f>
        <v/>
      </c>
      <c r="C1168" s="22" t="str">
        <f>'VIX HISTORIQUE'!D1171</f>
        <v/>
      </c>
      <c r="D1168" s="22" t="str">
        <f>'VIX HISTORIQUE'!F1171</f>
        <v/>
      </c>
      <c r="E1168" s="22" t="str">
        <f>'VIX HISTORIQUE'!H1171</f>
        <v/>
      </c>
      <c r="F1168" s="22" t="str">
        <f>'VIX HISTORIQUE'!J1171</f>
        <v/>
      </c>
    </row>
    <row r="1169" ht="15.75" customHeight="1">
      <c r="A1169" s="25" t="str">
        <f>'VIX HISTORIQUE'!A1172</f>
        <v/>
      </c>
      <c r="B1169" s="22" t="str">
        <f>'VIX HISTORIQUE'!B1172</f>
        <v/>
      </c>
      <c r="C1169" s="22" t="str">
        <f>'VIX HISTORIQUE'!D1172</f>
        <v/>
      </c>
      <c r="D1169" s="22" t="str">
        <f>'VIX HISTORIQUE'!F1172</f>
        <v/>
      </c>
      <c r="E1169" s="22" t="str">
        <f>'VIX HISTORIQUE'!H1172</f>
        <v/>
      </c>
      <c r="F1169" s="22" t="str">
        <f>'VIX HISTORIQUE'!J1172</f>
        <v/>
      </c>
    </row>
    <row r="1170" ht="15.75" customHeight="1">
      <c r="A1170" s="25" t="str">
        <f>'VIX HISTORIQUE'!A1173</f>
        <v/>
      </c>
      <c r="B1170" s="22" t="str">
        <f>'VIX HISTORIQUE'!B1173</f>
        <v/>
      </c>
      <c r="C1170" s="22" t="str">
        <f>'VIX HISTORIQUE'!D1173</f>
        <v/>
      </c>
      <c r="D1170" s="22" t="str">
        <f>'VIX HISTORIQUE'!F1173</f>
        <v/>
      </c>
      <c r="E1170" s="22" t="str">
        <f>'VIX HISTORIQUE'!H1173</f>
        <v/>
      </c>
      <c r="F1170" s="22" t="str">
        <f>'VIX HISTORIQUE'!J1173</f>
        <v/>
      </c>
    </row>
    <row r="1171" ht="15.75" customHeight="1">
      <c r="A1171" s="25" t="str">
        <f>'VIX HISTORIQUE'!A1174</f>
        <v/>
      </c>
      <c r="B1171" s="22" t="str">
        <f>'VIX HISTORIQUE'!B1174</f>
        <v/>
      </c>
      <c r="C1171" s="22" t="str">
        <f>'VIX HISTORIQUE'!D1174</f>
        <v/>
      </c>
      <c r="D1171" s="22" t="str">
        <f>'VIX HISTORIQUE'!F1174</f>
        <v/>
      </c>
      <c r="E1171" s="22" t="str">
        <f>'VIX HISTORIQUE'!H1174</f>
        <v/>
      </c>
      <c r="F1171" s="22" t="str">
        <f>'VIX HISTORIQUE'!J1174</f>
        <v/>
      </c>
    </row>
    <row r="1172" ht="15.75" customHeight="1">
      <c r="A1172" s="25" t="str">
        <f>'VIX HISTORIQUE'!A1175</f>
        <v/>
      </c>
      <c r="B1172" s="22" t="str">
        <f>'VIX HISTORIQUE'!B1175</f>
        <v/>
      </c>
      <c r="C1172" s="22" t="str">
        <f>'VIX HISTORIQUE'!D1175</f>
        <v/>
      </c>
      <c r="D1172" s="22" t="str">
        <f>'VIX HISTORIQUE'!F1175</f>
        <v/>
      </c>
      <c r="E1172" s="22" t="str">
        <f>'VIX HISTORIQUE'!H1175</f>
        <v/>
      </c>
      <c r="F1172" s="22" t="str">
        <f>'VIX HISTORIQUE'!J1175</f>
        <v/>
      </c>
    </row>
    <row r="1173" ht="15.75" customHeight="1">
      <c r="A1173" s="25" t="str">
        <f>'VIX HISTORIQUE'!A1176</f>
        <v/>
      </c>
      <c r="B1173" s="22" t="str">
        <f>'VIX HISTORIQUE'!B1176</f>
        <v/>
      </c>
      <c r="C1173" s="22" t="str">
        <f>'VIX HISTORIQUE'!D1176</f>
        <v/>
      </c>
      <c r="D1173" s="22" t="str">
        <f>'VIX HISTORIQUE'!F1176</f>
        <v/>
      </c>
      <c r="E1173" s="22" t="str">
        <f>'VIX HISTORIQUE'!H1176</f>
        <v/>
      </c>
      <c r="F1173" s="22" t="str">
        <f>'VIX HISTORIQUE'!J1176</f>
        <v/>
      </c>
    </row>
    <row r="1174" ht="15.75" customHeight="1">
      <c r="A1174" s="25" t="str">
        <f>'VIX HISTORIQUE'!A1177</f>
        <v/>
      </c>
      <c r="B1174" s="22" t="str">
        <f>'VIX HISTORIQUE'!B1177</f>
        <v/>
      </c>
      <c r="C1174" s="22" t="str">
        <f>'VIX HISTORIQUE'!D1177</f>
        <v/>
      </c>
      <c r="D1174" s="22" t="str">
        <f>'VIX HISTORIQUE'!F1177</f>
        <v/>
      </c>
      <c r="E1174" s="22" t="str">
        <f>'VIX HISTORIQUE'!H1177</f>
        <v/>
      </c>
      <c r="F1174" s="22" t="str">
        <f>'VIX HISTORIQUE'!J1177</f>
        <v/>
      </c>
    </row>
    <row r="1175" ht="15.75" customHeight="1">
      <c r="A1175" s="25" t="str">
        <f>'VIX HISTORIQUE'!A1178</f>
        <v/>
      </c>
      <c r="B1175" s="22" t="str">
        <f>'VIX HISTORIQUE'!B1178</f>
        <v/>
      </c>
      <c r="C1175" s="22" t="str">
        <f>'VIX HISTORIQUE'!D1178</f>
        <v/>
      </c>
      <c r="D1175" s="22" t="str">
        <f>'VIX HISTORIQUE'!F1178</f>
        <v/>
      </c>
      <c r="E1175" s="22" t="str">
        <f>'VIX HISTORIQUE'!H1178</f>
        <v/>
      </c>
      <c r="F1175" s="22" t="str">
        <f>'VIX HISTORIQUE'!J1178</f>
        <v/>
      </c>
    </row>
    <row r="1176" ht="15.75" customHeight="1">
      <c r="A1176" s="25" t="str">
        <f>'VIX HISTORIQUE'!A1179</f>
        <v/>
      </c>
      <c r="B1176" s="22" t="str">
        <f>'VIX HISTORIQUE'!B1179</f>
        <v/>
      </c>
      <c r="C1176" s="22" t="str">
        <f>'VIX HISTORIQUE'!D1179</f>
        <v/>
      </c>
      <c r="D1176" s="22" t="str">
        <f>'VIX HISTORIQUE'!F1179</f>
        <v/>
      </c>
      <c r="E1176" s="22" t="str">
        <f>'VIX HISTORIQUE'!H1179</f>
        <v/>
      </c>
      <c r="F1176" s="22" t="str">
        <f>'VIX HISTORIQUE'!J1179</f>
        <v/>
      </c>
    </row>
    <row r="1177" ht="15.75" customHeight="1">
      <c r="A1177" s="25" t="str">
        <f>'VIX HISTORIQUE'!A1180</f>
        <v/>
      </c>
      <c r="B1177" s="22" t="str">
        <f>'VIX HISTORIQUE'!B1180</f>
        <v/>
      </c>
      <c r="C1177" s="22" t="str">
        <f>'VIX HISTORIQUE'!D1180</f>
        <v/>
      </c>
      <c r="D1177" s="22" t="str">
        <f>'VIX HISTORIQUE'!F1180</f>
        <v/>
      </c>
      <c r="E1177" s="22" t="str">
        <f>'VIX HISTORIQUE'!H1180</f>
        <v/>
      </c>
      <c r="F1177" s="22" t="str">
        <f>'VIX HISTORIQUE'!J1180</f>
        <v/>
      </c>
    </row>
    <row r="1178" ht="15.75" customHeight="1">
      <c r="A1178" s="25" t="str">
        <f>'VIX HISTORIQUE'!A1181</f>
        <v/>
      </c>
      <c r="B1178" s="22" t="str">
        <f>'VIX HISTORIQUE'!B1181</f>
        <v/>
      </c>
      <c r="C1178" s="22" t="str">
        <f>'VIX HISTORIQUE'!D1181</f>
        <v/>
      </c>
      <c r="D1178" s="22" t="str">
        <f>'VIX HISTORIQUE'!F1181</f>
        <v/>
      </c>
      <c r="E1178" s="22" t="str">
        <f>'VIX HISTORIQUE'!H1181</f>
        <v/>
      </c>
      <c r="F1178" s="22" t="str">
        <f>'VIX HISTORIQUE'!J1181</f>
        <v/>
      </c>
    </row>
    <row r="1179" ht="15.75" customHeight="1">
      <c r="A1179" s="25" t="str">
        <f>'VIX HISTORIQUE'!A1182</f>
        <v/>
      </c>
      <c r="B1179" s="22" t="str">
        <f>'VIX HISTORIQUE'!B1182</f>
        <v/>
      </c>
      <c r="C1179" s="22" t="str">
        <f>'VIX HISTORIQUE'!D1182</f>
        <v/>
      </c>
      <c r="D1179" s="22" t="str">
        <f>'VIX HISTORIQUE'!F1182</f>
        <v/>
      </c>
      <c r="E1179" s="22" t="str">
        <f>'VIX HISTORIQUE'!H1182</f>
        <v/>
      </c>
      <c r="F1179" s="22" t="str">
        <f>'VIX HISTORIQUE'!J1182</f>
        <v/>
      </c>
    </row>
    <row r="1180" ht="15.75" customHeight="1">
      <c r="A1180" s="25" t="str">
        <f>'VIX HISTORIQUE'!A1183</f>
        <v/>
      </c>
      <c r="B1180" s="22" t="str">
        <f>'VIX HISTORIQUE'!B1183</f>
        <v/>
      </c>
      <c r="C1180" s="22" t="str">
        <f>'VIX HISTORIQUE'!D1183</f>
        <v/>
      </c>
      <c r="D1180" s="22" t="str">
        <f>'VIX HISTORIQUE'!F1183</f>
        <v/>
      </c>
      <c r="E1180" s="22" t="str">
        <f>'VIX HISTORIQUE'!H1183</f>
        <v/>
      </c>
      <c r="F1180" s="22" t="str">
        <f>'VIX HISTORIQUE'!J1183</f>
        <v/>
      </c>
    </row>
    <row r="1181" ht="15.75" customHeight="1">
      <c r="A1181" s="25" t="str">
        <f>'VIX HISTORIQUE'!A1184</f>
        <v/>
      </c>
      <c r="B1181" s="22" t="str">
        <f>'VIX HISTORIQUE'!B1184</f>
        <v/>
      </c>
      <c r="C1181" s="22" t="str">
        <f>'VIX HISTORIQUE'!D1184</f>
        <v/>
      </c>
      <c r="D1181" s="22" t="str">
        <f>'VIX HISTORIQUE'!F1184</f>
        <v/>
      </c>
      <c r="E1181" s="22" t="str">
        <f>'VIX HISTORIQUE'!H1184</f>
        <v/>
      </c>
      <c r="F1181" s="22" t="str">
        <f>'VIX HISTORIQUE'!J1184</f>
        <v/>
      </c>
    </row>
    <row r="1182" ht="15.75" customHeight="1">
      <c r="A1182" s="25" t="str">
        <f>'VIX HISTORIQUE'!A1185</f>
        <v/>
      </c>
      <c r="B1182" s="22" t="str">
        <f>'VIX HISTORIQUE'!B1185</f>
        <v/>
      </c>
      <c r="C1182" s="22" t="str">
        <f>'VIX HISTORIQUE'!D1185</f>
        <v/>
      </c>
      <c r="D1182" s="22" t="str">
        <f>'VIX HISTORIQUE'!F1185</f>
        <v/>
      </c>
      <c r="E1182" s="22" t="str">
        <f>'VIX HISTORIQUE'!H1185</f>
        <v/>
      </c>
      <c r="F1182" s="22" t="str">
        <f>'VIX HISTORIQUE'!J1185</f>
        <v/>
      </c>
    </row>
    <row r="1183" ht="15.75" customHeight="1">
      <c r="A1183" s="25" t="str">
        <f>'VIX HISTORIQUE'!A1186</f>
        <v/>
      </c>
      <c r="B1183" s="22" t="str">
        <f>'VIX HISTORIQUE'!B1186</f>
        <v/>
      </c>
      <c r="C1183" s="22" t="str">
        <f>'VIX HISTORIQUE'!D1186</f>
        <v/>
      </c>
      <c r="D1183" s="22" t="str">
        <f>'VIX HISTORIQUE'!F1186</f>
        <v/>
      </c>
      <c r="E1183" s="22" t="str">
        <f>'VIX HISTORIQUE'!H1186</f>
        <v/>
      </c>
      <c r="F1183" s="22" t="str">
        <f>'VIX HISTORIQUE'!J1186</f>
        <v/>
      </c>
    </row>
    <row r="1184" ht="15.75" customHeight="1">
      <c r="A1184" s="25" t="str">
        <f>'VIX HISTORIQUE'!A1187</f>
        <v/>
      </c>
      <c r="B1184" s="22" t="str">
        <f>'VIX HISTORIQUE'!B1187</f>
        <v/>
      </c>
      <c r="C1184" s="22" t="str">
        <f>'VIX HISTORIQUE'!D1187</f>
        <v/>
      </c>
      <c r="D1184" s="22" t="str">
        <f>'VIX HISTORIQUE'!F1187</f>
        <v/>
      </c>
      <c r="E1184" s="22" t="str">
        <f>'VIX HISTORIQUE'!H1187</f>
        <v/>
      </c>
      <c r="F1184" s="22" t="str">
        <f>'VIX HISTORIQUE'!J1187</f>
        <v/>
      </c>
    </row>
    <row r="1185" ht="15.75" customHeight="1">
      <c r="A1185" s="25" t="str">
        <f>'VIX HISTORIQUE'!A1188</f>
        <v/>
      </c>
      <c r="B1185" s="22" t="str">
        <f>'VIX HISTORIQUE'!B1188</f>
        <v/>
      </c>
      <c r="C1185" s="22" t="str">
        <f>'VIX HISTORIQUE'!D1188</f>
        <v/>
      </c>
      <c r="D1185" s="22" t="str">
        <f>'VIX HISTORIQUE'!F1188</f>
        <v/>
      </c>
      <c r="E1185" s="22" t="str">
        <f>'VIX HISTORIQUE'!H1188</f>
        <v/>
      </c>
      <c r="F1185" s="22" t="str">
        <f>'VIX HISTORIQUE'!J1188</f>
        <v/>
      </c>
    </row>
    <row r="1186" ht="15.75" customHeight="1">
      <c r="A1186" s="25" t="str">
        <f>'VIX HISTORIQUE'!A1189</f>
        <v/>
      </c>
      <c r="B1186" s="22" t="str">
        <f>'VIX HISTORIQUE'!B1189</f>
        <v/>
      </c>
      <c r="C1186" s="22" t="str">
        <f>'VIX HISTORIQUE'!D1189</f>
        <v/>
      </c>
      <c r="D1186" s="22" t="str">
        <f>'VIX HISTORIQUE'!F1189</f>
        <v/>
      </c>
      <c r="E1186" s="22" t="str">
        <f>'VIX HISTORIQUE'!H1189</f>
        <v/>
      </c>
      <c r="F1186" s="22" t="str">
        <f>'VIX HISTORIQUE'!J1189</f>
        <v/>
      </c>
    </row>
    <row r="1187" ht="15.75" customHeight="1">
      <c r="A1187" s="25" t="str">
        <f>'VIX HISTORIQUE'!A1190</f>
        <v/>
      </c>
      <c r="B1187" s="22" t="str">
        <f>'VIX HISTORIQUE'!B1190</f>
        <v/>
      </c>
      <c r="C1187" s="22" t="str">
        <f>'VIX HISTORIQUE'!D1190</f>
        <v/>
      </c>
      <c r="D1187" s="22" t="str">
        <f>'VIX HISTORIQUE'!F1190</f>
        <v/>
      </c>
      <c r="E1187" s="22" t="str">
        <f>'VIX HISTORIQUE'!H1190</f>
        <v/>
      </c>
      <c r="F1187" s="22" t="str">
        <f>'VIX HISTORIQUE'!J1190</f>
        <v/>
      </c>
    </row>
    <row r="1188" ht="15.75" customHeight="1">
      <c r="A1188" s="25" t="str">
        <f>'VIX HISTORIQUE'!A1191</f>
        <v/>
      </c>
      <c r="B1188" s="22" t="str">
        <f>'VIX HISTORIQUE'!B1191</f>
        <v/>
      </c>
      <c r="C1188" s="22" t="str">
        <f>'VIX HISTORIQUE'!D1191</f>
        <v/>
      </c>
      <c r="D1188" s="22" t="str">
        <f>'VIX HISTORIQUE'!F1191</f>
        <v/>
      </c>
      <c r="E1188" s="22" t="str">
        <f>'VIX HISTORIQUE'!H1191</f>
        <v/>
      </c>
      <c r="F1188" s="22" t="str">
        <f>'VIX HISTORIQUE'!J1191</f>
        <v/>
      </c>
    </row>
    <row r="1189" ht="15.75" customHeight="1">
      <c r="A1189" s="25" t="str">
        <f>'VIX HISTORIQUE'!A1192</f>
        <v/>
      </c>
      <c r="B1189" s="22" t="str">
        <f>'VIX HISTORIQUE'!B1192</f>
        <v/>
      </c>
      <c r="C1189" s="22" t="str">
        <f>'VIX HISTORIQUE'!D1192</f>
        <v/>
      </c>
      <c r="D1189" s="22" t="str">
        <f>'VIX HISTORIQUE'!F1192</f>
        <v/>
      </c>
      <c r="E1189" s="22" t="str">
        <f>'VIX HISTORIQUE'!H1192</f>
        <v/>
      </c>
      <c r="F1189" s="22" t="str">
        <f>'VIX HISTORIQUE'!J1192</f>
        <v/>
      </c>
    </row>
    <row r="1190" ht="15.75" customHeight="1">
      <c r="A1190" s="25" t="str">
        <f>'VIX HISTORIQUE'!A1193</f>
        <v/>
      </c>
      <c r="B1190" s="22" t="str">
        <f>'VIX HISTORIQUE'!B1193</f>
        <v/>
      </c>
      <c r="C1190" s="22" t="str">
        <f>'VIX HISTORIQUE'!D1193</f>
        <v/>
      </c>
      <c r="D1190" s="22" t="str">
        <f>'VIX HISTORIQUE'!F1193</f>
        <v/>
      </c>
      <c r="E1190" s="22" t="str">
        <f>'VIX HISTORIQUE'!H1193</f>
        <v/>
      </c>
      <c r="F1190" s="22" t="str">
        <f>'VIX HISTORIQUE'!J1193</f>
        <v/>
      </c>
    </row>
    <row r="1191" ht="15.75" customHeight="1">
      <c r="A1191" s="25" t="str">
        <f>'VIX HISTORIQUE'!A1194</f>
        <v/>
      </c>
      <c r="B1191" s="22" t="str">
        <f>'VIX HISTORIQUE'!B1194</f>
        <v/>
      </c>
      <c r="C1191" s="22" t="str">
        <f>'VIX HISTORIQUE'!D1194</f>
        <v/>
      </c>
      <c r="D1191" s="22" t="str">
        <f>'VIX HISTORIQUE'!F1194</f>
        <v/>
      </c>
      <c r="E1191" s="22" t="str">
        <f>'VIX HISTORIQUE'!H1194</f>
        <v/>
      </c>
      <c r="F1191" s="22" t="str">
        <f>'VIX HISTORIQUE'!J1194</f>
        <v/>
      </c>
    </row>
    <row r="1192" ht="15.75" customHeight="1">
      <c r="A1192" s="25" t="str">
        <f>'VIX HISTORIQUE'!A1195</f>
        <v/>
      </c>
      <c r="B1192" s="22" t="str">
        <f>'VIX HISTORIQUE'!B1195</f>
        <v/>
      </c>
      <c r="C1192" s="22" t="str">
        <f>'VIX HISTORIQUE'!D1195</f>
        <v/>
      </c>
      <c r="D1192" s="22" t="str">
        <f>'VIX HISTORIQUE'!F1195</f>
        <v/>
      </c>
      <c r="E1192" s="22" t="str">
        <f>'VIX HISTORIQUE'!H1195</f>
        <v/>
      </c>
      <c r="F1192" s="22" t="str">
        <f>'VIX HISTORIQUE'!J1195</f>
        <v/>
      </c>
    </row>
    <row r="1193" ht="15.75" customHeight="1">
      <c r="A1193" s="25" t="str">
        <f>'VIX HISTORIQUE'!A1196</f>
        <v/>
      </c>
      <c r="B1193" s="22" t="str">
        <f>'VIX HISTORIQUE'!B1196</f>
        <v/>
      </c>
      <c r="C1193" s="22" t="str">
        <f>'VIX HISTORIQUE'!D1196</f>
        <v/>
      </c>
      <c r="D1193" s="22" t="str">
        <f>'VIX HISTORIQUE'!F1196</f>
        <v/>
      </c>
      <c r="E1193" s="22" t="str">
        <f>'VIX HISTORIQUE'!H1196</f>
        <v/>
      </c>
      <c r="F1193" s="22" t="str">
        <f>'VIX HISTORIQUE'!J1196</f>
        <v/>
      </c>
    </row>
    <row r="1194" ht="15.75" customHeight="1">
      <c r="A1194" s="25" t="str">
        <f>'VIX HISTORIQUE'!A1197</f>
        <v/>
      </c>
      <c r="B1194" s="22" t="str">
        <f>'VIX HISTORIQUE'!B1197</f>
        <v/>
      </c>
      <c r="C1194" s="22" t="str">
        <f>'VIX HISTORIQUE'!D1197</f>
        <v/>
      </c>
      <c r="D1194" s="22" t="str">
        <f>'VIX HISTORIQUE'!F1197</f>
        <v/>
      </c>
      <c r="E1194" s="22" t="str">
        <f>'VIX HISTORIQUE'!H1197</f>
        <v/>
      </c>
      <c r="F1194" s="22" t="str">
        <f>'VIX HISTORIQUE'!J1197</f>
        <v/>
      </c>
    </row>
    <row r="1195" ht="15.75" customHeight="1">
      <c r="A1195" s="25" t="str">
        <f>'VIX HISTORIQUE'!A1198</f>
        <v/>
      </c>
      <c r="B1195" s="22" t="str">
        <f>'VIX HISTORIQUE'!B1198</f>
        <v/>
      </c>
      <c r="C1195" s="22" t="str">
        <f>'VIX HISTORIQUE'!D1198</f>
        <v/>
      </c>
      <c r="D1195" s="22" t="str">
        <f>'VIX HISTORIQUE'!F1198</f>
        <v/>
      </c>
      <c r="E1195" s="22" t="str">
        <f>'VIX HISTORIQUE'!H1198</f>
        <v/>
      </c>
      <c r="F1195" s="22" t="str">
        <f>'VIX HISTORIQUE'!J1198</f>
        <v/>
      </c>
    </row>
    <row r="1196" ht="15.75" customHeight="1">
      <c r="A1196" s="25" t="str">
        <f>'VIX HISTORIQUE'!A1199</f>
        <v/>
      </c>
      <c r="B1196" s="22" t="str">
        <f>'VIX HISTORIQUE'!B1199</f>
        <v/>
      </c>
      <c r="C1196" s="22" t="str">
        <f>'VIX HISTORIQUE'!D1199</f>
        <v/>
      </c>
      <c r="D1196" s="22" t="str">
        <f>'VIX HISTORIQUE'!F1199</f>
        <v/>
      </c>
      <c r="E1196" s="22" t="str">
        <f>'VIX HISTORIQUE'!H1199</f>
        <v/>
      </c>
      <c r="F1196" s="22" t="str">
        <f>'VIX HISTORIQUE'!J1199</f>
        <v/>
      </c>
    </row>
    <row r="1197" ht="15.75" customHeight="1">
      <c r="A1197" s="25" t="str">
        <f>'VIX HISTORIQUE'!A1200</f>
        <v/>
      </c>
      <c r="B1197" s="22" t="str">
        <f>'VIX HISTORIQUE'!B1200</f>
        <v/>
      </c>
      <c r="C1197" s="22" t="str">
        <f>'VIX HISTORIQUE'!D1200</f>
        <v/>
      </c>
      <c r="D1197" s="22" t="str">
        <f>'VIX HISTORIQUE'!F1200</f>
        <v/>
      </c>
      <c r="E1197" s="22" t="str">
        <f>'VIX HISTORIQUE'!H1200</f>
        <v/>
      </c>
      <c r="F1197" s="22" t="str">
        <f>'VIX HISTORIQUE'!J1200</f>
        <v/>
      </c>
    </row>
    <row r="1198" ht="15.75" customHeight="1">
      <c r="A1198" s="25" t="str">
        <f>'VIX HISTORIQUE'!A1201</f>
        <v/>
      </c>
      <c r="B1198" s="22" t="str">
        <f>'VIX HISTORIQUE'!B1201</f>
        <v/>
      </c>
      <c r="C1198" s="22" t="str">
        <f>'VIX HISTORIQUE'!D1201</f>
        <v/>
      </c>
      <c r="D1198" s="22" t="str">
        <f>'VIX HISTORIQUE'!F1201</f>
        <v/>
      </c>
      <c r="E1198" s="22" t="str">
        <f>'VIX HISTORIQUE'!H1201</f>
        <v/>
      </c>
      <c r="F1198" s="22" t="str">
        <f>'VIX HISTORIQUE'!J1201</f>
        <v/>
      </c>
    </row>
    <row r="1199" ht="15.75" customHeight="1">
      <c r="A1199" s="25" t="str">
        <f>'VIX HISTORIQUE'!A1202</f>
        <v/>
      </c>
      <c r="B1199" s="22" t="str">
        <f>'VIX HISTORIQUE'!B1202</f>
        <v/>
      </c>
      <c r="C1199" s="22" t="str">
        <f>'VIX HISTORIQUE'!D1202</f>
        <v/>
      </c>
      <c r="D1199" s="22" t="str">
        <f>'VIX HISTORIQUE'!F1202</f>
        <v/>
      </c>
      <c r="E1199" s="22" t="str">
        <f>'VIX HISTORIQUE'!H1202</f>
        <v/>
      </c>
      <c r="F1199" s="22" t="str">
        <f>'VIX HISTORIQUE'!J1202</f>
        <v/>
      </c>
    </row>
    <row r="1200" ht="15.75" customHeight="1">
      <c r="A1200" s="25" t="str">
        <f>'VIX HISTORIQUE'!A1203</f>
        <v/>
      </c>
      <c r="B1200" s="22" t="str">
        <f>'VIX HISTORIQUE'!B1203</f>
        <v/>
      </c>
      <c r="C1200" s="22" t="str">
        <f>'VIX HISTORIQUE'!D1203</f>
        <v/>
      </c>
      <c r="D1200" s="22" t="str">
        <f>'VIX HISTORIQUE'!F1203</f>
        <v/>
      </c>
      <c r="E1200" s="22" t="str">
        <f>'VIX HISTORIQUE'!H1203</f>
        <v/>
      </c>
      <c r="F1200" s="22" t="str">
        <f>'VIX HISTORIQUE'!J1203</f>
        <v/>
      </c>
    </row>
    <row r="1201" ht="15.75" customHeight="1">
      <c r="A1201" s="25" t="str">
        <f>'VIX HISTORIQUE'!A1204</f>
        <v/>
      </c>
      <c r="B1201" s="22" t="str">
        <f>'VIX HISTORIQUE'!B1204</f>
        <v/>
      </c>
      <c r="C1201" s="22" t="str">
        <f>'VIX HISTORIQUE'!D1204</f>
        <v/>
      </c>
      <c r="D1201" s="22" t="str">
        <f>'VIX HISTORIQUE'!F1204</f>
        <v/>
      </c>
      <c r="E1201" s="22" t="str">
        <f>'VIX HISTORIQUE'!H1204</f>
        <v/>
      </c>
      <c r="F1201" s="22" t="str">
        <f>'VIX HISTORIQUE'!J1204</f>
        <v/>
      </c>
    </row>
    <row r="1202" ht="15.75" customHeight="1">
      <c r="A1202" s="25" t="str">
        <f>'VIX HISTORIQUE'!A1205</f>
        <v/>
      </c>
      <c r="B1202" s="22" t="str">
        <f>'VIX HISTORIQUE'!B1205</f>
        <v/>
      </c>
      <c r="C1202" s="22" t="str">
        <f>'VIX HISTORIQUE'!D1205</f>
        <v/>
      </c>
      <c r="D1202" s="22" t="str">
        <f>'VIX HISTORIQUE'!F1205</f>
        <v/>
      </c>
      <c r="E1202" s="22" t="str">
        <f>'VIX HISTORIQUE'!H1205</f>
        <v/>
      </c>
      <c r="F1202" s="22" t="str">
        <f>'VIX HISTORIQUE'!J1205</f>
        <v/>
      </c>
    </row>
    <row r="1203" ht="15.75" customHeight="1">
      <c r="A1203" s="25" t="str">
        <f>'VIX HISTORIQUE'!A1206</f>
        <v/>
      </c>
      <c r="B1203" s="22" t="str">
        <f>'VIX HISTORIQUE'!B1206</f>
        <v/>
      </c>
      <c r="C1203" s="22" t="str">
        <f>'VIX HISTORIQUE'!D1206</f>
        <v/>
      </c>
      <c r="D1203" s="22" t="str">
        <f>'VIX HISTORIQUE'!F1206</f>
        <v/>
      </c>
      <c r="E1203" s="22" t="str">
        <f>'VIX HISTORIQUE'!H1206</f>
        <v/>
      </c>
      <c r="F1203" s="22" t="str">
        <f>'VIX HISTORIQUE'!J1206</f>
        <v/>
      </c>
    </row>
    <row r="1204" ht="15.75" customHeight="1">
      <c r="A1204" s="25" t="str">
        <f>'VIX HISTORIQUE'!A1207</f>
        <v/>
      </c>
      <c r="B1204" s="22" t="str">
        <f>'VIX HISTORIQUE'!B1207</f>
        <v/>
      </c>
      <c r="C1204" s="22" t="str">
        <f>'VIX HISTORIQUE'!D1207</f>
        <v/>
      </c>
      <c r="D1204" s="22" t="str">
        <f>'VIX HISTORIQUE'!F1207</f>
        <v/>
      </c>
      <c r="E1204" s="22" t="str">
        <f>'VIX HISTORIQUE'!H1207</f>
        <v/>
      </c>
      <c r="F1204" s="22" t="str">
        <f>'VIX HISTORIQUE'!J1207</f>
        <v/>
      </c>
    </row>
    <row r="1205" ht="15.75" customHeight="1">
      <c r="A1205" s="25" t="str">
        <f>'VIX HISTORIQUE'!A1208</f>
        <v/>
      </c>
      <c r="B1205" s="22" t="str">
        <f>'VIX HISTORIQUE'!B1208</f>
        <v/>
      </c>
      <c r="C1205" s="22" t="str">
        <f>'VIX HISTORIQUE'!D1208</f>
        <v/>
      </c>
      <c r="D1205" s="22" t="str">
        <f>'VIX HISTORIQUE'!F1208</f>
        <v/>
      </c>
      <c r="E1205" s="22" t="str">
        <f>'VIX HISTORIQUE'!H1208</f>
        <v/>
      </c>
      <c r="F1205" s="22" t="str">
        <f>'VIX HISTORIQUE'!J1208</f>
        <v/>
      </c>
    </row>
    <row r="1206" ht="15.75" customHeight="1">
      <c r="A1206" s="25" t="str">
        <f>'VIX HISTORIQUE'!A1209</f>
        <v/>
      </c>
      <c r="B1206" s="22" t="str">
        <f>'VIX HISTORIQUE'!B1209</f>
        <v/>
      </c>
      <c r="C1206" s="22" t="str">
        <f>'VIX HISTORIQUE'!D1209</f>
        <v/>
      </c>
      <c r="D1206" s="22" t="str">
        <f>'VIX HISTORIQUE'!F1209</f>
        <v/>
      </c>
      <c r="E1206" s="22" t="str">
        <f>'VIX HISTORIQUE'!H1209</f>
        <v/>
      </c>
      <c r="F1206" s="22" t="str">
        <f>'VIX HISTORIQUE'!J1209</f>
        <v/>
      </c>
    </row>
    <row r="1207" ht="15.75" customHeight="1">
      <c r="A1207" s="25" t="str">
        <f>'VIX HISTORIQUE'!A1210</f>
        <v/>
      </c>
      <c r="B1207" s="22" t="str">
        <f>'VIX HISTORIQUE'!B1210</f>
        <v/>
      </c>
      <c r="C1207" s="22" t="str">
        <f>'VIX HISTORIQUE'!D1210</f>
        <v/>
      </c>
      <c r="D1207" s="22" t="str">
        <f>'VIX HISTORIQUE'!F1210</f>
        <v/>
      </c>
      <c r="E1207" s="22" t="str">
        <f>'VIX HISTORIQUE'!H1210</f>
        <v/>
      </c>
      <c r="F1207" s="22" t="str">
        <f>'VIX HISTORIQUE'!J1210</f>
        <v/>
      </c>
    </row>
    <row r="1208" ht="15.75" customHeight="1">
      <c r="A1208" s="25" t="str">
        <f>'VIX HISTORIQUE'!A1211</f>
        <v/>
      </c>
      <c r="B1208" s="22" t="str">
        <f>'VIX HISTORIQUE'!B1211</f>
        <v/>
      </c>
      <c r="C1208" s="22" t="str">
        <f>'VIX HISTORIQUE'!D1211</f>
        <v/>
      </c>
      <c r="D1208" s="22" t="str">
        <f>'VIX HISTORIQUE'!F1211</f>
        <v/>
      </c>
      <c r="E1208" s="22" t="str">
        <f>'VIX HISTORIQUE'!H1211</f>
        <v/>
      </c>
      <c r="F1208" s="22" t="str">
        <f>'VIX HISTORIQUE'!J1211</f>
        <v/>
      </c>
    </row>
    <row r="1209" ht="15.75" customHeight="1">
      <c r="A1209" s="25" t="str">
        <f>'VIX HISTORIQUE'!A1212</f>
        <v/>
      </c>
      <c r="B1209" s="22" t="str">
        <f>'VIX HISTORIQUE'!B1212</f>
        <v/>
      </c>
      <c r="C1209" s="22" t="str">
        <f>'VIX HISTORIQUE'!D1212</f>
        <v/>
      </c>
      <c r="D1209" s="22" t="str">
        <f>'VIX HISTORIQUE'!F1212</f>
        <v/>
      </c>
      <c r="E1209" s="22" t="str">
        <f>'VIX HISTORIQUE'!H1212</f>
        <v/>
      </c>
      <c r="F1209" s="22" t="str">
        <f>'VIX HISTORIQUE'!J1212</f>
        <v/>
      </c>
    </row>
    <row r="1210" ht="15.75" customHeight="1">
      <c r="A1210" s="25" t="str">
        <f>'VIX HISTORIQUE'!A1213</f>
        <v/>
      </c>
      <c r="B1210" s="22" t="str">
        <f>'VIX HISTORIQUE'!B1213</f>
        <v/>
      </c>
      <c r="C1210" s="22" t="str">
        <f>'VIX HISTORIQUE'!D1213</f>
        <v/>
      </c>
      <c r="D1210" s="22" t="str">
        <f>'VIX HISTORIQUE'!F1213</f>
        <v/>
      </c>
      <c r="E1210" s="22" t="str">
        <f>'VIX HISTORIQUE'!H1213</f>
        <v/>
      </c>
      <c r="F1210" s="22" t="str">
        <f>'VIX HISTORIQUE'!J1213</f>
        <v/>
      </c>
    </row>
    <row r="1211" ht="15.75" customHeight="1">
      <c r="A1211" s="25" t="str">
        <f>'VIX HISTORIQUE'!A1214</f>
        <v/>
      </c>
      <c r="B1211" s="22" t="str">
        <f>'VIX HISTORIQUE'!B1214</f>
        <v/>
      </c>
      <c r="C1211" s="22" t="str">
        <f>'VIX HISTORIQUE'!D1214</f>
        <v/>
      </c>
      <c r="D1211" s="22" t="str">
        <f>'VIX HISTORIQUE'!F1214</f>
        <v/>
      </c>
      <c r="E1211" s="22" t="str">
        <f>'VIX HISTORIQUE'!H1214</f>
        <v/>
      </c>
      <c r="F1211" s="22" t="str">
        <f>'VIX HISTORIQUE'!J1214</f>
        <v/>
      </c>
    </row>
    <row r="1212" ht="15.75" customHeight="1">
      <c r="A1212" s="25" t="str">
        <f>'VIX HISTORIQUE'!A1215</f>
        <v/>
      </c>
      <c r="B1212" s="22" t="str">
        <f>'VIX HISTORIQUE'!B1215</f>
        <v/>
      </c>
      <c r="C1212" s="22" t="str">
        <f>'VIX HISTORIQUE'!D1215</f>
        <v/>
      </c>
      <c r="D1212" s="22" t="str">
        <f>'VIX HISTORIQUE'!F1215</f>
        <v/>
      </c>
      <c r="E1212" s="22" t="str">
        <f>'VIX HISTORIQUE'!H1215</f>
        <v/>
      </c>
      <c r="F1212" s="22" t="str">
        <f>'VIX HISTORIQUE'!J1215</f>
        <v/>
      </c>
    </row>
    <row r="1213" ht="15.75" customHeight="1">
      <c r="A1213" s="25" t="str">
        <f>'VIX HISTORIQUE'!A1216</f>
        <v/>
      </c>
      <c r="B1213" s="22" t="str">
        <f>'VIX HISTORIQUE'!B1216</f>
        <v/>
      </c>
      <c r="C1213" s="22" t="str">
        <f>'VIX HISTORIQUE'!D1216</f>
        <v/>
      </c>
      <c r="D1213" s="22" t="str">
        <f>'VIX HISTORIQUE'!F1216</f>
        <v/>
      </c>
      <c r="E1213" s="22" t="str">
        <f>'VIX HISTORIQUE'!H1216</f>
        <v/>
      </c>
      <c r="F1213" s="22" t="str">
        <f>'VIX HISTORIQUE'!J1216</f>
        <v/>
      </c>
    </row>
    <row r="1214" ht="15.75" customHeight="1">
      <c r="A1214" s="25" t="str">
        <f>'VIX HISTORIQUE'!A1217</f>
        <v/>
      </c>
      <c r="B1214" s="22" t="str">
        <f>'VIX HISTORIQUE'!B1217</f>
        <v/>
      </c>
      <c r="C1214" s="22" t="str">
        <f>'VIX HISTORIQUE'!D1217</f>
        <v/>
      </c>
      <c r="D1214" s="22" t="str">
        <f>'VIX HISTORIQUE'!F1217</f>
        <v/>
      </c>
      <c r="E1214" s="22" t="str">
        <f>'VIX HISTORIQUE'!H1217</f>
        <v/>
      </c>
      <c r="F1214" s="22" t="str">
        <f>'VIX HISTORIQUE'!J1217</f>
        <v/>
      </c>
    </row>
    <row r="1215" ht="15.75" customHeight="1">
      <c r="A1215" s="25" t="str">
        <f>'VIX HISTORIQUE'!A1218</f>
        <v/>
      </c>
      <c r="B1215" s="22" t="str">
        <f>'VIX HISTORIQUE'!B1218</f>
        <v/>
      </c>
      <c r="C1215" s="22" t="str">
        <f>'VIX HISTORIQUE'!D1218</f>
        <v/>
      </c>
      <c r="D1215" s="22" t="str">
        <f>'VIX HISTORIQUE'!F1218</f>
        <v/>
      </c>
      <c r="E1215" s="22" t="str">
        <f>'VIX HISTORIQUE'!H1218</f>
        <v/>
      </c>
      <c r="F1215" s="22" t="str">
        <f>'VIX HISTORIQUE'!J1218</f>
        <v/>
      </c>
    </row>
    <row r="1216" ht="15.75" customHeight="1">
      <c r="A1216" s="25" t="str">
        <f>'VIX HISTORIQUE'!A1219</f>
        <v/>
      </c>
      <c r="B1216" s="22" t="str">
        <f>'VIX HISTORIQUE'!B1219</f>
        <v/>
      </c>
      <c r="C1216" s="22" t="str">
        <f>'VIX HISTORIQUE'!D1219</f>
        <v/>
      </c>
      <c r="D1216" s="22" t="str">
        <f>'VIX HISTORIQUE'!F1219</f>
        <v/>
      </c>
      <c r="E1216" s="22" t="str">
        <f>'VIX HISTORIQUE'!H1219</f>
        <v/>
      </c>
      <c r="F1216" s="22" t="str">
        <f>'VIX HISTORIQUE'!J1219</f>
        <v/>
      </c>
    </row>
    <row r="1217" ht="15.75" customHeight="1">
      <c r="A1217" s="25" t="str">
        <f>'VIX HISTORIQUE'!A1220</f>
        <v/>
      </c>
      <c r="B1217" s="22" t="str">
        <f>'VIX HISTORIQUE'!B1220</f>
        <v/>
      </c>
      <c r="C1217" s="22" t="str">
        <f>'VIX HISTORIQUE'!D1220</f>
        <v/>
      </c>
      <c r="D1217" s="22" t="str">
        <f>'VIX HISTORIQUE'!F1220</f>
        <v/>
      </c>
      <c r="E1217" s="22" t="str">
        <f>'VIX HISTORIQUE'!H1220</f>
        <v/>
      </c>
      <c r="F1217" s="22" t="str">
        <f>'VIX HISTORIQUE'!J1220</f>
        <v/>
      </c>
    </row>
    <row r="1218" ht="15.75" customHeight="1">
      <c r="A1218" s="25" t="str">
        <f>'VIX HISTORIQUE'!A1221</f>
        <v/>
      </c>
      <c r="B1218" s="22" t="str">
        <f>'VIX HISTORIQUE'!B1221</f>
        <v/>
      </c>
      <c r="C1218" s="22" t="str">
        <f>'VIX HISTORIQUE'!D1221</f>
        <v/>
      </c>
      <c r="D1218" s="22" t="str">
        <f>'VIX HISTORIQUE'!F1221</f>
        <v/>
      </c>
      <c r="E1218" s="22" t="str">
        <f>'VIX HISTORIQUE'!H1221</f>
        <v/>
      </c>
      <c r="F1218" s="22" t="str">
        <f>'VIX HISTORIQUE'!J1221</f>
        <v/>
      </c>
    </row>
    <row r="1219" ht="15.75" customHeight="1">
      <c r="A1219" s="25" t="str">
        <f>'VIX HISTORIQUE'!A1222</f>
        <v/>
      </c>
      <c r="B1219" s="22" t="str">
        <f>'VIX HISTORIQUE'!B1222</f>
        <v/>
      </c>
      <c r="C1219" s="22" t="str">
        <f>'VIX HISTORIQUE'!D1222</f>
        <v/>
      </c>
      <c r="D1219" s="22" t="str">
        <f>'VIX HISTORIQUE'!F1222</f>
        <v/>
      </c>
      <c r="E1219" s="22" t="str">
        <f>'VIX HISTORIQUE'!H1222</f>
        <v/>
      </c>
      <c r="F1219" s="22" t="str">
        <f>'VIX HISTORIQUE'!J1222</f>
        <v/>
      </c>
    </row>
    <row r="1220" ht="15.75" customHeight="1">
      <c r="A1220" s="25" t="str">
        <f>'VIX HISTORIQUE'!A1223</f>
        <v/>
      </c>
      <c r="B1220" s="22" t="str">
        <f>'VIX HISTORIQUE'!B1223</f>
        <v/>
      </c>
      <c r="C1220" s="22" t="str">
        <f>'VIX HISTORIQUE'!D1223</f>
        <v/>
      </c>
      <c r="D1220" s="22" t="str">
        <f>'VIX HISTORIQUE'!F1223</f>
        <v/>
      </c>
      <c r="E1220" s="22" t="str">
        <f>'VIX HISTORIQUE'!H1223</f>
        <v/>
      </c>
      <c r="F1220" s="22" t="str">
        <f>'VIX HISTORIQUE'!J1223</f>
        <v/>
      </c>
    </row>
    <row r="1221" ht="15.75" customHeight="1">
      <c r="A1221" s="25" t="str">
        <f>'VIX HISTORIQUE'!A1224</f>
        <v/>
      </c>
      <c r="B1221" s="22" t="str">
        <f>'VIX HISTORIQUE'!B1224</f>
        <v/>
      </c>
      <c r="C1221" s="22" t="str">
        <f>'VIX HISTORIQUE'!D1224</f>
        <v/>
      </c>
      <c r="D1221" s="22" t="str">
        <f>'VIX HISTORIQUE'!F1224</f>
        <v/>
      </c>
      <c r="E1221" s="22" t="str">
        <f>'VIX HISTORIQUE'!H1224</f>
        <v/>
      </c>
      <c r="F1221" s="22" t="str">
        <f>'VIX HISTORIQUE'!J1224</f>
        <v/>
      </c>
    </row>
    <row r="1222" ht="15.75" customHeight="1">
      <c r="A1222" s="25" t="str">
        <f>'VIX HISTORIQUE'!A1225</f>
        <v/>
      </c>
      <c r="B1222" s="22" t="str">
        <f>'VIX HISTORIQUE'!B1225</f>
        <v/>
      </c>
      <c r="C1222" s="22" t="str">
        <f>'VIX HISTORIQUE'!D1225</f>
        <v/>
      </c>
      <c r="D1222" s="22" t="str">
        <f>'VIX HISTORIQUE'!F1225</f>
        <v/>
      </c>
      <c r="E1222" s="22" t="str">
        <f>'VIX HISTORIQUE'!H1225</f>
        <v/>
      </c>
      <c r="F1222" s="22" t="str">
        <f>'VIX HISTORIQUE'!J1225</f>
        <v/>
      </c>
    </row>
    <row r="1223" ht="15.75" customHeight="1">
      <c r="A1223" s="25" t="str">
        <f>'VIX HISTORIQUE'!A1226</f>
        <v/>
      </c>
      <c r="B1223" s="22" t="str">
        <f>'VIX HISTORIQUE'!B1226</f>
        <v/>
      </c>
      <c r="C1223" s="22" t="str">
        <f>'VIX HISTORIQUE'!D1226</f>
        <v/>
      </c>
      <c r="D1223" s="22" t="str">
        <f>'VIX HISTORIQUE'!F1226</f>
        <v/>
      </c>
      <c r="E1223" s="22" t="str">
        <f>'VIX HISTORIQUE'!H1226</f>
        <v/>
      </c>
      <c r="F1223" s="22" t="str">
        <f>'VIX HISTORIQUE'!J1226</f>
        <v/>
      </c>
    </row>
    <row r="1224" ht="15.75" customHeight="1">
      <c r="A1224" s="25" t="str">
        <f>'VIX HISTORIQUE'!A1227</f>
        <v/>
      </c>
      <c r="B1224" s="22" t="str">
        <f>'VIX HISTORIQUE'!B1227</f>
        <v/>
      </c>
      <c r="C1224" s="22" t="str">
        <f>'VIX HISTORIQUE'!D1227</f>
        <v/>
      </c>
      <c r="D1224" s="22" t="str">
        <f>'VIX HISTORIQUE'!F1227</f>
        <v/>
      </c>
      <c r="E1224" s="22" t="str">
        <f>'VIX HISTORIQUE'!H1227</f>
        <v/>
      </c>
      <c r="F1224" s="22" t="str">
        <f>'VIX HISTORIQUE'!J1227</f>
        <v/>
      </c>
    </row>
    <row r="1225" ht="15.75" customHeight="1">
      <c r="A1225" s="25" t="str">
        <f>'VIX HISTORIQUE'!A1228</f>
        <v/>
      </c>
      <c r="B1225" s="22" t="str">
        <f>'VIX HISTORIQUE'!B1228</f>
        <v/>
      </c>
      <c r="C1225" s="22" t="str">
        <f>'VIX HISTORIQUE'!D1228</f>
        <v/>
      </c>
      <c r="D1225" s="22" t="str">
        <f>'VIX HISTORIQUE'!F1228</f>
        <v/>
      </c>
      <c r="E1225" s="22" t="str">
        <f>'VIX HISTORIQUE'!H1228</f>
        <v/>
      </c>
      <c r="F1225" s="22" t="str">
        <f>'VIX HISTORIQUE'!J1228</f>
        <v/>
      </c>
    </row>
    <row r="1226" ht="15.75" customHeight="1">
      <c r="A1226" s="25" t="str">
        <f>'VIX HISTORIQUE'!A1229</f>
        <v/>
      </c>
      <c r="B1226" s="22" t="str">
        <f>'VIX HISTORIQUE'!B1229</f>
        <v/>
      </c>
      <c r="C1226" s="22" t="str">
        <f>'VIX HISTORIQUE'!D1229</f>
        <v/>
      </c>
      <c r="D1226" s="22" t="str">
        <f>'VIX HISTORIQUE'!F1229</f>
        <v/>
      </c>
      <c r="E1226" s="22" t="str">
        <f>'VIX HISTORIQUE'!H1229</f>
        <v/>
      </c>
      <c r="F1226" s="22" t="str">
        <f>'VIX HISTORIQUE'!J1229</f>
        <v/>
      </c>
    </row>
    <row r="1227" ht="15.75" customHeight="1">
      <c r="A1227" s="25" t="str">
        <f>'VIX HISTORIQUE'!A1230</f>
        <v/>
      </c>
      <c r="B1227" s="22" t="str">
        <f>'VIX HISTORIQUE'!B1230</f>
        <v/>
      </c>
      <c r="C1227" s="22" t="str">
        <f>'VIX HISTORIQUE'!D1230</f>
        <v/>
      </c>
      <c r="D1227" s="22" t="str">
        <f>'VIX HISTORIQUE'!F1230</f>
        <v/>
      </c>
      <c r="E1227" s="22" t="str">
        <f>'VIX HISTORIQUE'!H1230</f>
        <v/>
      </c>
      <c r="F1227" s="22" t="str">
        <f>'VIX HISTORIQUE'!J1230</f>
        <v/>
      </c>
    </row>
    <row r="1228" ht="15.75" customHeight="1">
      <c r="A1228" s="25" t="str">
        <f>'VIX HISTORIQUE'!A1231</f>
        <v/>
      </c>
      <c r="B1228" s="22" t="str">
        <f>'VIX HISTORIQUE'!B1231</f>
        <v/>
      </c>
      <c r="C1228" s="22" t="str">
        <f>'VIX HISTORIQUE'!D1231</f>
        <v/>
      </c>
      <c r="D1228" s="22" t="str">
        <f>'VIX HISTORIQUE'!F1231</f>
        <v/>
      </c>
      <c r="E1228" s="22" t="str">
        <f>'VIX HISTORIQUE'!H1231</f>
        <v/>
      </c>
      <c r="F1228" s="22" t="str">
        <f>'VIX HISTORIQUE'!J1231</f>
        <v/>
      </c>
    </row>
    <row r="1229" ht="15.75" customHeight="1">
      <c r="A1229" s="25" t="str">
        <f>'VIX HISTORIQUE'!A1232</f>
        <v/>
      </c>
      <c r="B1229" s="22" t="str">
        <f>'VIX HISTORIQUE'!B1232</f>
        <v/>
      </c>
      <c r="C1229" s="22" t="str">
        <f>'VIX HISTORIQUE'!D1232</f>
        <v/>
      </c>
      <c r="D1229" s="22" t="str">
        <f>'VIX HISTORIQUE'!F1232</f>
        <v/>
      </c>
      <c r="E1229" s="22" t="str">
        <f>'VIX HISTORIQUE'!H1232</f>
        <v/>
      </c>
      <c r="F1229" s="22" t="str">
        <f>'VIX HISTORIQUE'!J1232</f>
        <v/>
      </c>
    </row>
    <row r="1230" ht="15.75" customHeight="1">
      <c r="A1230" s="25" t="str">
        <f>'VIX HISTORIQUE'!A1233</f>
        <v/>
      </c>
      <c r="B1230" s="22" t="str">
        <f>'VIX HISTORIQUE'!B1233</f>
        <v/>
      </c>
      <c r="C1230" s="22" t="str">
        <f>'VIX HISTORIQUE'!D1233</f>
        <v/>
      </c>
      <c r="D1230" s="22" t="str">
        <f>'VIX HISTORIQUE'!F1233</f>
        <v/>
      </c>
      <c r="E1230" s="22" t="str">
        <f>'VIX HISTORIQUE'!H1233</f>
        <v/>
      </c>
      <c r="F1230" s="22" t="str">
        <f>'VIX HISTORIQUE'!J1233</f>
        <v/>
      </c>
    </row>
    <row r="1231" ht="15.75" customHeight="1">
      <c r="A1231" s="25" t="str">
        <f>'VIX HISTORIQUE'!A1234</f>
        <v/>
      </c>
      <c r="B1231" s="22" t="str">
        <f>'VIX HISTORIQUE'!B1234</f>
        <v/>
      </c>
      <c r="C1231" s="22" t="str">
        <f>'VIX HISTORIQUE'!D1234</f>
        <v/>
      </c>
      <c r="D1231" s="22" t="str">
        <f>'VIX HISTORIQUE'!F1234</f>
        <v/>
      </c>
      <c r="E1231" s="22" t="str">
        <f>'VIX HISTORIQUE'!H1234</f>
        <v/>
      </c>
      <c r="F1231" s="22" t="str">
        <f>'VIX HISTORIQUE'!J1234</f>
        <v/>
      </c>
    </row>
    <row r="1232" ht="15.75" customHeight="1">
      <c r="A1232" s="25" t="str">
        <f>'VIX HISTORIQUE'!A1235</f>
        <v/>
      </c>
      <c r="B1232" s="22" t="str">
        <f>'VIX HISTORIQUE'!B1235</f>
        <v/>
      </c>
      <c r="C1232" s="22" t="str">
        <f>'VIX HISTORIQUE'!D1235</f>
        <v/>
      </c>
      <c r="D1232" s="22" t="str">
        <f>'VIX HISTORIQUE'!F1235</f>
        <v/>
      </c>
      <c r="E1232" s="22" t="str">
        <f>'VIX HISTORIQUE'!H1235</f>
        <v/>
      </c>
      <c r="F1232" s="22" t="str">
        <f>'VIX HISTORIQUE'!J1235</f>
        <v/>
      </c>
    </row>
    <row r="1233" ht="15.75" customHeight="1">
      <c r="A1233" s="25" t="str">
        <f>'VIX HISTORIQUE'!A1236</f>
        <v/>
      </c>
      <c r="B1233" s="22" t="str">
        <f>'VIX HISTORIQUE'!B1236</f>
        <v/>
      </c>
      <c r="C1233" s="22" t="str">
        <f>'VIX HISTORIQUE'!D1236</f>
        <v/>
      </c>
      <c r="D1233" s="22" t="str">
        <f>'VIX HISTORIQUE'!F1236</f>
        <v/>
      </c>
      <c r="E1233" s="22" t="str">
        <f>'VIX HISTORIQUE'!H1236</f>
        <v/>
      </c>
      <c r="F1233" s="22" t="str">
        <f>'VIX HISTORIQUE'!J1236</f>
        <v/>
      </c>
    </row>
    <row r="1234" ht="15.75" customHeight="1">
      <c r="A1234" s="25" t="str">
        <f>'VIX HISTORIQUE'!A1237</f>
        <v/>
      </c>
      <c r="B1234" s="22" t="str">
        <f>'VIX HISTORIQUE'!B1237</f>
        <v/>
      </c>
      <c r="C1234" s="22" t="str">
        <f>'VIX HISTORIQUE'!D1237</f>
        <v/>
      </c>
      <c r="D1234" s="22" t="str">
        <f>'VIX HISTORIQUE'!F1237</f>
        <v/>
      </c>
      <c r="E1234" s="22" t="str">
        <f>'VIX HISTORIQUE'!H1237</f>
        <v/>
      </c>
      <c r="F1234" s="22" t="str">
        <f>'VIX HISTORIQUE'!J1237</f>
        <v/>
      </c>
    </row>
    <row r="1235" ht="15.75" customHeight="1">
      <c r="A1235" s="25" t="str">
        <f>'VIX HISTORIQUE'!A1238</f>
        <v/>
      </c>
      <c r="B1235" s="22" t="str">
        <f>'VIX HISTORIQUE'!B1238</f>
        <v/>
      </c>
      <c r="C1235" s="22" t="str">
        <f>'VIX HISTORIQUE'!D1238</f>
        <v/>
      </c>
      <c r="D1235" s="22" t="str">
        <f>'VIX HISTORIQUE'!F1238</f>
        <v/>
      </c>
      <c r="E1235" s="22" t="str">
        <f>'VIX HISTORIQUE'!H1238</f>
        <v/>
      </c>
      <c r="F1235" s="22" t="str">
        <f>'VIX HISTORIQUE'!J1238</f>
        <v/>
      </c>
    </row>
    <row r="1236" ht="15.75" customHeight="1">
      <c r="A1236" s="25" t="str">
        <f>'VIX HISTORIQUE'!A1239</f>
        <v/>
      </c>
      <c r="B1236" s="22" t="str">
        <f>'VIX HISTORIQUE'!B1239</f>
        <v/>
      </c>
      <c r="C1236" s="22" t="str">
        <f>'VIX HISTORIQUE'!D1239</f>
        <v/>
      </c>
      <c r="D1236" s="22" t="str">
        <f>'VIX HISTORIQUE'!F1239</f>
        <v/>
      </c>
      <c r="E1236" s="22" t="str">
        <f>'VIX HISTORIQUE'!H1239</f>
        <v/>
      </c>
      <c r="F1236" s="22" t="str">
        <f>'VIX HISTORIQUE'!J1239</f>
        <v/>
      </c>
    </row>
    <row r="1237" ht="15.75" customHeight="1">
      <c r="A1237" s="25" t="str">
        <f>'VIX HISTORIQUE'!A1240</f>
        <v/>
      </c>
      <c r="B1237" s="22" t="str">
        <f>'VIX HISTORIQUE'!B1240</f>
        <v/>
      </c>
      <c r="C1237" s="22" t="str">
        <f>'VIX HISTORIQUE'!D1240</f>
        <v/>
      </c>
      <c r="D1237" s="22" t="str">
        <f>'VIX HISTORIQUE'!F1240</f>
        <v/>
      </c>
      <c r="E1237" s="22" t="str">
        <f>'VIX HISTORIQUE'!H1240</f>
        <v/>
      </c>
      <c r="F1237" s="22" t="str">
        <f>'VIX HISTORIQUE'!J1240</f>
        <v/>
      </c>
    </row>
    <row r="1238" ht="15.75" customHeight="1">
      <c r="A1238" s="25" t="str">
        <f>'VIX HISTORIQUE'!A1241</f>
        <v/>
      </c>
      <c r="B1238" s="22" t="str">
        <f>'VIX HISTORIQUE'!B1241</f>
        <v/>
      </c>
      <c r="C1238" s="22" t="str">
        <f>'VIX HISTORIQUE'!D1241</f>
        <v/>
      </c>
      <c r="D1238" s="22" t="str">
        <f>'VIX HISTORIQUE'!F1241</f>
        <v/>
      </c>
      <c r="E1238" s="22" t="str">
        <f>'VIX HISTORIQUE'!H1241</f>
        <v/>
      </c>
      <c r="F1238" s="22" t="str">
        <f>'VIX HISTORIQUE'!J1241</f>
        <v/>
      </c>
    </row>
    <row r="1239" ht="15.75" customHeight="1">
      <c r="A1239" s="25" t="str">
        <f>'VIX HISTORIQUE'!A1242</f>
        <v/>
      </c>
      <c r="B1239" s="22" t="str">
        <f>'VIX HISTORIQUE'!B1242</f>
        <v/>
      </c>
      <c r="C1239" s="22" t="str">
        <f>'VIX HISTORIQUE'!D1242</f>
        <v/>
      </c>
      <c r="D1239" s="22" t="str">
        <f>'VIX HISTORIQUE'!F1242</f>
        <v/>
      </c>
      <c r="E1239" s="22" t="str">
        <f>'VIX HISTORIQUE'!H1242</f>
        <v/>
      </c>
      <c r="F1239" s="22" t="str">
        <f>'VIX HISTORIQUE'!J1242</f>
        <v/>
      </c>
    </row>
    <row r="1240" ht="15.75" customHeight="1">
      <c r="A1240" s="25" t="str">
        <f>'VIX HISTORIQUE'!A1243</f>
        <v/>
      </c>
      <c r="B1240" s="22" t="str">
        <f>'VIX HISTORIQUE'!B1243</f>
        <v/>
      </c>
      <c r="C1240" s="22" t="str">
        <f>'VIX HISTORIQUE'!D1243</f>
        <v/>
      </c>
      <c r="D1240" s="22" t="str">
        <f>'VIX HISTORIQUE'!F1243</f>
        <v/>
      </c>
      <c r="E1240" s="22" t="str">
        <f>'VIX HISTORIQUE'!H1243</f>
        <v/>
      </c>
      <c r="F1240" s="22" t="str">
        <f>'VIX HISTORIQUE'!J1243</f>
        <v/>
      </c>
    </row>
    <row r="1241" ht="15.75" customHeight="1">
      <c r="A1241" s="25" t="str">
        <f>'VIX HISTORIQUE'!A1244</f>
        <v/>
      </c>
      <c r="B1241" s="22" t="str">
        <f>'VIX HISTORIQUE'!B1244</f>
        <v/>
      </c>
      <c r="C1241" s="22" t="str">
        <f>'VIX HISTORIQUE'!D1244</f>
        <v/>
      </c>
      <c r="D1241" s="22" t="str">
        <f>'VIX HISTORIQUE'!F1244</f>
        <v/>
      </c>
      <c r="E1241" s="22" t="str">
        <f>'VIX HISTORIQUE'!H1244</f>
        <v/>
      </c>
      <c r="F1241" s="22" t="str">
        <f>'VIX HISTORIQUE'!J1244</f>
        <v/>
      </c>
    </row>
    <row r="1242" ht="15.75" customHeight="1">
      <c r="A1242" s="25" t="str">
        <f>'VIX HISTORIQUE'!A1245</f>
        <v/>
      </c>
      <c r="B1242" s="22" t="str">
        <f>'VIX HISTORIQUE'!B1245</f>
        <v/>
      </c>
      <c r="C1242" s="22" t="str">
        <f>'VIX HISTORIQUE'!D1245</f>
        <v/>
      </c>
      <c r="D1242" s="22" t="str">
        <f>'VIX HISTORIQUE'!F1245</f>
        <v/>
      </c>
      <c r="E1242" s="22" t="str">
        <f>'VIX HISTORIQUE'!H1245</f>
        <v/>
      </c>
      <c r="F1242" s="22" t="str">
        <f>'VIX HISTORIQUE'!J1245</f>
        <v/>
      </c>
    </row>
    <row r="1243" ht="15.75" customHeight="1">
      <c r="A1243" s="25" t="str">
        <f>'VIX HISTORIQUE'!A1246</f>
        <v/>
      </c>
      <c r="B1243" s="22" t="str">
        <f>'VIX HISTORIQUE'!B1246</f>
        <v/>
      </c>
      <c r="C1243" s="22" t="str">
        <f>'VIX HISTORIQUE'!D1246</f>
        <v/>
      </c>
      <c r="D1243" s="22" t="str">
        <f>'VIX HISTORIQUE'!F1246</f>
        <v/>
      </c>
      <c r="E1243" s="22" t="str">
        <f>'VIX HISTORIQUE'!H1246</f>
        <v/>
      </c>
      <c r="F1243" s="22" t="str">
        <f>'VIX HISTORIQUE'!J1246</f>
        <v/>
      </c>
    </row>
    <row r="1244" ht="15.75" customHeight="1">
      <c r="A1244" s="25" t="str">
        <f>'VIX HISTORIQUE'!A1247</f>
        <v/>
      </c>
      <c r="B1244" s="22" t="str">
        <f>'VIX HISTORIQUE'!B1247</f>
        <v/>
      </c>
      <c r="C1244" s="22" t="str">
        <f>'VIX HISTORIQUE'!D1247</f>
        <v/>
      </c>
      <c r="D1244" s="22" t="str">
        <f>'VIX HISTORIQUE'!F1247</f>
        <v/>
      </c>
      <c r="E1244" s="22" t="str">
        <f>'VIX HISTORIQUE'!H1247</f>
        <v/>
      </c>
      <c r="F1244" s="22" t="str">
        <f>'VIX HISTORIQUE'!J1247</f>
        <v/>
      </c>
    </row>
    <row r="1245" ht="15.75" customHeight="1">
      <c r="A1245" s="25" t="str">
        <f>'VIX HISTORIQUE'!A1248</f>
        <v/>
      </c>
      <c r="B1245" s="22" t="str">
        <f>'VIX HISTORIQUE'!B1248</f>
        <v/>
      </c>
      <c r="C1245" s="22" t="str">
        <f>'VIX HISTORIQUE'!D1248</f>
        <v/>
      </c>
      <c r="D1245" s="22" t="str">
        <f>'VIX HISTORIQUE'!F1248</f>
        <v/>
      </c>
      <c r="E1245" s="22" t="str">
        <f>'VIX HISTORIQUE'!H1248</f>
        <v/>
      </c>
      <c r="F1245" s="22" t="str">
        <f>'VIX HISTORIQUE'!J1248</f>
        <v/>
      </c>
    </row>
    <row r="1246" ht="15.75" customHeight="1">
      <c r="A1246" s="25" t="str">
        <f>'VIX HISTORIQUE'!A1249</f>
        <v/>
      </c>
      <c r="B1246" s="22" t="str">
        <f>'VIX HISTORIQUE'!B1249</f>
        <v/>
      </c>
      <c r="C1246" s="22" t="str">
        <f>'VIX HISTORIQUE'!D1249</f>
        <v/>
      </c>
      <c r="D1246" s="22" t="str">
        <f>'VIX HISTORIQUE'!F1249</f>
        <v/>
      </c>
      <c r="E1246" s="22" t="str">
        <f>'VIX HISTORIQUE'!H1249</f>
        <v/>
      </c>
      <c r="F1246" s="22" t="str">
        <f>'VIX HISTORIQUE'!J1249</f>
        <v/>
      </c>
    </row>
    <row r="1247" ht="15.75" customHeight="1">
      <c r="A1247" s="25" t="str">
        <f>'VIX HISTORIQUE'!A1250</f>
        <v/>
      </c>
      <c r="B1247" s="22" t="str">
        <f>'VIX HISTORIQUE'!B1250</f>
        <v/>
      </c>
      <c r="C1247" s="22" t="str">
        <f>'VIX HISTORIQUE'!D1250</f>
        <v/>
      </c>
      <c r="D1247" s="22" t="str">
        <f>'VIX HISTORIQUE'!F1250</f>
        <v/>
      </c>
      <c r="E1247" s="22" t="str">
        <f>'VIX HISTORIQUE'!H1250</f>
        <v/>
      </c>
      <c r="F1247" s="22" t="str">
        <f>'VIX HISTORIQUE'!J1250</f>
        <v/>
      </c>
    </row>
    <row r="1248" ht="15.75" customHeight="1">
      <c r="A1248" s="25" t="str">
        <f>'VIX HISTORIQUE'!A1251</f>
        <v/>
      </c>
      <c r="B1248" s="22" t="str">
        <f>'VIX HISTORIQUE'!B1251</f>
        <v/>
      </c>
      <c r="C1248" s="22" t="str">
        <f>'VIX HISTORIQUE'!D1251</f>
        <v/>
      </c>
      <c r="D1248" s="22" t="str">
        <f>'VIX HISTORIQUE'!F1251</f>
        <v/>
      </c>
      <c r="E1248" s="22" t="str">
        <f>'VIX HISTORIQUE'!H1251</f>
        <v/>
      </c>
      <c r="F1248" s="22" t="str">
        <f>'VIX HISTORIQUE'!J1251</f>
        <v/>
      </c>
    </row>
    <row r="1249" ht="15.75" customHeight="1">
      <c r="A1249" s="25" t="str">
        <f>'VIX HISTORIQUE'!A1252</f>
        <v/>
      </c>
      <c r="B1249" s="22" t="str">
        <f>'VIX HISTORIQUE'!B1252</f>
        <v/>
      </c>
      <c r="C1249" s="22" t="str">
        <f>'VIX HISTORIQUE'!D1252</f>
        <v/>
      </c>
      <c r="D1249" s="22" t="str">
        <f>'VIX HISTORIQUE'!F1252</f>
        <v/>
      </c>
      <c r="E1249" s="22" t="str">
        <f>'VIX HISTORIQUE'!H1252</f>
        <v/>
      </c>
      <c r="F1249" s="22" t="str">
        <f>'VIX HISTORIQUE'!J1252</f>
        <v/>
      </c>
    </row>
    <row r="1250" ht="15.75" customHeight="1">
      <c r="A1250" s="25" t="str">
        <f>'VIX HISTORIQUE'!A1253</f>
        <v/>
      </c>
      <c r="B1250" s="22" t="str">
        <f>'VIX HISTORIQUE'!B1253</f>
        <v/>
      </c>
      <c r="C1250" s="22" t="str">
        <f>'VIX HISTORIQUE'!D1253</f>
        <v/>
      </c>
      <c r="D1250" s="22" t="str">
        <f>'VIX HISTORIQUE'!F1253</f>
        <v/>
      </c>
      <c r="E1250" s="22" t="str">
        <f>'VIX HISTORIQUE'!H1253</f>
        <v/>
      </c>
      <c r="F1250" s="22" t="str">
        <f>'VIX HISTORIQUE'!J1253</f>
        <v/>
      </c>
    </row>
    <row r="1251" ht="15.75" customHeight="1">
      <c r="A1251" s="25" t="str">
        <f>'VIX HISTORIQUE'!A1254</f>
        <v/>
      </c>
      <c r="B1251" s="22" t="str">
        <f>'VIX HISTORIQUE'!B1254</f>
        <v/>
      </c>
      <c r="C1251" s="22" t="str">
        <f>'VIX HISTORIQUE'!D1254</f>
        <v/>
      </c>
      <c r="D1251" s="22" t="str">
        <f>'VIX HISTORIQUE'!F1254</f>
        <v/>
      </c>
      <c r="E1251" s="22" t="str">
        <f>'VIX HISTORIQUE'!H1254</f>
        <v/>
      </c>
      <c r="F1251" s="22" t="str">
        <f>'VIX HISTORIQUE'!J1254</f>
        <v/>
      </c>
    </row>
    <row r="1252" ht="15.75" customHeight="1">
      <c r="A1252" s="25" t="str">
        <f>'VIX HISTORIQUE'!A1255</f>
        <v/>
      </c>
      <c r="B1252" s="22" t="str">
        <f>'VIX HISTORIQUE'!B1255</f>
        <v/>
      </c>
      <c r="C1252" s="22" t="str">
        <f>'VIX HISTORIQUE'!D1255</f>
        <v/>
      </c>
      <c r="D1252" s="22" t="str">
        <f>'VIX HISTORIQUE'!F1255</f>
        <v/>
      </c>
      <c r="E1252" s="22" t="str">
        <f>'VIX HISTORIQUE'!H1255</f>
        <v/>
      </c>
      <c r="F1252" s="22" t="str">
        <f>'VIX HISTORIQUE'!J1255</f>
        <v/>
      </c>
    </row>
    <row r="1253" ht="15.75" customHeight="1">
      <c r="A1253" s="25" t="str">
        <f>'VIX HISTORIQUE'!A1256</f>
        <v/>
      </c>
      <c r="B1253" s="22" t="str">
        <f>'VIX HISTORIQUE'!B1256</f>
        <v/>
      </c>
      <c r="C1253" s="22" t="str">
        <f>'VIX HISTORIQUE'!D1256</f>
        <v/>
      </c>
      <c r="D1253" s="22" t="str">
        <f>'VIX HISTORIQUE'!F1256</f>
        <v/>
      </c>
      <c r="E1253" s="22" t="str">
        <f>'VIX HISTORIQUE'!H1256</f>
        <v/>
      </c>
      <c r="F1253" s="22" t="str">
        <f>'VIX HISTORIQUE'!J1256</f>
        <v/>
      </c>
    </row>
    <row r="1254" ht="15.75" customHeight="1">
      <c r="A1254" s="25" t="str">
        <f>'VIX HISTORIQUE'!A1257</f>
        <v/>
      </c>
      <c r="B1254" s="22" t="str">
        <f>'VIX HISTORIQUE'!B1257</f>
        <v/>
      </c>
      <c r="C1254" s="22" t="str">
        <f>'VIX HISTORIQUE'!D1257</f>
        <v/>
      </c>
      <c r="D1254" s="22" t="str">
        <f>'VIX HISTORIQUE'!F1257</f>
        <v/>
      </c>
      <c r="E1254" s="22" t="str">
        <f>'VIX HISTORIQUE'!H1257</f>
        <v/>
      </c>
      <c r="F1254" s="22" t="str">
        <f>'VIX HISTORIQUE'!J1257</f>
        <v/>
      </c>
    </row>
    <row r="1255" ht="15.75" customHeight="1">
      <c r="A1255" s="25" t="str">
        <f>'VIX HISTORIQUE'!A1258</f>
        <v/>
      </c>
      <c r="B1255" s="22" t="str">
        <f>'VIX HISTORIQUE'!B1258</f>
        <v/>
      </c>
      <c r="C1255" s="22" t="str">
        <f>'VIX HISTORIQUE'!D1258</f>
        <v/>
      </c>
      <c r="D1255" s="22" t="str">
        <f>'VIX HISTORIQUE'!F1258</f>
        <v/>
      </c>
      <c r="E1255" s="22" t="str">
        <f>'VIX HISTORIQUE'!H1258</f>
        <v/>
      </c>
      <c r="F1255" s="22" t="str">
        <f>'VIX HISTORIQUE'!J1258</f>
        <v/>
      </c>
    </row>
    <row r="1256" ht="15.75" customHeight="1">
      <c r="A1256" s="25" t="str">
        <f>'VIX HISTORIQUE'!A1259</f>
        <v/>
      </c>
      <c r="B1256" s="22" t="str">
        <f>'VIX HISTORIQUE'!B1259</f>
        <v/>
      </c>
      <c r="C1256" s="22" t="str">
        <f>'VIX HISTORIQUE'!D1259</f>
        <v/>
      </c>
      <c r="D1256" s="22" t="str">
        <f>'VIX HISTORIQUE'!F1259</f>
        <v/>
      </c>
      <c r="E1256" s="22" t="str">
        <f>'VIX HISTORIQUE'!H1259</f>
        <v/>
      </c>
      <c r="F1256" s="22" t="str">
        <f>'VIX HISTORIQUE'!J1259</f>
        <v/>
      </c>
    </row>
    <row r="1257" ht="15.75" customHeight="1">
      <c r="A1257" s="25" t="str">
        <f>'VIX HISTORIQUE'!A1260</f>
        <v/>
      </c>
      <c r="B1257" s="22" t="str">
        <f>'VIX HISTORIQUE'!B1260</f>
        <v/>
      </c>
      <c r="C1257" s="22" t="str">
        <f>'VIX HISTORIQUE'!D1260</f>
        <v/>
      </c>
      <c r="D1257" s="22" t="str">
        <f>'VIX HISTORIQUE'!F1260</f>
        <v/>
      </c>
      <c r="E1257" s="22" t="str">
        <f>'VIX HISTORIQUE'!H1260</f>
        <v/>
      </c>
      <c r="F1257" s="22" t="str">
        <f>'VIX HISTORIQUE'!J1260</f>
        <v/>
      </c>
    </row>
    <row r="1258" ht="15.75" customHeight="1">
      <c r="A1258" s="25" t="str">
        <f>'VIX HISTORIQUE'!A1261</f>
        <v/>
      </c>
      <c r="B1258" s="22" t="str">
        <f>'VIX HISTORIQUE'!B1261</f>
        <v/>
      </c>
      <c r="C1258" s="22" t="str">
        <f>'VIX HISTORIQUE'!D1261</f>
        <v/>
      </c>
      <c r="D1258" s="22" t="str">
        <f>'VIX HISTORIQUE'!F1261</f>
        <v/>
      </c>
      <c r="E1258" s="22" t="str">
        <f>'VIX HISTORIQUE'!H1261</f>
        <v/>
      </c>
      <c r="F1258" s="22" t="str">
        <f>'VIX HISTORIQUE'!J1261</f>
        <v/>
      </c>
    </row>
    <row r="1259" ht="15.75" customHeight="1">
      <c r="A1259" s="25" t="str">
        <f>'VIX HISTORIQUE'!A1262</f>
        <v/>
      </c>
      <c r="B1259" s="22" t="str">
        <f>'VIX HISTORIQUE'!B1262</f>
        <v/>
      </c>
      <c r="C1259" s="22" t="str">
        <f>'VIX HISTORIQUE'!D1262</f>
        <v/>
      </c>
      <c r="D1259" s="22" t="str">
        <f>'VIX HISTORIQUE'!F1262</f>
        <v/>
      </c>
      <c r="E1259" s="22" t="str">
        <f>'VIX HISTORIQUE'!H1262</f>
        <v/>
      </c>
      <c r="F1259" s="22" t="str">
        <f>'VIX HISTORIQUE'!J1262</f>
        <v/>
      </c>
    </row>
    <row r="1260" ht="15.75" customHeight="1">
      <c r="A1260" s="25" t="str">
        <f>'VIX HISTORIQUE'!A1263</f>
        <v/>
      </c>
      <c r="B1260" s="22" t="str">
        <f>'VIX HISTORIQUE'!B1263</f>
        <v/>
      </c>
      <c r="C1260" s="22" t="str">
        <f>'VIX HISTORIQUE'!D1263</f>
        <v/>
      </c>
      <c r="D1260" s="22" t="str">
        <f>'VIX HISTORIQUE'!F1263</f>
        <v/>
      </c>
      <c r="E1260" s="22" t="str">
        <f>'VIX HISTORIQUE'!H1263</f>
        <v/>
      </c>
      <c r="F1260" s="22" t="str">
        <f>'VIX HISTORIQUE'!J1263</f>
        <v/>
      </c>
    </row>
    <row r="1261" ht="15.75" customHeight="1">
      <c r="A1261" s="25" t="str">
        <f>'VIX HISTORIQUE'!A1264</f>
        <v/>
      </c>
      <c r="B1261" s="22" t="str">
        <f>'VIX HISTORIQUE'!B1264</f>
        <v/>
      </c>
      <c r="C1261" s="22" t="str">
        <f>'VIX HISTORIQUE'!D1264</f>
        <v/>
      </c>
      <c r="D1261" s="22" t="str">
        <f>'VIX HISTORIQUE'!F1264</f>
        <v/>
      </c>
      <c r="E1261" s="22" t="str">
        <f>'VIX HISTORIQUE'!H1264</f>
        <v/>
      </c>
      <c r="F1261" s="22" t="str">
        <f>'VIX HISTORIQUE'!J1264</f>
        <v/>
      </c>
    </row>
    <row r="1262" ht="15.75" customHeight="1">
      <c r="A1262" s="25" t="str">
        <f>'VIX HISTORIQUE'!A1265</f>
        <v/>
      </c>
      <c r="B1262" s="22" t="str">
        <f>'VIX HISTORIQUE'!B1265</f>
        <v/>
      </c>
      <c r="C1262" s="22" t="str">
        <f>'VIX HISTORIQUE'!D1265</f>
        <v/>
      </c>
      <c r="D1262" s="22" t="str">
        <f>'VIX HISTORIQUE'!F1265</f>
        <v/>
      </c>
      <c r="E1262" s="22" t="str">
        <f>'VIX HISTORIQUE'!H1265</f>
        <v/>
      </c>
      <c r="F1262" s="22" t="str">
        <f>'VIX HISTORIQUE'!J1265</f>
        <v/>
      </c>
    </row>
    <row r="1263" ht="15.75" customHeight="1">
      <c r="A1263" s="25" t="str">
        <f>'VIX HISTORIQUE'!A1266</f>
        <v/>
      </c>
      <c r="B1263" s="22" t="str">
        <f>'VIX HISTORIQUE'!B1266</f>
        <v/>
      </c>
      <c r="C1263" s="22" t="str">
        <f>'VIX HISTORIQUE'!D1266</f>
        <v/>
      </c>
      <c r="D1263" s="22" t="str">
        <f>'VIX HISTORIQUE'!F1266</f>
        <v/>
      </c>
      <c r="E1263" s="22" t="str">
        <f>'VIX HISTORIQUE'!H1266</f>
        <v/>
      </c>
      <c r="F1263" s="22" t="str">
        <f>'VIX HISTORIQUE'!J1266</f>
        <v/>
      </c>
    </row>
    <row r="1264" ht="15.75" customHeight="1">
      <c r="A1264" s="25" t="str">
        <f>'VIX HISTORIQUE'!A1267</f>
        <v/>
      </c>
      <c r="B1264" s="22" t="str">
        <f>'VIX HISTORIQUE'!B1267</f>
        <v/>
      </c>
      <c r="C1264" s="22" t="str">
        <f>'VIX HISTORIQUE'!D1267</f>
        <v/>
      </c>
      <c r="D1264" s="22" t="str">
        <f>'VIX HISTORIQUE'!F1267</f>
        <v/>
      </c>
      <c r="E1264" s="22" t="str">
        <f>'VIX HISTORIQUE'!H1267</f>
        <v/>
      </c>
      <c r="F1264" s="22" t="str">
        <f>'VIX HISTORIQUE'!J1267</f>
        <v/>
      </c>
    </row>
    <row r="1265" ht="15.75" customHeight="1">
      <c r="A1265" s="25" t="str">
        <f>'VIX HISTORIQUE'!A1268</f>
        <v/>
      </c>
      <c r="B1265" s="22" t="str">
        <f>'VIX HISTORIQUE'!B1268</f>
        <v/>
      </c>
      <c r="C1265" s="22" t="str">
        <f>'VIX HISTORIQUE'!D1268</f>
        <v/>
      </c>
      <c r="D1265" s="22" t="str">
        <f>'VIX HISTORIQUE'!F1268</f>
        <v/>
      </c>
      <c r="E1265" s="22" t="str">
        <f>'VIX HISTORIQUE'!H1268</f>
        <v/>
      </c>
      <c r="F1265" s="22" t="str">
        <f>'VIX HISTORIQUE'!J1268</f>
        <v/>
      </c>
    </row>
    <row r="1266" ht="15.75" customHeight="1">
      <c r="A1266" s="25" t="str">
        <f>'VIX HISTORIQUE'!A1269</f>
        <v/>
      </c>
      <c r="B1266" s="22" t="str">
        <f>'VIX HISTORIQUE'!B1269</f>
        <v/>
      </c>
      <c r="C1266" s="22" t="str">
        <f>'VIX HISTORIQUE'!D1269</f>
        <v/>
      </c>
      <c r="D1266" s="22" t="str">
        <f>'VIX HISTORIQUE'!F1269</f>
        <v/>
      </c>
      <c r="E1266" s="22" t="str">
        <f>'VIX HISTORIQUE'!H1269</f>
        <v/>
      </c>
      <c r="F1266" s="22" t="str">
        <f>'VIX HISTORIQUE'!J1269</f>
        <v/>
      </c>
    </row>
    <row r="1267" ht="15.75" customHeight="1">
      <c r="A1267" s="25" t="str">
        <f>'VIX HISTORIQUE'!A1270</f>
        <v/>
      </c>
      <c r="B1267" s="22" t="str">
        <f>'VIX HISTORIQUE'!B1270</f>
        <v/>
      </c>
      <c r="C1267" s="22" t="str">
        <f>'VIX HISTORIQUE'!D1270</f>
        <v/>
      </c>
      <c r="D1267" s="22" t="str">
        <f>'VIX HISTORIQUE'!F1270</f>
        <v/>
      </c>
      <c r="E1267" s="22" t="str">
        <f>'VIX HISTORIQUE'!H1270</f>
        <v/>
      </c>
      <c r="F1267" s="22" t="str">
        <f>'VIX HISTORIQUE'!J1270</f>
        <v/>
      </c>
    </row>
    <row r="1268" ht="15.75" customHeight="1">
      <c r="A1268" s="25" t="str">
        <f>'VIX HISTORIQUE'!A1271</f>
        <v/>
      </c>
      <c r="B1268" s="22" t="str">
        <f>'VIX HISTORIQUE'!B1271</f>
        <v/>
      </c>
      <c r="C1268" s="22" t="str">
        <f>'VIX HISTORIQUE'!D1271</f>
        <v/>
      </c>
      <c r="D1268" s="22" t="str">
        <f>'VIX HISTORIQUE'!F1271</f>
        <v/>
      </c>
      <c r="E1268" s="22" t="str">
        <f>'VIX HISTORIQUE'!H1271</f>
        <v/>
      </c>
      <c r="F1268" s="22" t="str">
        <f>'VIX HISTORIQUE'!J1271</f>
        <v/>
      </c>
    </row>
    <row r="1269" ht="15.75" customHeight="1">
      <c r="A1269" s="25" t="str">
        <f>'VIX HISTORIQUE'!A1272</f>
        <v/>
      </c>
      <c r="B1269" s="22" t="str">
        <f>'VIX HISTORIQUE'!B1272</f>
        <v/>
      </c>
      <c r="C1269" s="22" t="str">
        <f>'VIX HISTORIQUE'!D1272</f>
        <v/>
      </c>
      <c r="D1269" s="22" t="str">
        <f>'VIX HISTORIQUE'!F1272</f>
        <v/>
      </c>
      <c r="E1269" s="22" t="str">
        <f>'VIX HISTORIQUE'!H1272</f>
        <v/>
      </c>
      <c r="F1269" s="22" t="str">
        <f>'VIX HISTORIQUE'!J1272</f>
        <v/>
      </c>
    </row>
    <row r="1270" ht="15.75" customHeight="1">
      <c r="A1270" s="25" t="str">
        <f>'VIX HISTORIQUE'!A1273</f>
        <v/>
      </c>
      <c r="B1270" s="22" t="str">
        <f>'VIX HISTORIQUE'!B1273</f>
        <v/>
      </c>
      <c r="C1270" s="22" t="str">
        <f>'VIX HISTORIQUE'!D1273</f>
        <v/>
      </c>
      <c r="D1270" s="22" t="str">
        <f>'VIX HISTORIQUE'!F1273</f>
        <v/>
      </c>
      <c r="E1270" s="22" t="str">
        <f>'VIX HISTORIQUE'!H1273</f>
        <v/>
      </c>
      <c r="F1270" s="22" t="str">
        <f>'VIX HISTORIQUE'!J1273</f>
        <v/>
      </c>
    </row>
    <row r="1271" ht="15.75" customHeight="1">
      <c r="A1271" s="25" t="str">
        <f>'VIX HISTORIQUE'!A1274</f>
        <v/>
      </c>
      <c r="B1271" s="22" t="str">
        <f>'VIX HISTORIQUE'!B1274</f>
        <v/>
      </c>
      <c r="C1271" s="22" t="str">
        <f>'VIX HISTORIQUE'!D1274</f>
        <v/>
      </c>
      <c r="D1271" s="22" t="str">
        <f>'VIX HISTORIQUE'!F1274</f>
        <v/>
      </c>
      <c r="E1271" s="22" t="str">
        <f>'VIX HISTORIQUE'!H1274</f>
        <v/>
      </c>
      <c r="F1271" s="22" t="str">
        <f>'VIX HISTORIQUE'!J1274</f>
        <v/>
      </c>
    </row>
    <row r="1272" ht="15.75" customHeight="1">
      <c r="A1272" s="25" t="str">
        <f>'VIX HISTORIQUE'!A1275</f>
        <v/>
      </c>
      <c r="B1272" s="22" t="str">
        <f>'VIX HISTORIQUE'!B1275</f>
        <v/>
      </c>
      <c r="C1272" s="22" t="str">
        <f>'VIX HISTORIQUE'!D1275</f>
        <v/>
      </c>
      <c r="D1272" s="22" t="str">
        <f>'VIX HISTORIQUE'!F1275</f>
        <v/>
      </c>
      <c r="E1272" s="22" t="str">
        <f>'VIX HISTORIQUE'!H1275</f>
        <v/>
      </c>
      <c r="F1272" s="22" t="str">
        <f>'VIX HISTORIQUE'!J1275</f>
        <v/>
      </c>
    </row>
    <row r="1273" ht="15.75" customHeight="1">
      <c r="A1273" s="25" t="str">
        <f>'VIX HISTORIQUE'!A1276</f>
        <v/>
      </c>
      <c r="B1273" s="22" t="str">
        <f>'VIX HISTORIQUE'!B1276</f>
        <v/>
      </c>
      <c r="C1273" s="22" t="str">
        <f>'VIX HISTORIQUE'!D1276</f>
        <v/>
      </c>
      <c r="D1273" s="22" t="str">
        <f>'VIX HISTORIQUE'!F1276</f>
        <v/>
      </c>
      <c r="E1273" s="22" t="str">
        <f>'VIX HISTORIQUE'!H1276</f>
        <v/>
      </c>
      <c r="F1273" s="22" t="str">
        <f>'VIX HISTORIQUE'!J1276</f>
        <v/>
      </c>
    </row>
    <row r="1274" ht="15.75" customHeight="1">
      <c r="A1274" s="25" t="str">
        <f>'VIX HISTORIQUE'!A1277</f>
        <v/>
      </c>
      <c r="B1274" s="22" t="str">
        <f>'VIX HISTORIQUE'!B1277</f>
        <v/>
      </c>
      <c r="C1274" s="22" t="str">
        <f>'VIX HISTORIQUE'!D1277</f>
        <v/>
      </c>
      <c r="D1274" s="22" t="str">
        <f>'VIX HISTORIQUE'!F1277</f>
        <v/>
      </c>
      <c r="E1274" s="22" t="str">
        <f>'VIX HISTORIQUE'!H1277</f>
        <v/>
      </c>
      <c r="F1274" s="22" t="str">
        <f>'VIX HISTORIQUE'!J1277</f>
        <v/>
      </c>
    </row>
    <row r="1275" ht="15.75" customHeight="1">
      <c r="A1275" s="25" t="str">
        <f>'VIX HISTORIQUE'!A1278</f>
        <v/>
      </c>
      <c r="B1275" s="22" t="str">
        <f>'VIX HISTORIQUE'!B1278</f>
        <v/>
      </c>
      <c r="C1275" s="22" t="str">
        <f>'VIX HISTORIQUE'!D1278</f>
        <v/>
      </c>
      <c r="D1275" s="22" t="str">
        <f>'VIX HISTORIQUE'!F1278</f>
        <v/>
      </c>
      <c r="E1275" s="22" t="str">
        <f>'VIX HISTORIQUE'!H1278</f>
        <v/>
      </c>
      <c r="F1275" s="22" t="str">
        <f>'VIX HISTORIQUE'!J1278</f>
        <v/>
      </c>
    </row>
    <row r="1276" ht="15.75" customHeight="1">
      <c r="A1276" s="25" t="str">
        <f>'VIX HISTORIQUE'!A1279</f>
        <v/>
      </c>
      <c r="B1276" s="22" t="str">
        <f>'VIX HISTORIQUE'!B1279</f>
        <v/>
      </c>
      <c r="C1276" s="22" t="str">
        <f>'VIX HISTORIQUE'!D1279</f>
        <v/>
      </c>
      <c r="D1276" s="22" t="str">
        <f>'VIX HISTORIQUE'!F1279</f>
        <v/>
      </c>
      <c r="E1276" s="22" t="str">
        <f>'VIX HISTORIQUE'!H1279</f>
        <v/>
      </c>
      <c r="F1276" s="22" t="str">
        <f>'VIX HISTORIQUE'!J1279</f>
        <v/>
      </c>
    </row>
    <row r="1277" ht="15.75" customHeight="1">
      <c r="A1277" s="25" t="str">
        <f>'VIX HISTORIQUE'!A1280</f>
        <v/>
      </c>
      <c r="B1277" s="22" t="str">
        <f>'VIX HISTORIQUE'!B1280</f>
        <v/>
      </c>
      <c r="C1277" s="22" t="str">
        <f>'VIX HISTORIQUE'!D1280</f>
        <v/>
      </c>
      <c r="D1277" s="22" t="str">
        <f>'VIX HISTORIQUE'!F1280</f>
        <v/>
      </c>
      <c r="E1277" s="22" t="str">
        <f>'VIX HISTORIQUE'!H1280</f>
        <v/>
      </c>
      <c r="F1277" s="22" t="str">
        <f>'VIX HISTORIQUE'!J1280</f>
        <v/>
      </c>
    </row>
    <row r="1278" ht="15.75" customHeight="1">
      <c r="A1278" s="25" t="str">
        <f>'VIX HISTORIQUE'!A1281</f>
        <v/>
      </c>
      <c r="B1278" s="22" t="str">
        <f>'VIX HISTORIQUE'!B1281</f>
        <v/>
      </c>
      <c r="C1278" s="22" t="str">
        <f>'VIX HISTORIQUE'!D1281</f>
        <v/>
      </c>
      <c r="D1278" s="22" t="str">
        <f>'VIX HISTORIQUE'!F1281</f>
        <v/>
      </c>
      <c r="E1278" s="22" t="str">
        <f>'VIX HISTORIQUE'!H1281</f>
        <v/>
      </c>
      <c r="F1278" s="22" t="str">
        <f>'VIX HISTORIQUE'!J1281</f>
        <v/>
      </c>
    </row>
    <row r="1279" ht="15.75" customHeight="1">
      <c r="A1279" s="25" t="str">
        <f>'VIX HISTORIQUE'!A1282</f>
        <v/>
      </c>
      <c r="B1279" s="22" t="str">
        <f>'VIX HISTORIQUE'!B1282</f>
        <v/>
      </c>
      <c r="C1279" s="22" t="str">
        <f>'VIX HISTORIQUE'!D1282</f>
        <v/>
      </c>
      <c r="D1279" s="22" t="str">
        <f>'VIX HISTORIQUE'!F1282</f>
        <v/>
      </c>
      <c r="E1279" s="22" t="str">
        <f>'VIX HISTORIQUE'!H1282</f>
        <v/>
      </c>
      <c r="F1279" s="22" t="str">
        <f>'VIX HISTORIQUE'!J1282</f>
        <v/>
      </c>
    </row>
    <row r="1280" ht="15.75" customHeight="1">
      <c r="A1280" s="25" t="str">
        <f>'VIX HISTORIQUE'!A1283</f>
        <v/>
      </c>
      <c r="B1280" s="22" t="str">
        <f>'VIX HISTORIQUE'!B1283</f>
        <v/>
      </c>
      <c r="C1280" s="22" t="str">
        <f>'VIX HISTORIQUE'!D1283</f>
        <v/>
      </c>
      <c r="D1280" s="22" t="str">
        <f>'VIX HISTORIQUE'!F1283</f>
        <v/>
      </c>
      <c r="E1280" s="22" t="str">
        <f>'VIX HISTORIQUE'!H1283</f>
        <v/>
      </c>
      <c r="F1280" s="22" t="str">
        <f>'VIX HISTORIQUE'!J1283</f>
        <v/>
      </c>
    </row>
    <row r="1281" ht="15.75" customHeight="1">
      <c r="A1281" s="25" t="str">
        <f>'VIX HISTORIQUE'!A1284</f>
        <v/>
      </c>
      <c r="B1281" s="22" t="str">
        <f>'VIX HISTORIQUE'!B1284</f>
        <v/>
      </c>
      <c r="C1281" s="22" t="str">
        <f>'VIX HISTORIQUE'!D1284</f>
        <v/>
      </c>
      <c r="D1281" s="22" t="str">
        <f>'VIX HISTORIQUE'!F1284</f>
        <v/>
      </c>
      <c r="E1281" s="22" t="str">
        <f>'VIX HISTORIQUE'!H1284</f>
        <v/>
      </c>
      <c r="F1281" s="22" t="str">
        <f>'VIX HISTORIQUE'!J1284</f>
        <v/>
      </c>
    </row>
    <row r="1282" ht="15.75" customHeight="1">
      <c r="A1282" s="25" t="str">
        <f>'VIX HISTORIQUE'!A1285</f>
        <v/>
      </c>
      <c r="B1282" s="22" t="str">
        <f>'VIX HISTORIQUE'!B1285</f>
        <v/>
      </c>
      <c r="C1282" s="22" t="str">
        <f>'VIX HISTORIQUE'!D1285</f>
        <v/>
      </c>
      <c r="D1282" s="22" t="str">
        <f>'VIX HISTORIQUE'!F1285</f>
        <v/>
      </c>
      <c r="E1282" s="22" t="str">
        <f>'VIX HISTORIQUE'!H1285</f>
        <v/>
      </c>
      <c r="F1282" s="22" t="str">
        <f>'VIX HISTORIQUE'!J1285</f>
        <v/>
      </c>
    </row>
    <row r="1283" ht="15.75" customHeight="1">
      <c r="A1283" s="25" t="str">
        <f>'VIX HISTORIQUE'!A1286</f>
        <v/>
      </c>
      <c r="B1283" s="22" t="str">
        <f>'VIX HISTORIQUE'!B1286</f>
        <v/>
      </c>
      <c r="C1283" s="22" t="str">
        <f>'VIX HISTORIQUE'!D1286</f>
        <v/>
      </c>
      <c r="D1283" s="22" t="str">
        <f>'VIX HISTORIQUE'!F1286</f>
        <v/>
      </c>
      <c r="E1283" s="22" t="str">
        <f>'VIX HISTORIQUE'!H1286</f>
        <v/>
      </c>
      <c r="F1283" s="22" t="str">
        <f>'VIX HISTORIQUE'!J1286</f>
        <v/>
      </c>
    </row>
    <row r="1284" ht="15.75" customHeight="1">
      <c r="A1284" s="25" t="str">
        <f>'VIX HISTORIQUE'!A1287</f>
        <v/>
      </c>
      <c r="B1284" s="22" t="str">
        <f>'VIX HISTORIQUE'!B1287</f>
        <v/>
      </c>
      <c r="C1284" s="22" t="str">
        <f>'VIX HISTORIQUE'!D1287</f>
        <v/>
      </c>
      <c r="D1284" s="22" t="str">
        <f>'VIX HISTORIQUE'!F1287</f>
        <v/>
      </c>
      <c r="E1284" s="22" t="str">
        <f>'VIX HISTORIQUE'!H1287</f>
        <v/>
      </c>
      <c r="F1284" s="22" t="str">
        <f>'VIX HISTORIQUE'!J1287</f>
        <v/>
      </c>
    </row>
    <row r="1285" ht="15.75" customHeight="1">
      <c r="A1285" s="25" t="str">
        <f>'VIX HISTORIQUE'!A1288</f>
        <v/>
      </c>
      <c r="B1285" s="22" t="str">
        <f>'VIX HISTORIQUE'!B1288</f>
        <v/>
      </c>
      <c r="C1285" s="22" t="str">
        <f>'VIX HISTORIQUE'!D1288</f>
        <v/>
      </c>
      <c r="D1285" s="22" t="str">
        <f>'VIX HISTORIQUE'!F1288</f>
        <v/>
      </c>
      <c r="E1285" s="22" t="str">
        <f>'VIX HISTORIQUE'!H1288</f>
        <v/>
      </c>
      <c r="F1285" s="22" t="str">
        <f>'VIX HISTORIQUE'!J1288</f>
        <v/>
      </c>
    </row>
    <row r="1286" ht="15.75" customHeight="1">
      <c r="A1286" s="25" t="str">
        <f>'VIX HISTORIQUE'!A1289</f>
        <v/>
      </c>
      <c r="B1286" s="22" t="str">
        <f>'VIX HISTORIQUE'!B1289</f>
        <v/>
      </c>
      <c r="C1286" s="22" t="str">
        <f>'VIX HISTORIQUE'!D1289</f>
        <v/>
      </c>
      <c r="D1286" s="22" t="str">
        <f>'VIX HISTORIQUE'!F1289</f>
        <v/>
      </c>
      <c r="E1286" s="22" t="str">
        <f>'VIX HISTORIQUE'!H1289</f>
        <v/>
      </c>
      <c r="F1286" s="22" t="str">
        <f>'VIX HISTORIQUE'!J1289</f>
        <v/>
      </c>
    </row>
    <row r="1287" ht="15.75" customHeight="1">
      <c r="A1287" s="25" t="str">
        <f>'VIX HISTORIQUE'!A1290</f>
        <v/>
      </c>
      <c r="B1287" s="22" t="str">
        <f>'VIX HISTORIQUE'!B1290</f>
        <v/>
      </c>
      <c r="C1287" s="22" t="str">
        <f>'VIX HISTORIQUE'!D1290</f>
        <v/>
      </c>
      <c r="D1287" s="22" t="str">
        <f>'VIX HISTORIQUE'!F1290</f>
        <v/>
      </c>
      <c r="E1287" s="22" t="str">
        <f>'VIX HISTORIQUE'!H1290</f>
        <v/>
      </c>
      <c r="F1287" s="22" t="str">
        <f>'VIX HISTORIQUE'!J1290</f>
        <v/>
      </c>
    </row>
    <row r="1288" ht="15.75" customHeight="1">
      <c r="A1288" s="25" t="str">
        <f>'VIX HISTORIQUE'!A1291</f>
        <v/>
      </c>
      <c r="B1288" s="22" t="str">
        <f>'VIX HISTORIQUE'!B1291</f>
        <v/>
      </c>
      <c r="C1288" s="22" t="str">
        <f>'VIX HISTORIQUE'!D1291</f>
        <v/>
      </c>
      <c r="D1288" s="22" t="str">
        <f>'VIX HISTORIQUE'!F1291</f>
        <v/>
      </c>
      <c r="E1288" s="22" t="str">
        <f>'VIX HISTORIQUE'!H1291</f>
        <v/>
      </c>
      <c r="F1288" s="22" t="str">
        <f>'VIX HISTORIQUE'!J1291</f>
        <v/>
      </c>
    </row>
    <row r="1289" ht="15.75" customHeight="1">
      <c r="A1289" s="25" t="str">
        <f>'VIX HISTORIQUE'!A1292</f>
        <v/>
      </c>
      <c r="B1289" s="22" t="str">
        <f>'VIX HISTORIQUE'!B1292</f>
        <v/>
      </c>
      <c r="C1289" s="22" t="str">
        <f>'VIX HISTORIQUE'!D1292</f>
        <v/>
      </c>
      <c r="D1289" s="22" t="str">
        <f>'VIX HISTORIQUE'!F1292</f>
        <v/>
      </c>
      <c r="E1289" s="22" t="str">
        <f>'VIX HISTORIQUE'!H1292</f>
        <v/>
      </c>
      <c r="F1289" s="22" t="str">
        <f>'VIX HISTORIQUE'!J1292</f>
        <v/>
      </c>
    </row>
    <row r="1290" ht="15.75" customHeight="1">
      <c r="A1290" s="25" t="str">
        <f>'VIX HISTORIQUE'!A1293</f>
        <v/>
      </c>
      <c r="B1290" s="22" t="str">
        <f>'VIX HISTORIQUE'!B1293</f>
        <v/>
      </c>
      <c r="C1290" s="22" t="str">
        <f>'VIX HISTORIQUE'!D1293</f>
        <v/>
      </c>
      <c r="D1290" s="22" t="str">
        <f>'VIX HISTORIQUE'!F1293</f>
        <v/>
      </c>
      <c r="E1290" s="22" t="str">
        <f>'VIX HISTORIQUE'!H1293</f>
        <v/>
      </c>
      <c r="F1290" s="22" t="str">
        <f>'VIX HISTORIQUE'!J1293</f>
        <v/>
      </c>
    </row>
    <row r="1291" ht="15.75" customHeight="1">
      <c r="A1291" s="25" t="str">
        <f>'VIX HISTORIQUE'!A1294</f>
        <v/>
      </c>
      <c r="B1291" s="22" t="str">
        <f>'VIX HISTORIQUE'!B1294</f>
        <v/>
      </c>
      <c r="C1291" s="22" t="str">
        <f>'VIX HISTORIQUE'!D1294</f>
        <v/>
      </c>
      <c r="D1291" s="22" t="str">
        <f>'VIX HISTORIQUE'!F1294</f>
        <v/>
      </c>
      <c r="E1291" s="22" t="str">
        <f>'VIX HISTORIQUE'!H1294</f>
        <v/>
      </c>
      <c r="F1291" s="22" t="str">
        <f>'VIX HISTORIQUE'!J1294</f>
        <v/>
      </c>
    </row>
    <row r="1292" ht="15.75" customHeight="1">
      <c r="A1292" s="25" t="str">
        <f>'VIX HISTORIQUE'!A1295</f>
        <v/>
      </c>
      <c r="B1292" s="22" t="str">
        <f>'VIX HISTORIQUE'!B1295</f>
        <v/>
      </c>
      <c r="C1292" s="22" t="str">
        <f>'VIX HISTORIQUE'!D1295</f>
        <v/>
      </c>
      <c r="D1292" s="22" t="str">
        <f>'VIX HISTORIQUE'!F1295</f>
        <v/>
      </c>
      <c r="E1292" s="22" t="str">
        <f>'VIX HISTORIQUE'!H1295</f>
        <v/>
      </c>
      <c r="F1292" s="22" t="str">
        <f>'VIX HISTORIQUE'!J1295</f>
        <v/>
      </c>
    </row>
    <row r="1293" ht="15.75" customHeight="1">
      <c r="A1293" s="25" t="str">
        <f>'VIX HISTORIQUE'!A1296</f>
        <v/>
      </c>
      <c r="B1293" s="22" t="str">
        <f>'VIX HISTORIQUE'!B1296</f>
        <v/>
      </c>
      <c r="C1293" s="22" t="str">
        <f>'VIX HISTORIQUE'!D1296</f>
        <v/>
      </c>
      <c r="D1293" s="22" t="str">
        <f>'VIX HISTORIQUE'!F1296</f>
        <v/>
      </c>
      <c r="E1293" s="22" t="str">
        <f>'VIX HISTORIQUE'!H1296</f>
        <v/>
      </c>
      <c r="F1293" s="22" t="str">
        <f>'VIX HISTORIQUE'!J1296</f>
        <v/>
      </c>
    </row>
    <row r="1294" ht="15.75" customHeight="1">
      <c r="A1294" s="25" t="str">
        <f>'VIX HISTORIQUE'!A1297</f>
        <v/>
      </c>
      <c r="B1294" s="22" t="str">
        <f>'VIX HISTORIQUE'!B1297</f>
        <v/>
      </c>
      <c r="C1294" s="22" t="str">
        <f>'VIX HISTORIQUE'!D1297</f>
        <v/>
      </c>
      <c r="D1294" s="22" t="str">
        <f>'VIX HISTORIQUE'!F1297</f>
        <v/>
      </c>
      <c r="E1294" s="22" t="str">
        <f>'VIX HISTORIQUE'!H1297</f>
        <v/>
      </c>
      <c r="F1294" s="22" t="str">
        <f>'VIX HISTORIQUE'!J1297</f>
        <v/>
      </c>
    </row>
    <row r="1295" ht="15.75" customHeight="1">
      <c r="A1295" s="25" t="str">
        <f>'VIX HISTORIQUE'!A1298</f>
        <v/>
      </c>
      <c r="B1295" s="22" t="str">
        <f>'VIX HISTORIQUE'!B1298</f>
        <v/>
      </c>
      <c r="C1295" s="22" t="str">
        <f>'VIX HISTORIQUE'!D1298</f>
        <v/>
      </c>
      <c r="D1295" s="22" t="str">
        <f>'VIX HISTORIQUE'!F1298</f>
        <v/>
      </c>
      <c r="E1295" s="22" t="str">
        <f>'VIX HISTORIQUE'!H1298</f>
        <v/>
      </c>
      <c r="F1295" s="22" t="str">
        <f>'VIX HISTORIQUE'!J1298</f>
        <v/>
      </c>
    </row>
    <row r="1296" ht="15.75" customHeight="1">
      <c r="A1296" s="25" t="str">
        <f>'VIX HISTORIQUE'!A1299</f>
        <v/>
      </c>
      <c r="B1296" s="22" t="str">
        <f>'VIX HISTORIQUE'!B1299</f>
        <v/>
      </c>
      <c r="C1296" s="22" t="str">
        <f>'VIX HISTORIQUE'!D1299</f>
        <v/>
      </c>
      <c r="D1296" s="22" t="str">
        <f>'VIX HISTORIQUE'!F1299</f>
        <v/>
      </c>
      <c r="E1296" s="22" t="str">
        <f>'VIX HISTORIQUE'!H1299</f>
        <v/>
      </c>
      <c r="F1296" s="22" t="str">
        <f>'VIX HISTORIQUE'!J1299</f>
        <v/>
      </c>
    </row>
    <row r="1297" ht="15.75" customHeight="1">
      <c r="A1297" s="25" t="str">
        <f>'VIX HISTORIQUE'!A1300</f>
        <v/>
      </c>
      <c r="B1297" s="22" t="str">
        <f>'VIX HISTORIQUE'!B1300</f>
        <v/>
      </c>
      <c r="C1297" s="22" t="str">
        <f>'VIX HISTORIQUE'!D1300</f>
        <v/>
      </c>
      <c r="D1297" s="22" t="str">
        <f>'VIX HISTORIQUE'!F1300</f>
        <v/>
      </c>
      <c r="E1297" s="22" t="str">
        <f>'VIX HISTORIQUE'!H1300</f>
        <v/>
      </c>
      <c r="F1297" s="22" t="str">
        <f>'VIX HISTORIQUE'!J1300</f>
        <v/>
      </c>
    </row>
    <row r="1298" ht="15.75" customHeight="1">
      <c r="A1298" s="25" t="str">
        <f>'VIX HISTORIQUE'!A1301</f>
        <v/>
      </c>
      <c r="B1298" s="22" t="str">
        <f>'VIX HISTORIQUE'!B1301</f>
        <v/>
      </c>
      <c r="C1298" s="22" t="str">
        <f>'VIX HISTORIQUE'!D1301</f>
        <v/>
      </c>
      <c r="D1298" s="22" t="str">
        <f>'VIX HISTORIQUE'!F1301</f>
        <v/>
      </c>
      <c r="E1298" s="22" t="str">
        <f>'VIX HISTORIQUE'!H1301</f>
        <v/>
      </c>
      <c r="F1298" s="22" t="str">
        <f>'VIX HISTORIQUE'!J1301</f>
        <v/>
      </c>
    </row>
    <row r="1299" ht="15.75" customHeight="1">
      <c r="A1299" s="25" t="str">
        <f>'VIX HISTORIQUE'!A1302</f>
        <v/>
      </c>
      <c r="B1299" s="22" t="str">
        <f>'VIX HISTORIQUE'!B1302</f>
        <v/>
      </c>
      <c r="C1299" s="22" t="str">
        <f>'VIX HISTORIQUE'!D1302</f>
        <v/>
      </c>
      <c r="D1299" s="22" t="str">
        <f>'VIX HISTORIQUE'!F1302</f>
        <v/>
      </c>
      <c r="E1299" s="22" t="str">
        <f>'VIX HISTORIQUE'!H1302</f>
        <v/>
      </c>
      <c r="F1299" s="22" t="str">
        <f>'VIX HISTORIQUE'!J1302</f>
        <v/>
      </c>
    </row>
    <row r="1300" ht="15.75" customHeight="1">
      <c r="A1300" s="25" t="str">
        <f>'VIX HISTORIQUE'!A1303</f>
        <v/>
      </c>
      <c r="B1300" s="22" t="str">
        <f>'VIX HISTORIQUE'!B1303</f>
        <v/>
      </c>
      <c r="C1300" s="22" t="str">
        <f>'VIX HISTORIQUE'!D1303</f>
        <v/>
      </c>
      <c r="D1300" s="22" t="str">
        <f>'VIX HISTORIQUE'!F1303</f>
        <v/>
      </c>
      <c r="E1300" s="22" t="str">
        <f>'VIX HISTORIQUE'!H1303</f>
        <v/>
      </c>
      <c r="F1300" s="22" t="str">
        <f>'VIX HISTORIQUE'!J1303</f>
        <v/>
      </c>
    </row>
    <row r="1301" ht="15.75" customHeight="1">
      <c r="A1301" s="25" t="str">
        <f>'VIX HISTORIQUE'!A1304</f>
        <v/>
      </c>
      <c r="B1301" s="22" t="str">
        <f>'VIX HISTORIQUE'!B1304</f>
        <v/>
      </c>
      <c r="C1301" s="22" t="str">
        <f>'VIX HISTORIQUE'!D1304</f>
        <v/>
      </c>
      <c r="D1301" s="22" t="str">
        <f>'VIX HISTORIQUE'!F1304</f>
        <v/>
      </c>
      <c r="E1301" s="22" t="str">
        <f>'VIX HISTORIQUE'!H1304</f>
        <v/>
      </c>
      <c r="F1301" s="22" t="str">
        <f>'VIX HISTORIQUE'!J1304</f>
        <v/>
      </c>
    </row>
    <row r="1302" ht="15.75" customHeight="1">
      <c r="A1302" s="25" t="str">
        <f>'VIX HISTORIQUE'!A1305</f>
        <v/>
      </c>
      <c r="B1302" s="22" t="str">
        <f>'VIX HISTORIQUE'!B1305</f>
        <v/>
      </c>
      <c r="C1302" s="22" t="str">
        <f>'VIX HISTORIQUE'!D1305</f>
        <v/>
      </c>
      <c r="D1302" s="22" t="str">
        <f>'VIX HISTORIQUE'!F1305</f>
        <v/>
      </c>
      <c r="E1302" s="22" t="str">
        <f>'VIX HISTORIQUE'!H1305</f>
        <v/>
      </c>
      <c r="F1302" s="22" t="str">
        <f>'VIX HISTORIQUE'!J1305</f>
        <v/>
      </c>
    </row>
    <row r="1303" ht="15.75" customHeight="1">
      <c r="A1303" s="25" t="str">
        <f>'VIX HISTORIQUE'!A1306</f>
        <v/>
      </c>
      <c r="B1303" s="22" t="str">
        <f>'VIX HISTORIQUE'!B1306</f>
        <v/>
      </c>
      <c r="C1303" s="22" t="str">
        <f>'VIX HISTORIQUE'!D1306</f>
        <v/>
      </c>
      <c r="D1303" s="22" t="str">
        <f>'VIX HISTORIQUE'!F1306</f>
        <v/>
      </c>
      <c r="E1303" s="22" t="str">
        <f>'VIX HISTORIQUE'!H1306</f>
        <v/>
      </c>
      <c r="F1303" s="22" t="str">
        <f>'VIX HISTORIQUE'!J1306</f>
        <v/>
      </c>
    </row>
    <row r="1304" ht="15.75" customHeight="1">
      <c r="A1304" s="25" t="str">
        <f>'VIX HISTORIQUE'!A1307</f>
        <v/>
      </c>
      <c r="B1304" s="22" t="str">
        <f>'VIX HISTORIQUE'!B1307</f>
        <v/>
      </c>
      <c r="C1304" s="22" t="str">
        <f>'VIX HISTORIQUE'!D1307</f>
        <v/>
      </c>
      <c r="D1304" s="22" t="str">
        <f>'VIX HISTORIQUE'!F1307</f>
        <v/>
      </c>
      <c r="E1304" s="22" t="str">
        <f>'VIX HISTORIQUE'!H1307</f>
        <v/>
      </c>
      <c r="F1304" s="22" t="str">
        <f>'VIX HISTORIQUE'!J1307</f>
        <v/>
      </c>
    </row>
    <row r="1305" ht="15.75" customHeight="1">
      <c r="A1305" s="25" t="str">
        <f>'VIX HISTORIQUE'!A1308</f>
        <v/>
      </c>
      <c r="B1305" s="22" t="str">
        <f>'VIX HISTORIQUE'!B1308</f>
        <v/>
      </c>
      <c r="C1305" s="22" t="str">
        <f>'VIX HISTORIQUE'!D1308</f>
        <v/>
      </c>
      <c r="D1305" s="22" t="str">
        <f>'VIX HISTORIQUE'!F1308</f>
        <v/>
      </c>
      <c r="E1305" s="22" t="str">
        <f>'VIX HISTORIQUE'!H1308</f>
        <v/>
      </c>
      <c r="F1305" s="22" t="str">
        <f>'VIX HISTORIQUE'!J1308</f>
        <v/>
      </c>
    </row>
    <row r="1306" ht="15.75" customHeight="1">
      <c r="A1306" s="25" t="str">
        <f>'VIX HISTORIQUE'!A1309</f>
        <v/>
      </c>
      <c r="B1306" s="22" t="str">
        <f>'VIX HISTORIQUE'!B1309</f>
        <v/>
      </c>
      <c r="C1306" s="22" t="str">
        <f>'VIX HISTORIQUE'!D1309</f>
        <v/>
      </c>
      <c r="D1306" s="22" t="str">
        <f>'VIX HISTORIQUE'!F1309</f>
        <v/>
      </c>
      <c r="E1306" s="22" t="str">
        <f>'VIX HISTORIQUE'!H1309</f>
        <v/>
      </c>
      <c r="F1306" s="22" t="str">
        <f>'VIX HISTORIQUE'!J1309</f>
        <v/>
      </c>
    </row>
    <row r="1307" ht="15.75" customHeight="1">
      <c r="A1307" s="25" t="str">
        <f>'VIX HISTORIQUE'!A1310</f>
        <v/>
      </c>
      <c r="B1307" s="22" t="str">
        <f>'VIX HISTORIQUE'!B1310</f>
        <v/>
      </c>
      <c r="C1307" s="22" t="str">
        <f>'VIX HISTORIQUE'!D1310</f>
        <v/>
      </c>
      <c r="D1307" s="22" t="str">
        <f>'VIX HISTORIQUE'!F1310</f>
        <v/>
      </c>
      <c r="E1307" s="22" t="str">
        <f>'VIX HISTORIQUE'!H1310</f>
        <v/>
      </c>
      <c r="F1307" s="22" t="str">
        <f>'VIX HISTORIQUE'!J1310</f>
        <v/>
      </c>
    </row>
    <row r="1308" ht="15.75" customHeight="1">
      <c r="A1308" s="25" t="str">
        <f>'VIX HISTORIQUE'!A1311</f>
        <v/>
      </c>
      <c r="B1308" s="22" t="str">
        <f>'VIX HISTORIQUE'!B1311</f>
        <v/>
      </c>
      <c r="C1308" s="22" t="str">
        <f>'VIX HISTORIQUE'!D1311</f>
        <v/>
      </c>
      <c r="D1308" s="22" t="str">
        <f>'VIX HISTORIQUE'!F1311</f>
        <v/>
      </c>
      <c r="E1308" s="22" t="str">
        <f>'VIX HISTORIQUE'!H1311</f>
        <v/>
      </c>
      <c r="F1308" s="22" t="str">
        <f>'VIX HISTORIQUE'!J1311</f>
        <v/>
      </c>
    </row>
    <row r="1309" ht="15.75" customHeight="1">
      <c r="A1309" s="25" t="str">
        <f>'VIX HISTORIQUE'!A1312</f>
        <v/>
      </c>
      <c r="B1309" s="22" t="str">
        <f>'VIX HISTORIQUE'!B1312</f>
        <v/>
      </c>
      <c r="C1309" s="22" t="str">
        <f>'VIX HISTORIQUE'!D1312</f>
        <v/>
      </c>
      <c r="D1309" s="22" t="str">
        <f>'VIX HISTORIQUE'!F1312</f>
        <v/>
      </c>
      <c r="E1309" s="22" t="str">
        <f>'VIX HISTORIQUE'!H1312</f>
        <v/>
      </c>
      <c r="F1309" s="22" t="str">
        <f>'VIX HISTORIQUE'!J1312</f>
        <v/>
      </c>
    </row>
    <row r="1310" ht="15.75" customHeight="1">
      <c r="A1310" s="25" t="str">
        <f>'VIX HISTORIQUE'!A1313</f>
        <v/>
      </c>
      <c r="B1310" s="22" t="str">
        <f>'VIX HISTORIQUE'!B1313</f>
        <v/>
      </c>
      <c r="C1310" s="22" t="str">
        <f>'VIX HISTORIQUE'!D1313</f>
        <v/>
      </c>
      <c r="D1310" s="22" t="str">
        <f>'VIX HISTORIQUE'!F1313</f>
        <v/>
      </c>
      <c r="E1310" s="22" t="str">
        <f>'VIX HISTORIQUE'!H1313</f>
        <v/>
      </c>
      <c r="F1310" s="22" t="str">
        <f>'VIX HISTORIQUE'!J1313</f>
        <v/>
      </c>
    </row>
    <row r="1311" ht="15.75" customHeight="1">
      <c r="A1311" s="25" t="str">
        <f>'VIX HISTORIQUE'!A1314</f>
        <v/>
      </c>
      <c r="B1311" s="22" t="str">
        <f>'VIX HISTORIQUE'!B1314</f>
        <v/>
      </c>
      <c r="C1311" s="22" t="str">
        <f>'VIX HISTORIQUE'!D1314</f>
        <v/>
      </c>
      <c r="D1311" s="22" t="str">
        <f>'VIX HISTORIQUE'!F1314</f>
        <v/>
      </c>
      <c r="E1311" s="22" t="str">
        <f>'VIX HISTORIQUE'!H1314</f>
        <v/>
      </c>
      <c r="F1311" s="22" t="str">
        <f>'VIX HISTORIQUE'!J1314</f>
        <v/>
      </c>
    </row>
    <row r="1312" ht="15.75" customHeight="1">
      <c r="A1312" s="25" t="str">
        <f>'VIX HISTORIQUE'!A1315</f>
        <v/>
      </c>
      <c r="B1312" s="22" t="str">
        <f>'VIX HISTORIQUE'!B1315</f>
        <v/>
      </c>
      <c r="C1312" s="22" t="str">
        <f>'VIX HISTORIQUE'!D1315</f>
        <v/>
      </c>
      <c r="D1312" s="22" t="str">
        <f>'VIX HISTORIQUE'!F1315</f>
        <v/>
      </c>
      <c r="E1312" s="22" t="str">
        <f>'VIX HISTORIQUE'!H1315</f>
        <v/>
      </c>
      <c r="F1312" s="22" t="str">
        <f>'VIX HISTORIQUE'!J1315</f>
        <v/>
      </c>
    </row>
    <row r="1313" ht="15.75" customHeight="1">
      <c r="A1313" s="25" t="str">
        <f>'VIX HISTORIQUE'!A1316</f>
        <v/>
      </c>
      <c r="B1313" s="22" t="str">
        <f>'VIX HISTORIQUE'!B1316</f>
        <v/>
      </c>
      <c r="C1313" s="22" t="str">
        <f>'VIX HISTORIQUE'!D1316</f>
        <v/>
      </c>
      <c r="D1313" s="22" t="str">
        <f>'VIX HISTORIQUE'!F1316</f>
        <v/>
      </c>
      <c r="E1313" s="22" t="str">
        <f>'VIX HISTORIQUE'!H1316</f>
        <v/>
      </c>
      <c r="F1313" s="22" t="str">
        <f>'VIX HISTORIQUE'!J1316</f>
        <v/>
      </c>
    </row>
    <row r="1314" ht="15.75" customHeight="1">
      <c r="A1314" s="25" t="str">
        <f>'VIX HISTORIQUE'!A1317</f>
        <v/>
      </c>
      <c r="B1314" s="22" t="str">
        <f>'VIX HISTORIQUE'!B1317</f>
        <v/>
      </c>
      <c r="C1314" s="22" t="str">
        <f>'VIX HISTORIQUE'!D1317</f>
        <v/>
      </c>
      <c r="D1314" s="22" t="str">
        <f>'VIX HISTORIQUE'!F1317</f>
        <v/>
      </c>
      <c r="E1314" s="22" t="str">
        <f>'VIX HISTORIQUE'!H1317</f>
        <v/>
      </c>
      <c r="F1314" s="22" t="str">
        <f>'VIX HISTORIQUE'!J1317</f>
        <v/>
      </c>
    </row>
    <row r="1315" ht="15.75" customHeight="1">
      <c r="A1315" s="25" t="str">
        <f>'VIX HISTORIQUE'!A1318</f>
        <v/>
      </c>
      <c r="B1315" s="22" t="str">
        <f>'VIX HISTORIQUE'!B1318</f>
        <v/>
      </c>
      <c r="C1315" s="22" t="str">
        <f>'VIX HISTORIQUE'!D1318</f>
        <v/>
      </c>
      <c r="D1315" s="22" t="str">
        <f>'VIX HISTORIQUE'!F1318</f>
        <v/>
      </c>
      <c r="E1315" s="22" t="str">
        <f>'VIX HISTORIQUE'!H1318</f>
        <v/>
      </c>
      <c r="F1315" s="22" t="str">
        <f>'VIX HISTORIQUE'!J1318</f>
        <v/>
      </c>
    </row>
    <row r="1316" ht="15.75" customHeight="1">
      <c r="A1316" s="25" t="str">
        <f>'VIX HISTORIQUE'!A1319</f>
        <v/>
      </c>
      <c r="B1316" s="22" t="str">
        <f>'VIX HISTORIQUE'!B1319</f>
        <v/>
      </c>
      <c r="C1316" s="22" t="str">
        <f>'VIX HISTORIQUE'!D1319</f>
        <v/>
      </c>
      <c r="D1316" s="22" t="str">
        <f>'VIX HISTORIQUE'!F1319</f>
        <v/>
      </c>
      <c r="E1316" s="22" t="str">
        <f>'VIX HISTORIQUE'!H1319</f>
        <v/>
      </c>
      <c r="F1316" s="22" t="str">
        <f>'VIX HISTORIQUE'!J1319</f>
        <v/>
      </c>
    </row>
    <row r="1317" ht="15.75" customHeight="1">
      <c r="A1317" s="25" t="str">
        <f>'VIX HISTORIQUE'!A1320</f>
        <v/>
      </c>
      <c r="B1317" s="22" t="str">
        <f>'VIX HISTORIQUE'!B1320</f>
        <v/>
      </c>
      <c r="C1317" s="22" t="str">
        <f>'VIX HISTORIQUE'!D1320</f>
        <v/>
      </c>
      <c r="D1317" s="22" t="str">
        <f>'VIX HISTORIQUE'!F1320</f>
        <v/>
      </c>
      <c r="E1317" s="22" t="str">
        <f>'VIX HISTORIQUE'!H1320</f>
        <v/>
      </c>
      <c r="F1317" s="22" t="str">
        <f>'VIX HISTORIQUE'!J1320</f>
        <v/>
      </c>
    </row>
    <row r="1318" ht="15.75" customHeight="1">
      <c r="A1318" s="25" t="str">
        <f>'VIX HISTORIQUE'!A1321</f>
        <v/>
      </c>
      <c r="B1318" s="22" t="str">
        <f>'VIX HISTORIQUE'!B1321</f>
        <v/>
      </c>
      <c r="C1318" s="22" t="str">
        <f>'VIX HISTORIQUE'!D1321</f>
        <v/>
      </c>
      <c r="D1318" s="22" t="str">
        <f>'VIX HISTORIQUE'!F1321</f>
        <v/>
      </c>
      <c r="E1318" s="22" t="str">
        <f>'VIX HISTORIQUE'!H1321</f>
        <v/>
      </c>
      <c r="F1318" s="22" t="str">
        <f>'VIX HISTORIQUE'!J1321</f>
        <v/>
      </c>
    </row>
    <row r="1319" ht="15.75" customHeight="1">
      <c r="A1319" s="25" t="str">
        <f>'VIX HISTORIQUE'!A1322</f>
        <v/>
      </c>
      <c r="B1319" s="22" t="str">
        <f>'VIX HISTORIQUE'!B1322</f>
        <v/>
      </c>
      <c r="C1319" s="22" t="str">
        <f>'VIX HISTORIQUE'!D1322</f>
        <v/>
      </c>
      <c r="D1319" s="22" t="str">
        <f>'VIX HISTORIQUE'!F1322</f>
        <v/>
      </c>
      <c r="E1319" s="22" t="str">
        <f>'VIX HISTORIQUE'!H1322</f>
        <v/>
      </c>
      <c r="F1319" s="22" t="str">
        <f>'VIX HISTORIQUE'!J1322</f>
        <v/>
      </c>
    </row>
    <row r="1320" ht="15.75" customHeight="1">
      <c r="A1320" s="25" t="str">
        <f>'VIX HISTORIQUE'!A1323</f>
        <v/>
      </c>
      <c r="B1320" s="22" t="str">
        <f>'VIX HISTORIQUE'!B1323</f>
        <v/>
      </c>
      <c r="C1320" s="22" t="str">
        <f>'VIX HISTORIQUE'!D1323</f>
        <v/>
      </c>
      <c r="D1320" s="22" t="str">
        <f>'VIX HISTORIQUE'!F1323</f>
        <v/>
      </c>
      <c r="E1320" s="22" t="str">
        <f>'VIX HISTORIQUE'!H1323</f>
        <v/>
      </c>
      <c r="F1320" s="22" t="str">
        <f>'VIX HISTORIQUE'!J1323</f>
        <v/>
      </c>
    </row>
    <row r="1321" ht="15.75" customHeight="1">
      <c r="A1321" s="25" t="str">
        <f>'VIX HISTORIQUE'!A1324</f>
        <v/>
      </c>
      <c r="B1321" s="22" t="str">
        <f>'VIX HISTORIQUE'!B1324</f>
        <v/>
      </c>
      <c r="C1321" s="22" t="str">
        <f>'VIX HISTORIQUE'!D1324</f>
        <v/>
      </c>
      <c r="D1321" s="22" t="str">
        <f>'VIX HISTORIQUE'!F1324</f>
        <v/>
      </c>
      <c r="E1321" s="22" t="str">
        <f>'VIX HISTORIQUE'!H1324</f>
        <v/>
      </c>
      <c r="F1321" s="22" t="str">
        <f>'VIX HISTORIQUE'!J1324</f>
        <v/>
      </c>
    </row>
    <row r="1322" ht="15.75" customHeight="1">
      <c r="A1322" s="25" t="str">
        <f>'VIX HISTORIQUE'!A1325</f>
        <v/>
      </c>
      <c r="B1322" s="22" t="str">
        <f>'VIX HISTORIQUE'!B1325</f>
        <v/>
      </c>
      <c r="C1322" s="22" t="str">
        <f>'VIX HISTORIQUE'!D1325</f>
        <v/>
      </c>
      <c r="D1322" s="22" t="str">
        <f>'VIX HISTORIQUE'!F1325</f>
        <v/>
      </c>
      <c r="E1322" s="22" t="str">
        <f>'VIX HISTORIQUE'!H1325</f>
        <v/>
      </c>
      <c r="F1322" s="22" t="str">
        <f>'VIX HISTORIQUE'!J1325</f>
        <v/>
      </c>
    </row>
    <row r="1323" ht="15.75" customHeight="1">
      <c r="A1323" s="25" t="str">
        <f>'VIX HISTORIQUE'!A1326</f>
        <v/>
      </c>
      <c r="B1323" s="22" t="str">
        <f>'VIX HISTORIQUE'!B1326</f>
        <v/>
      </c>
      <c r="C1323" s="22" t="str">
        <f>'VIX HISTORIQUE'!D1326</f>
        <v/>
      </c>
      <c r="D1323" s="22" t="str">
        <f>'VIX HISTORIQUE'!F1326</f>
        <v/>
      </c>
      <c r="E1323" s="22" t="str">
        <f>'VIX HISTORIQUE'!H1326</f>
        <v/>
      </c>
      <c r="F1323" s="22" t="str">
        <f>'VIX HISTORIQUE'!J1326</f>
        <v/>
      </c>
    </row>
    <row r="1324" ht="15.75" customHeight="1">
      <c r="A1324" s="25" t="str">
        <f>'VIX HISTORIQUE'!A1327</f>
        <v/>
      </c>
      <c r="B1324" s="22" t="str">
        <f>'VIX HISTORIQUE'!B1327</f>
        <v/>
      </c>
      <c r="C1324" s="22" t="str">
        <f>'VIX HISTORIQUE'!D1327</f>
        <v/>
      </c>
      <c r="D1324" s="22" t="str">
        <f>'VIX HISTORIQUE'!F1327</f>
        <v/>
      </c>
      <c r="E1324" s="22" t="str">
        <f>'VIX HISTORIQUE'!H1327</f>
        <v/>
      </c>
      <c r="F1324" s="22" t="str">
        <f>'VIX HISTORIQUE'!J1327</f>
        <v/>
      </c>
    </row>
    <row r="1325" ht="15.75" customHeight="1">
      <c r="A1325" s="25" t="str">
        <f>'VIX HISTORIQUE'!A1328</f>
        <v/>
      </c>
      <c r="B1325" s="22" t="str">
        <f>'VIX HISTORIQUE'!B1328</f>
        <v/>
      </c>
      <c r="C1325" s="22" t="str">
        <f>'VIX HISTORIQUE'!D1328</f>
        <v/>
      </c>
      <c r="D1325" s="22" t="str">
        <f>'VIX HISTORIQUE'!F1328</f>
        <v/>
      </c>
      <c r="E1325" s="22" t="str">
        <f>'VIX HISTORIQUE'!H1328</f>
        <v/>
      </c>
      <c r="F1325" s="22" t="str">
        <f>'VIX HISTORIQUE'!J1328</f>
        <v/>
      </c>
    </row>
    <row r="1326" ht="15.75" customHeight="1">
      <c r="A1326" s="25" t="str">
        <f>'VIX HISTORIQUE'!A1329</f>
        <v/>
      </c>
      <c r="B1326" s="22" t="str">
        <f>'VIX HISTORIQUE'!B1329</f>
        <v/>
      </c>
      <c r="C1326" s="22" t="str">
        <f>'VIX HISTORIQUE'!D1329</f>
        <v/>
      </c>
      <c r="D1326" s="22" t="str">
        <f>'VIX HISTORIQUE'!F1329</f>
        <v/>
      </c>
      <c r="E1326" s="22" t="str">
        <f>'VIX HISTORIQUE'!H1329</f>
        <v/>
      </c>
      <c r="F1326" s="22" t="str">
        <f>'VIX HISTORIQUE'!J1329</f>
        <v/>
      </c>
    </row>
    <row r="1327" ht="15.75" customHeight="1">
      <c r="A1327" s="25" t="str">
        <f>'VIX HISTORIQUE'!A1330</f>
        <v/>
      </c>
      <c r="B1327" s="22" t="str">
        <f>'VIX HISTORIQUE'!B1330</f>
        <v/>
      </c>
      <c r="C1327" s="22" t="str">
        <f>'VIX HISTORIQUE'!D1330</f>
        <v/>
      </c>
      <c r="D1327" s="22" t="str">
        <f>'VIX HISTORIQUE'!F1330</f>
        <v/>
      </c>
      <c r="E1327" s="22" t="str">
        <f>'VIX HISTORIQUE'!H1330</f>
        <v/>
      </c>
      <c r="F1327" s="22" t="str">
        <f>'VIX HISTORIQUE'!J1330</f>
        <v/>
      </c>
    </row>
    <row r="1328" ht="15.75" customHeight="1">
      <c r="A1328" s="25" t="str">
        <f>'VIX HISTORIQUE'!A1331</f>
        <v/>
      </c>
      <c r="B1328" s="22" t="str">
        <f>'VIX HISTORIQUE'!B1331</f>
        <v/>
      </c>
      <c r="C1328" s="22" t="str">
        <f>'VIX HISTORIQUE'!D1331</f>
        <v/>
      </c>
      <c r="D1328" s="22" t="str">
        <f>'VIX HISTORIQUE'!F1331</f>
        <v/>
      </c>
      <c r="E1328" s="22" t="str">
        <f>'VIX HISTORIQUE'!H1331</f>
        <v/>
      </c>
      <c r="F1328" s="22" t="str">
        <f>'VIX HISTORIQUE'!J1331</f>
        <v/>
      </c>
    </row>
    <row r="1329" ht="15.75" customHeight="1">
      <c r="A1329" s="25" t="str">
        <f>'VIX HISTORIQUE'!A1332</f>
        <v/>
      </c>
      <c r="B1329" s="22" t="str">
        <f>'VIX HISTORIQUE'!B1332</f>
        <v/>
      </c>
      <c r="C1329" s="22" t="str">
        <f>'VIX HISTORIQUE'!D1332</f>
        <v/>
      </c>
      <c r="D1329" s="22" t="str">
        <f>'VIX HISTORIQUE'!F1332</f>
        <v/>
      </c>
      <c r="E1329" s="22" t="str">
        <f>'VIX HISTORIQUE'!H1332</f>
        <v/>
      </c>
      <c r="F1329" s="22" t="str">
        <f>'VIX HISTORIQUE'!J1332</f>
        <v/>
      </c>
    </row>
    <row r="1330" ht="15.75" customHeight="1">
      <c r="A1330" s="25" t="str">
        <f>'VIX HISTORIQUE'!A1333</f>
        <v/>
      </c>
      <c r="B1330" s="22" t="str">
        <f>'VIX HISTORIQUE'!B1333</f>
        <v/>
      </c>
      <c r="C1330" s="22" t="str">
        <f>'VIX HISTORIQUE'!D1333</f>
        <v/>
      </c>
      <c r="D1330" s="22" t="str">
        <f>'VIX HISTORIQUE'!F1333</f>
        <v/>
      </c>
      <c r="E1330" s="22" t="str">
        <f>'VIX HISTORIQUE'!H1333</f>
        <v/>
      </c>
      <c r="F1330" s="22" t="str">
        <f>'VIX HISTORIQUE'!J1333</f>
        <v/>
      </c>
    </row>
    <row r="1331" ht="15.75" customHeight="1">
      <c r="A1331" s="25" t="str">
        <f>'VIX HISTORIQUE'!A1334</f>
        <v/>
      </c>
      <c r="B1331" s="22" t="str">
        <f>'VIX HISTORIQUE'!B1334</f>
        <v/>
      </c>
      <c r="C1331" s="22" t="str">
        <f>'VIX HISTORIQUE'!D1334</f>
        <v/>
      </c>
      <c r="D1331" s="22" t="str">
        <f>'VIX HISTORIQUE'!F1334</f>
        <v/>
      </c>
      <c r="E1331" s="22" t="str">
        <f>'VIX HISTORIQUE'!H1334</f>
        <v/>
      </c>
      <c r="F1331" s="22" t="str">
        <f>'VIX HISTORIQUE'!J1334</f>
        <v/>
      </c>
    </row>
    <row r="1332" ht="15.75" customHeight="1">
      <c r="A1332" s="25" t="str">
        <f>'VIX HISTORIQUE'!A1335</f>
        <v/>
      </c>
      <c r="B1332" s="22" t="str">
        <f>'VIX HISTORIQUE'!B1335</f>
        <v/>
      </c>
      <c r="C1332" s="22" t="str">
        <f>'VIX HISTORIQUE'!D1335</f>
        <v/>
      </c>
      <c r="D1332" s="22" t="str">
        <f>'VIX HISTORIQUE'!F1335</f>
        <v/>
      </c>
      <c r="E1332" s="22" t="str">
        <f>'VIX HISTORIQUE'!H1335</f>
        <v/>
      </c>
      <c r="F1332" s="22" t="str">
        <f>'VIX HISTORIQUE'!J1335</f>
        <v/>
      </c>
    </row>
    <row r="1333" ht="15.75" customHeight="1">
      <c r="A1333" s="25" t="str">
        <f>'VIX HISTORIQUE'!A1336</f>
        <v/>
      </c>
      <c r="B1333" s="22" t="str">
        <f>'VIX HISTORIQUE'!B1336</f>
        <v/>
      </c>
      <c r="C1333" s="22" t="str">
        <f>'VIX HISTORIQUE'!D1336</f>
        <v/>
      </c>
      <c r="D1333" s="22" t="str">
        <f>'VIX HISTORIQUE'!F1336</f>
        <v/>
      </c>
      <c r="E1333" s="22" t="str">
        <f>'VIX HISTORIQUE'!H1336</f>
        <v/>
      </c>
      <c r="F1333" s="22" t="str">
        <f>'VIX HISTORIQUE'!J1336</f>
        <v/>
      </c>
    </row>
    <row r="1334" ht="15.75" customHeight="1">
      <c r="A1334" s="25" t="str">
        <f>'VIX HISTORIQUE'!A1337</f>
        <v/>
      </c>
      <c r="B1334" s="22" t="str">
        <f>'VIX HISTORIQUE'!B1337</f>
        <v/>
      </c>
      <c r="C1334" s="22" t="str">
        <f>'VIX HISTORIQUE'!D1337</f>
        <v/>
      </c>
      <c r="D1334" s="22" t="str">
        <f>'VIX HISTORIQUE'!F1337</f>
        <v/>
      </c>
      <c r="E1334" s="22" t="str">
        <f>'VIX HISTORIQUE'!H1337</f>
        <v/>
      </c>
      <c r="F1334" s="22" t="str">
        <f>'VIX HISTORIQUE'!J1337</f>
        <v/>
      </c>
    </row>
    <row r="1335" ht="15.75" customHeight="1">
      <c r="A1335" s="25" t="str">
        <f>'VIX HISTORIQUE'!A1338</f>
        <v/>
      </c>
      <c r="B1335" s="22" t="str">
        <f>'VIX HISTORIQUE'!B1338</f>
        <v/>
      </c>
      <c r="C1335" s="22" t="str">
        <f>'VIX HISTORIQUE'!D1338</f>
        <v/>
      </c>
      <c r="D1335" s="22" t="str">
        <f>'VIX HISTORIQUE'!F1338</f>
        <v/>
      </c>
      <c r="E1335" s="22" t="str">
        <f>'VIX HISTORIQUE'!H1338</f>
        <v/>
      </c>
      <c r="F1335" s="22" t="str">
        <f>'VIX HISTORIQUE'!J1338</f>
        <v/>
      </c>
    </row>
    <row r="1336" ht="15.75" customHeight="1">
      <c r="A1336" s="25" t="str">
        <f>'VIX HISTORIQUE'!A1339</f>
        <v/>
      </c>
      <c r="B1336" s="22" t="str">
        <f>'VIX HISTORIQUE'!B1339</f>
        <v/>
      </c>
      <c r="C1336" s="22" t="str">
        <f>'VIX HISTORIQUE'!D1339</f>
        <v/>
      </c>
      <c r="D1336" s="22" t="str">
        <f>'VIX HISTORIQUE'!F1339</f>
        <v/>
      </c>
      <c r="E1336" s="22" t="str">
        <f>'VIX HISTORIQUE'!H1339</f>
        <v/>
      </c>
      <c r="F1336" s="22" t="str">
        <f>'VIX HISTORIQUE'!J1339</f>
        <v/>
      </c>
    </row>
    <row r="1337" ht="15.75" customHeight="1">
      <c r="A1337" s="25" t="str">
        <f>'VIX HISTORIQUE'!A1340</f>
        <v/>
      </c>
      <c r="B1337" s="22" t="str">
        <f>'VIX HISTORIQUE'!B1340</f>
        <v/>
      </c>
      <c r="C1337" s="22" t="str">
        <f>'VIX HISTORIQUE'!D1340</f>
        <v/>
      </c>
      <c r="D1337" s="22" t="str">
        <f>'VIX HISTORIQUE'!F1340</f>
        <v/>
      </c>
      <c r="E1337" s="22" t="str">
        <f>'VIX HISTORIQUE'!H1340</f>
        <v/>
      </c>
      <c r="F1337" s="22" t="str">
        <f>'VIX HISTORIQUE'!J1340</f>
        <v/>
      </c>
    </row>
    <row r="1338" ht="15.75" customHeight="1">
      <c r="A1338" s="25" t="str">
        <f>'VIX HISTORIQUE'!A1341</f>
        <v/>
      </c>
      <c r="B1338" s="22" t="str">
        <f>'VIX HISTORIQUE'!B1341</f>
        <v/>
      </c>
      <c r="C1338" s="22" t="str">
        <f>'VIX HISTORIQUE'!D1341</f>
        <v/>
      </c>
      <c r="D1338" s="22" t="str">
        <f>'VIX HISTORIQUE'!F1341</f>
        <v/>
      </c>
      <c r="E1338" s="22" t="str">
        <f>'VIX HISTORIQUE'!H1341</f>
        <v/>
      </c>
      <c r="F1338" s="22" t="str">
        <f>'VIX HISTORIQUE'!J1341</f>
        <v/>
      </c>
    </row>
    <row r="1339" ht="15.75" customHeight="1">
      <c r="A1339" s="25" t="str">
        <f>'VIX HISTORIQUE'!A1342</f>
        <v/>
      </c>
      <c r="B1339" s="22" t="str">
        <f>'VIX HISTORIQUE'!B1342</f>
        <v/>
      </c>
      <c r="C1339" s="22" t="str">
        <f>'VIX HISTORIQUE'!D1342</f>
        <v/>
      </c>
      <c r="D1339" s="22" t="str">
        <f>'VIX HISTORIQUE'!F1342</f>
        <v/>
      </c>
      <c r="E1339" s="22" t="str">
        <f>'VIX HISTORIQUE'!H1342</f>
        <v/>
      </c>
      <c r="F1339" s="22" t="str">
        <f>'VIX HISTORIQUE'!J1342</f>
        <v/>
      </c>
    </row>
    <row r="1340" ht="15.75" customHeight="1">
      <c r="A1340" s="25" t="str">
        <f>'VIX HISTORIQUE'!A1343</f>
        <v/>
      </c>
      <c r="B1340" s="22" t="str">
        <f>'VIX HISTORIQUE'!B1343</f>
        <v/>
      </c>
      <c r="C1340" s="22" t="str">
        <f>'VIX HISTORIQUE'!D1343</f>
        <v/>
      </c>
      <c r="D1340" s="22" t="str">
        <f>'VIX HISTORIQUE'!F1343</f>
        <v/>
      </c>
      <c r="E1340" s="22" t="str">
        <f>'VIX HISTORIQUE'!H1343</f>
        <v/>
      </c>
      <c r="F1340" s="22" t="str">
        <f>'VIX HISTORIQUE'!J1343</f>
        <v/>
      </c>
    </row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>
      <c r="A1349" s="25" t="str">
        <f>'VIX HISTORIQUE'!A1344</f>
        <v/>
      </c>
      <c r="B1349" s="22" t="str">
        <f>'VIX HISTORIQUE'!B1344</f>
        <v/>
      </c>
      <c r="C1349" s="22" t="str">
        <f>'VIX HISTORIQUE'!D1344</f>
        <v/>
      </c>
      <c r="D1349" s="22" t="str">
        <f>'VIX HISTORIQUE'!F1344</f>
        <v/>
      </c>
      <c r="E1349" s="22" t="str">
        <f>'VIX HISTORIQUE'!H1344</f>
        <v/>
      </c>
      <c r="F1349" s="22" t="str">
        <f>'VIX HISTORIQUE'!J1344</f>
        <v/>
      </c>
    </row>
    <row r="1350" ht="15.75" customHeight="1">
      <c r="A1350" s="25" t="str">
        <f>'VIX HISTORIQUE'!A1345</f>
        <v/>
      </c>
      <c r="B1350" s="22" t="str">
        <f>'VIX HISTORIQUE'!B1345</f>
        <v/>
      </c>
      <c r="C1350" s="22" t="str">
        <f>'VIX HISTORIQUE'!D1345</f>
        <v/>
      </c>
      <c r="D1350" s="22" t="str">
        <f>'VIX HISTORIQUE'!F1345</f>
        <v/>
      </c>
      <c r="E1350" s="22" t="str">
        <f>'VIX HISTORIQUE'!H1345</f>
        <v/>
      </c>
      <c r="F1350" s="22" t="str">
        <f>'VIX HISTORIQUE'!J1345</f>
        <v/>
      </c>
    </row>
    <row r="1351" ht="15.75" customHeight="1">
      <c r="A1351" s="25" t="str">
        <f>'VIX HISTORIQUE'!A1346</f>
        <v/>
      </c>
      <c r="B1351" s="22" t="str">
        <f>'VIX HISTORIQUE'!B1346</f>
        <v/>
      </c>
      <c r="C1351" s="22" t="str">
        <f>'VIX HISTORIQUE'!D1346</f>
        <v/>
      </c>
      <c r="D1351" s="22" t="str">
        <f>'VIX HISTORIQUE'!F1346</f>
        <v/>
      </c>
      <c r="E1351" s="22" t="str">
        <f>'VIX HISTORIQUE'!H1346</f>
        <v/>
      </c>
      <c r="F1351" s="22" t="str">
        <f>'VIX HISTORIQUE'!J1346</f>
        <v/>
      </c>
    </row>
    <row r="1352" ht="15.75" customHeight="1">
      <c r="A1352" s="25" t="str">
        <f>'VIX HISTORIQUE'!A1347</f>
        <v/>
      </c>
      <c r="B1352" s="22" t="str">
        <f>'VIX HISTORIQUE'!B1347</f>
        <v/>
      </c>
      <c r="C1352" s="22" t="str">
        <f>'VIX HISTORIQUE'!D1347</f>
        <v/>
      </c>
      <c r="D1352" s="22" t="str">
        <f>'VIX HISTORIQUE'!F1347</f>
        <v/>
      </c>
      <c r="E1352" s="22" t="str">
        <f>'VIX HISTORIQUE'!H1347</f>
        <v/>
      </c>
      <c r="F1352" s="22" t="str">
        <f>'VIX HISTORIQUE'!J1347</f>
        <v/>
      </c>
    </row>
    <row r="1353" ht="15.75" customHeight="1">
      <c r="A1353" s="25" t="str">
        <f>'VIX HISTORIQUE'!A1348</f>
        <v/>
      </c>
      <c r="B1353" s="22" t="str">
        <f>'VIX HISTORIQUE'!B1348</f>
        <v/>
      </c>
      <c r="C1353" s="22" t="str">
        <f>'VIX HISTORIQUE'!D1348</f>
        <v/>
      </c>
      <c r="D1353" s="22" t="str">
        <f>'VIX HISTORIQUE'!F1348</f>
        <v/>
      </c>
      <c r="E1353" s="22" t="str">
        <f>'VIX HISTORIQUE'!H1348</f>
        <v/>
      </c>
      <c r="F1353" s="22" t="str">
        <f>'VIX HISTORIQUE'!J1348</f>
        <v/>
      </c>
    </row>
    <row r="1354" ht="15.75" customHeight="1">
      <c r="A1354" s="25" t="str">
        <f>'VIX HISTORIQUE'!A1349</f>
        <v/>
      </c>
      <c r="B1354" s="22" t="str">
        <f>'VIX HISTORIQUE'!B1349</f>
        <v/>
      </c>
      <c r="C1354" s="22" t="str">
        <f>'VIX HISTORIQUE'!D1349</f>
        <v/>
      </c>
      <c r="D1354" s="22" t="str">
        <f>'VIX HISTORIQUE'!F1349</f>
        <v/>
      </c>
      <c r="E1354" s="22" t="str">
        <f>'VIX HISTORIQUE'!H1349</f>
        <v/>
      </c>
      <c r="F1354" s="22" t="str">
        <f>'VIX HISTORIQUE'!J1349</f>
        <v/>
      </c>
    </row>
    <row r="1355" ht="15.75" customHeight="1">
      <c r="A1355" s="25" t="str">
        <f>'VIX HISTORIQUE'!A1350</f>
        <v/>
      </c>
      <c r="B1355" s="22" t="str">
        <f>'VIX HISTORIQUE'!B1350</f>
        <v/>
      </c>
      <c r="C1355" s="22" t="str">
        <f>'VIX HISTORIQUE'!D1350</f>
        <v/>
      </c>
      <c r="D1355" s="22" t="str">
        <f>'VIX HISTORIQUE'!F1350</f>
        <v/>
      </c>
      <c r="E1355" s="22" t="str">
        <f>'VIX HISTORIQUE'!H1350</f>
        <v/>
      </c>
      <c r="F1355" s="22" t="str">
        <f>'VIX HISTORIQUE'!J1350</f>
        <v/>
      </c>
    </row>
    <row r="1356" ht="15.75" customHeight="1">
      <c r="A1356" s="25" t="str">
        <f>'VIX HISTORIQUE'!A1351</f>
        <v/>
      </c>
      <c r="B1356" s="22" t="str">
        <f>'VIX HISTORIQUE'!B1351</f>
        <v/>
      </c>
      <c r="C1356" s="22" t="str">
        <f>'VIX HISTORIQUE'!D1351</f>
        <v/>
      </c>
      <c r="D1356" s="22" t="str">
        <f>'VIX HISTORIQUE'!F1351</f>
        <v/>
      </c>
      <c r="E1356" s="22" t="str">
        <f>'VIX HISTORIQUE'!H1351</f>
        <v/>
      </c>
      <c r="F1356" s="22" t="str">
        <f>'VIX HISTORIQUE'!J1351</f>
        <v/>
      </c>
    </row>
    <row r="1357" ht="15.75" customHeight="1">
      <c r="A1357" s="25" t="str">
        <f>'VIX HISTORIQUE'!A1352</f>
        <v/>
      </c>
      <c r="B1357" s="22" t="str">
        <f>'VIX HISTORIQUE'!B1352</f>
        <v/>
      </c>
      <c r="C1357" s="22" t="str">
        <f>'VIX HISTORIQUE'!D1352</f>
        <v/>
      </c>
      <c r="D1357" s="22" t="str">
        <f>'VIX HISTORIQUE'!F1352</f>
        <v/>
      </c>
      <c r="E1357" s="22" t="str">
        <f>'VIX HISTORIQUE'!H1352</f>
        <v/>
      </c>
      <c r="F1357" s="22" t="str">
        <f>'VIX HISTORIQUE'!J1352</f>
        <v/>
      </c>
    </row>
    <row r="1358" ht="15.75" customHeight="1">
      <c r="A1358" s="25" t="str">
        <f>'VIX HISTORIQUE'!A1353</f>
        <v/>
      </c>
      <c r="B1358" s="22" t="str">
        <f>'VIX HISTORIQUE'!B1353</f>
        <v/>
      </c>
      <c r="C1358" s="22" t="str">
        <f>'VIX HISTORIQUE'!D1353</f>
        <v/>
      </c>
      <c r="D1358" s="22" t="str">
        <f>'VIX HISTORIQUE'!F1353</f>
        <v/>
      </c>
      <c r="E1358" s="22" t="str">
        <f>'VIX HISTORIQUE'!H1353</f>
        <v/>
      </c>
      <c r="F1358" s="22" t="str">
        <f>'VIX HISTORIQUE'!J1353</f>
        <v/>
      </c>
    </row>
    <row r="1359" ht="15.75" customHeight="1">
      <c r="A1359" s="25" t="str">
        <f>'VIX HISTORIQUE'!A1354</f>
        <v/>
      </c>
      <c r="B1359" s="22" t="str">
        <f>'VIX HISTORIQUE'!B1354</f>
        <v/>
      </c>
      <c r="C1359" s="22" t="str">
        <f>'VIX HISTORIQUE'!D1354</f>
        <v/>
      </c>
      <c r="D1359" s="22" t="str">
        <f>'VIX HISTORIQUE'!F1354</f>
        <v/>
      </c>
      <c r="E1359" s="22" t="str">
        <f>'VIX HISTORIQUE'!H1354</f>
        <v/>
      </c>
      <c r="F1359" s="22" t="str">
        <f>'VIX HISTORIQUE'!J1354</f>
        <v/>
      </c>
    </row>
    <row r="1360" ht="15.75" customHeight="1">
      <c r="A1360" s="25" t="str">
        <f>'VIX HISTORIQUE'!A1355</f>
        <v/>
      </c>
      <c r="B1360" s="22" t="str">
        <f>'VIX HISTORIQUE'!B1355</f>
        <v/>
      </c>
      <c r="C1360" s="22" t="str">
        <f>'VIX HISTORIQUE'!D1355</f>
        <v/>
      </c>
      <c r="D1360" s="22" t="str">
        <f>'VIX HISTORIQUE'!F1355</f>
        <v/>
      </c>
      <c r="E1360" s="22" t="str">
        <f>'VIX HISTORIQUE'!H1355</f>
        <v/>
      </c>
      <c r="F1360" s="22" t="str">
        <f>'VIX HISTORIQUE'!J1355</f>
        <v/>
      </c>
    </row>
    <row r="1361" ht="15.75" customHeight="1">
      <c r="A1361" s="25" t="str">
        <f>'VIX HISTORIQUE'!A1356</f>
        <v/>
      </c>
      <c r="B1361" s="22" t="str">
        <f>'VIX HISTORIQUE'!B1356</f>
        <v/>
      </c>
      <c r="C1361" s="22" t="str">
        <f>'VIX HISTORIQUE'!D1356</f>
        <v/>
      </c>
      <c r="D1361" s="22" t="str">
        <f>'VIX HISTORIQUE'!F1356</f>
        <v/>
      </c>
      <c r="E1361" s="22" t="str">
        <f>'VIX HISTORIQUE'!H1356</f>
        <v/>
      </c>
      <c r="F1361" s="22" t="str">
        <f>'VIX HISTORIQUE'!J1356</f>
        <v/>
      </c>
    </row>
    <row r="1362" ht="15.75" customHeight="1">
      <c r="A1362" s="25" t="str">
        <f>'VIX HISTORIQUE'!A1357</f>
        <v/>
      </c>
      <c r="B1362" s="22" t="str">
        <f>'VIX HISTORIQUE'!B1357</f>
        <v/>
      </c>
      <c r="C1362" s="22" t="str">
        <f>'VIX HISTORIQUE'!D1357</f>
        <v/>
      </c>
      <c r="D1362" s="22" t="str">
        <f>'VIX HISTORIQUE'!F1357</f>
        <v/>
      </c>
      <c r="E1362" s="22" t="str">
        <f>'VIX HISTORIQUE'!H1357</f>
        <v/>
      </c>
      <c r="F1362" s="22" t="str">
        <f>'VIX HISTORIQUE'!J1357</f>
        <v/>
      </c>
    </row>
    <row r="1363" ht="15.75" customHeight="1">
      <c r="A1363" s="25" t="str">
        <f>'VIX HISTORIQUE'!A1358</f>
        <v/>
      </c>
      <c r="B1363" s="22" t="str">
        <f>'VIX HISTORIQUE'!B1358</f>
        <v/>
      </c>
      <c r="C1363" s="22" t="str">
        <f>'VIX HISTORIQUE'!D1358</f>
        <v/>
      </c>
      <c r="D1363" s="22" t="str">
        <f>'VIX HISTORIQUE'!F1358</f>
        <v/>
      </c>
      <c r="E1363" s="22" t="str">
        <f>'VIX HISTORIQUE'!H1358</f>
        <v/>
      </c>
      <c r="F1363" s="22" t="str">
        <f>'VIX HISTORIQUE'!J1358</f>
        <v/>
      </c>
    </row>
    <row r="1364" ht="15.75" customHeight="1">
      <c r="A1364" s="25" t="str">
        <f>'VIX HISTORIQUE'!A1359</f>
        <v/>
      </c>
      <c r="B1364" s="22" t="str">
        <f>'VIX HISTORIQUE'!B1359</f>
        <v/>
      </c>
      <c r="C1364" s="22" t="str">
        <f>'VIX HISTORIQUE'!D1359</f>
        <v/>
      </c>
      <c r="D1364" s="22" t="str">
        <f>'VIX HISTORIQUE'!F1359</f>
        <v/>
      </c>
      <c r="E1364" s="22" t="str">
        <f>'VIX HISTORIQUE'!H1359</f>
        <v/>
      </c>
      <c r="F1364" s="22" t="str">
        <f>'VIX HISTORIQUE'!J1359</f>
        <v/>
      </c>
    </row>
    <row r="1365" ht="15.75" customHeight="1">
      <c r="A1365" s="25" t="str">
        <f>'VIX HISTORIQUE'!A1360</f>
        <v/>
      </c>
      <c r="B1365" s="22" t="str">
        <f>'VIX HISTORIQUE'!B1360</f>
        <v/>
      </c>
      <c r="C1365" s="22" t="str">
        <f>'VIX HISTORIQUE'!D1360</f>
        <v/>
      </c>
      <c r="D1365" s="22" t="str">
        <f>'VIX HISTORIQUE'!F1360</f>
        <v/>
      </c>
      <c r="E1365" s="22" t="str">
        <f>'VIX HISTORIQUE'!H1360</f>
        <v/>
      </c>
      <c r="F1365" s="22" t="str">
        <f>'VIX HISTORIQUE'!J1360</f>
        <v/>
      </c>
    </row>
    <row r="1366" ht="15.75" customHeight="1">
      <c r="A1366" s="25" t="str">
        <f>'VIX HISTORIQUE'!A1361</f>
        <v/>
      </c>
      <c r="B1366" s="22" t="str">
        <f>'VIX HISTORIQUE'!B1361</f>
        <v/>
      </c>
      <c r="C1366" s="22" t="str">
        <f>'VIX HISTORIQUE'!D1361</f>
        <v/>
      </c>
      <c r="D1366" s="22" t="str">
        <f>'VIX HISTORIQUE'!F1361</f>
        <v/>
      </c>
      <c r="E1366" s="22" t="str">
        <f>'VIX HISTORIQUE'!H1361</f>
        <v/>
      </c>
      <c r="F1366" s="22" t="str">
        <f>'VIX HISTORIQUE'!J1361</f>
        <v/>
      </c>
    </row>
    <row r="1367" ht="15.75" customHeight="1">
      <c r="A1367" s="25" t="str">
        <f>'VIX HISTORIQUE'!A1362</f>
        <v/>
      </c>
      <c r="B1367" s="22" t="str">
        <f>'VIX HISTORIQUE'!B1362</f>
        <v/>
      </c>
      <c r="C1367" s="22" t="str">
        <f>'VIX HISTORIQUE'!D1362</f>
        <v/>
      </c>
      <c r="D1367" s="22" t="str">
        <f>'VIX HISTORIQUE'!F1362</f>
        <v/>
      </c>
      <c r="E1367" s="22" t="str">
        <f>'VIX HISTORIQUE'!H1362</f>
        <v/>
      </c>
      <c r="F1367" s="22" t="str">
        <f>'VIX HISTORIQUE'!J1362</f>
        <v/>
      </c>
    </row>
    <row r="1368" ht="15.75" customHeight="1">
      <c r="A1368" s="25" t="str">
        <f>'VIX HISTORIQUE'!A1363</f>
        <v/>
      </c>
      <c r="B1368" s="22" t="str">
        <f>'VIX HISTORIQUE'!B1363</f>
        <v/>
      </c>
      <c r="C1368" s="22" t="str">
        <f>'VIX HISTORIQUE'!D1363</f>
        <v/>
      </c>
      <c r="D1368" s="22" t="str">
        <f>'VIX HISTORIQUE'!F1363</f>
        <v/>
      </c>
      <c r="E1368" s="22" t="str">
        <f>'VIX HISTORIQUE'!H1363</f>
        <v/>
      </c>
      <c r="F1368" s="22" t="str">
        <f>'VIX HISTORIQUE'!J1363</f>
        <v/>
      </c>
    </row>
    <row r="1369" ht="15.75" customHeight="1">
      <c r="A1369" s="25" t="str">
        <f>'VIX HISTORIQUE'!A1364</f>
        <v/>
      </c>
      <c r="B1369" s="22" t="str">
        <f>'VIX HISTORIQUE'!B1364</f>
        <v/>
      </c>
      <c r="C1369" s="22" t="str">
        <f>'VIX HISTORIQUE'!D1364</f>
        <v/>
      </c>
      <c r="D1369" s="22" t="str">
        <f>'VIX HISTORIQUE'!F1364</f>
        <v/>
      </c>
      <c r="E1369" s="22" t="str">
        <f>'VIX HISTORIQUE'!H1364</f>
        <v/>
      </c>
      <c r="F1369" s="22" t="str">
        <f>'VIX HISTORIQUE'!J1364</f>
        <v/>
      </c>
    </row>
    <row r="1370" ht="15.75" customHeight="1">
      <c r="A1370" s="25" t="str">
        <f>'VIX HISTORIQUE'!A1365</f>
        <v/>
      </c>
      <c r="B1370" s="22" t="str">
        <f>'VIX HISTORIQUE'!B1365</f>
        <v/>
      </c>
      <c r="C1370" s="22" t="str">
        <f>'VIX HISTORIQUE'!D1365</f>
        <v/>
      </c>
      <c r="D1370" s="22" t="str">
        <f>'VIX HISTORIQUE'!F1365</f>
        <v/>
      </c>
      <c r="E1370" s="22" t="str">
        <f>'VIX HISTORIQUE'!H1365</f>
        <v/>
      </c>
      <c r="F1370" s="22" t="str">
        <f>'VIX HISTORIQUE'!J1365</f>
        <v/>
      </c>
    </row>
    <row r="1371" ht="15.75" customHeight="1">
      <c r="A1371" s="25" t="str">
        <f>'VIX HISTORIQUE'!A1366</f>
        <v/>
      </c>
      <c r="B1371" s="22" t="str">
        <f>'VIX HISTORIQUE'!B1366</f>
        <v/>
      </c>
      <c r="C1371" s="22" t="str">
        <f>'VIX HISTORIQUE'!D1366</f>
        <v/>
      </c>
      <c r="D1371" s="22" t="str">
        <f>'VIX HISTORIQUE'!F1366</f>
        <v/>
      </c>
      <c r="E1371" s="22" t="str">
        <f>'VIX HISTORIQUE'!H1366</f>
        <v/>
      </c>
      <c r="F1371" s="22" t="str">
        <f>'VIX HISTORIQUE'!J1366</f>
        <v/>
      </c>
    </row>
    <row r="1372" ht="15.75" customHeight="1">
      <c r="A1372" s="25" t="str">
        <f>'VIX HISTORIQUE'!A1367</f>
        <v/>
      </c>
      <c r="B1372" s="22" t="str">
        <f>'VIX HISTORIQUE'!B1367</f>
        <v/>
      </c>
      <c r="C1372" s="22" t="str">
        <f>'VIX HISTORIQUE'!D1367</f>
        <v/>
      </c>
      <c r="D1372" s="22" t="str">
        <f>'VIX HISTORIQUE'!F1367</f>
        <v/>
      </c>
      <c r="E1372" s="22" t="str">
        <f>'VIX HISTORIQUE'!H1367</f>
        <v/>
      </c>
      <c r="F1372" s="22" t="str">
        <f>'VIX HISTORIQUE'!J1367</f>
        <v/>
      </c>
    </row>
    <row r="1373" ht="15.75" customHeight="1">
      <c r="A1373" s="25" t="str">
        <f>'VIX HISTORIQUE'!A1368</f>
        <v/>
      </c>
      <c r="B1373" s="22" t="str">
        <f>'VIX HISTORIQUE'!B1368</f>
        <v/>
      </c>
      <c r="C1373" s="22" t="str">
        <f>'VIX HISTORIQUE'!D1368</f>
        <v/>
      </c>
      <c r="D1373" s="22" t="str">
        <f>'VIX HISTORIQUE'!F1368</f>
        <v/>
      </c>
      <c r="E1373" s="22" t="str">
        <f>'VIX HISTORIQUE'!H1368</f>
        <v/>
      </c>
      <c r="F1373" s="22" t="str">
        <f>'VIX HISTORIQUE'!J1368</f>
        <v/>
      </c>
    </row>
    <row r="1374" ht="15.75" customHeight="1">
      <c r="A1374" s="25" t="str">
        <f>'VIX HISTORIQUE'!A1369</f>
        <v/>
      </c>
      <c r="B1374" s="22" t="str">
        <f>'VIX HISTORIQUE'!B1369</f>
        <v/>
      </c>
      <c r="C1374" s="22" t="str">
        <f>'VIX HISTORIQUE'!D1369</f>
        <v/>
      </c>
      <c r="D1374" s="22" t="str">
        <f>'VIX HISTORIQUE'!F1369</f>
        <v/>
      </c>
      <c r="E1374" s="22" t="str">
        <f>'VIX HISTORIQUE'!H1369</f>
        <v/>
      </c>
      <c r="F1374" s="22" t="str">
        <f>'VIX HISTORIQUE'!J1369</f>
        <v/>
      </c>
    </row>
    <row r="1375" ht="15.75" customHeight="1">
      <c r="A1375" s="25" t="str">
        <f>'VIX HISTORIQUE'!A1370</f>
        <v/>
      </c>
      <c r="B1375" s="22" t="str">
        <f>'VIX HISTORIQUE'!B1370</f>
        <v/>
      </c>
      <c r="C1375" s="22" t="str">
        <f>'VIX HISTORIQUE'!D1370</f>
        <v/>
      </c>
      <c r="D1375" s="22" t="str">
        <f>'VIX HISTORIQUE'!F1370</f>
        <v/>
      </c>
      <c r="E1375" s="22" t="str">
        <f>'VIX HISTORIQUE'!H1370</f>
        <v/>
      </c>
      <c r="F1375" s="22" t="str">
        <f>'VIX HISTORIQUE'!J1370</f>
        <v/>
      </c>
    </row>
    <row r="1376" ht="15.75" customHeight="1">
      <c r="A1376" s="25" t="str">
        <f>'VIX HISTORIQUE'!A1371</f>
        <v/>
      </c>
      <c r="B1376" s="22" t="str">
        <f>'VIX HISTORIQUE'!B1371</f>
        <v/>
      </c>
      <c r="C1376" s="22" t="str">
        <f>'VIX HISTORIQUE'!D1371</f>
        <v/>
      </c>
      <c r="D1376" s="22" t="str">
        <f>'VIX HISTORIQUE'!F1371</f>
        <v/>
      </c>
      <c r="E1376" s="22" t="str">
        <f>'VIX HISTORIQUE'!H1371</f>
        <v/>
      </c>
      <c r="F1376" s="22" t="str">
        <f>'VIX HISTORIQUE'!J1371</f>
        <v/>
      </c>
    </row>
    <row r="1377" ht="15.75" customHeight="1">
      <c r="A1377" s="25" t="str">
        <f>'VIX HISTORIQUE'!A1372</f>
        <v/>
      </c>
      <c r="B1377" s="22" t="str">
        <f>'VIX HISTORIQUE'!B1372</f>
        <v/>
      </c>
      <c r="C1377" s="22" t="str">
        <f>'VIX HISTORIQUE'!D1372</f>
        <v/>
      </c>
      <c r="D1377" s="22" t="str">
        <f>'VIX HISTORIQUE'!F1372</f>
        <v/>
      </c>
      <c r="E1377" s="22" t="str">
        <f>'VIX HISTORIQUE'!H1372</f>
        <v/>
      </c>
      <c r="F1377" s="22" t="str">
        <f>'VIX HISTORIQUE'!J1372</f>
        <v/>
      </c>
    </row>
    <row r="1378" ht="15.75" customHeight="1">
      <c r="A1378" s="25" t="str">
        <f>'VIX HISTORIQUE'!A1373</f>
        <v/>
      </c>
      <c r="B1378" s="22" t="str">
        <f>'VIX HISTORIQUE'!B1373</f>
        <v/>
      </c>
      <c r="C1378" s="22" t="str">
        <f>'VIX HISTORIQUE'!D1373</f>
        <v/>
      </c>
      <c r="D1378" s="22" t="str">
        <f>'VIX HISTORIQUE'!F1373</f>
        <v/>
      </c>
      <c r="E1378" s="22" t="str">
        <f>'VIX HISTORIQUE'!H1373</f>
        <v/>
      </c>
      <c r="F1378" s="22" t="str">
        <f>'VIX HISTORIQUE'!J1373</f>
        <v/>
      </c>
    </row>
    <row r="1379" ht="15.75" customHeight="1">
      <c r="A1379" s="25" t="str">
        <f>'VIX HISTORIQUE'!A1374</f>
        <v/>
      </c>
      <c r="B1379" s="22" t="str">
        <f>'VIX HISTORIQUE'!B1374</f>
        <v/>
      </c>
      <c r="C1379" s="22" t="str">
        <f>'VIX HISTORIQUE'!D1374</f>
        <v/>
      </c>
      <c r="D1379" s="22" t="str">
        <f>'VIX HISTORIQUE'!F1374</f>
        <v/>
      </c>
      <c r="E1379" s="22" t="str">
        <f>'VIX HISTORIQUE'!H1374</f>
        <v/>
      </c>
      <c r="F1379" s="22" t="str">
        <f>'VIX HISTORIQUE'!J1374</f>
        <v/>
      </c>
    </row>
    <row r="1380" ht="15.75" customHeight="1">
      <c r="A1380" s="25" t="str">
        <f>'VIX HISTORIQUE'!A1375</f>
        <v/>
      </c>
      <c r="B1380" s="22" t="str">
        <f>'VIX HISTORIQUE'!B1375</f>
        <v/>
      </c>
      <c r="C1380" s="22" t="str">
        <f>'VIX HISTORIQUE'!D1375</f>
        <v/>
      </c>
      <c r="D1380" s="22" t="str">
        <f>'VIX HISTORIQUE'!F1375</f>
        <v/>
      </c>
      <c r="E1380" s="22" t="str">
        <f>'VIX HISTORIQUE'!H1375</f>
        <v/>
      </c>
      <c r="F1380" s="22" t="str">
        <f>'VIX HISTORIQUE'!J1375</f>
        <v/>
      </c>
    </row>
    <row r="1381" ht="15.75" customHeight="1">
      <c r="A1381" s="25" t="str">
        <f>'VIX HISTORIQUE'!A1376</f>
        <v/>
      </c>
      <c r="B1381" s="22" t="str">
        <f>'VIX HISTORIQUE'!B1376</f>
        <v/>
      </c>
      <c r="C1381" s="22" t="str">
        <f>'VIX HISTORIQUE'!D1376</f>
        <v/>
      </c>
      <c r="D1381" s="22" t="str">
        <f>'VIX HISTORIQUE'!F1376</f>
        <v/>
      </c>
      <c r="E1381" s="22" t="str">
        <f>'VIX HISTORIQUE'!H1376</f>
        <v/>
      </c>
      <c r="F1381" s="22" t="str">
        <f>'VIX HISTORIQUE'!J1376</f>
        <v/>
      </c>
    </row>
    <row r="1382" ht="15.75" customHeight="1">
      <c r="A1382" s="25" t="str">
        <f>'VIX HISTORIQUE'!A1377</f>
        <v/>
      </c>
      <c r="B1382" s="22" t="str">
        <f>'VIX HISTORIQUE'!B1377</f>
        <v/>
      </c>
      <c r="C1382" s="22" t="str">
        <f>'VIX HISTORIQUE'!D1377</f>
        <v/>
      </c>
      <c r="D1382" s="22" t="str">
        <f>'VIX HISTORIQUE'!F1377</f>
        <v/>
      </c>
      <c r="E1382" s="22" t="str">
        <f>'VIX HISTORIQUE'!H1377</f>
        <v/>
      </c>
      <c r="F1382" s="22" t="str">
        <f>'VIX HISTORIQUE'!J1377</f>
        <v/>
      </c>
    </row>
    <row r="1383" ht="15.75" customHeight="1">
      <c r="A1383" s="25" t="str">
        <f>'VIX HISTORIQUE'!A1378</f>
        <v/>
      </c>
      <c r="B1383" s="22" t="str">
        <f>'VIX HISTORIQUE'!B1378</f>
        <v/>
      </c>
      <c r="C1383" s="22" t="str">
        <f>'VIX HISTORIQUE'!D1378</f>
        <v/>
      </c>
      <c r="D1383" s="22" t="str">
        <f>'VIX HISTORIQUE'!F1378</f>
        <v/>
      </c>
      <c r="E1383" s="22" t="str">
        <f>'VIX HISTORIQUE'!H1378</f>
        <v/>
      </c>
      <c r="F1383" s="22" t="str">
        <f>'VIX HISTORIQUE'!J1378</f>
        <v/>
      </c>
    </row>
    <row r="1384" ht="15.75" customHeight="1">
      <c r="A1384" s="25" t="str">
        <f>'VIX HISTORIQUE'!A1379</f>
        <v/>
      </c>
      <c r="B1384" s="22" t="str">
        <f>'VIX HISTORIQUE'!B1379</f>
        <v/>
      </c>
      <c r="C1384" s="22" t="str">
        <f>'VIX HISTORIQUE'!D1379</f>
        <v/>
      </c>
      <c r="D1384" s="22" t="str">
        <f>'VIX HISTORIQUE'!F1379</f>
        <v/>
      </c>
      <c r="E1384" s="22" t="str">
        <f>'VIX HISTORIQUE'!H1379</f>
        <v/>
      </c>
      <c r="F1384" s="22" t="str">
        <f>'VIX HISTORIQUE'!J1379</f>
        <v/>
      </c>
    </row>
    <row r="1385" ht="15.75" customHeight="1">
      <c r="A1385" s="25" t="str">
        <f>'VIX HISTORIQUE'!A1380</f>
        <v/>
      </c>
      <c r="B1385" s="22" t="str">
        <f>'VIX HISTORIQUE'!B1380</f>
        <v/>
      </c>
      <c r="C1385" s="22" t="str">
        <f>'VIX HISTORIQUE'!D1380</f>
        <v/>
      </c>
      <c r="D1385" s="22" t="str">
        <f>'VIX HISTORIQUE'!F1380</f>
        <v/>
      </c>
      <c r="E1385" s="22" t="str">
        <f>'VIX HISTORIQUE'!H1380</f>
        <v/>
      </c>
      <c r="F1385" s="22" t="str">
        <f>'VIX HISTORIQUE'!J1380</f>
        <v/>
      </c>
    </row>
    <row r="1386" ht="15.75" customHeight="1">
      <c r="A1386" s="25" t="str">
        <f>'VIX HISTORIQUE'!A1381</f>
        <v/>
      </c>
      <c r="B1386" s="22" t="str">
        <f>'VIX HISTORIQUE'!B1381</f>
        <v/>
      </c>
      <c r="C1386" s="22" t="str">
        <f>'VIX HISTORIQUE'!D1381</f>
        <v/>
      </c>
      <c r="D1386" s="22" t="str">
        <f>'VIX HISTORIQUE'!F1381</f>
        <v/>
      </c>
      <c r="E1386" s="22" t="str">
        <f>'VIX HISTORIQUE'!H1381</f>
        <v/>
      </c>
      <c r="F1386" s="22" t="str">
        <f>'VIX HISTORIQUE'!J1381</f>
        <v/>
      </c>
    </row>
    <row r="1387" ht="15.75" customHeight="1">
      <c r="A1387" s="25" t="str">
        <f>'VIX HISTORIQUE'!A1382</f>
        <v/>
      </c>
      <c r="B1387" s="22" t="str">
        <f>'VIX HISTORIQUE'!B1382</f>
        <v/>
      </c>
      <c r="C1387" s="22" t="str">
        <f>'VIX HISTORIQUE'!D1382</f>
        <v/>
      </c>
      <c r="D1387" s="22" t="str">
        <f>'VIX HISTORIQUE'!F1382</f>
        <v/>
      </c>
      <c r="E1387" s="22" t="str">
        <f>'VIX HISTORIQUE'!H1382</f>
        <v/>
      </c>
      <c r="F1387" s="22" t="str">
        <f>'VIX HISTORIQUE'!J1382</f>
        <v/>
      </c>
    </row>
    <row r="1388" ht="15.75" customHeight="1">
      <c r="A1388" s="25" t="str">
        <f>'VIX HISTORIQUE'!A1383</f>
        <v/>
      </c>
      <c r="B1388" s="22" t="str">
        <f>'VIX HISTORIQUE'!B1383</f>
        <v/>
      </c>
      <c r="C1388" s="22" t="str">
        <f>'VIX HISTORIQUE'!D1383</f>
        <v/>
      </c>
      <c r="D1388" s="22" t="str">
        <f>'VIX HISTORIQUE'!F1383</f>
        <v/>
      </c>
      <c r="E1388" s="22" t="str">
        <f>'VIX HISTORIQUE'!H1383</f>
        <v/>
      </c>
      <c r="F1388" s="22" t="str">
        <f>'VIX HISTORIQUE'!J1383</f>
        <v/>
      </c>
    </row>
    <row r="1389" ht="15.75" customHeight="1">
      <c r="A1389" s="25" t="str">
        <f>'VIX HISTORIQUE'!A1384</f>
        <v/>
      </c>
      <c r="B1389" s="22" t="str">
        <f>'VIX HISTORIQUE'!B1384</f>
        <v/>
      </c>
      <c r="C1389" s="22" t="str">
        <f>'VIX HISTORIQUE'!D1384</f>
        <v/>
      </c>
      <c r="D1389" s="22" t="str">
        <f>'VIX HISTORIQUE'!F1384</f>
        <v/>
      </c>
      <c r="E1389" s="22" t="str">
        <f>'VIX HISTORIQUE'!H1384</f>
        <v/>
      </c>
      <c r="F1389" s="22" t="str">
        <f>'VIX HISTORIQUE'!J1384</f>
        <v/>
      </c>
    </row>
    <row r="1390" ht="15.75" customHeight="1">
      <c r="A1390" s="25" t="str">
        <f>'VIX HISTORIQUE'!A1385</f>
        <v/>
      </c>
      <c r="B1390" s="22" t="str">
        <f>'VIX HISTORIQUE'!B1385</f>
        <v/>
      </c>
      <c r="C1390" s="22" t="str">
        <f>'VIX HISTORIQUE'!D1385</f>
        <v/>
      </c>
      <c r="D1390" s="22" t="str">
        <f>'VIX HISTORIQUE'!F1385</f>
        <v/>
      </c>
      <c r="E1390" s="22" t="str">
        <f>'VIX HISTORIQUE'!H1385</f>
        <v/>
      </c>
      <c r="F1390" s="22" t="str">
        <f>'VIX HISTORIQUE'!J1385</f>
        <v/>
      </c>
    </row>
    <row r="1391" ht="15.75" customHeight="1">
      <c r="A1391" s="25" t="str">
        <f>'VIX HISTORIQUE'!A1386</f>
        <v/>
      </c>
      <c r="B1391" s="22" t="str">
        <f>'VIX HISTORIQUE'!B1386</f>
        <v/>
      </c>
      <c r="C1391" s="22" t="str">
        <f>'VIX HISTORIQUE'!D1386</f>
        <v/>
      </c>
      <c r="D1391" s="22" t="str">
        <f>'VIX HISTORIQUE'!F1386</f>
        <v/>
      </c>
      <c r="E1391" s="22" t="str">
        <f>'VIX HISTORIQUE'!H1386</f>
        <v/>
      </c>
      <c r="F1391" s="22" t="str">
        <f>'VIX HISTORIQUE'!J1386</f>
        <v/>
      </c>
    </row>
    <row r="1392" ht="15.75" customHeight="1">
      <c r="A1392" s="25" t="str">
        <f>'VIX HISTORIQUE'!A1387</f>
        <v/>
      </c>
      <c r="B1392" s="22" t="str">
        <f>'VIX HISTORIQUE'!B1387</f>
        <v/>
      </c>
      <c r="C1392" s="22" t="str">
        <f>'VIX HISTORIQUE'!D1387</f>
        <v/>
      </c>
      <c r="D1392" s="22" t="str">
        <f>'VIX HISTORIQUE'!F1387</f>
        <v/>
      </c>
      <c r="E1392" s="22" t="str">
        <f>'VIX HISTORIQUE'!H1387</f>
        <v/>
      </c>
      <c r="F1392" s="22" t="str">
        <f>'VIX HISTORIQUE'!J1387</f>
        <v/>
      </c>
    </row>
    <row r="1393" ht="15.75" customHeight="1">
      <c r="A1393" s="25" t="str">
        <f>'VIX HISTORIQUE'!A1388</f>
        <v/>
      </c>
      <c r="B1393" s="22" t="str">
        <f>'VIX HISTORIQUE'!B1388</f>
        <v/>
      </c>
      <c r="C1393" s="22" t="str">
        <f>'VIX HISTORIQUE'!D1388</f>
        <v/>
      </c>
      <c r="D1393" s="22" t="str">
        <f>'VIX HISTORIQUE'!F1388</f>
        <v/>
      </c>
      <c r="E1393" s="22" t="str">
        <f>'VIX HISTORIQUE'!H1388</f>
        <v/>
      </c>
      <c r="F1393" s="22" t="str">
        <f>'VIX HISTORIQUE'!J1388</f>
        <v/>
      </c>
    </row>
    <row r="1394" ht="15.75" customHeight="1">
      <c r="A1394" s="25" t="str">
        <f>'VIX HISTORIQUE'!A1389</f>
        <v/>
      </c>
      <c r="B1394" s="22" t="str">
        <f>'VIX HISTORIQUE'!B1389</f>
        <v/>
      </c>
      <c r="C1394" s="22" t="str">
        <f>'VIX HISTORIQUE'!D1389</f>
        <v/>
      </c>
      <c r="D1394" s="22" t="str">
        <f>'VIX HISTORIQUE'!F1389</f>
        <v/>
      </c>
      <c r="E1394" s="22" t="str">
        <f>'VIX HISTORIQUE'!H1389</f>
        <v/>
      </c>
      <c r="F1394" s="22" t="str">
        <f>'VIX HISTORIQUE'!J1389</f>
        <v/>
      </c>
    </row>
    <row r="1395" ht="15.75" customHeight="1">
      <c r="A1395" s="25" t="str">
        <f>'VIX HISTORIQUE'!A1390</f>
        <v/>
      </c>
      <c r="B1395" s="22" t="str">
        <f>'VIX HISTORIQUE'!B1390</f>
        <v/>
      </c>
      <c r="C1395" s="22" t="str">
        <f>'VIX HISTORIQUE'!D1390</f>
        <v/>
      </c>
      <c r="D1395" s="22" t="str">
        <f>'VIX HISTORIQUE'!F1390</f>
        <v/>
      </c>
      <c r="E1395" s="22" t="str">
        <f>'VIX HISTORIQUE'!H1390</f>
        <v/>
      </c>
      <c r="F1395" s="22" t="str">
        <f>'VIX HISTORIQUE'!J1390</f>
        <v/>
      </c>
    </row>
    <row r="1396" ht="15.75" customHeight="1">
      <c r="A1396" s="25" t="str">
        <f>'VIX HISTORIQUE'!A1391</f>
        <v/>
      </c>
      <c r="B1396" s="22" t="str">
        <f>'VIX HISTORIQUE'!B1391</f>
        <v/>
      </c>
      <c r="C1396" s="22" t="str">
        <f>'VIX HISTORIQUE'!D1391</f>
        <v/>
      </c>
      <c r="D1396" s="22" t="str">
        <f>'VIX HISTORIQUE'!F1391</f>
        <v/>
      </c>
      <c r="E1396" s="22" t="str">
        <f>'VIX HISTORIQUE'!H1391</f>
        <v/>
      </c>
      <c r="F1396" s="22" t="str">
        <f>'VIX HISTORIQUE'!J1391</f>
        <v/>
      </c>
    </row>
    <row r="1397" ht="15.75" customHeight="1">
      <c r="A1397" s="25" t="str">
        <f>'VIX HISTORIQUE'!A1392</f>
        <v/>
      </c>
      <c r="B1397" s="22" t="str">
        <f>'VIX HISTORIQUE'!B1392</f>
        <v/>
      </c>
      <c r="C1397" s="22" t="str">
        <f>'VIX HISTORIQUE'!D1392</f>
        <v/>
      </c>
      <c r="D1397" s="22" t="str">
        <f>'VIX HISTORIQUE'!F1392</f>
        <v/>
      </c>
      <c r="E1397" s="22" t="str">
        <f>'VIX HISTORIQUE'!H1392</f>
        <v/>
      </c>
      <c r="F1397" s="22" t="str">
        <f>'VIX HISTORIQUE'!J1392</f>
        <v/>
      </c>
    </row>
    <row r="1398" ht="15.75" customHeight="1">
      <c r="A1398" s="25" t="str">
        <f>'VIX HISTORIQUE'!A1393</f>
        <v/>
      </c>
      <c r="B1398" s="22" t="str">
        <f>'VIX HISTORIQUE'!B1393</f>
        <v/>
      </c>
      <c r="C1398" s="22" t="str">
        <f>'VIX HISTORIQUE'!D1393</f>
        <v/>
      </c>
      <c r="D1398" s="22" t="str">
        <f>'VIX HISTORIQUE'!F1393</f>
        <v/>
      </c>
      <c r="E1398" s="22" t="str">
        <f>'VIX HISTORIQUE'!H1393</f>
        <v/>
      </c>
      <c r="F1398" s="22" t="str">
        <f>'VIX HISTORIQUE'!J1393</f>
        <v/>
      </c>
    </row>
    <row r="1399" ht="15.75" customHeight="1">
      <c r="A1399" s="25" t="str">
        <f>'VIX HISTORIQUE'!A1394</f>
        <v/>
      </c>
      <c r="B1399" s="22" t="str">
        <f>'VIX HISTORIQUE'!B1394</f>
        <v/>
      </c>
      <c r="C1399" s="22" t="str">
        <f>'VIX HISTORIQUE'!D1394</f>
        <v/>
      </c>
      <c r="D1399" s="22" t="str">
        <f>'VIX HISTORIQUE'!F1394</f>
        <v/>
      </c>
      <c r="E1399" s="22" t="str">
        <f>'VIX HISTORIQUE'!H1394</f>
        <v/>
      </c>
      <c r="F1399" s="22" t="str">
        <f>'VIX HISTORIQUE'!J1394</f>
        <v/>
      </c>
    </row>
    <row r="1400" ht="15.75" customHeight="1">
      <c r="A1400" s="25" t="str">
        <f>'VIX HISTORIQUE'!A1395</f>
        <v/>
      </c>
      <c r="B1400" s="22" t="str">
        <f>'VIX HISTORIQUE'!B1395</f>
        <v/>
      </c>
      <c r="C1400" s="22" t="str">
        <f>'VIX HISTORIQUE'!D1395</f>
        <v/>
      </c>
      <c r="D1400" s="22" t="str">
        <f>'VIX HISTORIQUE'!F1395</f>
        <v/>
      </c>
      <c r="E1400" s="22" t="str">
        <f>'VIX HISTORIQUE'!H1395</f>
        <v/>
      </c>
      <c r="F1400" s="22" t="str">
        <f>'VIX HISTORIQUE'!J1395</f>
        <v/>
      </c>
    </row>
    <row r="1401" ht="15.75" customHeight="1">
      <c r="A1401" s="25" t="str">
        <f>'VIX HISTORIQUE'!A1396</f>
        <v/>
      </c>
      <c r="B1401" s="22" t="str">
        <f>'VIX HISTORIQUE'!B1396</f>
        <v/>
      </c>
      <c r="C1401" s="22" t="str">
        <f>'VIX HISTORIQUE'!D1396</f>
        <v/>
      </c>
      <c r="D1401" s="22" t="str">
        <f>'VIX HISTORIQUE'!F1396</f>
        <v/>
      </c>
      <c r="E1401" s="22" t="str">
        <f>'VIX HISTORIQUE'!H1396</f>
        <v/>
      </c>
      <c r="F1401" s="22" t="str">
        <f>'VIX HISTORIQUE'!J1396</f>
        <v/>
      </c>
    </row>
    <row r="1402" ht="15.75" customHeight="1">
      <c r="A1402" s="25" t="str">
        <f>'VIX HISTORIQUE'!A1397</f>
        <v/>
      </c>
      <c r="B1402" s="22" t="str">
        <f>'VIX HISTORIQUE'!B1397</f>
        <v/>
      </c>
      <c r="C1402" s="22" t="str">
        <f>'VIX HISTORIQUE'!D1397</f>
        <v/>
      </c>
      <c r="D1402" s="22" t="str">
        <f>'VIX HISTORIQUE'!F1397</f>
        <v/>
      </c>
      <c r="E1402" s="22" t="str">
        <f>'VIX HISTORIQUE'!H1397</f>
        <v/>
      </c>
      <c r="F1402" s="22" t="str">
        <f>'VIX HISTORIQUE'!J1397</f>
        <v/>
      </c>
    </row>
    <row r="1403" ht="15.75" customHeight="1">
      <c r="A1403" s="25" t="str">
        <f>'VIX HISTORIQUE'!A1398</f>
        <v/>
      </c>
      <c r="B1403" s="22" t="str">
        <f>'VIX HISTORIQUE'!B1398</f>
        <v/>
      </c>
      <c r="C1403" s="22" t="str">
        <f>'VIX HISTORIQUE'!D1398</f>
        <v/>
      </c>
      <c r="D1403" s="22" t="str">
        <f>'VIX HISTORIQUE'!F1398</f>
        <v/>
      </c>
      <c r="E1403" s="22" t="str">
        <f>'VIX HISTORIQUE'!H1398</f>
        <v/>
      </c>
      <c r="F1403" s="22" t="str">
        <f>'VIX HISTORIQUE'!J1398</f>
        <v/>
      </c>
    </row>
    <row r="1404" ht="15.75" customHeight="1">
      <c r="A1404" s="25" t="str">
        <f>'VIX HISTORIQUE'!A1399</f>
        <v/>
      </c>
      <c r="B1404" s="22" t="str">
        <f>'VIX HISTORIQUE'!B1399</f>
        <v/>
      </c>
      <c r="C1404" s="22" t="str">
        <f>'VIX HISTORIQUE'!D1399</f>
        <v/>
      </c>
      <c r="D1404" s="22" t="str">
        <f>'VIX HISTORIQUE'!F1399</f>
        <v/>
      </c>
      <c r="E1404" s="22" t="str">
        <f>'VIX HISTORIQUE'!H1399</f>
        <v/>
      </c>
      <c r="F1404" s="22" t="str">
        <f>'VIX HISTORIQUE'!J1399</f>
        <v/>
      </c>
    </row>
    <row r="1405" ht="15.75" customHeight="1">
      <c r="A1405" s="25" t="str">
        <f>'VIX HISTORIQUE'!A1400</f>
        <v/>
      </c>
      <c r="B1405" s="22" t="str">
        <f>'VIX HISTORIQUE'!B1400</f>
        <v/>
      </c>
      <c r="C1405" s="22" t="str">
        <f>'VIX HISTORIQUE'!D1400</f>
        <v/>
      </c>
      <c r="D1405" s="22" t="str">
        <f>'VIX HISTORIQUE'!F1400</f>
        <v/>
      </c>
      <c r="E1405" s="22" t="str">
        <f>'VIX HISTORIQUE'!H1400</f>
        <v/>
      </c>
      <c r="F1405" s="22" t="str">
        <f>'VIX HISTORIQUE'!J1400</f>
        <v/>
      </c>
    </row>
    <row r="1406" ht="15.75" customHeight="1">
      <c r="A1406" s="25" t="str">
        <f>'VIX HISTORIQUE'!A1401</f>
        <v/>
      </c>
      <c r="B1406" s="22" t="str">
        <f>'VIX HISTORIQUE'!B1401</f>
        <v/>
      </c>
      <c r="C1406" s="22" t="str">
        <f>'VIX HISTORIQUE'!D1401</f>
        <v/>
      </c>
      <c r="D1406" s="22" t="str">
        <f>'VIX HISTORIQUE'!F1401</f>
        <v/>
      </c>
      <c r="E1406" s="22" t="str">
        <f>'VIX HISTORIQUE'!H1401</f>
        <v/>
      </c>
      <c r="F1406" s="22" t="str">
        <f>'VIX HISTORIQUE'!J1401</f>
        <v/>
      </c>
    </row>
    <row r="1407" ht="15.75" customHeight="1">
      <c r="A1407" s="25" t="str">
        <f>'VIX HISTORIQUE'!A1402</f>
        <v/>
      </c>
      <c r="B1407" s="22" t="str">
        <f>'VIX HISTORIQUE'!B1402</f>
        <v/>
      </c>
      <c r="C1407" s="22" t="str">
        <f>'VIX HISTORIQUE'!D1402</f>
        <v/>
      </c>
      <c r="D1407" s="22" t="str">
        <f>'VIX HISTORIQUE'!F1402</f>
        <v/>
      </c>
      <c r="E1407" s="22" t="str">
        <f>'VIX HISTORIQUE'!H1402</f>
        <v/>
      </c>
      <c r="F1407" s="22" t="str">
        <f>'VIX HISTORIQUE'!J1402</f>
        <v/>
      </c>
    </row>
    <row r="1408" ht="15.75" customHeight="1">
      <c r="A1408" s="25" t="str">
        <f>'VIX HISTORIQUE'!A1403</f>
        <v/>
      </c>
      <c r="B1408" s="22" t="str">
        <f>'VIX HISTORIQUE'!B1403</f>
        <v/>
      </c>
      <c r="C1408" s="22" t="str">
        <f>'VIX HISTORIQUE'!D1403</f>
        <v/>
      </c>
      <c r="D1408" s="22" t="str">
        <f>'VIX HISTORIQUE'!F1403</f>
        <v/>
      </c>
      <c r="E1408" s="22" t="str">
        <f>'VIX HISTORIQUE'!H1403</f>
        <v/>
      </c>
      <c r="F1408" s="22" t="str">
        <f>'VIX HISTORIQUE'!J1403</f>
        <v/>
      </c>
    </row>
    <row r="1409" ht="15.75" customHeight="1">
      <c r="A1409" s="25" t="str">
        <f>'VIX HISTORIQUE'!A1404</f>
        <v/>
      </c>
      <c r="B1409" s="22" t="str">
        <f>'VIX HISTORIQUE'!B1404</f>
        <v/>
      </c>
      <c r="C1409" s="22" t="str">
        <f>'VIX HISTORIQUE'!D1404</f>
        <v/>
      </c>
      <c r="D1409" s="22" t="str">
        <f>'VIX HISTORIQUE'!F1404</f>
        <v/>
      </c>
      <c r="E1409" s="22" t="str">
        <f>'VIX HISTORIQUE'!H1404</f>
        <v/>
      </c>
      <c r="F1409" s="22" t="str">
        <f>'VIX HISTORIQUE'!J1404</f>
        <v/>
      </c>
    </row>
    <row r="1410" ht="15.75" customHeight="1">
      <c r="A1410" s="25" t="str">
        <f>'VIX HISTORIQUE'!A1405</f>
        <v/>
      </c>
      <c r="B1410" s="22" t="str">
        <f>'VIX HISTORIQUE'!B1405</f>
        <v/>
      </c>
      <c r="C1410" s="22" t="str">
        <f>'VIX HISTORIQUE'!D1405</f>
        <v/>
      </c>
      <c r="D1410" s="22" t="str">
        <f>'VIX HISTORIQUE'!F1405</f>
        <v/>
      </c>
      <c r="E1410" s="22" t="str">
        <f>'VIX HISTORIQUE'!H1405</f>
        <v/>
      </c>
      <c r="F1410" s="22" t="str">
        <f>'VIX HISTORIQUE'!J1405</f>
        <v/>
      </c>
    </row>
    <row r="1411" ht="15.75" customHeight="1">
      <c r="A1411" s="25" t="str">
        <f>'VIX HISTORIQUE'!A1406</f>
        <v/>
      </c>
      <c r="B1411" s="22" t="str">
        <f>'VIX HISTORIQUE'!B1406</f>
        <v/>
      </c>
      <c r="C1411" s="22" t="str">
        <f>'VIX HISTORIQUE'!D1406</f>
        <v/>
      </c>
      <c r="D1411" s="22" t="str">
        <f>'VIX HISTORIQUE'!F1406</f>
        <v/>
      </c>
      <c r="E1411" s="22" t="str">
        <f>'VIX HISTORIQUE'!H1406</f>
        <v/>
      </c>
      <c r="F1411" s="22" t="str">
        <f>'VIX HISTORIQUE'!J1406</f>
        <v/>
      </c>
    </row>
    <row r="1412" ht="15.75" customHeight="1">
      <c r="A1412" s="25" t="str">
        <f>'VIX HISTORIQUE'!A1407</f>
        <v/>
      </c>
      <c r="B1412" s="22" t="str">
        <f>'VIX HISTORIQUE'!B1407</f>
        <v/>
      </c>
      <c r="C1412" s="22" t="str">
        <f>'VIX HISTORIQUE'!D1407</f>
        <v/>
      </c>
      <c r="D1412" s="22" t="str">
        <f>'VIX HISTORIQUE'!F1407</f>
        <v/>
      </c>
      <c r="E1412" s="22" t="str">
        <f>'VIX HISTORIQUE'!H1407</f>
        <v/>
      </c>
      <c r="F1412" s="22" t="str">
        <f>'VIX HISTORIQUE'!J1407</f>
        <v/>
      </c>
    </row>
    <row r="1413" ht="15.75" customHeight="1">
      <c r="A1413" s="25" t="str">
        <f>'VIX HISTORIQUE'!A1408</f>
        <v/>
      </c>
      <c r="B1413" s="22" t="str">
        <f>'VIX HISTORIQUE'!B1408</f>
        <v/>
      </c>
      <c r="C1413" s="22" t="str">
        <f>'VIX HISTORIQUE'!D1408</f>
        <v/>
      </c>
      <c r="D1413" s="22" t="str">
        <f>'VIX HISTORIQUE'!F1408</f>
        <v/>
      </c>
      <c r="E1413" s="22" t="str">
        <f>'VIX HISTORIQUE'!H1408</f>
        <v/>
      </c>
      <c r="F1413" s="22" t="str">
        <f>'VIX HISTORIQUE'!J1408</f>
        <v/>
      </c>
    </row>
    <row r="1414" ht="15.75" customHeight="1">
      <c r="A1414" s="25" t="str">
        <f>'VIX HISTORIQUE'!A1409</f>
        <v/>
      </c>
      <c r="B1414" s="22" t="str">
        <f>'VIX HISTORIQUE'!B1409</f>
        <v/>
      </c>
      <c r="C1414" s="22" t="str">
        <f>'VIX HISTORIQUE'!D1409</f>
        <v/>
      </c>
      <c r="D1414" s="22" t="str">
        <f>'VIX HISTORIQUE'!F1409</f>
        <v/>
      </c>
      <c r="E1414" s="22" t="str">
        <f>'VIX HISTORIQUE'!H1409</f>
        <v/>
      </c>
      <c r="F1414" s="22" t="str">
        <f>'VIX HISTORIQUE'!J1409</f>
        <v/>
      </c>
    </row>
    <row r="1415" ht="15.75" customHeight="1">
      <c r="A1415" s="25" t="str">
        <f>'VIX HISTORIQUE'!A1410</f>
        <v/>
      </c>
      <c r="B1415" s="22" t="str">
        <f>'VIX HISTORIQUE'!B1410</f>
        <v/>
      </c>
      <c r="C1415" s="22" t="str">
        <f>'VIX HISTORIQUE'!D1410</f>
        <v/>
      </c>
      <c r="D1415" s="22" t="str">
        <f>'VIX HISTORIQUE'!F1410</f>
        <v/>
      </c>
      <c r="E1415" s="22" t="str">
        <f>'VIX HISTORIQUE'!H1410</f>
        <v/>
      </c>
      <c r="F1415" s="22" t="str">
        <f>'VIX HISTORIQUE'!J1410</f>
        <v/>
      </c>
    </row>
    <row r="1416" ht="15.75" customHeight="1">
      <c r="A1416" s="25" t="str">
        <f>'VIX HISTORIQUE'!A1411</f>
        <v/>
      </c>
      <c r="B1416" s="22" t="str">
        <f>'VIX HISTORIQUE'!B1411</f>
        <v/>
      </c>
      <c r="C1416" s="22" t="str">
        <f>'VIX HISTORIQUE'!D1411</f>
        <v/>
      </c>
      <c r="D1416" s="22" t="str">
        <f>'VIX HISTORIQUE'!F1411</f>
        <v/>
      </c>
      <c r="E1416" s="22" t="str">
        <f>'VIX HISTORIQUE'!H1411</f>
        <v/>
      </c>
      <c r="F1416" s="22" t="str">
        <f>'VIX HISTORIQUE'!J1411</f>
        <v/>
      </c>
    </row>
    <row r="1417" ht="15.75" customHeight="1">
      <c r="A1417" s="25" t="str">
        <f>'VIX HISTORIQUE'!A1412</f>
        <v/>
      </c>
      <c r="B1417" s="22" t="str">
        <f>'VIX HISTORIQUE'!B1412</f>
        <v/>
      </c>
      <c r="C1417" s="22" t="str">
        <f>'VIX HISTORIQUE'!D1412</f>
        <v/>
      </c>
      <c r="D1417" s="22" t="str">
        <f>'VIX HISTORIQUE'!F1412</f>
        <v/>
      </c>
      <c r="E1417" s="22" t="str">
        <f>'VIX HISTORIQUE'!H1412</f>
        <v/>
      </c>
      <c r="F1417" s="22" t="str">
        <f>'VIX HISTORIQUE'!J1412</f>
        <v/>
      </c>
    </row>
    <row r="1418" ht="15.75" customHeight="1">
      <c r="A1418" s="25" t="str">
        <f>'VIX HISTORIQUE'!A1413</f>
        <v/>
      </c>
      <c r="B1418" s="22" t="str">
        <f>'VIX HISTORIQUE'!B1413</f>
        <v/>
      </c>
      <c r="C1418" s="22" t="str">
        <f>'VIX HISTORIQUE'!D1413</f>
        <v/>
      </c>
      <c r="D1418" s="22" t="str">
        <f>'VIX HISTORIQUE'!F1413</f>
        <v/>
      </c>
      <c r="E1418" s="22" t="str">
        <f>'VIX HISTORIQUE'!H1413</f>
        <v/>
      </c>
      <c r="F1418" s="22" t="str">
        <f>'VIX HISTORIQUE'!J1413</f>
        <v/>
      </c>
    </row>
    <row r="1419" ht="15.75" customHeight="1">
      <c r="A1419" s="25" t="str">
        <f>'VIX HISTORIQUE'!A1414</f>
        <v/>
      </c>
      <c r="B1419" s="22" t="str">
        <f>'VIX HISTORIQUE'!B1414</f>
        <v/>
      </c>
      <c r="C1419" s="22" t="str">
        <f>'VIX HISTORIQUE'!D1414</f>
        <v/>
      </c>
      <c r="D1419" s="22" t="str">
        <f>'VIX HISTORIQUE'!F1414</f>
        <v/>
      </c>
      <c r="E1419" s="22" t="str">
        <f>'VIX HISTORIQUE'!H1414</f>
        <v/>
      </c>
      <c r="F1419" s="22" t="str">
        <f>'VIX HISTORIQUE'!J1414</f>
        <v/>
      </c>
    </row>
    <row r="1420" ht="15.75" customHeight="1">
      <c r="A1420" s="25" t="str">
        <f>'VIX HISTORIQUE'!A1415</f>
        <v/>
      </c>
      <c r="B1420" s="22" t="str">
        <f>'VIX HISTORIQUE'!B1415</f>
        <v/>
      </c>
      <c r="C1420" s="22" t="str">
        <f>'VIX HISTORIQUE'!D1415</f>
        <v/>
      </c>
      <c r="D1420" s="22" t="str">
        <f>'VIX HISTORIQUE'!F1415</f>
        <v/>
      </c>
      <c r="E1420" s="22" t="str">
        <f>'VIX HISTORIQUE'!H1415</f>
        <v/>
      </c>
      <c r="F1420" s="22" t="str">
        <f>'VIX HISTORIQUE'!J1415</f>
        <v/>
      </c>
    </row>
    <row r="1421" ht="15.75" customHeight="1">
      <c r="A1421" s="25" t="str">
        <f>'VIX HISTORIQUE'!A1416</f>
        <v/>
      </c>
      <c r="B1421" s="22" t="str">
        <f>'VIX HISTORIQUE'!B1416</f>
        <v/>
      </c>
      <c r="C1421" s="22" t="str">
        <f>'VIX HISTORIQUE'!D1416</f>
        <v/>
      </c>
      <c r="D1421" s="22" t="str">
        <f>'VIX HISTORIQUE'!F1416</f>
        <v/>
      </c>
      <c r="E1421" s="22" t="str">
        <f>'VIX HISTORIQUE'!H1416</f>
        <v/>
      </c>
      <c r="F1421" s="22" t="str">
        <f>'VIX HISTORIQUE'!J1416</f>
        <v/>
      </c>
    </row>
    <row r="1422" ht="15.75" customHeight="1">
      <c r="A1422" s="25" t="str">
        <f>'VIX HISTORIQUE'!A1417</f>
        <v/>
      </c>
      <c r="B1422" s="22" t="str">
        <f>'VIX HISTORIQUE'!B1417</f>
        <v/>
      </c>
      <c r="C1422" s="22" t="str">
        <f>'VIX HISTORIQUE'!D1417</f>
        <v/>
      </c>
      <c r="D1422" s="22" t="str">
        <f>'VIX HISTORIQUE'!F1417</f>
        <v/>
      </c>
      <c r="E1422" s="22" t="str">
        <f>'VIX HISTORIQUE'!H1417</f>
        <v/>
      </c>
      <c r="F1422" s="22" t="str">
        <f>'VIX HISTORIQUE'!J1417</f>
        <v/>
      </c>
    </row>
    <row r="1423" ht="15.75" customHeight="1">
      <c r="A1423" s="25" t="str">
        <f>'VIX HISTORIQUE'!A1418</f>
        <v/>
      </c>
      <c r="B1423" s="22" t="str">
        <f>'VIX HISTORIQUE'!B1418</f>
        <v/>
      </c>
      <c r="C1423" s="22" t="str">
        <f>'VIX HISTORIQUE'!D1418</f>
        <v/>
      </c>
      <c r="D1423" s="22" t="str">
        <f>'VIX HISTORIQUE'!F1418</f>
        <v/>
      </c>
      <c r="E1423" s="22" t="str">
        <f>'VIX HISTORIQUE'!H1418</f>
        <v/>
      </c>
      <c r="F1423" s="22" t="str">
        <f>'VIX HISTORIQUE'!J1418</f>
        <v/>
      </c>
    </row>
    <row r="1424" ht="15.75" customHeight="1">
      <c r="A1424" s="25" t="str">
        <f>'VIX HISTORIQUE'!A1419</f>
        <v/>
      </c>
      <c r="B1424" s="22" t="str">
        <f>'VIX HISTORIQUE'!B1419</f>
        <v/>
      </c>
      <c r="C1424" s="22" t="str">
        <f>'VIX HISTORIQUE'!D1419</f>
        <v/>
      </c>
      <c r="D1424" s="22" t="str">
        <f>'VIX HISTORIQUE'!F1419</f>
        <v/>
      </c>
      <c r="E1424" s="22" t="str">
        <f>'VIX HISTORIQUE'!H1419</f>
        <v/>
      </c>
      <c r="F1424" s="22" t="str">
        <f>'VIX HISTORIQUE'!J1419</f>
        <v/>
      </c>
    </row>
    <row r="1425" ht="15.75" customHeight="1">
      <c r="A1425" s="25" t="str">
        <f>'VIX HISTORIQUE'!A1420</f>
        <v/>
      </c>
      <c r="B1425" s="22" t="str">
        <f>'VIX HISTORIQUE'!B1420</f>
        <v/>
      </c>
      <c r="C1425" s="22" t="str">
        <f>'VIX HISTORIQUE'!D1420</f>
        <v/>
      </c>
      <c r="D1425" s="22" t="str">
        <f>'VIX HISTORIQUE'!F1420</f>
        <v/>
      </c>
      <c r="E1425" s="22" t="str">
        <f>'VIX HISTORIQUE'!H1420</f>
        <v/>
      </c>
      <c r="F1425" s="22" t="str">
        <f>'VIX HISTORIQUE'!J1420</f>
        <v/>
      </c>
    </row>
    <row r="1426" ht="15.75" customHeight="1">
      <c r="A1426" s="25" t="str">
        <f>'VIX HISTORIQUE'!A1421</f>
        <v/>
      </c>
      <c r="B1426" s="22" t="str">
        <f>'VIX HISTORIQUE'!B1421</f>
        <v/>
      </c>
      <c r="C1426" s="22" t="str">
        <f>'VIX HISTORIQUE'!D1421</f>
        <v/>
      </c>
      <c r="D1426" s="22" t="str">
        <f>'VIX HISTORIQUE'!F1421</f>
        <v/>
      </c>
      <c r="E1426" s="22" t="str">
        <f>'VIX HISTORIQUE'!H1421</f>
        <v/>
      </c>
      <c r="F1426" s="22" t="str">
        <f>'VIX HISTORIQUE'!J1421</f>
        <v/>
      </c>
    </row>
    <row r="1427" ht="15.75" customHeight="1">
      <c r="A1427" s="25" t="str">
        <f>'VIX HISTORIQUE'!A1422</f>
        <v/>
      </c>
      <c r="B1427" s="22" t="str">
        <f>'VIX HISTORIQUE'!B1422</f>
        <v/>
      </c>
      <c r="C1427" s="22" t="str">
        <f>'VIX HISTORIQUE'!D1422</f>
        <v/>
      </c>
      <c r="D1427" s="22" t="str">
        <f>'VIX HISTORIQUE'!F1422</f>
        <v/>
      </c>
      <c r="E1427" s="22" t="str">
        <f>'VIX HISTORIQUE'!H1422</f>
        <v/>
      </c>
      <c r="F1427" s="22" t="str">
        <f>'VIX HISTORIQUE'!J1422</f>
        <v/>
      </c>
    </row>
    <row r="1428" ht="15.75" customHeight="1">
      <c r="A1428" s="25" t="str">
        <f>'VIX HISTORIQUE'!A1423</f>
        <v/>
      </c>
      <c r="B1428" s="22" t="str">
        <f>'VIX HISTORIQUE'!B1423</f>
        <v/>
      </c>
      <c r="C1428" s="22" t="str">
        <f>'VIX HISTORIQUE'!D1423</f>
        <v/>
      </c>
      <c r="D1428" s="22" t="str">
        <f>'VIX HISTORIQUE'!F1423</f>
        <v/>
      </c>
      <c r="E1428" s="22" t="str">
        <f>'VIX HISTORIQUE'!H1423</f>
        <v/>
      </c>
      <c r="F1428" s="22" t="str">
        <f>'VIX HISTORIQUE'!J1423</f>
        <v/>
      </c>
    </row>
    <row r="1429" ht="15.75" customHeight="1">
      <c r="A1429" s="25" t="str">
        <f>'VIX HISTORIQUE'!A1424</f>
        <v/>
      </c>
      <c r="B1429" s="22" t="str">
        <f>'VIX HISTORIQUE'!B1424</f>
        <v/>
      </c>
      <c r="C1429" s="22" t="str">
        <f>'VIX HISTORIQUE'!D1424</f>
        <v/>
      </c>
      <c r="D1429" s="22" t="str">
        <f>'VIX HISTORIQUE'!F1424</f>
        <v/>
      </c>
      <c r="E1429" s="22" t="str">
        <f>'VIX HISTORIQUE'!H1424</f>
        <v/>
      </c>
      <c r="F1429" s="22" t="str">
        <f>'VIX HISTORIQUE'!J1424</f>
        <v/>
      </c>
    </row>
    <row r="1430" ht="15.75" customHeight="1">
      <c r="A1430" s="25" t="str">
        <f>'VIX HISTORIQUE'!A1425</f>
        <v/>
      </c>
      <c r="B1430" s="22" t="str">
        <f>'VIX HISTORIQUE'!B1425</f>
        <v/>
      </c>
      <c r="C1430" s="22" t="str">
        <f>'VIX HISTORIQUE'!D1425</f>
        <v/>
      </c>
      <c r="D1430" s="22" t="str">
        <f>'VIX HISTORIQUE'!F1425</f>
        <v/>
      </c>
      <c r="E1430" s="22" t="str">
        <f>'VIX HISTORIQUE'!H1425</f>
        <v/>
      </c>
      <c r="F1430" s="22" t="str">
        <f>'VIX HISTORIQUE'!J1425</f>
        <v/>
      </c>
    </row>
    <row r="1431" ht="15.75" customHeight="1">
      <c r="A1431" s="25" t="str">
        <f>'VIX HISTORIQUE'!A1426</f>
        <v/>
      </c>
      <c r="B1431" s="22" t="str">
        <f>'VIX HISTORIQUE'!B1426</f>
        <v/>
      </c>
      <c r="C1431" s="22" t="str">
        <f>'VIX HISTORIQUE'!D1426</f>
        <v/>
      </c>
      <c r="D1431" s="22" t="str">
        <f>'VIX HISTORIQUE'!F1426</f>
        <v/>
      </c>
      <c r="E1431" s="22" t="str">
        <f>'VIX HISTORIQUE'!H1426</f>
        <v/>
      </c>
      <c r="F1431" s="22" t="str">
        <f>'VIX HISTORIQUE'!J1426</f>
        <v/>
      </c>
    </row>
    <row r="1432" ht="15.75" customHeight="1">
      <c r="A1432" s="25" t="str">
        <f>'VIX HISTORIQUE'!A1427</f>
        <v/>
      </c>
      <c r="B1432" s="22" t="str">
        <f>'VIX HISTORIQUE'!B1427</f>
        <v/>
      </c>
      <c r="C1432" s="22" t="str">
        <f>'VIX HISTORIQUE'!D1427</f>
        <v/>
      </c>
      <c r="D1432" s="22" t="str">
        <f>'VIX HISTORIQUE'!F1427</f>
        <v/>
      </c>
      <c r="E1432" s="22" t="str">
        <f>'VIX HISTORIQUE'!H1427</f>
        <v/>
      </c>
      <c r="F1432" s="22" t="str">
        <f>'VIX HISTORIQUE'!J1427</f>
        <v/>
      </c>
    </row>
    <row r="1433" ht="15.75" customHeight="1">
      <c r="A1433" s="25" t="str">
        <f>'VIX HISTORIQUE'!A1428</f>
        <v/>
      </c>
      <c r="B1433" s="22" t="str">
        <f>'VIX HISTORIQUE'!B1428</f>
        <v/>
      </c>
      <c r="C1433" s="22" t="str">
        <f>'VIX HISTORIQUE'!D1428</f>
        <v/>
      </c>
      <c r="D1433" s="22" t="str">
        <f>'VIX HISTORIQUE'!F1428</f>
        <v/>
      </c>
      <c r="E1433" s="22" t="str">
        <f>'VIX HISTORIQUE'!H1428</f>
        <v/>
      </c>
      <c r="F1433" s="22" t="str">
        <f>'VIX HISTORIQUE'!J1428</f>
        <v/>
      </c>
    </row>
    <row r="1434" ht="15.75" customHeight="1">
      <c r="A1434" s="25" t="str">
        <f>'VIX HISTORIQUE'!A1429</f>
        <v/>
      </c>
      <c r="B1434" s="22" t="str">
        <f>'VIX HISTORIQUE'!B1429</f>
        <v/>
      </c>
      <c r="C1434" s="22" t="str">
        <f>'VIX HISTORIQUE'!D1429</f>
        <v/>
      </c>
      <c r="D1434" s="22" t="str">
        <f>'VIX HISTORIQUE'!F1429</f>
        <v/>
      </c>
      <c r="E1434" s="22" t="str">
        <f>'VIX HISTORIQUE'!H1429</f>
        <v/>
      </c>
      <c r="F1434" s="22" t="str">
        <f>'VIX HISTORIQUE'!J1429</f>
        <v/>
      </c>
    </row>
    <row r="1435" ht="15.75" customHeight="1">
      <c r="A1435" s="25" t="str">
        <f>'VIX HISTORIQUE'!A1430</f>
        <v/>
      </c>
      <c r="B1435" s="22" t="str">
        <f>'VIX HISTORIQUE'!B1430</f>
        <v/>
      </c>
      <c r="C1435" s="22" t="str">
        <f>'VIX HISTORIQUE'!D1430</f>
        <v/>
      </c>
      <c r="D1435" s="22" t="str">
        <f>'VIX HISTORIQUE'!F1430</f>
        <v/>
      </c>
      <c r="E1435" s="22" t="str">
        <f>'VIX HISTORIQUE'!H1430</f>
        <v/>
      </c>
      <c r="F1435" s="22" t="str">
        <f>'VIX HISTORIQUE'!J1430</f>
        <v/>
      </c>
    </row>
    <row r="1436" ht="15.75" customHeight="1">
      <c r="A1436" s="25" t="str">
        <f>'VIX HISTORIQUE'!A1431</f>
        <v/>
      </c>
      <c r="B1436" s="22" t="str">
        <f>'VIX HISTORIQUE'!B1431</f>
        <v/>
      </c>
      <c r="C1436" s="22" t="str">
        <f>'VIX HISTORIQUE'!D1431</f>
        <v/>
      </c>
      <c r="D1436" s="22" t="str">
        <f>'VIX HISTORIQUE'!F1431</f>
        <v/>
      </c>
      <c r="E1436" s="22" t="str">
        <f>'VIX HISTORIQUE'!H1431</f>
        <v/>
      </c>
      <c r="F1436" s="22" t="str">
        <f>'VIX HISTORIQUE'!J1431</f>
        <v/>
      </c>
    </row>
    <row r="1437" ht="15.75" customHeight="1">
      <c r="A1437" s="25" t="str">
        <f>'VIX HISTORIQUE'!A1432</f>
        <v/>
      </c>
      <c r="B1437" s="22" t="str">
        <f>'VIX HISTORIQUE'!B1432</f>
        <v/>
      </c>
      <c r="C1437" s="22" t="str">
        <f>'VIX HISTORIQUE'!D1432</f>
        <v/>
      </c>
      <c r="D1437" s="22" t="str">
        <f>'VIX HISTORIQUE'!F1432</f>
        <v/>
      </c>
      <c r="E1437" s="22" t="str">
        <f>'VIX HISTORIQUE'!H1432</f>
        <v/>
      </c>
      <c r="F1437" s="22" t="str">
        <f>'VIX HISTORIQUE'!J1432</f>
        <v/>
      </c>
    </row>
    <row r="1438" ht="15.75" customHeight="1">
      <c r="A1438" s="25" t="str">
        <f>'VIX HISTORIQUE'!A1433</f>
        <v/>
      </c>
      <c r="B1438" s="22" t="str">
        <f>'VIX HISTORIQUE'!B1433</f>
        <v/>
      </c>
      <c r="C1438" s="22" t="str">
        <f>'VIX HISTORIQUE'!D1433</f>
        <v/>
      </c>
      <c r="D1438" s="22" t="str">
        <f>'VIX HISTORIQUE'!F1433</f>
        <v/>
      </c>
      <c r="E1438" s="22" t="str">
        <f>'VIX HISTORIQUE'!H1433</f>
        <v/>
      </c>
      <c r="F1438" s="22" t="str">
        <f>'VIX HISTORIQUE'!J1433</f>
        <v/>
      </c>
    </row>
    <row r="1439" ht="15.75" customHeight="1">
      <c r="A1439" s="25" t="str">
        <f>'VIX HISTORIQUE'!A1434</f>
        <v/>
      </c>
      <c r="B1439" s="22" t="str">
        <f>'VIX HISTORIQUE'!B1434</f>
        <v/>
      </c>
      <c r="C1439" s="22" t="str">
        <f>'VIX HISTORIQUE'!D1434</f>
        <v/>
      </c>
      <c r="D1439" s="22" t="str">
        <f>'VIX HISTORIQUE'!F1434</f>
        <v/>
      </c>
      <c r="E1439" s="22" t="str">
        <f>'VIX HISTORIQUE'!H1434</f>
        <v/>
      </c>
      <c r="F1439" s="22" t="str">
        <f>'VIX HISTORIQUE'!J1434</f>
        <v/>
      </c>
    </row>
    <row r="1440" ht="15.75" customHeight="1">
      <c r="A1440" s="25" t="str">
        <f>'VIX HISTORIQUE'!A1435</f>
        <v/>
      </c>
      <c r="B1440" s="22" t="str">
        <f>'VIX HISTORIQUE'!B1435</f>
        <v/>
      </c>
      <c r="C1440" s="22" t="str">
        <f>'VIX HISTORIQUE'!D1435</f>
        <v/>
      </c>
      <c r="D1440" s="22" t="str">
        <f>'VIX HISTORIQUE'!F1435</f>
        <v/>
      </c>
      <c r="E1440" s="22" t="str">
        <f>'VIX HISTORIQUE'!H1435</f>
        <v/>
      </c>
      <c r="F1440" s="22" t="str">
        <f>'VIX HISTORIQUE'!J1435</f>
        <v/>
      </c>
    </row>
    <row r="1441" ht="15.75" customHeight="1">
      <c r="A1441" s="25" t="str">
        <f>'VIX HISTORIQUE'!A1436</f>
        <v/>
      </c>
      <c r="B1441" s="22" t="str">
        <f>'VIX HISTORIQUE'!B1436</f>
        <v/>
      </c>
      <c r="C1441" s="22" t="str">
        <f>'VIX HISTORIQUE'!D1436</f>
        <v/>
      </c>
      <c r="D1441" s="22" t="str">
        <f>'VIX HISTORIQUE'!F1436</f>
        <v/>
      </c>
      <c r="E1441" s="22" t="str">
        <f>'VIX HISTORIQUE'!H1436</f>
        <v/>
      </c>
      <c r="F1441" s="22" t="str">
        <f>'VIX HISTORIQUE'!J1436</f>
        <v/>
      </c>
    </row>
    <row r="1442" ht="15.75" customHeight="1">
      <c r="A1442" s="25" t="str">
        <f>'VIX HISTORIQUE'!A1437</f>
        <v/>
      </c>
      <c r="B1442" s="22" t="str">
        <f>'VIX HISTORIQUE'!B1437</f>
        <v/>
      </c>
      <c r="C1442" s="22" t="str">
        <f>'VIX HISTORIQUE'!D1437</f>
        <v/>
      </c>
      <c r="D1442" s="22" t="str">
        <f>'VIX HISTORIQUE'!F1437</f>
        <v/>
      </c>
      <c r="E1442" s="22" t="str">
        <f>'VIX HISTORIQUE'!H1437</f>
        <v/>
      </c>
      <c r="F1442" s="22" t="str">
        <f>'VIX HISTORIQUE'!J1437</f>
        <v/>
      </c>
    </row>
    <row r="1443" ht="15.75" customHeight="1">
      <c r="A1443" s="25" t="str">
        <f>'VIX HISTORIQUE'!A1438</f>
        <v/>
      </c>
      <c r="B1443" s="22" t="str">
        <f>'VIX HISTORIQUE'!B1438</f>
        <v/>
      </c>
      <c r="C1443" s="22" t="str">
        <f>'VIX HISTORIQUE'!D1438</f>
        <v/>
      </c>
      <c r="D1443" s="22" t="str">
        <f>'VIX HISTORIQUE'!F1438</f>
        <v/>
      </c>
      <c r="E1443" s="22" t="str">
        <f>'VIX HISTORIQUE'!H1438</f>
        <v/>
      </c>
      <c r="F1443" s="22" t="str">
        <f>'VIX HISTORIQUE'!J1438</f>
        <v/>
      </c>
    </row>
    <row r="1444" ht="15.75" customHeight="1">
      <c r="A1444" s="25" t="str">
        <f>'VIX HISTORIQUE'!A1439</f>
        <v/>
      </c>
      <c r="B1444" s="22" t="str">
        <f>'VIX HISTORIQUE'!B1439</f>
        <v/>
      </c>
      <c r="C1444" s="22" t="str">
        <f>'VIX HISTORIQUE'!D1439</f>
        <v/>
      </c>
      <c r="D1444" s="22" t="str">
        <f>'VIX HISTORIQUE'!F1439</f>
        <v/>
      </c>
      <c r="E1444" s="22" t="str">
        <f>'VIX HISTORIQUE'!H1439</f>
        <v/>
      </c>
      <c r="F1444" s="22" t="str">
        <f>'VIX HISTORIQUE'!J1439</f>
        <v/>
      </c>
    </row>
    <row r="1445" ht="15.75" customHeight="1">
      <c r="A1445" s="25" t="str">
        <f>'VIX HISTORIQUE'!A1440</f>
        <v/>
      </c>
      <c r="B1445" s="22" t="str">
        <f>'VIX HISTORIQUE'!B1440</f>
        <v/>
      </c>
      <c r="C1445" s="22" t="str">
        <f>'VIX HISTORIQUE'!D1440</f>
        <v/>
      </c>
      <c r="D1445" s="22" t="str">
        <f>'VIX HISTORIQUE'!F1440</f>
        <v/>
      </c>
      <c r="E1445" s="22" t="str">
        <f>'VIX HISTORIQUE'!H1440</f>
        <v/>
      </c>
      <c r="F1445" s="22" t="str">
        <f>'VIX HISTORIQUE'!J1440</f>
        <v/>
      </c>
    </row>
    <row r="1446" ht="15.75" customHeight="1">
      <c r="A1446" s="25" t="str">
        <f>'VIX HISTORIQUE'!A1441</f>
        <v/>
      </c>
      <c r="B1446" s="22" t="str">
        <f>'VIX HISTORIQUE'!B1441</f>
        <v/>
      </c>
      <c r="C1446" s="22" t="str">
        <f>'VIX HISTORIQUE'!D1441</f>
        <v/>
      </c>
      <c r="D1446" s="22" t="str">
        <f>'VIX HISTORIQUE'!F1441</f>
        <v/>
      </c>
      <c r="E1446" s="22" t="str">
        <f>'VIX HISTORIQUE'!H1441</f>
        <v/>
      </c>
      <c r="F1446" s="22" t="str">
        <f>'VIX HISTORIQUE'!J1441</f>
        <v/>
      </c>
    </row>
    <row r="1447" ht="15.75" customHeight="1">
      <c r="A1447" s="25" t="str">
        <f>'VIX HISTORIQUE'!A1442</f>
        <v/>
      </c>
      <c r="B1447" s="22" t="str">
        <f>'VIX HISTORIQUE'!B1442</f>
        <v/>
      </c>
      <c r="C1447" s="22" t="str">
        <f>'VIX HISTORIQUE'!D1442</f>
        <v/>
      </c>
      <c r="D1447" s="22" t="str">
        <f>'VIX HISTORIQUE'!F1442</f>
        <v/>
      </c>
      <c r="E1447" s="22" t="str">
        <f>'VIX HISTORIQUE'!H1442</f>
        <v/>
      </c>
      <c r="F1447" s="22" t="str">
        <f>'VIX HISTORIQUE'!J1442</f>
        <v/>
      </c>
    </row>
    <row r="1448" ht="15.75" customHeight="1">
      <c r="A1448" s="25" t="str">
        <f>'VIX HISTORIQUE'!A1443</f>
        <v/>
      </c>
      <c r="B1448" s="22" t="str">
        <f>'VIX HISTORIQUE'!B1443</f>
        <v/>
      </c>
      <c r="C1448" s="22" t="str">
        <f>'VIX HISTORIQUE'!D1443</f>
        <v/>
      </c>
      <c r="D1448" s="22" t="str">
        <f>'VIX HISTORIQUE'!F1443</f>
        <v/>
      </c>
      <c r="E1448" s="22" t="str">
        <f>'VIX HISTORIQUE'!H1443</f>
        <v/>
      </c>
      <c r="F1448" s="22" t="str">
        <f>'VIX HISTORIQUE'!J1443</f>
        <v/>
      </c>
    </row>
    <row r="1449" ht="15.75" customHeight="1">
      <c r="A1449" s="25" t="str">
        <f>'VIX HISTORIQUE'!A1444</f>
        <v/>
      </c>
      <c r="B1449" s="22" t="str">
        <f>'VIX HISTORIQUE'!B1444</f>
        <v/>
      </c>
      <c r="C1449" s="22" t="str">
        <f>'VIX HISTORIQUE'!D1444</f>
        <v/>
      </c>
      <c r="D1449" s="22" t="str">
        <f>'VIX HISTORIQUE'!F1444</f>
        <v/>
      </c>
      <c r="E1449" s="22" t="str">
        <f>'VIX HISTORIQUE'!H1444</f>
        <v/>
      </c>
      <c r="F1449" s="22" t="str">
        <f>'VIX HISTORIQUE'!J1444</f>
        <v/>
      </c>
    </row>
    <row r="1450" ht="15.75" customHeight="1">
      <c r="A1450" s="25" t="str">
        <f>'VIX HISTORIQUE'!A1445</f>
        <v/>
      </c>
      <c r="B1450" s="22" t="str">
        <f>'VIX HISTORIQUE'!B1445</f>
        <v/>
      </c>
      <c r="C1450" s="22" t="str">
        <f>'VIX HISTORIQUE'!D1445</f>
        <v/>
      </c>
      <c r="D1450" s="22" t="str">
        <f>'VIX HISTORIQUE'!F1445</f>
        <v/>
      </c>
      <c r="E1450" s="22" t="str">
        <f>'VIX HISTORIQUE'!H1445</f>
        <v/>
      </c>
      <c r="F1450" s="22" t="str">
        <f>'VIX HISTORIQUE'!J1445</f>
        <v/>
      </c>
    </row>
    <row r="1451" ht="15.75" customHeight="1">
      <c r="A1451" s="25" t="str">
        <f>'VIX HISTORIQUE'!A1446</f>
        <v/>
      </c>
      <c r="B1451" s="22" t="str">
        <f>'VIX HISTORIQUE'!B1446</f>
        <v/>
      </c>
      <c r="C1451" s="22" t="str">
        <f>'VIX HISTORIQUE'!D1446</f>
        <v/>
      </c>
      <c r="D1451" s="22" t="str">
        <f>'VIX HISTORIQUE'!F1446</f>
        <v/>
      </c>
      <c r="E1451" s="22" t="str">
        <f>'VIX HISTORIQUE'!H1446</f>
        <v/>
      </c>
      <c r="F1451" s="22" t="str">
        <f>'VIX HISTORIQUE'!J1446</f>
        <v/>
      </c>
    </row>
    <row r="1452" ht="15.75" customHeight="1">
      <c r="A1452" s="25" t="str">
        <f>'VIX HISTORIQUE'!A1447</f>
        <v/>
      </c>
      <c r="B1452" s="22" t="str">
        <f>'VIX HISTORIQUE'!B1447</f>
        <v/>
      </c>
      <c r="C1452" s="22" t="str">
        <f>'VIX HISTORIQUE'!D1447</f>
        <v/>
      </c>
      <c r="D1452" s="22" t="str">
        <f>'VIX HISTORIQUE'!F1447</f>
        <v/>
      </c>
      <c r="E1452" s="22" t="str">
        <f>'VIX HISTORIQUE'!H1447</f>
        <v/>
      </c>
      <c r="F1452" s="22" t="str">
        <f>'VIX HISTORIQUE'!J1447</f>
        <v/>
      </c>
    </row>
    <row r="1453" ht="15.75" customHeight="1">
      <c r="A1453" s="25" t="str">
        <f>'VIX HISTORIQUE'!A1448</f>
        <v/>
      </c>
      <c r="B1453" s="22" t="str">
        <f>'VIX HISTORIQUE'!B1448</f>
        <v/>
      </c>
      <c r="C1453" s="22" t="str">
        <f>'VIX HISTORIQUE'!D1448</f>
        <v/>
      </c>
      <c r="D1453" s="22" t="str">
        <f>'VIX HISTORIQUE'!F1448</f>
        <v/>
      </c>
      <c r="E1453" s="22" t="str">
        <f>'VIX HISTORIQUE'!H1448</f>
        <v/>
      </c>
      <c r="F1453" s="22" t="str">
        <f>'VIX HISTORIQUE'!J1448</f>
        <v/>
      </c>
    </row>
    <row r="1454" ht="15.75" customHeight="1">
      <c r="A1454" s="25" t="str">
        <f>'VIX HISTORIQUE'!A1449</f>
        <v/>
      </c>
      <c r="B1454" s="22" t="str">
        <f>'VIX HISTORIQUE'!B1449</f>
        <v/>
      </c>
      <c r="C1454" s="22" t="str">
        <f>'VIX HISTORIQUE'!D1449</f>
        <v/>
      </c>
      <c r="D1454" s="22" t="str">
        <f>'VIX HISTORIQUE'!F1449</f>
        <v/>
      </c>
      <c r="E1454" s="22" t="str">
        <f>'VIX HISTORIQUE'!H1449</f>
        <v/>
      </c>
      <c r="F1454" s="22" t="str">
        <f>'VIX HISTORIQUE'!J1449</f>
        <v/>
      </c>
    </row>
    <row r="1455" ht="15.75" customHeight="1">
      <c r="A1455" s="25" t="str">
        <f>'VIX HISTORIQUE'!A1450</f>
        <v/>
      </c>
      <c r="B1455" s="22" t="str">
        <f>'VIX HISTORIQUE'!B1450</f>
        <v/>
      </c>
      <c r="C1455" s="22" t="str">
        <f>'VIX HISTORIQUE'!D1450</f>
        <v/>
      </c>
      <c r="D1455" s="22" t="str">
        <f>'VIX HISTORIQUE'!F1450</f>
        <v/>
      </c>
      <c r="E1455" s="22" t="str">
        <f>'VIX HISTORIQUE'!H1450</f>
        <v/>
      </c>
      <c r="F1455" s="22" t="str">
        <f>'VIX HISTORIQUE'!J1450</f>
        <v/>
      </c>
    </row>
    <row r="1456" ht="15.75" customHeight="1">
      <c r="A1456" s="25" t="str">
        <f>'VIX HISTORIQUE'!A1451</f>
        <v/>
      </c>
      <c r="B1456" s="22" t="str">
        <f>'VIX HISTORIQUE'!B1451</f>
        <v/>
      </c>
      <c r="C1456" s="22" t="str">
        <f>'VIX HISTORIQUE'!D1451</f>
        <v/>
      </c>
      <c r="D1456" s="22" t="str">
        <f>'VIX HISTORIQUE'!F1451</f>
        <v/>
      </c>
      <c r="E1456" s="22" t="str">
        <f>'VIX HISTORIQUE'!H1451</f>
        <v/>
      </c>
      <c r="F1456" s="22" t="str">
        <f>'VIX HISTORIQUE'!J1451</f>
        <v/>
      </c>
    </row>
    <row r="1457" ht="15.75" customHeight="1">
      <c r="A1457" s="25" t="str">
        <f>'VIX HISTORIQUE'!A1452</f>
        <v/>
      </c>
      <c r="B1457" s="22" t="str">
        <f>'VIX HISTORIQUE'!B1452</f>
        <v/>
      </c>
      <c r="C1457" s="22" t="str">
        <f>'VIX HISTORIQUE'!D1452</f>
        <v/>
      </c>
      <c r="D1457" s="22" t="str">
        <f>'VIX HISTORIQUE'!F1452</f>
        <v/>
      </c>
      <c r="E1457" s="22" t="str">
        <f>'VIX HISTORIQUE'!H1452</f>
        <v/>
      </c>
      <c r="F1457" s="22" t="str">
        <f>'VIX HISTORIQUE'!J1452</f>
        <v/>
      </c>
    </row>
    <row r="1458" ht="15.75" customHeight="1">
      <c r="A1458" s="25" t="str">
        <f>'VIX HISTORIQUE'!A1453</f>
        <v/>
      </c>
      <c r="B1458" s="22" t="str">
        <f>'VIX HISTORIQUE'!B1453</f>
        <v/>
      </c>
      <c r="C1458" s="22" t="str">
        <f>'VIX HISTORIQUE'!D1453</f>
        <v/>
      </c>
      <c r="D1458" s="22" t="str">
        <f>'VIX HISTORIQUE'!F1453</f>
        <v/>
      </c>
      <c r="E1458" s="22" t="str">
        <f>'VIX HISTORIQUE'!H1453</f>
        <v/>
      </c>
      <c r="F1458" s="22" t="str">
        <f>'VIX HISTORIQUE'!J1453</f>
        <v/>
      </c>
    </row>
    <row r="1459" ht="15.75" customHeight="1">
      <c r="A1459" s="25" t="str">
        <f>'VIX HISTORIQUE'!A1454</f>
        <v/>
      </c>
      <c r="B1459" s="22" t="str">
        <f>'VIX HISTORIQUE'!B1454</f>
        <v/>
      </c>
      <c r="C1459" s="22" t="str">
        <f>'VIX HISTORIQUE'!D1454</f>
        <v/>
      </c>
      <c r="D1459" s="22" t="str">
        <f>'VIX HISTORIQUE'!F1454</f>
        <v/>
      </c>
      <c r="E1459" s="22" t="str">
        <f>'VIX HISTORIQUE'!H1454</f>
        <v/>
      </c>
      <c r="F1459" s="22" t="str">
        <f>'VIX HISTORIQUE'!J1454</f>
        <v/>
      </c>
    </row>
    <row r="1460" ht="15.75" customHeight="1">
      <c r="A1460" s="25" t="str">
        <f>'VIX HISTORIQUE'!A1455</f>
        <v/>
      </c>
      <c r="B1460" s="22" t="str">
        <f>'VIX HISTORIQUE'!B1455</f>
        <v/>
      </c>
      <c r="C1460" s="22" t="str">
        <f>'VIX HISTORIQUE'!D1455</f>
        <v/>
      </c>
      <c r="D1460" s="22" t="str">
        <f>'VIX HISTORIQUE'!F1455</f>
        <v/>
      </c>
      <c r="E1460" s="22" t="str">
        <f>'VIX HISTORIQUE'!H1455</f>
        <v/>
      </c>
      <c r="F1460" s="22" t="str">
        <f>'VIX HISTORIQUE'!J1455</f>
        <v/>
      </c>
    </row>
    <row r="1461" ht="15.75" customHeight="1">
      <c r="A1461" s="25" t="str">
        <f>'VIX HISTORIQUE'!A1456</f>
        <v/>
      </c>
      <c r="B1461" s="22" t="str">
        <f>'VIX HISTORIQUE'!B1456</f>
        <v/>
      </c>
      <c r="C1461" s="22" t="str">
        <f>'VIX HISTORIQUE'!D1456</f>
        <v/>
      </c>
      <c r="D1461" s="22" t="str">
        <f>'VIX HISTORIQUE'!F1456</f>
        <v/>
      </c>
      <c r="E1461" s="22" t="str">
        <f>'VIX HISTORIQUE'!H1456</f>
        <v/>
      </c>
      <c r="F1461" s="22" t="str">
        <f>'VIX HISTORIQUE'!J1456</f>
        <v/>
      </c>
    </row>
    <row r="1462" ht="15.75" customHeight="1">
      <c r="A1462" s="25" t="str">
        <f>'VIX HISTORIQUE'!A1457</f>
        <v/>
      </c>
      <c r="B1462" s="22" t="str">
        <f>'VIX HISTORIQUE'!B1457</f>
        <v/>
      </c>
      <c r="C1462" s="22" t="str">
        <f>'VIX HISTORIQUE'!D1457</f>
        <v/>
      </c>
      <c r="D1462" s="22" t="str">
        <f>'VIX HISTORIQUE'!F1457</f>
        <v/>
      </c>
      <c r="E1462" s="22" t="str">
        <f>'VIX HISTORIQUE'!H1457</f>
        <v/>
      </c>
      <c r="F1462" s="22" t="str">
        <f>'VIX HISTORIQUE'!J1457</f>
        <v/>
      </c>
    </row>
    <row r="1463" ht="15.75" customHeight="1">
      <c r="A1463" s="25" t="str">
        <f>'VIX HISTORIQUE'!A1458</f>
        <v/>
      </c>
      <c r="B1463" s="22" t="str">
        <f>'VIX HISTORIQUE'!B1458</f>
        <v/>
      </c>
      <c r="C1463" s="22" t="str">
        <f>'VIX HISTORIQUE'!D1458</f>
        <v/>
      </c>
      <c r="D1463" s="22" t="str">
        <f>'VIX HISTORIQUE'!F1458</f>
        <v/>
      </c>
      <c r="E1463" s="22" t="str">
        <f>'VIX HISTORIQUE'!H1458</f>
        <v/>
      </c>
      <c r="F1463" s="22" t="str">
        <f>'VIX HISTORIQUE'!J1458</f>
        <v/>
      </c>
    </row>
    <row r="1464" ht="15.75" customHeight="1">
      <c r="A1464" s="25" t="str">
        <f>'VIX HISTORIQUE'!A1459</f>
        <v/>
      </c>
      <c r="B1464" s="22" t="str">
        <f>'VIX HISTORIQUE'!B1459</f>
        <v/>
      </c>
      <c r="C1464" s="22" t="str">
        <f>'VIX HISTORIQUE'!D1459</f>
        <v/>
      </c>
      <c r="D1464" s="22" t="str">
        <f>'VIX HISTORIQUE'!F1459</f>
        <v/>
      </c>
      <c r="E1464" s="22" t="str">
        <f>'VIX HISTORIQUE'!H1459</f>
        <v/>
      </c>
      <c r="F1464" s="22" t="str">
        <f>'VIX HISTORIQUE'!J1459</f>
        <v/>
      </c>
    </row>
    <row r="1465" ht="15.75" customHeight="1">
      <c r="A1465" s="25" t="str">
        <f>'VIX HISTORIQUE'!A1460</f>
        <v/>
      </c>
      <c r="B1465" s="22" t="str">
        <f>'VIX HISTORIQUE'!B1460</f>
        <v/>
      </c>
      <c r="C1465" s="22" t="str">
        <f>'VIX HISTORIQUE'!D1460</f>
        <v/>
      </c>
      <c r="D1465" s="22" t="str">
        <f>'VIX HISTORIQUE'!F1460</f>
        <v/>
      </c>
      <c r="E1465" s="22" t="str">
        <f>'VIX HISTORIQUE'!H1460</f>
        <v/>
      </c>
      <c r="F1465" s="22" t="str">
        <f>'VIX HISTORIQUE'!J1460</f>
        <v/>
      </c>
    </row>
    <row r="1466" ht="15.75" customHeight="1">
      <c r="A1466" s="25" t="str">
        <f>'VIX HISTORIQUE'!A1461</f>
        <v/>
      </c>
      <c r="B1466" s="22" t="str">
        <f>'VIX HISTORIQUE'!B1461</f>
        <v/>
      </c>
      <c r="C1466" s="22" t="str">
        <f>'VIX HISTORIQUE'!D1461</f>
        <v/>
      </c>
      <c r="D1466" s="22" t="str">
        <f>'VIX HISTORIQUE'!F1461</f>
        <v/>
      </c>
      <c r="E1466" s="22" t="str">
        <f>'VIX HISTORIQUE'!H1461</f>
        <v/>
      </c>
      <c r="F1466" s="22" t="str">
        <f>'VIX HISTORIQUE'!J1461</f>
        <v/>
      </c>
    </row>
    <row r="1467" ht="15.75" customHeight="1">
      <c r="A1467" s="25" t="str">
        <f>'VIX HISTORIQUE'!A1462</f>
        <v/>
      </c>
      <c r="B1467" s="22" t="str">
        <f>'VIX HISTORIQUE'!B1462</f>
        <v/>
      </c>
      <c r="C1467" s="22" t="str">
        <f>'VIX HISTORIQUE'!D1462</f>
        <v/>
      </c>
      <c r="D1467" s="22" t="str">
        <f>'VIX HISTORIQUE'!F1462</f>
        <v/>
      </c>
      <c r="E1467" s="22" t="str">
        <f>'VIX HISTORIQUE'!H1462</f>
        <v/>
      </c>
      <c r="F1467" s="22" t="str">
        <f>'VIX HISTORIQUE'!J1462</f>
        <v/>
      </c>
    </row>
    <row r="1468" ht="15.75" customHeight="1">
      <c r="A1468" s="25" t="str">
        <f>'VIX HISTORIQUE'!A1463</f>
        <v/>
      </c>
      <c r="B1468" s="22" t="str">
        <f>'VIX HISTORIQUE'!B1463</f>
        <v/>
      </c>
      <c r="C1468" s="22" t="str">
        <f>'VIX HISTORIQUE'!D1463</f>
        <v/>
      </c>
      <c r="D1468" s="22" t="str">
        <f>'VIX HISTORIQUE'!F1463</f>
        <v/>
      </c>
      <c r="E1468" s="22" t="str">
        <f>'VIX HISTORIQUE'!H1463</f>
        <v/>
      </c>
      <c r="F1468" s="22" t="str">
        <f>'VIX HISTORIQUE'!J1463</f>
        <v/>
      </c>
    </row>
    <row r="1469" ht="15.75" customHeight="1">
      <c r="A1469" s="25" t="str">
        <f>'VIX HISTORIQUE'!A1464</f>
        <v/>
      </c>
      <c r="B1469" s="22" t="str">
        <f>'VIX HISTORIQUE'!B1464</f>
        <v/>
      </c>
      <c r="C1469" s="22" t="str">
        <f>'VIX HISTORIQUE'!D1464</f>
        <v/>
      </c>
      <c r="D1469" s="22" t="str">
        <f>'VIX HISTORIQUE'!F1464</f>
        <v/>
      </c>
      <c r="E1469" s="22" t="str">
        <f>'VIX HISTORIQUE'!H1464</f>
        <v/>
      </c>
      <c r="F1469" s="22" t="str">
        <f>'VIX HISTORIQUE'!J1464</f>
        <v/>
      </c>
    </row>
    <row r="1470" ht="15.75" customHeight="1">
      <c r="A1470" s="25" t="str">
        <f>'VIX HISTORIQUE'!A1465</f>
        <v/>
      </c>
      <c r="B1470" s="22" t="str">
        <f>'VIX HISTORIQUE'!B1465</f>
        <v/>
      </c>
      <c r="C1470" s="22" t="str">
        <f>'VIX HISTORIQUE'!D1465</f>
        <v/>
      </c>
      <c r="D1470" s="22" t="str">
        <f>'VIX HISTORIQUE'!F1465</f>
        <v/>
      </c>
      <c r="E1470" s="22" t="str">
        <f>'VIX HISTORIQUE'!H1465</f>
        <v/>
      </c>
      <c r="F1470" s="22" t="str">
        <f>'VIX HISTORIQUE'!J1465</f>
        <v/>
      </c>
    </row>
    <row r="1471" ht="15.75" customHeight="1">
      <c r="A1471" s="25" t="str">
        <f>'VIX HISTORIQUE'!A1466</f>
        <v/>
      </c>
      <c r="B1471" s="22" t="str">
        <f>'VIX HISTORIQUE'!B1466</f>
        <v/>
      </c>
      <c r="C1471" s="22" t="str">
        <f>'VIX HISTORIQUE'!D1466</f>
        <v/>
      </c>
      <c r="D1471" s="22" t="str">
        <f>'VIX HISTORIQUE'!F1466</f>
        <v/>
      </c>
      <c r="E1471" s="22" t="str">
        <f>'VIX HISTORIQUE'!H1466</f>
        <v/>
      </c>
      <c r="F1471" s="22" t="str">
        <f>'VIX HISTORIQUE'!J1466</f>
        <v/>
      </c>
    </row>
    <row r="1472" ht="15.75" customHeight="1">
      <c r="A1472" s="25" t="str">
        <f>'VIX HISTORIQUE'!A1467</f>
        <v/>
      </c>
      <c r="B1472" s="22" t="str">
        <f>'VIX HISTORIQUE'!B1467</f>
        <v/>
      </c>
      <c r="C1472" s="22" t="str">
        <f>'VIX HISTORIQUE'!D1467</f>
        <v/>
      </c>
      <c r="D1472" s="22" t="str">
        <f>'VIX HISTORIQUE'!F1467</f>
        <v/>
      </c>
      <c r="E1472" s="22" t="str">
        <f>'VIX HISTORIQUE'!H1467</f>
        <v/>
      </c>
      <c r="F1472" s="22" t="str">
        <f>'VIX HISTORIQUE'!J1467</f>
        <v/>
      </c>
    </row>
    <row r="1473" ht="15.75" customHeight="1">
      <c r="A1473" s="25" t="str">
        <f>'VIX HISTORIQUE'!A1468</f>
        <v/>
      </c>
      <c r="B1473" s="22" t="str">
        <f>'VIX HISTORIQUE'!B1468</f>
        <v/>
      </c>
      <c r="C1473" s="22" t="str">
        <f>'VIX HISTORIQUE'!D1468</f>
        <v/>
      </c>
      <c r="D1473" s="22" t="str">
        <f>'VIX HISTORIQUE'!F1468</f>
        <v/>
      </c>
      <c r="E1473" s="22" t="str">
        <f>'VIX HISTORIQUE'!H1468</f>
        <v/>
      </c>
      <c r="F1473" s="22" t="str">
        <f>'VIX HISTORIQUE'!J1468</f>
        <v/>
      </c>
    </row>
    <row r="1474" ht="15.75" customHeight="1">
      <c r="A1474" s="25" t="str">
        <f>'VIX HISTORIQUE'!A1469</f>
        <v/>
      </c>
      <c r="B1474" s="22" t="str">
        <f>'VIX HISTORIQUE'!B1469</f>
        <v/>
      </c>
      <c r="C1474" s="22" t="str">
        <f>'VIX HISTORIQUE'!D1469</f>
        <v/>
      </c>
      <c r="D1474" s="22" t="str">
        <f>'VIX HISTORIQUE'!F1469</f>
        <v/>
      </c>
      <c r="E1474" s="22" t="str">
        <f>'VIX HISTORIQUE'!H1469</f>
        <v/>
      </c>
      <c r="F1474" s="22" t="str">
        <f>'VIX HISTORIQUE'!J1469</f>
        <v/>
      </c>
    </row>
    <row r="1475" ht="15.75" customHeight="1">
      <c r="A1475" s="25" t="str">
        <f>'VIX HISTORIQUE'!A1470</f>
        <v/>
      </c>
      <c r="B1475" s="22" t="str">
        <f>'VIX HISTORIQUE'!B1470</f>
        <v/>
      </c>
      <c r="C1475" s="22" t="str">
        <f>'VIX HISTORIQUE'!D1470</f>
        <v/>
      </c>
      <c r="D1475" s="22" t="str">
        <f>'VIX HISTORIQUE'!F1470</f>
        <v/>
      </c>
      <c r="E1475" s="22" t="str">
        <f>'VIX HISTORIQUE'!H1470</f>
        <v/>
      </c>
      <c r="F1475" s="22" t="str">
        <f>'VIX HISTORIQUE'!J1470</f>
        <v/>
      </c>
    </row>
    <row r="1476" ht="15.75" customHeight="1">
      <c r="A1476" s="25" t="str">
        <f>'VIX HISTORIQUE'!A1471</f>
        <v/>
      </c>
      <c r="B1476" s="22" t="str">
        <f>'VIX HISTORIQUE'!B1471</f>
        <v/>
      </c>
      <c r="C1476" s="22" t="str">
        <f>'VIX HISTORIQUE'!D1471</f>
        <v/>
      </c>
      <c r="D1476" s="22" t="str">
        <f>'VIX HISTORIQUE'!F1471</f>
        <v/>
      </c>
      <c r="E1476" s="22" t="str">
        <f>'VIX HISTORIQUE'!H1471</f>
        <v/>
      </c>
      <c r="F1476" s="22" t="str">
        <f>'VIX HISTORIQUE'!J1471</f>
        <v/>
      </c>
    </row>
    <row r="1477" ht="15.75" customHeight="1">
      <c r="A1477" s="25" t="str">
        <f>'VIX HISTORIQUE'!A1472</f>
        <v/>
      </c>
      <c r="B1477" s="22" t="str">
        <f>'VIX HISTORIQUE'!B1472</f>
        <v/>
      </c>
      <c r="C1477" s="22" t="str">
        <f>'VIX HISTORIQUE'!D1472</f>
        <v/>
      </c>
      <c r="D1477" s="22" t="str">
        <f>'VIX HISTORIQUE'!F1472</f>
        <v/>
      </c>
      <c r="E1477" s="22" t="str">
        <f>'VIX HISTORIQUE'!H1472</f>
        <v/>
      </c>
      <c r="F1477" s="22" t="str">
        <f>'VIX HISTORIQUE'!J1472</f>
        <v/>
      </c>
    </row>
    <row r="1478" ht="15.75" customHeight="1">
      <c r="A1478" s="25" t="str">
        <f>'VIX HISTORIQUE'!A1473</f>
        <v/>
      </c>
      <c r="B1478" s="22" t="str">
        <f>'VIX HISTORIQUE'!B1473</f>
        <v/>
      </c>
      <c r="C1478" s="22" t="str">
        <f>'VIX HISTORIQUE'!D1473</f>
        <v/>
      </c>
      <c r="D1478" s="22" t="str">
        <f>'VIX HISTORIQUE'!F1473</f>
        <v/>
      </c>
      <c r="E1478" s="22" t="str">
        <f>'VIX HISTORIQUE'!H1473</f>
        <v/>
      </c>
      <c r="F1478" s="22" t="str">
        <f>'VIX HISTORIQUE'!J1473</f>
        <v/>
      </c>
    </row>
    <row r="1479" ht="15.75" customHeight="1">
      <c r="A1479" s="25" t="str">
        <f>'VIX HISTORIQUE'!A1474</f>
        <v/>
      </c>
      <c r="B1479" s="22" t="str">
        <f>'VIX HISTORIQUE'!B1474</f>
        <v/>
      </c>
      <c r="C1479" s="22" t="str">
        <f>'VIX HISTORIQUE'!D1474</f>
        <v/>
      </c>
      <c r="D1479" s="22" t="str">
        <f>'VIX HISTORIQUE'!F1474</f>
        <v/>
      </c>
      <c r="E1479" s="22" t="str">
        <f>'VIX HISTORIQUE'!H1474</f>
        <v/>
      </c>
      <c r="F1479" s="22" t="str">
        <f>'VIX HISTORIQUE'!J1474</f>
        <v/>
      </c>
    </row>
    <row r="1480" ht="15.75" customHeight="1">
      <c r="A1480" s="25" t="str">
        <f>'VIX HISTORIQUE'!A1475</f>
        <v/>
      </c>
      <c r="B1480" s="22" t="str">
        <f>'VIX HISTORIQUE'!B1475</f>
        <v/>
      </c>
      <c r="C1480" s="22" t="str">
        <f>'VIX HISTORIQUE'!D1475</f>
        <v/>
      </c>
      <c r="D1480" s="22" t="str">
        <f>'VIX HISTORIQUE'!F1475</f>
        <v/>
      </c>
      <c r="E1480" s="22" t="str">
        <f>'VIX HISTORIQUE'!H1475</f>
        <v/>
      </c>
      <c r="F1480" s="22" t="str">
        <f>'VIX HISTORIQUE'!J1475</f>
        <v/>
      </c>
    </row>
    <row r="1481" ht="15.75" customHeight="1">
      <c r="A1481" s="25" t="str">
        <f>'VIX HISTORIQUE'!A1476</f>
        <v/>
      </c>
      <c r="B1481" s="22" t="str">
        <f>'VIX HISTORIQUE'!B1476</f>
        <v/>
      </c>
      <c r="C1481" s="22" t="str">
        <f>'VIX HISTORIQUE'!D1476</f>
        <v/>
      </c>
      <c r="D1481" s="22" t="str">
        <f>'VIX HISTORIQUE'!F1476</f>
        <v/>
      </c>
      <c r="E1481" s="22" t="str">
        <f>'VIX HISTORIQUE'!H1476</f>
        <v/>
      </c>
      <c r="F1481" s="22" t="str">
        <f>'VIX HISTORIQUE'!J1476</f>
        <v/>
      </c>
    </row>
    <row r="1482" ht="15.75" customHeight="1">
      <c r="A1482" s="25" t="str">
        <f>'VIX HISTORIQUE'!A1477</f>
        <v/>
      </c>
      <c r="B1482" s="22" t="str">
        <f>'VIX HISTORIQUE'!B1477</f>
        <v/>
      </c>
      <c r="C1482" s="22" t="str">
        <f>'VIX HISTORIQUE'!D1477</f>
        <v/>
      </c>
      <c r="D1482" s="22" t="str">
        <f>'VIX HISTORIQUE'!F1477</f>
        <v/>
      </c>
      <c r="E1482" s="22" t="str">
        <f>'VIX HISTORIQUE'!H1477</f>
        <v/>
      </c>
      <c r="F1482" s="22" t="str">
        <f>'VIX HISTORIQUE'!J1477</f>
        <v/>
      </c>
    </row>
    <row r="1483" ht="15.75" customHeight="1">
      <c r="A1483" s="25" t="str">
        <f>'VIX HISTORIQUE'!A1478</f>
        <v/>
      </c>
      <c r="B1483" s="22" t="str">
        <f>'VIX HISTORIQUE'!B1478</f>
        <v/>
      </c>
      <c r="C1483" s="22" t="str">
        <f>'VIX HISTORIQUE'!D1478</f>
        <v/>
      </c>
      <c r="D1483" s="22" t="str">
        <f>'VIX HISTORIQUE'!F1478</f>
        <v/>
      </c>
      <c r="E1483" s="22" t="str">
        <f>'VIX HISTORIQUE'!H1478</f>
        <v/>
      </c>
      <c r="F1483" s="22" t="str">
        <f>'VIX HISTORIQUE'!J1478</f>
        <v/>
      </c>
    </row>
    <row r="1484" ht="15.75" customHeight="1">
      <c r="A1484" s="25" t="str">
        <f>'VIX HISTORIQUE'!A1479</f>
        <v/>
      </c>
      <c r="B1484" s="22" t="str">
        <f>'VIX HISTORIQUE'!B1479</f>
        <v/>
      </c>
      <c r="C1484" s="22" t="str">
        <f>'VIX HISTORIQUE'!D1479</f>
        <v/>
      </c>
      <c r="D1484" s="22" t="str">
        <f>'VIX HISTORIQUE'!F1479</f>
        <v/>
      </c>
      <c r="E1484" s="22" t="str">
        <f>'VIX HISTORIQUE'!H1479</f>
        <v/>
      </c>
      <c r="F1484" s="22" t="str">
        <f>'VIX HISTORIQUE'!J1479</f>
        <v/>
      </c>
    </row>
    <row r="1485" ht="15.75" customHeight="1">
      <c r="A1485" s="25" t="str">
        <f>'VIX HISTORIQUE'!A1480</f>
        <v/>
      </c>
      <c r="B1485" s="22" t="str">
        <f>'VIX HISTORIQUE'!B1480</f>
        <v/>
      </c>
      <c r="C1485" s="22" t="str">
        <f>'VIX HISTORIQUE'!D1480</f>
        <v/>
      </c>
      <c r="D1485" s="22" t="str">
        <f>'VIX HISTORIQUE'!F1480</f>
        <v/>
      </c>
      <c r="E1485" s="22" t="str">
        <f>'VIX HISTORIQUE'!H1480</f>
        <v/>
      </c>
      <c r="F1485" s="22" t="str">
        <f>'VIX HISTORIQUE'!J1480</f>
        <v/>
      </c>
    </row>
    <row r="1486" ht="15.75" customHeight="1">
      <c r="A1486" s="25" t="str">
        <f>'VIX HISTORIQUE'!A1481</f>
        <v/>
      </c>
      <c r="B1486" s="22" t="str">
        <f>'VIX HISTORIQUE'!B1481</f>
        <v/>
      </c>
      <c r="C1486" s="22" t="str">
        <f>'VIX HISTORIQUE'!D1481</f>
        <v/>
      </c>
      <c r="D1486" s="22" t="str">
        <f>'VIX HISTORIQUE'!F1481</f>
        <v/>
      </c>
      <c r="E1486" s="22" t="str">
        <f>'VIX HISTORIQUE'!H1481</f>
        <v/>
      </c>
      <c r="F1486" s="22" t="str">
        <f>'VIX HISTORIQUE'!J1481</f>
        <v/>
      </c>
    </row>
    <row r="1487" ht="15.75" customHeight="1">
      <c r="A1487" s="25" t="str">
        <f>'VIX HISTORIQUE'!A1482</f>
        <v/>
      </c>
      <c r="B1487" s="22" t="str">
        <f>'VIX HISTORIQUE'!B1482</f>
        <v/>
      </c>
      <c r="C1487" s="22" t="str">
        <f>'VIX HISTORIQUE'!D1482</f>
        <v/>
      </c>
      <c r="D1487" s="22" t="str">
        <f>'VIX HISTORIQUE'!F1482</f>
        <v/>
      </c>
      <c r="E1487" s="22" t="str">
        <f>'VIX HISTORIQUE'!H1482</f>
        <v/>
      </c>
      <c r="F1487" s="22" t="str">
        <f>'VIX HISTORIQUE'!J1482</f>
        <v/>
      </c>
    </row>
    <row r="1488" ht="15.75" customHeight="1">
      <c r="A1488" s="25" t="str">
        <f>'VIX HISTORIQUE'!A1483</f>
        <v/>
      </c>
      <c r="B1488" s="22" t="str">
        <f>'VIX HISTORIQUE'!B1483</f>
        <v/>
      </c>
      <c r="C1488" s="22" t="str">
        <f>'VIX HISTORIQUE'!D1483</f>
        <v/>
      </c>
      <c r="D1488" s="22" t="str">
        <f>'VIX HISTORIQUE'!F1483</f>
        <v/>
      </c>
      <c r="E1488" s="22" t="str">
        <f>'VIX HISTORIQUE'!H1483</f>
        <v/>
      </c>
      <c r="F1488" s="22" t="str">
        <f>'VIX HISTORIQUE'!J1483</f>
        <v/>
      </c>
    </row>
    <row r="1489" ht="15.75" customHeight="1">
      <c r="A1489" s="25" t="str">
        <f>'VIX HISTORIQUE'!A1484</f>
        <v/>
      </c>
      <c r="B1489" s="22" t="str">
        <f>'VIX HISTORIQUE'!B1484</f>
        <v/>
      </c>
      <c r="C1489" s="22" t="str">
        <f>'VIX HISTORIQUE'!D1484</f>
        <v/>
      </c>
      <c r="D1489" s="22" t="str">
        <f>'VIX HISTORIQUE'!F1484</f>
        <v/>
      </c>
      <c r="E1489" s="22" t="str">
        <f>'VIX HISTORIQUE'!H1484</f>
        <v/>
      </c>
      <c r="F1489" s="22" t="str">
        <f>'VIX HISTORIQUE'!J1484</f>
        <v/>
      </c>
    </row>
    <row r="1490" ht="15.75" customHeight="1">
      <c r="A1490" s="25" t="str">
        <f>'VIX HISTORIQUE'!A1485</f>
        <v/>
      </c>
      <c r="B1490" s="22" t="str">
        <f>'VIX HISTORIQUE'!B1485</f>
        <v/>
      </c>
      <c r="C1490" s="22" t="str">
        <f>'VIX HISTORIQUE'!D1485</f>
        <v/>
      </c>
      <c r="D1490" s="22" t="str">
        <f>'VIX HISTORIQUE'!F1485</f>
        <v/>
      </c>
      <c r="E1490" s="22" t="str">
        <f>'VIX HISTORIQUE'!H1485</f>
        <v/>
      </c>
      <c r="F1490" s="22" t="str">
        <f>'VIX HISTORIQUE'!J1485</f>
        <v/>
      </c>
    </row>
    <row r="1491" ht="15.75" customHeight="1">
      <c r="A1491" s="25" t="str">
        <f>'VIX HISTORIQUE'!A1486</f>
        <v/>
      </c>
      <c r="B1491" s="22" t="str">
        <f>'VIX HISTORIQUE'!B1486</f>
        <v/>
      </c>
      <c r="C1491" s="22" t="str">
        <f>'VIX HISTORIQUE'!D1486</f>
        <v/>
      </c>
      <c r="D1491" s="22" t="str">
        <f>'VIX HISTORIQUE'!F1486</f>
        <v/>
      </c>
      <c r="E1491" s="22" t="str">
        <f>'VIX HISTORIQUE'!H1486</f>
        <v/>
      </c>
      <c r="F1491" s="22" t="str">
        <f>'VIX HISTORIQUE'!J1486</f>
        <v/>
      </c>
    </row>
    <row r="1492" ht="15.75" customHeight="1">
      <c r="A1492" s="25" t="str">
        <f>'VIX HISTORIQUE'!A1487</f>
        <v/>
      </c>
      <c r="B1492" s="22" t="str">
        <f>'VIX HISTORIQUE'!B1487</f>
        <v/>
      </c>
      <c r="C1492" s="22" t="str">
        <f>'VIX HISTORIQUE'!D1487</f>
        <v/>
      </c>
      <c r="D1492" s="22" t="str">
        <f>'VIX HISTORIQUE'!F1487</f>
        <v/>
      </c>
      <c r="E1492" s="22" t="str">
        <f>'VIX HISTORIQUE'!H1487</f>
        <v/>
      </c>
      <c r="F1492" s="22" t="str">
        <f>'VIX HISTORIQUE'!J1487</f>
        <v/>
      </c>
    </row>
    <row r="1493" ht="15.75" customHeight="1">
      <c r="A1493" s="25" t="str">
        <f>'VIX HISTORIQUE'!A1488</f>
        <v/>
      </c>
      <c r="B1493" s="22" t="str">
        <f>'VIX HISTORIQUE'!B1488</f>
        <v/>
      </c>
      <c r="C1493" s="22" t="str">
        <f>'VIX HISTORIQUE'!D1488</f>
        <v/>
      </c>
      <c r="D1493" s="22" t="str">
        <f>'VIX HISTORIQUE'!F1488</f>
        <v/>
      </c>
      <c r="E1493" s="22" t="str">
        <f>'VIX HISTORIQUE'!H1488</f>
        <v/>
      </c>
      <c r="F1493" s="22" t="str">
        <f>'VIX HISTORIQUE'!J1488</f>
        <v/>
      </c>
    </row>
    <row r="1494" ht="15.75" customHeight="1">
      <c r="A1494" s="25" t="str">
        <f>'VIX HISTORIQUE'!A1489</f>
        <v/>
      </c>
      <c r="B1494" s="22" t="str">
        <f>'VIX HISTORIQUE'!B1489</f>
        <v/>
      </c>
      <c r="C1494" s="22" t="str">
        <f>'VIX HISTORIQUE'!D1489</f>
        <v/>
      </c>
      <c r="D1494" s="22" t="str">
        <f>'VIX HISTORIQUE'!F1489</f>
        <v/>
      </c>
      <c r="E1494" s="22" t="str">
        <f>'VIX HISTORIQUE'!H1489</f>
        <v/>
      </c>
      <c r="F1494" s="22" t="str">
        <f>'VIX HISTORIQUE'!J1489</f>
        <v/>
      </c>
    </row>
    <row r="1495" ht="15.75" customHeight="1">
      <c r="A1495" s="25" t="str">
        <f>'VIX HISTORIQUE'!A1490</f>
        <v/>
      </c>
      <c r="B1495" s="22" t="str">
        <f>'VIX HISTORIQUE'!B1490</f>
        <v/>
      </c>
      <c r="C1495" s="22" t="str">
        <f>'VIX HISTORIQUE'!D1490</f>
        <v/>
      </c>
      <c r="D1495" s="22" t="str">
        <f>'VIX HISTORIQUE'!F1490</f>
        <v/>
      </c>
      <c r="E1495" s="22" t="str">
        <f>'VIX HISTORIQUE'!H1490</f>
        <v/>
      </c>
      <c r="F1495" s="22" t="str">
        <f>'VIX HISTORIQUE'!J1490</f>
        <v/>
      </c>
    </row>
    <row r="1496" ht="15.75" customHeight="1">
      <c r="A1496" s="25" t="str">
        <f>'VIX HISTORIQUE'!A1491</f>
        <v/>
      </c>
      <c r="B1496" s="22" t="str">
        <f>'VIX HISTORIQUE'!B1491</f>
        <v/>
      </c>
      <c r="C1496" s="22" t="str">
        <f>'VIX HISTORIQUE'!D1491</f>
        <v/>
      </c>
      <c r="D1496" s="22" t="str">
        <f>'VIX HISTORIQUE'!F1491</f>
        <v/>
      </c>
      <c r="E1496" s="22" t="str">
        <f>'VIX HISTORIQUE'!H1491</f>
        <v/>
      </c>
      <c r="F1496" s="22" t="str">
        <f>'VIX HISTORIQUE'!J1491</f>
        <v/>
      </c>
    </row>
    <row r="1497" ht="15.75" customHeight="1">
      <c r="A1497" s="25" t="str">
        <f>'VIX HISTORIQUE'!A1492</f>
        <v/>
      </c>
      <c r="B1497" s="22" t="str">
        <f>'VIX HISTORIQUE'!B1492</f>
        <v/>
      </c>
      <c r="C1497" s="22" t="str">
        <f>'VIX HISTORIQUE'!D1492</f>
        <v/>
      </c>
      <c r="D1497" s="22" t="str">
        <f>'VIX HISTORIQUE'!F1492</f>
        <v/>
      </c>
      <c r="E1497" s="22" t="str">
        <f>'VIX HISTORIQUE'!H1492</f>
        <v/>
      </c>
      <c r="F1497" s="22" t="str">
        <f>'VIX HISTORIQUE'!J1492</f>
        <v/>
      </c>
    </row>
    <row r="1498" ht="15.75" customHeight="1">
      <c r="A1498" s="25" t="str">
        <f>'VIX HISTORIQUE'!A1493</f>
        <v/>
      </c>
      <c r="B1498" s="22" t="str">
        <f>'VIX HISTORIQUE'!B1493</f>
        <v/>
      </c>
      <c r="C1498" s="22" t="str">
        <f>'VIX HISTORIQUE'!D1493</f>
        <v/>
      </c>
      <c r="D1498" s="22" t="str">
        <f>'VIX HISTORIQUE'!F1493</f>
        <v/>
      </c>
      <c r="E1498" s="22" t="str">
        <f>'VIX HISTORIQUE'!H1493</f>
        <v/>
      </c>
      <c r="F1498" s="22" t="str">
        <f>'VIX HISTORIQUE'!J1493</f>
        <v/>
      </c>
    </row>
    <row r="1499" ht="15.75" customHeight="1">
      <c r="A1499" s="25" t="str">
        <f>'VIX HISTORIQUE'!A1494</f>
        <v/>
      </c>
      <c r="B1499" s="22" t="str">
        <f>'VIX HISTORIQUE'!B1494</f>
        <v/>
      </c>
      <c r="C1499" s="22" t="str">
        <f>'VIX HISTORIQUE'!D1494</f>
        <v/>
      </c>
      <c r="D1499" s="22" t="str">
        <f>'VIX HISTORIQUE'!F1494</f>
        <v/>
      </c>
      <c r="E1499" s="22" t="str">
        <f>'VIX HISTORIQUE'!H1494</f>
        <v/>
      </c>
      <c r="F1499" s="22" t="str">
        <f>'VIX HISTORIQUE'!J1494</f>
        <v/>
      </c>
    </row>
    <row r="1500" ht="15.75" customHeight="1">
      <c r="A1500" s="25" t="str">
        <f>'VIX HISTORIQUE'!A1495</f>
        <v/>
      </c>
      <c r="B1500" s="22" t="str">
        <f>'VIX HISTORIQUE'!B1495</f>
        <v/>
      </c>
      <c r="C1500" s="22" t="str">
        <f>'VIX HISTORIQUE'!D1495</f>
        <v/>
      </c>
      <c r="D1500" s="22" t="str">
        <f>'VIX HISTORIQUE'!F1495</f>
        <v/>
      </c>
      <c r="E1500" s="22" t="str">
        <f>'VIX HISTORIQUE'!H1495</f>
        <v/>
      </c>
      <c r="F1500" s="22" t="str">
        <f>'VIX HISTORIQUE'!J1495</f>
        <v/>
      </c>
    </row>
    <row r="1501" ht="15.75" customHeight="1">
      <c r="A1501" s="25" t="str">
        <f>'VIX HISTORIQUE'!A1496</f>
        <v/>
      </c>
      <c r="B1501" s="22" t="str">
        <f>'VIX HISTORIQUE'!B1496</f>
        <v/>
      </c>
      <c r="C1501" s="22" t="str">
        <f>'VIX HISTORIQUE'!D1496</f>
        <v/>
      </c>
      <c r="D1501" s="22" t="str">
        <f>'VIX HISTORIQUE'!F1496</f>
        <v/>
      </c>
      <c r="E1501" s="22" t="str">
        <f>'VIX HISTORIQUE'!H1496</f>
        <v/>
      </c>
      <c r="F1501" s="22" t="str">
        <f>'VIX HISTORIQUE'!J1496</f>
        <v/>
      </c>
    </row>
    <row r="1502" ht="15.75" customHeight="1">
      <c r="A1502" s="25" t="str">
        <f>'VIX HISTORIQUE'!A1497</f>
        <v/>
      </c>
      <c r="B1502" s="22" t="str">
        <f>'VIX HISTORIQUE'!B1497</f>
        <v/>
      </c>
      <c r="C1502" s="22" t="str">
        <f>'VIX HISTORIQUE'!D1497</f>
        <v/>
      </c>
      <c r="D1502" s="22" t="str">
        <f>'VIX HISTORIQUE'!F1497</f>
        <v/>
      </c>
      <c r="E1502" s="22" t="str">
        <f>'VIX HISTORIQUE'!H1497</f>
        <v/>
      </c>
      <c r="F1502" s="22" t="str">
        <f>'VIX HISTORIQUE'!J1497</f>
        <v/>
      </c>
    </row>
    <row r="1503" ht="15.75" customHeight="1">
      <c r="A1503" s="25" t="str">
        <f>'VIX HISTORIQUE'!A1498</f>
        <v/>
      </c>
      <c r="B1503" s="22" t="str">
        <f>'VIX HISTORIQUE'!B1498</f>
        <v/>
      </c>
      <c r="C1503" s="22" t="str">
        <f>'VIX HISTORIQUE'!D1498</f>
        <v/>
      </c>
      <c r="D1503" s="22" t="str">
        <f>'VIX HISTORIQUE'!F1498</f>
        <v/>
      </c>
      <c r="E1503" s="22" t="str">
        <f>'VIX HISTORIQUE'!H1498</f>
        <v/>
      </c>
      <c r="F1503" s="22" t="str">
        <f>'VIX HISTORIQUE'!J1498</f>
        <v/>
      </c>
    </row>
    <row r="1504" ht="15.75" customHeight="1">
      <c r="A1504" s="25" t="str">
        <f>'VIX HISTORIQUE'!A1499</f>
        <v/>
      </c>
      <c r="B1504" s="22" t="str">
        <f>'VIX HISTORIQUE'!B1499</f>
        <v/>
      </c>
      <c r="C1504" s="22" t="str">
        <f>'VIX HISTORIQUE'!D1499</f>
        <v/>
      </c>
      <c r="D1504" s="22" t="str">
        <f>'VIX HISTORIQUE'!F1499</f>
        <v/>
      </c>
      <c r="E1504" s="22" t="str">
        <f>'VIX HISTORIQUE'!H1499</f>
        <v/>
      </c>
      <c r="F1504" s="22" t="str">
        <f>'VIX HISTORIQUE'!J1499</f>
        <v/>
      </c>
    </row>
    <row r="1505" ht="15.75" customHeight="1">
      <c r="A1505" s="25" t="str">
        <f>'VIX HISTORIQUE'!A1500</f>
        <v/>
      </c>
      <c r="B1505" s="22" t="str">
        <f>'VIX HISTORIQUE'!B1500</f>
        <v/>
      </c>
      <c r="C1505" s="22" t="str">
        <f>'VIX HISTORIQUE'!D1500</f>
        <v/>
      </c>
      <c r="D1505" s="22" t="str">
        <f>'VIX HISTORIQUE'!F1500</f>
        <v/>
      </c>
      <c r="E1505" s="22" t="str">
        <f>'VIX HISTORIQUE'!H1500</f>
        <v/>
      </c>
      <c r="F1505" s="22" t="str">
        <f>'VIX HISTORIQUE'!J1500</f>
        <v/>
      </c>
    </row>
    <row r="1506" ht="15.75" customHeight="1">
      <c r="A1506" s="25" t="str">
        <f>'VIX HISTORIQUE'!A1501</f>
        <v/>
      </c>
      <c r="B1506" s="22" t="str">
        <f>'VIX HISTORIQUE'!B1501</f>
        <v/>
      </c>
      <c r="C1506" s="22" t="str">
        <f>'VIX HISTORIQUE'!D1501</f>
        <v/>
      </c>
      <c r="D1506" s="22" t="str">
        <f>'VIX HISTORIQUE'!F1501</f>
        <v/>
      </c>
      <c r="E1506" s="22" t="str">
        <f>'VIX HISTORIQUE'!H1501</f>
        <v/>
      </c>
      <c r="F1506" s="22" t="str">
        <f>'VIX HISTORIQUE'!J1501</f>
        <v/>
      </c>
    </row>
    <row r="1507" ht="15.75" customHeight="1">
      <c r="A1507" s="25" t="str">
        <f>'VIX HISTORIQUE'!A1502</f>
        <v/>
      </c>
      <c r="B1507" s="22" t="str">
        <f>'VIX HISTORIQUE'!B1502</f>
        <v/>
      </c>
      <c r="C1507" s="22" t="str">
        <f>'VIX HISTORIQUE'!D1502</f>
        <v/>
      </c>
      <c r="D1507" s="22" t="str">
        <f>'VIX HISTORIQUE'!F1502</f>
        <v/>
      </c>
      <c r="E1507" s="22" t="str">
        <f>'VIX HISTORIQUE'!H1502</f>
        <v/>
      </c>
      <c r="F1507" s="22" t="str">
        <f>'VIX HISTORIQUE'!J1502</f>
        <v/>
      </c>
    </row>
    <row r="1508" ht="15.75" customHeight="1">
      <c r="A1508" s="25" t="str">
        <f>'VIX HISTORIQUE'!A1503</f>
        <v/>
      </c>
      <c r="B1508" s="22" t="str">
        <f>'VIX HISTORIQUE'!B1503</f>
        <v/>
      </c>
      <c r="C1508" s="22" t="str">
        <f>'VIX HISTORIQUE'!D1503</f>
        <v/>
      </c>
      <c r="D1508" s="22" t="str">
        <f>'VIX HISTORIQUE'!F1503</f>
        <v/>
      </c>
      <c r="E1508" s="22" t="str">
        <f>'VIX HISTORIQUE'!H1503</f>
        <v/>
      </c>
      <c r="F1508" s="22" t="str">
        <f>'VIX HISTORIQUE'!J1503</f>
        <v/>
      </c>
    </row>
    <row r="1509" ht="15.75" customHeight="1">
      <c r="A1509" s="25" t="str">
        <f>'VIX HISTORIQUE'!A1504</f>
        <v/>
      </c>
      <c r="B1509" s="22" t="str">
        <f>'VIX HISTORIQUE'!B1504</f>
        <v/>
      </c>
      <c r="C1509" s="22" t="str">
        <f>'VIX HISTORIQUE'!D1504</f>
        <v/>
      </c>
      <c r="D1509" s="22" t="str">
        <f>'VIX HISTORIQUE'!F1504</f>
        <v/>
      </c>
      <c r="E1509" s="22" t="str">
        <f>'VIX HISTORIQUE'!H1504</f>
        <v/>
      </c>
      <c r="F1509" s="22" t="str">
        <f>'VIX HISTORIQUE'!J1504</f>
        <v/>
      </c>
    </row>
    <row r="1510" ht="15.75" customHeight="1">
      <c r="A1510" s="25" t="str">
        <f>'VIX HISTORIQUE'!A1505</f>
        <v/>
      </c>
      <c r="B1510" s="22" t="str">
        <f>'VIX HISTORIQUE'!B1505</f>
        <v/>
      </c>
      <c r="C1510" s="22" t="str">
        <f>'VIX HISTORIQUE'!D1505</f>
        <v/>
      </c>
      <c r="D1510" s="22" t="str">
        <f>'VIX HISTORIQUE'!F1505</f>
        <v/>
      </c>
      <c r="E1510" s="22" t="str">
        <f>'VIX HISTORIQUE'!H1505</f>
        <v/>
      </c>
      <c r="F1510" s="22" t="str">
        <f>'VIX HISTORIQUE'!J1505</f>
        <v/>
      </c>
    </row>
    <row r="1511" ht="15.75" customHeight="1">
      <c r="A1511" s="25" t="str">
        <f>'VIX HISTORIQUE'!A1506</f>
        <v/>
      </c>
      <c r="B1511" s="22" t="str">
        <f>'VIX HISTORIQUE'!B1506</f>
        <v/>
      </c>
      <c r="C1511" s="22" t="str">
        <f>'VIX HISTORIQUE'!D1506</f>
        <v/>
      </c>
      <c r="D1511" s="22" t="str">
        <f>'VIX HISTORIQUE'!F1506</f>
        <v/>
      </c>
      <c r="E1511" s="22" t="str">
        <f>'VIX HISTORIQUE'!H1506</f>
        <v/>
      </c>
      <c r="F1511" s="22" t="str">
        <f>'VIX HISTORIQUE'!J1506</f>
        <v/>
      </c>
    </row>
    <row r="1512" ht="15.75" customHeight="1">
      <c r="A1512" s="25" t="str">
        <f>'VIX HISTORIQUE'!A1507</f>
        <v/>
      </c>
      <c r="B1512" s="22" t="str">
        <f>'VIX HISTORIQUE'!B1507</f>
        <v/>
      </c>
      <c r="C1512" s="22" t="str">
        <f>'VIX HISTORIQUE'!D1507</f>
        <v/>
      </c>
      <c r="D1512" s="22" t="str">
        <f>'VIX HISTORIQUE'!F1507</f>
        <v/>
      </c>
      <c r="E1512" s="22" t="str">
        <f>'VIX HISTORIQUE'!H1507</f>
        <v/>
      </c>
      <c r="F1512" s="22" t="str">
        <f>'VIX HISTORIQUE'!J1507</f>
        <v/>
      </c>
    </row>
    <row r="1513" ht="15.75" customHeight="1">
      <c r="A1513" s="25" t="str">
        <f>'VIX HISTORIQUE'!A1508</f>
        <v/>
      </c>
      <c r="B1513" s="22" t="str">
        <f>'VIX HISTORIQUE'!B1508</f>
        <v/>
      </c>
      <c r="C1513" s="22" t="str">
        <f>'VIX HISTORIQUE'!D1508</f>
        <v/>
      </c>
      <c r="D1513" s="22" t="str">
        <f>'VIX HISTORIQUE'!F1508</f>
        <v/>
      </c>
      <c r="E1513" s="22" t="str">
        <f>'VIX HISTORIQUE'!H1508</f>
        <v/>
      </c>
      <c r="F1513" s="22" t="str">
        <f>'VIX HISTORIQUE'!J1508</f>
        <v/>
      </c>
    </row>
    <row r="1514" ht="15.75" customHeight="1">
      <c r="A1514" s="25" t="str">
        <f>'VIX HISTORIQUE'!A1509</f>
        <v/>
      </c>
      <c r="B1514" s="22" t="str">
        <f>'VIX HISTORIQUE'!B1509</f>
        <v/>
      </c>
      <c r="C1514" s="22" t="str">
        <f>'VIX HISTORIQUE'!D1509</f>
        <v/>
      </c>
      <c r="D1514" s="22" t="str">
        <f>'VIX HISTORIQUE'!F1509</f>
        <v/>
      </c>
      <c r="E1514" s="22" t="str">
        <f>'VIX HISTORIQUE'!H1509</f>
        <v/>
      </c>
      <c r="F1514" s="22" t="str">
        <f>'VIX HISTORIQUE'!J1509</f>
        <v/>
      </c>
    </row>
    <row r="1515" ht="15.75" customHeight="1">
      <c r="A1515" s="25" t="str">
        <f>'VIX HISTORIQUE'!A1510</f>
        <v/>
      </c>
      <c r="B1515" s="22" t="str">
        <f>'VIX HISTORIQUE'!B1510</f>
        <v/>
      </c>
      <c r="C1515" s="22" t="str">
        <f>'VIX HISTORIQUE'!D1510</f>
        <v/>
      </c>
      <c r="D1515" s="22" t="str">
        <f>'VIX HISTORIQUE'!F1510</f>
        <v/>
      </c>
      <c r="E1515" s="22" t="str">
        <f>'VIX HISTORIQUE'!H1510</f>
        <v/>
      </c>
      <c r="F1515" s="22" t="str">
        <f>'VIX HISTORIQUE'!J1510</f>
        <v/>
      </c>
    </row>
    <row r="1516" ht="15.75" customHeight="1">
      <c r="A1516" s="25" t="str">
        <f>'VIX HISTORIQUE'!A1511</f>
        <v/>
      </c>
      <c r="B1516" s="22" t="str">
        <f>'VIX HISTORIQUE'!B1511</f>
        <v/>
      </c>
      <c r="C1516" s="22" t="str">
        <f>'VIX HISTORIQUE'!D1511</f>
        <v/>
      </c>
      <c r="D1516" s="22" t="str">
        <f>'VIX HISTORIQUE'!F1511</f>
        <v/>
      </c>
      <c r="E1516" s="22" t="str">
        <f>'VIX HISTORIQUE'!H1511</f>
        <v/>
      </c>
      <c r="F1516" s="22" t="str">
        <f>'VIX HISTORIQUE'!J1511</f>
        <v/>
      </c>
    </row>
    <row r="1517" ht="15.75" customHeight="1">
      <c r="A1517" s="25" t="str">
        <f>'VIX HISTORIQUE'!A1512</f>
        <v/>
      </c>
      <c r="B1517" s="22" t="str">
        <f>'VIX HISTORIQUE'!B1512</f>
        <v/>
      </c>
      <c r="C1517" s="22" t="str">
        <f>'VIX HISTORIQUE'!D1512</f>
        <v/>
      </c>
      <c r="D1517" s="22" t="str">
        <f>'VIX HISTORIQUE'!F1512</f>
        <v/>
      </c>
      <c r="E1517" s="22" t="str">
        <f>'VIX HISTORIQUE'!H1512</f>
        <v/>
      </c>
      <c r="F1517" s="22" t="str">
        <f>'VIX HISTORIQUE'!J1512</f>
        <v/>
      </c>
    </row>
    <row r="1518" ht="15.75" customHeight="1">
      <c r="A1518" s="25" t="str">
        <f>'VIX HISTORIQUE'!A1513</f>
        <v/>
      </c>
      <c r="B1518" s="22" t="str">
        <f>'VIX HISTORIQUE'!B1513</f>
        <v/>
      </c>
      <c r="C1518" s="22" t="str">
        <f>'VIX HISTORIQUE'!D1513</f>
        <v/>
      </c>
      <c r="D1518" s="22" t="str">
        <f>'VIX HISTORIQUE'!F1513</f>
        <v/>
      </c>
      <c r="E1518" s="22" t="str">
        <f>'VIX HISTORIQUE'!H1513</f>
        <v/>
      </c>
      <c r="F1518" s="22" t="str">
        <f>'VIX HISTORIQUE'!J1513</f>
        <v/>
      </c>
    </row>
    <row r="1519" ht="15.75" customHeight="1">
      <c r="A1519" s="25" t="str">
        <f>'VIX HISTORIQUE'!A1514</f>
        <v/>
      </c>
      <c r="B1519" s="22" t="str">
        <f>'VIX HISTORIQUE'!B1514</f>
        <v/>
      </c>
      <c r="C1519" s="22" t="str">
        <f>'VIX HISTORIQUE'!D1514</f>
        <v/>
      </c>
      <c r="D1519" s="22" t="str">
        <f>'VIX HISTORIQUE'!F1514</f>
        <v/>
      </c>
      <c r="E1519" s="22" t="str">
        <f>'VIX HISTORIQUE'!H1514</f>
        <v/>
      </c>
      <c r="F1519" s="22" t="str">
        <f>'VIX HISTORIQUE'!J1514</f>
        <v/>
      </c>
    </row>
    <row r="1520" ht="15.75" customHeight="1">
      <c r="A1520" s="25" t="str">
        <f>'VIX HISTORIQUE'!A1515</f>
        <v/>
      </c>
      <c r="B1520" s="22" t="str">
        <f>'VIX HISTORIQUE'!B1515</f>
        <v/>
      </c>
      <c r="C1520" s="22" t="str">
        <f>'VIX HISTORIQUE'!D1515</f>
        <v/>
      </c>
      <c r="D1520" s="22" t="str">
        <f>'VIX HISTORIQUE'!F1515</f>
        <v/>
      </c>
      <c r="E1520" s="22" t="str">
        <f>'VIX HISTORIQUE'!H1515</f>
        <v/>
      </c>
      <c r="F1520" s="22" t="str">
        <f>'VIX HISTORIQUE'!J1515</f>
        <v/>
      </c>
    </row>
    <row r="1521" ht="15.75" customHeight="1">
      <c r="A1521" s="25" t="str">
        <f>'VIX HISTORIQUE'!A1516</f>
        <v/>
      </c>
      <c r="B1521" s="22" t="str">
        <f>'VIX HISTORIQUE'!B1516</f>
        <v/>
      </c>
      <c r="C1521" s="22" t="str">
        <f>'VIX HISTORIQUE'!D1516</f>
        <v/>
      </c>
      <c r="D1521" s="22" t="str">
        <f>'VIX HISTORIQUE'!F1516</f>
        <v/>
      </c>
      <c r="E1521" s="22" t="str">
        <f>'VIX HISTORIQUE'!H1516</f>
        <v/>
      </c>
      <c r="F1521" s="22" t="str">
        <f>'VIX HISTORIQUE'!J1516</f>
        <v/>
      </c>
    </row>
    <row r="1522" ht="15.75" customHeight="1">
      <c r="A1522" s="25" t="str">
        <f>'VIX HISTORIQUE'!A1517</f>
        <v/>
      </c>
      <c r="B1522" s="22" t="str">
        <f>'VIX HISTORIQUE'!B1517</f>
        <v/>
      </c>
      <c r="C1522" s="22" t="str">
        <f>'VIX HISTORIQUE'!D1517</f>
        <v/>
      </c>
      <c r="D1522" s="22" t="str">
        <f>'VIX HISTORIQUE'!F1517</f>
        <v/>
      </c>
      <c r="E1522" s="22" t="str">
        <f>'VIX HISTORIQUE'!H1517</f>
        <v/>
      </c>
      <c r="F1522" s="22" t="str">
        <f>'VIX HISTORIQUE'!J1517</f>
        <v/>
      </c>
    </row>
    <row r="1523" ht="15.75" customHeight="1">
      <c r="A1523" s="25" t="str">
        <f>'VIX HISTORIQUE'!A1518</f>
        <v/>
      </c>
      <c r="B1523" s="22" t="str">
        <f>'VIX HISTORIQUE'!B1518</f>
        <v/>
      </c>
      <c r="C1523" s="22" t="str">
        <f>'VIX HISTORIQUE'!D1518</f>
        <v/>
      </c>
      <c r="D1523" s="22" t="str">
        <f>'VIX HISTORIQUE'!F1518</f>
        <v/>
      </c>
      <c r="E1523" s="22" t="str">
        <f>'VIX HISTORIQUE'!H1518</f>
        <v/>
      </c>
      <c r="F1523" s="22" t="str">
        <f>'VIX HISTORIQUE'!J1518</f>
        <v/>
      </c>
    </row>
    <row r="1524" ht="15.75" customHeight="1">
      <c r="A1524" s="25" t="str">
        <f>'VIX HISTORIQUE'!A1519</f>
        <v/>
      </c>
      <c r="B1524" s="22" t="str">
        <f>'VIX HISTORIQUE'!B1519</f>
        <v/>
      </c>
      <c r="C1524" s="22" t="str">
        <f>'VIX HISTORIQUE'!D1519</f>
        <v/>
      </c>
      <c r="D1524" s="22" t="str">
        <f>'VIX HISTORIQUE'!F1519</f>
        <v/>
      </c>
      <c r="E1524" s="22" t="str">
        <f>'VIX HISTORIQUE'!H1519</f>
        <v/>
      </c>
      <c r="F1524" s="22" t="str">
        <f>'VIX HISTORIQUE'!J1519</f>
        <v/>
      </c>
    </row>
    <row r="1525" ht="15.75" customHeight="1">
      <c r="A1525" s="25" t="str">
        <f>'VIX HISTORIQUE'!A1520</f>
        <v/>
      </c>
      <c r="B1525" s="22" t="str">
        <f>'VIX HISTORIQUE'!B1520</f>
        <v/>
      </c>
      <c r="C1525" s="22" t="str">
        <f>'VIX HISTORIQUE'!D1520</f>
        <v/>
      </c>
      <c r="D1525" s="22" t="str">
        <f>'VIX HISTORIQUE'!F1520</f>
        <v/>
      </c>
      <c r="E1525" s="22" t="str">
        <f>'VIX HISTORIQUE'!H1520</f>
        <v/>
      </c>
      <c r="F1525" s="22" t="str">
        <f>'VIX HISTORIQUE'!J1520</f>
        <v/>
      </c>
    </row>
    <row r="1526" ht="15.75" customHeight="1">
      <c r="A1526" s="25" t="str">
        <f>'VIX HISTORIQUE'!A1521</f>
        <v/>
      </c>
      <c r="B1526" s="22" t="str">
        <f>'VIX HISTORIQUE'!B1521</f>
        <v/>
      </c>
      <c r="C1526" s="22" t="str">
        <f>'VIX HISTORIQUE'!D1521</f>
        <v/>
      </c>
      <c r="D1526" s="22" t="str">
        <f>'VIX HISTORIQUE'!F1521</f>
        <v/>
      </c>
      <c r="E1526" s="22" t="str">
        <f>'VIX HISTORIQUE'!H1521</f>
        <v/>
      </c>
      <c r="F1526" s="22" t="str">
        <f>'VIX HISTORIQUE'!J1521</f>
        <v/>
      </c>
    </row>
    <row r="1527" ht="15.75" customHeight="1">
      <c r="A1527" s="25" t="str">
        <f>'VIX HISTORIQUE'!A1522</f>
        <v/>
      </c>
      <c r="B1527" s="22" t="str">
        <f>'VIX HISTORIQUE'!B1522</f>
        <v/>
      </c>
      <c r="C1527" s="22" t="str">
        <f>'VIX HISTORIQUE'!D1522</f>
        <v/>
      </c>
      <c r="D1527" s="22" t="str">
        <f>'VIX HISTORIQUE'!F1522</f>
        <v/>
      </c>
      <c r="E1527" s="22" t="str">
        <f>'VIX HISTORIQUE'!H1522</f>
        <v/>
      </c>
      <c r="F1527" s="22" t="str">
        <f>'VIX HISTORIQUE'!J1522</f>
        <v/>
      </c>
    </row>
    <row r="1528" ht="15.75" customHeight="1">
      <c r="A1528" s="25" t="str">
        <f>'VIX HISTORIQUE'!A1523</f>
        <v/>
      </c>
      <c r="B1528" s="22" t="str">
        <f>'VIX HISTORIQUE'!B1523</f>
        <v/>
      </c>
      <c r="C1528" s="22" t="str">
        <f>'VIX HISTORIQUE'!D1523</f>
        <v/>
      </c>
      <c r="D1528" s="22" t="str">
        <f>'VIX HISTORIQUE'!F1523</f>
        <v/>
      </c>
      <c r="E1528" s="22" t="str">
        <f>'VIX HISTORIQUE'!H1523</f>
        <v/>
      </c>
      <c r="F1528" s="22" t="str">
        <f>'VIX HISTORIQUE'!J1523</f>
        <v/>
      </c>
    </row>
    <row r="1529" ht="15.75" customHeight="1">
      <c r="A1529" s="25" t="str">
        <f>'VIX HISTORIQUE'!A1524</f>
        <v/>
      </c>
      <c r="B1529" s="22" t="str">
        <f>'VIX HISTORIQUE'!B1524</f>
        <v/>
      </c>
      <c r="C1529" s="22" t="str">
        <f>'VIX HISTORIQUE'!D1524</f>
        <v/>
      </c>
      <c r="D1529" s="22" t="str">
        <f>'VIX HISTORIQUE'!F1524</f>
        <v/>
      </c>
      <c r="E1529" s="22" t="str">
        <f>'VIX HISTORIQUE'!H1524</f>
        <v/>
      </c>
      <c r="F1529" s="22" t="str">
        <f>'VIX HISTORIQUE'!J1524</f>
        <v/>
      </c>
    </row>
    <row r="1530" ht="15.75" customHeight="1">
      <c r="A1530" s="25" t="str">
        <f>'VIX HISTORIQUE'!A1525</f>
        <v/>
      </c>
      <c r="B1530" s="22" t="str">
        <f>'VIX HISTORIQUE'!B1525</f>
        <v/>
      </c>
      <c r="C1530" s="22" t="str">
        <f>'VIX HISTORIQUE'!D1525</f>
        <v/>
      </c>
      <c r="D1530" s="22" t="str">
        <f>'VIX HISTORIQUE'!F1525</f>
        <v/>
      </c>
      <c r="E1530" s="22" t="str">
        <f>'VIX HISTORIQUE'!H1525</f>
        <v/>
      </c>
      <c r="F1530" s="22" t="str">
        <f>'VIX HISTORIQUE'!J1525</f>
        <v/>
      </c>
    </row>
    <row r="1531" ht="15.75" customHeight="1">
      <c r="A1531" s="25" t="str">
        <f>'VIX HISTORIQUE'!A1526</f>
        <v/>
      </c>
      <c r="B1531" s="22" t="str">
        <f>'VIX HISTORIQUE'!B1526</f>
        <v/>
      </c>
      <c r="C1531" s="22" t="str">
        <f>'VIX HISTORIQUE'!D1526</f>
        <v/>
      </c>
      <c r="D1531" s="22" t="str">
        <f>'VIX HISTORIQUE'!F1526</f>
        <v/>
      </c>
      <c r="E1531" s="22" t="str">
        <f>'VIX HISTORIQUE'!H1526</f>
        <v/>
      </c>
      <c r="F1531" s="22" t="str">
        <f>'VIX HISTORIQUE'!J1526</f>
        <v/>
      </c>
    </row>
    <row r="1532" ht="15.75" customHeight="1">
      <c r="A1532" s="25" t="str">
        <f>'VIX HISTORIQUE'!A1527</f>
        <v/>
      </c>
      <c r="B1532" s="22" t="str">
        <f>'VIX HISTORIQUE'!B1527</f>
        <v/>
      </c>
      <c r="C1532" s="22" t="str">
        <f>'VIX HISTORIQUE'!D1527</f>
        <v/>
      </c>
      <c r="D1532" s="22" t="str">
        <f>'VIX HISTORIQUE'!F1527</f>
        <v/>
      </c>
      <c r="E1532" s="22" t="str">
        <f>'VIX HISTORIQUE'!H1527</f>
        <v/>
      </c>
      <c r="F1532" s="22" t="str">
        <f>'VIX HISTORIQUE'!J1527</f>
        <v/>
      </c>
    </row>
    <row r="1533" ht="15.75" customHeight="1">
      <c r="A1533" s="25" t="str">
        <f>'VIX HISTORIQUE'!A1528</f>
        <v/>
      </c>
      <c r="B1533" s="22" t="str">
        <f>'VIX HISTORIQUE'!B1528</f>
        <v/>
      </c>
      <c r="C1533" s="22" t="str">
        <f>'VIX HISTORIQUE'!D1528</f>
        <v/>
      </c>
      <c r="D1533" s="22" t="str">
        <f>'VIX HISTORIQUE'!F1528</f>
        <v/>
      </c>
      <c r="E1533" s="22" t="str">
        <f>'VIX HISTORIQUE'!H1528</f>
        <v/>
      </c>
      <c r="F1533" s="22" t="str">
        <f>'VIX HISTORIQUE'!J1528</f>
        <v/>
      </c>
    </row>
    <row r="1534" ht="15.75" customHeight="1">
      <c r="A1534" s="25" t="str">
        <f>'VIX HISTORIQUE'!A1529</f>
        <v/>
      </c>
      <c r="B1534" s="22" t="str">
        <f>'VIX HISTORIQUE'!B1529</f>
        <v/>
      </c>
      <c r="C1534" s="22" t="str">
        <f>'VIX HISTORIQUE'!D1529</f>
        <v/>
      </c>
      <c r="D1534" s="22" t="str">
        <f>'VIX HISTORIQUE'!F1529</f>
        <v/>
      </c>
      <c r="E1534" s="22" t="str">
        <f>'VIX HISTORIQUE'!H1529</f>
        <v/>
      </c>
      <c r="F1534" s="22" t="str">
        <f>'VIX HISTORIQUE'!J1529</f>
        <v/>
      </c>
    </row>
    <row r="1535" ht="15.75" customHeight="1">
      <c r="A1535" s="25" t="str">
        <f>'VIX HISTORIQUE'!A1530</f>
        <v/>
      </c>
      <c r="B1535" s="22" t="str">
        <f>'VIX HISTORIQUE'!B1530</f>
        <v/>
      </c>
      <c r="C1535" s="22" t="str">
        <f>'VIX HISTORIQUE'!D1530</f>
        <v/>
      </c>
      <c r="D1535" s="22" t="str">
        <f>'VIX HISTORIQUE'!F1530</f>
        <v/>
      </c>
      <c r="E1535" s="22" t="str">
        <f>'VIX HISTORIQUE'!H1530</f>
        <v/>
      </c>
      <c r="F1535" s="22" t="str">
        <f>'VIX HISTORIQUE'!J1530</f>
        <v/>
      </c>
    </row>
    <row r="1536" ht="15.75" customHeight="1">
      <c r="A1536" s="25" t="str">
        <f>'VIX HISTORIQUE'!A1531</f>
        <v/>
      </c>
      <c r="B1536" s="22" t="str">
        <f>'VIX HISTORIQUE'!B1531</f>
        <v/>
      </c>
      <c r="C1536" s="22" t="str">
        <f>'VIX HISTORIQUE'!D1531</f>
        <v/>
      </c>
      <c r="D1536" s="22" t="str">
        <f>'VIX HISTORIQUE'!F1531</f>
        <v/>
      </c>
      <c r="E1536" s="22" t="str">
        <f>'VIX HISTORIQUE'!H1531</f>
        <v/>
      </c>
      <c r="F1536" s="22" t="str">
        <f>'VIX HISTORIQUE'!J1531</f>
        <v/>
      </c>
    </row>
    <row r="1537" ht="15.75" customHeight="1">
      <c r="A1537" s="25" t="str">
        <f>'VIX HISTORIQUE'!A1532</f>
        <v/>
      </c>
      <c r="B1537" s="22" t="str">
        <f>'VIX HISTORIQUE'!B1532</f>
        <v/>
      </c>
      <c r="C1537" s="22" t="str">
        <f>'VIX HISTORIQUE'!D1532</f>
        <v/>
      </c>
      <c r="D1537" s="22" t="str">
        <f>'VIX HISTORIQUE'!F1532</f>
        <v/>
      </c>
      <c r="E1537" s="22" t="str">
        <f>'VIX HISTORIQUE'!H1532</f>
        <v/>
      </c>
      <c r="F1537" s="22" t="str">
        <f>'VIX HISTORIQUE'!J1532</f>
        <v/>
      </c>
    </row>
    <row r="1538" ht="15.75" customHeight="1">
      <c r="A1538" s="25" t="str">
        <f>'VIX HISTORIQUE'!A1533</f>
        <v/>
      </c>
      <c r="B1538" s="22" t="str">
        <f>'VIX HISTORIQUE'!B1533</f>
        <v/>
      </c>
      <c r="C1538" s="22" t="str">
        <f>'VIX HISTORIQUE'!D1533</f>
        <v/>
      </c>
      <c r="D1538" s="22" t="str">
        <f>'VIX HISTORIQUE'!F1533</f>
        <v/>
      </c>
      <c r="E1538" s="22" t="str">
        <f>'VIX HISTORIQUE'!H1533</f>
        <v/>
      </c>
      <c r="F1538" s="22" t="str">
        <f>'VIX HISTORIQUE'!J1533</f>
        <v/>
      </c>
    </row>
    <row r="1539" ht="15.75" customHeight="1">
      <c r="A1539" s="25" t="str">
        <f>'VIX HISTORIQUE'!A1534</f>
        <v/>
      </c>
      <c r="B1539" s="22" t="str">
        <f>'VIX HISTORIQUE'!B1534</f>
        <v/>
      </c>
      <c r="C1539" s="22" t="str">
        <f>'VIX HISTORIQUE'!D1534</f>
        <v/>
      </c>
      <c r="D1539" s="22" t="str">
        <f>'VIX HISTORIQUE'!F1534</f>
        <v/>
      </c>
      <c r="E1539" s="22" t="str">
        <f>'VIX HISTORIQUE'!H1534</f>
        <v/>
      </c>
      <c r="F1539" s="22" t="str">
        <f>'VIX HISTORIQUE'!J1534</f>
        <v/>
      </c>
    </row>
    <row r="1540" ht="15.75" customHeight="1">
      <c r="A1540" s="25" t="str">
        <f>'VIX HISTORIQUE'!A1535</f>
        <v/>
      </c>
      <c r="B1540" s="22" t="str">
        <f>'VIX HISTORIQUE'!B1535</f>
        <v/>
      </c>
      <c r="C1540" s="22" t="str">
        <f>'VIX HISTORIQUE'!D1535</f>
        <v/>
      </c>
      <c r="D1540" s="22" t="str">
        <f>'VIX HISTORIQUE'!F1535</f>
        <v/>
      </c>
      <c r="E1540" s="22" t="str">
        <f>'VIX HISTORIQUE'!H1535</f>
        <v/>
      </c>
      <c r="F1540" s="22" t="str">
        <f>'VIX HISTORIQUE'!J1535</f>
        <v/>
      </c>
    </row>
    <row r="1541" ht="15.75" customHeight="1">
      <c r="A1541" s="25" t="str">
        <f>'VIX HISTORIQUE'!A1536</f>
        <v/>
      </c>
      <c r="B1541" s="22" t="str">
        <f>'VIX HISTORIQUE'!B1536</f>
        <v/>
      </c>
      <c r="C1541" s="22" t="str">
        <f>'VIX HISTORIQUE'!D1536</f>
        <v/>
      </c>
      <c r="D1541" s="22" t="str">
        <f>'VIX HISTORIQUE'!F1536</f>
        <v/>
      </c>
      <c r="E1541" s="22" t="str">
        <f>'VIX HISTORIQUE'!H1536</f>
        <v/>
      </c>
      <c r="F1541" s="22" t="str">
        <f>'VIX HISTORIQUE'!J1536</f>
        <v/>
      </c>
    </row>
    <row r="1542" ht="15.75" customHeight="1">
      <c r="A1542" s="25" t="str">
        <f>'VIX HISTORIQUE'!A1537</f>
        <v/>
      </c>
      <c r="B1542" s="22" t="str">
        <f>'VIX HISTORIQUE'!B1537</f>
        <v/>
      </c>
      <c r="C1542" s="22" t="str">
        <f>'VIX HISTORIQUE'!D1537</f>
        <v/>
      </c>
      <c r="D1542" s="22" t="str">
        <f>'VIX HISTORIQUE'!F1537</f>
        <v/>
      </c>
      <c r="E1542" s="22" t="str">
        <f>'VIX HISTORIQUE'!H1537</f>
        <v/>
      </c>
      <c r="F1542" s="22" t="str">
        <f>'VIX HISTORIQUE'!J1537</f>
        <v/>
      </c>
    </row>
    <row r="1543" ht="15.75" customHeight="1">
      <c r="A1543" s="25" t="str">
        <f>'VIX HISTORIQUE'!A1538</f>
        <v/>
      </c>
      <c r="B1543" s="22" t="str">
        <f>'VIX HISTORIQUE'!B1538</f>
        <v/>
      </c>
      <c r="C1543" s="22" t="str">
        <f>'VIX HISTORIQUE'!D1538</f>
        <v/>
      </c>
      <c r="D1543" s="22" t="str">
        <f>'VIX HISTORIQUE'!F1538</f>
        <v/>
      </c>
      <c r="E1543" s="22" t="str">
        <f>'VIX HISTORIQUE'!H1538</f>
        <v/>
      </c>
      <c r="F1543" s="22" t="str">
        <f>'VIX HISTORIQUE'!J1538</f>
        <v/>
      </c>
    </row>
    <row r="1544" ht="15.75" customHeight="1">
      <c r="A1544" s="25" t="str">
        <f>'VIX HISTORIQUE'!A1539</f>
        <v/>
      </c>
      <c r="B1544" s="22" t="str">
        <f>'VIX HISTORIQUE'!B1539</f>
        <v/>
      </c>
      <c r="C1544" s="22" t="str">
        <f>'VIX HISTORIQUE'!D1539</f>
        <v/>
      </c>
      <c r="D1544" s="22" t="str">
        <f>'VIX HISTORIQUE'!F1539</f>
        <v/>
      </c>
      <c r="E1544" s="22" t="str">
        <f>'VIX HISTORIQUE'!H1539</f>
        <v/>
      </c>
      <c r="F1544" s="22" t="str">
        <f>'VIX HISTORIQUE'!J1539</f>
        <v/>
      </c>
    </row>
    <row r="1545" ht="15.75" customHeight="1">
      <c r="A1545" s="25" t="str">
        <f>'VIX HISTORIQUE'!A1540</f>
        <v/>
      </c>
      <c r="B1545" s="22" t="str">
        <f>'VIX HISTORIQUE'!B1540</f>
        <v/>
      </c>
      <c r="C1545" s="22" t="str">
        <f>'VIX HISTORIQUE'!D1540</f>
        <v/>
      </c>
      <c r="D1545" s="22" t="str">
        <f>'VIX HISTORIQUE'!F1540</f>
        <v/>
      </c>
      <c r="E1545" s="22" t="str">
        <f>'VIX HISTORIQUE'!H1540</f>
        <v/>
      </c>
      <c r="F1545" s="22" t="str">
        <f>'VIX HISTORIQUE'!J1540</f>
        <v/>
      </c>
    </row>
    <row r="1546" ht="15.75" customHeight="1">
      <c r="A1546" s="25" t="str">
        <f>'VIX HISTORIQUE'!A1541</f>
        <v/>
      </c>
      <c r="B1546" s="22" t="str">
        <f>'VIX HISTORIQUE'!B1541</f>
        <v/>
      </c>
      <c r="C1546" s="22" t="str">
        <f>'VIX HISTORIQUE'!D1541</f>
        <v/>
      </c>
      <c r="D1546" s="22" t="str">
        <f>'VIX HISTORIQUE'!F1541</f>
        <v/>
      </c>
      <c r="E1546" s="22" t="str">
        <f>'VIX HISTORIQUE'!H1541</f>
        <v/>
      </c>
      <c r="F1546" s="22" t="str">
        <f>'VIX HISTORIQUE'!J1541</f>
        <v/>
      </c>
    </row>
    <row r="1547" ht="15.75" customHeight="1">
      <c r="A1547" s="25" t="str">
        <f>'VIX HISTORIQUE'!A1542</f>
        <v/>
      </c>
      <c r="B1547" s="22" t="str">
        <f>'VIX HISTORIQUE'!B1542</f>
        <v/>
      </c>
      <c r="C1547" s="22" t="str">
        <f>'VIX HISTORIQUE'!D1542</f>
        <v/>
      </c>
      <c r="D1547" s="22" t="str">
        <f>'VIX HISTORIQUE'!F1542</f>
        <v/>
      </c>
      <c r="E1547" s="22" t="str">
        <f>'VIX HISTORIQUE'!H1542</f>
        <v/>
      </c>
      <c r="F1547" s="22" t="str">
        <f>'VIX HISTORIQUE'!J1542</f>
        <v/>
      </c>
    </row>
    <row r="1548" ht="15.75" customHeight="1">
      <c r="A1548" s="25" t="str">
        <f>'VIX HISTORIQUE'!A1543</f>
        <v/>
      </c>
      <c r="B1548" s="22" t="str">
        <f>'VIX HISTORIQUE'!B1543</f>
        <v/>
      </c>
      <c r="C1548" s="22" t="str">
        <f>'VIX HISTORIQUE'!D1543</f>
        <v/>
      </c>
      <c r="D1548" s="22" t="str">
        <f>'VIX HISTORIQUE'!F1543</f>
        <v/>
      </c>
      <c r="E1548" s="22" t="str">
        <f>'VIX HISTORIQUE'!H1543</f>
        <v/>
      </c>
      <c r="F1548" s="22" t="str">
        <f>'VIX HISTORIQUE'!J1543</f>
        <v/>
      </c>
    </row>
    <row r="1549" ht="15.75" customHeight="1">
      <c r="A1549" s="25" t="str">
        <f>'VIX HISTORIQUE'!A1544</f>
        <v/>
      </c>
      <c r="B1549" s="22" t="str">
        <f>'VIX HISTORIQUE'!B1544</f>
        <v/>
      </c>
      <c r="C1549" s="22" t="str">
        <f>'VIX HISTORIQUE'!D1544</f>
        <v/>
      </c>
      <c r="D1549" s="22" t="str">
        <f>'VIX HISTORIQUE'!F1544</f>
        <v/>
      </c>
      <c r="E1549" s="22" t="str">
        <f>'VIX HISTORIQUE'!H1544</f>
        <v/>
      </c>
      <c r="F1549" s="22" t="str">
        <f>'VIX HISTORIQUE'!J1544</f>
        <v/>
      </c>
    </row>
    <row r="1550" ht="15.75" customHeight="1">
      <c r="A1550" s="25" t="str">
        <f>'VIX HISTORIQUE'!A1545</f>
        <v/>
      </c>
      <c r="B1550" s="22" t="str">
        <f>'VIX HISTORIQUE'!B1545</f>
        <v/>
      </c>
      <c r="C1550" s="22" t="str">
        <f>'VIX HISTORIQUE'!D1545</f>
        <v/>
      </c>
      <c r="D1550" s="22" t="str">
        <f>'VIX HISTORIQUE'!F1545</f>
        <v/>
      </c>
      <c r="E1550" s="22" t="str">
        <f>'VIX HISTORIQUE'!H1545</f>
        <v/>
      </c>
      <c r="F1550" s="22" t="str">
        <f>'VIX HISTORIQUE'!J1545</f>
        <v/>
      </c>
    </row>
    <row r="1551" ht="15.75" customHeight="1">
      <c r="A1551" s="25" t="str">
        <f>'VIX HISTORIQUE'!A1546</f>
        <v/>
      </c>
      <c r="B1551" s="22" t="str">
        <f>'VIX HISTORIQUE'!B1546</f>
        <v/>
      </c>
      <c r="C1551" s="22" t="str">
        <f>'VIX HISTORIQUE'!D1546</f>
        <v/>
      </c>
      <c r="D1551" s="22" t="str">
        <f>'VIX HISTORIQUE'!F1546</f>
        <v/>
      </c>
      <c r="E1551" s="22" t="str">
        <f>'VIX HISTORIQUE'!H1546</f>
        <v/>
      </c>
      <c r="F1551" s="22" t="str">
        <f>'VIX HISTORIQUE'!J1546</f>
        <v/>
      </c>
    </row>
    <row r="1552" ht="15.75" customHeight="1">
      <c r="A1552" s="25" t="str">
        <f>'VIX HISTORIQUE'!A1547</f>
        <v/>
      </c>
      <c r="B1552" s="22" t="str">
        <f>'VIX HISTORIQUE'!B1547</f>
        <v/>
      </c>
      <c r="C1552" s="22" t="str">
        <f>'VIX HISTORIQUE'!D1547</f>
        <v/>
      </c>
      <c r="D1552" s="22" t="str">
        <f>'VIX HISTORIQUE'!F1547</f>
        <v/>
      </c>
      <c r="E1552" s="22" t="str">
        <f>'VIX HISTORIQUE'!H1547</f>
        <v/>
      </c>
      <c r="F1552" s="22" t="str">
        <f>'VIX HISTORIQUE'!J1547</f>
        <v/>
      </c>
    </row>
    <row r="1553" ht="15.75" customHeight="1">
      <c r="A1553" s="25" t="str">
        <f>'VIX HISTORIQUE'!A1548</f>
        <v/>
      </c>
      <c r="B1553" s="22" t="str">
        <f>'VIX HISTORIQUE'!B1548</f>
        <v/>
      </c>
      <c r="C1553" s="22" t="str">
        <f>'VIX HISTORIQUE'!D1548</f>
        <v/>
      </c>
      <c r="D1553" s="22" t="str">
        <f>'VIX HISTORIQUE'!F1548</f>
        <v/>
      </c>
      <c r="E1553" s="22" t="str">
        <f>'VIX HISTORIQUE'!H1548</f>
        <v/>
      </c>
      <c r="F1553" s="22" t="str">
        <f>'VIX HISTORIQUE'!J1548</f>
        <v/>
      </c>
    </row>
    <row r="1554" ht="15.75" customHeight="1">
      <c r="A1554" s="25" t="str">
        <f>'VIX HISTORIQUE'!A1549</f>
        <v/>
      </c>
      <c r="B1554" s="22" t="str">
        <f>'VIX HISTORIQUE'!B1549</f>
        <v/>
      </c>
      <c r="C1554" s="22" t="str">
        <f>'VIX HISTORIQUE'!D1549</f>
        <v/>
      </c>
      <c r="D1554" s="22" t="str">
        <f>'VIX HISTORIQUE'!F1549</f>
        <v/>
      </c>
      <c r="E1554" s="22" t="str">
        <f>'VIX HISTORIQUE'!H1549</f>
        <v/>
      </c>
      <c r="F1554" s="22" t="str">
        <f>'VIX HISTORIQUE'!J1549</f>
        <v/>
      </c>
    </row>
    <row r="1555" ht="15.75" customHeight="1">
      <c r="A1555" s="25" t="str">
        <f>'VIX HISTORIQUE'!A1550</f>
        <v/>
      </c>
      <c r="B1555" s="22" t="str">
        <f>'VIX HISTORIQUE'!B1550</f>
        <v/>
      </c>
      <c r="C1555" s="22" t="str">
        <f>'VIX HISTORIQUE'!D1550</f>
        <v/>
      </c>
      <c r="D1555" s="22" t="str">
        <f>'VIX HISTORIQUE'!F1550</f>
        <v/>
      </c>
      <c r="E1555" s="22" t="str">
        <f>'VIX HISTORIQUE'!H1550</f>
        <v/>
      </c>
      <c r="F1555" s="22" t="str">
        <f>'VIX HISTORIQUE'!J1550</f>
        <v/>
      </c>
    </row>
    <row r="1556" ht="15.75" customHeight="1">
      <c r="A1556" s="25" t="str">
        <f>'VIX HISTORIQUE'!A1551</f>
        <v/>
      </c>
      <c r="B1556" s="22" t="str">
        <f>'VIX HISTORIQUE'!B1551</f>
        <v/>
      </c>
      <c r="C1556" s="22" t="str">
        <f>'VIX HISTORIQUE'!D1551</f>
        <v/>
      </c>
      <c r="D1556" s="22" t="str">
        <f>'VIX HISTORIQUE'!F1551</f>
        <v/>
      </c>
      <c r="E1556" s="22" t="str">
        <f>'VIX HISTORIQUE'!H1551</f>
        <v/>
      </c>
      <c r="F1556" s="22" t="str">
        <f>'VIX HISTORIQUE'!J1551</f>
        <v/>
      </c>
    </row>
    <row r="1557" ht="15.75" customHeight="1">
      <c r="A1557" s="25" t="str">
        <f>'VIX HISTORIQUE'!A1552</f>
        <v/>
      </c>
      <c r="B1557" s="22" t="str">
        <f>'VIX HISTORIQUE'!B1552</f>
        <v/>
      </c>
      <c r="C1557" s="22" t="str">
        <f>'VIX HISTORIQUE'!D1552</f>
        <v/>
      </c>
      <c r="D1557" s="22" t="str">
        <f>'VIX HISTORIQUE'!F1552</f>
        <v/>
      </c>
      <c r="E1557" s="22" t="str">
        <f>'VIX HISTORIQUE'!H1552</f>
        <v/>
      </c>
      <c r="F1557" s="22" t="str">
        <f>'VIX HISTORIQUE'!J1552</f>
        <v/>
      </c>
    </row>
    <row r="1558" ht="15.75" customHeight="1">
      <c r="A1558" s="25" t="str">
        <f>'VIX HISTORIQUE'!A1553</f>
        <v/>
      </c>
      <c r="B1558" s="22" t="str">
        <f>'VIX HISTORIQUE'!B1553</f>
        <v/>
      </c>
      <c r="C1558" s="22" t="str">
        <f>'VIX HISTORIQUE'!D1553</f>
        <v/>
      </c>
      <c r="D1558" s="22" t="str">
        <f>'VIX HISTORIQUE'!F1553</f>
        <v/>
      </c>
      <c r="E1558" s="22" t="str">
        <f>'VIX HISTORIQUE'!H1553</f>
        <v/>
      </c>
      <c r="F1558" s="22" t="str">
        <f>'VIX HISTORIQUE'!J1553</f>
        <v/>
      </c>
    </row>
    <row r="1559" ht="15.75" customHeight="1">
      <c r="A1559" s="25" t="str">
        <f>'VIX HISTORIQUE'!A1554</f>
        <v/>
      </c>
      <c r="B1559" s="22" t="str">
        <f>'VIX HISTORIQUE'!B1554</f>
        <v/>
      </c>
      <c r="C1559" s="22" t="str">
        <f>'VIX HISTORIQUE'!D1554</f>
        <v/>
      </c>
      <c r="D1559" s="22" t="str">
        <f>'VIX HISTORIQUE'!F1554</f>
        <v/>
      </c>
      <c r="E1559" s="22" t="str">
        <f>'VIX HISTORIQUE'!H1554</f>
        <v/>
      </c>
      <c r="F1559" s="22" t="str">
        <f>'VIX HISTORIQUE'!J1554</f>
        <v/>
      </c>
    </row>
    <row r="1560" ht="15.75" customHeight="1">
      <c r="A1560" s="25" t="str">
        <f>'VIX HISTORIQUE'!A1555</f>
        <v/>
      </c>
      <c r="B1560" s="22" t="str">
        <f>'VIX HISTORIQUE'!B1555</f>
        <v/>
      </c>
      <c r="C1560" s="22" t="str">
        <f>'VIX HISTORIQUE'!D1555</f>
        <v/>
      </c>
      <c r="D1560" s="22" t="str">
        <f>'VIX HISTORIQUE'!F1555</f>
        <v/>
      </c>
      <c r="E1560" s="22" t="str">
        <f>'VIX HISTORIQUE'!H1555</f>
        <v/>
      </c>
      <c r="F1560" s="22" t="str">
        <f>'VIX HISTORIQUE'!J1555</f>
        <v/>
      </c>
    </row>
    <row r="1561" ht="15.75" customHeight="1">
      <c r="A1561" s="25" t="str">
        <f>'VIX HISTORIQUE'!A1556</f>
        <v/>
      </c>
      <c r="B1561" s="22" t="str">
        <f>'VIX HISTORIQUE'!B1556</f>
        <v/>
      </c>
      <c r="C1561" s="22" t="str">
        <f>'VIX HISTORIQUE'!D1556</f>
        <v/>
      </c>
      <c r="D1561" s="22" t="str">
        <f>'VIX HISTORIQUE'!F1556</f>
        <v/>
      </c>
      <c r="E1561" s="22" t="str">
        <f>'VIX HISTORIQUE'!H1556</f>
        <v/>
      </c>
      <c r="F1561" s="22" t="str">
        <f>'VIX HISTORIQUE'!J1556</f>
        <v/>
      </c>
    </row>
    <row r="1562" ht="15.75" customHeight="1">
      <c r="A1562" s="25" t="str">
        <f>'VIX HISTORIQUE'!A1557</f>
        <v/>
      </c>
      <c r="B1562" s="22" t="str">
        <f>'VIX HISTORIQUE'!B1557</f>
        <v/>
      </c>
      <c r="C1562" s="22" t="str">
        <f>'VIX HISTORIQUE'!D1557</f>
        <v/>
      </c>
      <c r="D1562" s="22" t="str">
        <f>'VIX HISTORIQUE'!F1557</f>
        <v/>
      </c>
      <c r="E1562" s="22" t="str">
        <f>'VIX HISTORIQUE'!H1557</f>
        <v/>
      </c>
      <c r="F1562" s="22" t="str">
        <f>'VIX HISTORIQUE'!J1557</f>
        <v/>
      </c>
    </row>
    <row r="1563" ht="15.75" customHeight="1">
      <c r="A1563" s="25" t="str">
        <f>'VIX HISTORIQUE'!A1558</f>
        <v/>
      </c>
      <c r="B1563" s="22" t="str">
        <f>'VIX HISTORIQUE'!B1558</f>
        <v/>
      </c>
      <c r="C1563" s="22" t="str">
        <f>'VIX HISTORIQUE'!D1558</f>
        <v/>
      </c>
      <c r="D1563" s="22" t="str">
        <f>'VIX HISTORIQUE'!F1558</f>
        <v/>
      </c>
      <c r="E1563" s="22" t="str">
        <f>'VIX HISTORIQUE'!H1558</f>
        <v/>
      </c>
      <c r="F1563" s="22" t="str">
        <f>'VIX HISTORIQUE'!J1558</f>
        <v/>
      </c>
    </row>
    <row r="1564" ht="15.75" customHeight="1">
      <c r="A1564" s="25" t="str">
        <f>'VIX HISTORIQUE'!A1559</f>
        <v/>
      </c>
      <c r="B1564" s="22" t="str">
        <f>'VIX HISTORIQUE'!B1559</f>
        <v/>
      </c>
      <c r="C1564" s="22" t="str">
        <f>'VIX HISTORIQUE'!D1559</f>
        <v/>
      </c>
      <c r="D1564" s="22" t="str">
        <f>'VIX HISTORIQUE'!F1559</f>
        <v/>
      </c>
      <c r="E1564" s="22" t="str">
        <f>'VIX HISTORIQUE'!H1559</f>
        <v/>
      </c>
      <c r="F1564" s="22" t="str">
        <f>'VIX HISTORIQUE'!J1559</f>
        <v/>
      </c>
    </row>
    <row r="1565" ht="15.75" customHeight="1">
      <c r="A1565" s="25" t="str">
        <f>'VIX HISTORIQUE'!A1560</f>
        <v/>
      </c>
      <c r="B1565" s="22" t="str">
        <f>'VIX HISTORIQUE'!B1560</f>
        <v/>
      </c>
      <c r="C1565" s="22" t="str">
        <f>'VIX HISTORIQUE'!D1560</f>
        <v/>
      </c>
      <c r="D1565" s="22" t="str">
        <f>'VIX HISTORIQUE'!F1560</f>
        <v/>
      </c>
      <c r="E1565" s="22" t="str">
        <f>'VIX HISTORIQUE'!H1560</f>
        <v/>
      </c>
      <c r="F1565" s="22" t="str">
        <f>'VIX HISTORIQUE'!J1560</f>
        <v/>
      </c>
    </row>
    <row r="1566" ht="15.75" customHeight="1">
      <c r="A1566" s="25" t="str">
        <f>'VIX HISTORIQUE'!A1561</f>
        <v/>
      </c>
      <c r="B1566" s="22" t="str">
        <f>'VIX HISTORIQUE'!B1561</f>
        <v/>
      </c>
      <c r="C1566" s="22" t="str">
        <f>'VIX HISTORIQUE'!D1561</f>
        <v/>
      </c>
      <c r="D1566" s="22" t="str">
        <f>'VIX HISTORIQUE'!F1561</f>
        <v/>
      </c>
      <c r="E1566" s="22" t="str">
        <f>'VIX HISTORIQUE'!H1561</f>
        <v/>
      </c>
      <c r="F1566" s="22" t="str">
        <f>'VIX HISTORIQUE'!J1561</f>
        <v/>
      </c>
    </row>
    <row r="1567" ht="15.75" customHeight="1">
      <c r="A1567" s="25" t="str">
        <f>'VIX HISTORIQUE'!A1562</f>
        <v/>
      </c>
      <c r="B1567" s="22" t="str">
        <f>'VIX HISTORIQUE'!B1562</f>
        <v/>
      </c>
      <c r="C1567" s="22" t="str">
        <f>'VIX HISTORIQUE'!D1562</f>
        <v/>
      </c>
      <c r="D1567" s="22" t="str">
        <f>'VIX HISTORIQUE'!F1562</f>
        <v/>
      </c>
      <c r="E1567" s="22" t="str">
        <f>'VIX HISTORIQUE'!H1562</f>
        <v/>
      </c>
      <c r="F1567" s="22" t="str">
        <f>'VIX HISTORIQUE'!J1562</f>
        <v/>
      </c>
    </row>
    <row r="1568" ht="15.75" customHeight="1">
      <c r="A1568" s="25" t="str">
        <f>'VIX HISTORIQUE'!A1563</f>
        <v/>
      </c>
      <c r="B1568" s="22" t="str">
        <f>'VIX HISTORIQUE'!B1563</f>
        <v/>
      </c>
      <c r="C1568" s="22" t="str">
        <f>'VIX HISTORIQUE'!D1563</f>
        <v/>
      </c>
      <c r="D1568" s="22" t="str">
        <f>'VIX HISTORIQUE'!F1563</f>
        <v/>
      </c>
      <c r="E1568" s="22" t="str">
        <f>'VIX HISTORIQUE'!H1563</f>
        <v/>
      </c>
      <c r="F1568" s="22" t="str">
        <f>'VIX HISTORIQUE'!J1563</f>
        <v/>
      </c>
    </row>
    <row r="1569" ht="15.75" customHeight="1">
      <c r="A1569" s="25" t="str">
        <f>'VIX HISTORIQUE'!A1564</f>
        <v/>
      </c>
      <c r="B1569" s="22" t="str">
        <f>'VIX HISTORIQUE'!B1564</f>
        <v/>
      </c>
      <c r="C1569" s="22" t="str">
        <f>'VIX HISTORIQUE'!D1564</f>
        <v/>
      </c>
      <c r="D1569" s="22" t="str">
        <f>'VIX HISTORIQUE'!F1564</f>
        <v/>
      </c>
      <c r="E1569" s="22" t="str">
        <f>'VIX HISTORIQUE'!H1564</f>
        <v/>
      </c>
      <c r="F1569" s="22" t="str">
        <f>'VIX HISTORIQUE'!J1564</f>
        <v/>
      </c>
    </row>
    <row r="1570" ht="15.75" customHeight="1">
      <c r="A1570" s="25" t="str">
        <f>'VIX HISTORIQUE'!A1565</f>
        <v/>
      </c>
      <c r="B1570" s="22" t="str">
        <f>'VIX HISTORIQUE'!B1565</f>
        <v/>
      </c>
      <c r="C1570" s="22" t="str">
        <f>'VIX HISTORIQUE'!D1565</f>
        <v/>
      </c>
      <c r="D1570" s="22" t="str">
        <f>'VIX HISTORIQUE'!F1565</f>
        <v/>
      </c>
      <c r="E1570" s="22" t="str">
        <f>'VIX HISTORIQUE'!H1565</f>
        <v/>
      </c>
      <c r="F1570" s="22" t="str">
        <f>'VIX HISTORIQUE'!J1565</f>
        <v/>
      </c>
    </row>
    <row r="1571" ht="15.75" customHeight="1">
      <c r="A1571" s="25" t="str">
        <f>'VIX HISTORIQUE'!A1566</f>
        <v/>
      </c>
      <c r="B1571" s="22" t="str">
        <f>'VIX HISTORIQUE'!B1566</f>
        <v/>
      </c>
      <c r="C1571" s="22" t="str">
        <f>'VIX HISTORIQUE'!D1566</f>
        <v/>
      </c>
      <c r="D1571" s="22" t="str">
        <f>'VIX HISTORIQUE'!F1566</f>
        <v/>
      </c>
      <c r="E1571" s="22" t="str">
        <f>'VIX HISTORIQUE'!H1566</f>
        <v/>
      </c>
      <c r="F1571" s="22" t="str">
        <f>'VIX HISTORIQUE'!J1566</f>
        <v/>
      </c>
    </row>
    <row r="1572" ht="15.75" customHeight="1">
      <c r="A1572" s="25" t="str">
        <f>'VIX HISTORIQUE'!A1567</f>
        <v/>
      </c>
      <c r="B1572" s="22" t="str">
        <f>'VIX HISTORIQUE'!B1567</f>
        <v/>
      </c>
      <c r="C1572" s="22" t="str">
        <f>'VIX HISTORIQUE'!D1567</f>
        <v/>
      </c>
      <c r="D1572" s="22" t="str">
        <f>'VIX HISTORIQUE'!F1567</f>
        <v/>
      </c>
      <c r="E1572" s="22" t="str">
        <f>'VIX HISTORIQUE'!H1567</f>
        <v/>
      </c>
      <c r="F1572" s="22" t="str">
        <f>'VIX HISTORIQUE'!J1567</f>
        <v/>
      </c>
    </row>
    <row r="1573" ht="15.75" customHeight="1">
      <c r="A1573" s="25" t="str">
        <f>'VIX HISTORIQUE'!A1568</f>
        <v/>
      </c>
      <c r="B1573" s="22" t="str">
        <f>'VIX HISTORIQUE'!B1568</f>
        <v/>
      </c>
      <c r="C1573" s="22" t="str">
        <f>'VIX HISTORIQUE'!D1568</f>
        <v/>
      </c>
      <c r="D1573" s="22" t="str">
        <f>'VIX HISTORIQUE'!F1568</f>
        <v/>
      </c>
      <c r="E1573" s="22" t="str">
        <f>'VIX HISTORIQUE'!H1568</f>
        <v/>
      </c>
      <c r="F1573" s="22" t="str">
        <f>'VIX HISTORIQUE'!J1568</f>
        <v/>
      </c>
    </row>
    <row r="1574" ht="15.75" customHeight="1">
      <c r="A1574" s="25" t="str">
        <f>'VIX HISTORIQUE'!A1569</f>
        <v/>
      </c>
      <c r="B1574" s="22" t="str">
        <f>'VIX HISTORIQUE'!B1569</f>
        <v/>
      </c>
      <c r="C1574" s="22" t="str">
        <f>'VIX HISTORIQUE'!D1569</f>
        <v/>
      </c>
      <c r="D1574" s="22" t="str">
        <f>'VIX HISTORIQUE'!F1569</f>
        <v/>
      </c>
      <c r="E1574" s="22" t="str">
        <f>'VIX HISTORIQUE'!H1569</f>
        <v/>
      </c>
      <c r="F1574" s="22" t="str">
        <f>'VIX HISTORIQUE'!J1569</f>
        <v/>
      </c>
    </row>
    <row r="1575" ht="15.75" customHeight="1">
      <c r="A1575" s="25" t="str">
        <f>'VIX HISTORIQUE'!A1570</f>
        <v/>
      </c>
      <c r="B1575" s="22" t="str">
        <f>'VIX HISTORIQUE'!B1570</f>
        <v/>
      </c>
      <c r="C1575" s="22" t="str">
        <f>'VIX HISTORIQUE'!D1570</f>
        <v/>
      </c>
      <c r="D1575" s="22" t="str">
        <f>'VIX HISTORIQUE'!F1570</f>
        <v/>
      </c>
      <c r="E1575" s="22" t="str">
        <f>'VIX HISTORIQUE'!H1570</f>
        <v/>
      </c>
      <c r="F1575" s="22" t="str">
        <f>'VIX HISTORIQUE'!J1570</f>
        <v/>
      </c>
    </row>
    <row r="1576" ht="15.75" customHeight="1">
      <c r="A1576" s="25" t="str">
        <f>'VIX HISTORIQUE'!A1571</f>
        <v/>
      </c>
      <c r="B1576" s="22" t="str">
        <f>'VIX HISTORIQUE'!B1571</f>
        <v/>
      </c>
      <c r="C1576" s="22" t="str">
        <f>'VIX HISTORIQUE'!D1571</f>
        <v/>
      </c>
      <c r="D1576" s="22" t="str">
        <f>'VIX HISTORIQUE'!F1571</f>
        <v/>
      </c>
      <c r="E1576" s="22" t="str">
        <f>'VIX HISTORIQUE'!H1571</f>
        <v/>
      </c>
      <c r="F1576" s="22" t="str">
        <f>'VIX HISTORIQUE'!J1571</f>
        <v/>
      </c>
    </row>
    <row r="1577" ht="15.75" customHeight="1">
      <c r="A1577" s="25" t="str">
        <f>'VIX HISTORIQUE'!A1572</f>
        <v/>
      </c>
      <c r="B1577" s="22" t="str">
        <f>'VIX HISTORIQUE'!B1572</f>
        <v/>
      </c>
      <c r="C1577" s="22" t="str">
        <f>'VIX HISTORIQUE'!D1572</f>
        <v/>
      </c>
      <c r="D1577" s="22" t="str">
        <f>'VIX HISTORIQUE'!F1572</f>
        <v/>
      </c>
      <c r="E1577" s="22" t="str">
        <f>'VIX HISTORIQUE'!H1572</f>
        <v/>
      </c>
      <c r="F1577" s="22" t="str">
        <f>'VIX HISTORIQUE'!J1572</f>
        <v/>
      </c>
    </row>
    <row r="1578" ht="15.75" customHeight="1">
      <c r="A1578" s="25" t="str">
        <f>'VIX HISTORIQUE'!A1573</f>
        <v/>
      </c>
      <c r="B1578" s="22" t="str">
        <f>'VIX HISTORIQUE'!B1573</f>
        <v/>
      </c>
      <c r="C1578" s="22" t="str">
        <f>'VIX HISTORIQUE'!D1573</f>
        <v/>
      </c>
      <c r="D1578" s="22" t="str">
        <f>'VIX HISTORIQUE'!F1573</f>
        <v/>
      </c>
      <c r="E1578" s="22" t="str">
        <f>'VIX HISTORIQUE'!H1573</f>
        <v/>
      </c>
      <c r="F1578" s="22" t="str">
        <f>'VIX HISTORIQUE'!J1573</f>
        <v/>
      </c>
    </row>
    <row r="1579" ht="15.75" customHeight="1">
      <c r="A1579" s="25" t="str">
        <f>'VIX HISTORIQUE'!A1574</f>
        <v/>
      </c>
      <c r="B1579" s="22" t="str">
        <f>'VIX HISTORIQUE'!B1574</f>
        <v/>
      </c>
      <c r="C1579" s="22" t="str">
        <f>'VIX HISTORIQUE'!D1574</f>
        <v/>
      </c>
      <c r="D1579" s="22" t="str">
        <f>'VIX HISTORIQUE'!F1574</f>
        <v/>
      </c>
      <c r="E1579" s="22" t="str">
        <f>'VIX HISTORIQUE'!H1574</f>
        <v/>
      </c>
      <c r="F1579" s="22" t="str">
        <f>'VIX HISTORIQUE'!J1574</f>
        <v/>
      </c>
    </row>
    <row r="1580" ht="15.75" customHeight="1">
      <c r="A1580" s="25" t="str">
        <f>'VIX HISTORIQUE'!A1575</f>
        <v/>
      </c>
      <c r="B1580" s="22" t="str">
        <f>'VIX HISTORIQUE'!B1575</f>
        <v/>
      </c>
      <c r="C1580" s="22" t="str">
        <f>'VIX HISTORIQUE'!D1575</f>
        <v/>
      </c>
      <c r="D1580" s="22" t="str">
        <f>'VIX HISTORIQUE'!F1575</f>
        <v/>
      </c>
      <c r="E1580" s="22" t="str">
        <f>'VIX HISTORIQUE'!H1575</f>
        <v/>
      </c>
      <c r="F1580" s="22" t="str">
        <f>'VIX HISTORIQUE'!J1575</f>
        <v/>
      </c>
    </row>
    <row r="1581" ht="15.75" customHeight="1">
      <c r="A1581" s="25" t="str">
        <f>'VIX HISTORIQUE'!A1576</f>
        <v/>
      </c>
      <c r="B1581" s="22" t="str">
        <f>'VIX HISTORIQUE'!B1576</f>
        <v/>
      </c>
      <c r="C1581" s="22" t="str">
        <f>'VIX HISTORIQUE'!D1576</f>
        <v/>
      </c>
      <c r="D1581" s="22" t="str">
        <f>'VIX HISTORIQUE'!F1576</f>
        <v/>
      </c>
      <c r="E1581" s="22" t="str">
        <f>'VIX HISTORIQUE'!H1576</f>
        <v/>
      </c>
      <c r="F1581" s="22" t="str">
        <f>'VIX HISTORIQUE'!J1576</f>
        <v/>
      </c>
    </row>
    <row r="1582" ht="15.75" customHeight="1">
      <c r="A1582" s="25" t="str">
        <f>'VIX HISTORIQUE'!A1577</f>
        <v/>
      </c>
      <c r="B1582" s="22" t="str">
        <f>'VIX HISTORIQUE'!B1577</f>
        <v/>
      </c>
      <c r="C1582" s="22" t="str">
        <f>'VIX HISTORIQUE'!D1577</f>
        <v/>
      </c>
      <c r="D1582" s="22" t="str">
        <f>'VIX HISTORIQUE'!F1577</f>
        <v/>
      </c>
      <c r="E1582" s="22" t="str">
        <f>'VIX HISTORIQUE'!H1577</f>
        <v/>
      </c>
      <c r="F1582" s="22" t="str">
        <f>'VIX HISTORIQUE'!J1577</f>
        <v/>
      </c>
    </row>
    <row r="1583" ht="15.75" customHeight="1">
      <c r="A1583" s="25" t="str">
        <f>'VIX HISTORIQUE'!A1578</f>
        <v/>
      </c>
      <c r="B1583" s="22" t="str">
        <f>'VIX HISTORIQUE'!B1578</f>
        <v/>
      </c>
      <c r="C1583" s="22" t="str">
        <f>'VIX HISTORIQUE'!D1578</f>
        <v/>
      </c>
      <c r="D1583" s="22" t="str">
        <f>'VIX HISTORIQUE'!F1578</f>
        <v/>
      </c>
      <c r="E1583" s="22" t="str">
        <f>'VIX HISTORIQUE'!H1578</f>
        <v/>
      </c>
      <c r="F1583" s="22" t="str">
        <f>'VIX HISTORIQUE'!J1578</f>
        <v/>
      </c>
    </row>
    <row r="1584" ht="15.75" customHeight="1">
      <c r="A1584" s="25" t="str">
        <f>'VIX HISTORIQUE'!A1579</f>
        <v/>
      </c>
      <c r="B1584" s="22" t="str">
        <f>'VIX HISTORIQUE'!B1579</f>
        <v/>
      </c>
      <c r="C1584" s="22" t="str">
        <f>'VIX HISTORIQUE'!D1579</f>
        <v/>
      </c>
      <c r="D1584" s="22" t="str">
        <f>'VIX HISTORIQUE'!F1579</f>
        <v/>
      </c>
      <c r="E1584" s="22" t="str">
        <f>'VIX HISTORIQUE'!H1579</f>
        <v/>
      </c>
      <c r="F1584" s="22" t="str">
        <f>'VIX HISTORIQUE'!J1579</f>
        <v/>
      </c>
    </row>
    <row r="1585" ht="15.75" customHeight="1">
      <c r="A1585" s="25" t="str">
        <f>'VIX HISTORIQUE'!A1580</f>
        <v/>
      </c>
      <c r="B1585" s="22" t="str">
        <f>'VIX HISTORIQUE'!B1580</f>
        <v/>
      </c>
      <c r="C1585" s="22" t="str">
        <f>'VIX HISTORIQUE'!D1580</f>
        <v/>
      </c>
      <c r="D1585" s="22" t="str">
        <f>'VIX HISTORIQUE'!F1580</f>
        <v/>
      </c>
      <c r="E1585" s="22" t="str">
        <f>'VIX HISTORIQUE'!H1580</f>
        <v/>
      </c>
      <c r="F1585" s="22" t="str">
        <f>'VIX HISTORIQUE'!J1580</f>
        <v/>
      </c>
    </row>
    <row r="1586" ht="15.75" customHeight="1">
      <c r="A1586" s="25" t="str">
        <f>'VIX HISTORIQUE'!A1581</f>
        <v/>
      </c>
      <c r="B1586" s="22" t="str">
        <f>'VIX HISTORIQUE'!B1581</f>
        <v/>
      </c>
      <c r="C1586" s="22" t="str">
        <f>'VIX HISTORIQUE'!D1581</f>
        <v/>
      </c>
      <c r="D1586" s="22" t="str">
        <f>'VIX HISTORIQUE'!F1581</f>
        <v/>
      </c>
      <c r="E1586" s="22" t="str">
        <f>'VIX HISTORIQUE'!H1581</f>
        <v/>
      </c>
      <c r="F1586" s="22" t="str">
        <f>'VIX HISTORIQUE'!J1581</f>
        <v/>
      </c>
    </row>
    <row r="1587" ht="15.75" customHeight="1">
      <c r="A1587" s="25" t="str">
        <f>'VIX HISTORIQUE'!A1582</f>
        <v/>
      </c>
      <c r="B1587" s="22" t="str">
        <f>'VIX HISTORIQUE'!B1582</f>
        <v/>
      </c>
      <c r="C1587" s="22" t="str">
        <f>'VIX HISTORIQUE'!D1582</f>
        <v/>
      </c>
      <c r="D1587" s="22" t="str">
        <f>'VIX HISTORIQUE'!F1582</f>
        <v/>
      </c>
      <c r="E1587" s="22" t="str">
        <f>'VIX HISTORIQUE'!H1582</f>
        <v/>
      </c>
      <c r="F1587" s="22" t="str">
        <f>'VIX HISTORIQUE'!J1582</f>
        <v/>
      </c>
    </row>
    <row r="1588" ht="15.75" customHeight="1">
      <c r="A1588" s="25" t="str">
        <f>'VIX HISTORIQUE'!A1583</f>
        <v/>
      </c>
      <c r="B1588" s="22" t="str">
        <f>'VIX HISTORIQUE'!B1583</f>
        <v/>
      </c>
      <c r="C1588" s="22" t="str">
        <f>'VIX HISTORIQUE'!D1583</f>
        <v/>
      </c>
      <c r="D1588" s="22" t="str">
        <f>'VIX HISTORIQUE'!F1583</f>
        <v/>
      </c>
      <c r="E1588" s="22" t="str">
        <f>'VIX HISTORIQUE'!H1583</f>
        <v/>
      </c>
      <c r="F1588" s="22" t="str">
        <f>'VIX HISTORIQUE'!J1583</f>
        <v/>
      </c>
    </row>
    <row r="1589" ht="15.75" customHeight="1">
      <c r="A1589" s="25" t="str">
        <f>'VIX HISTORIQUE'!A1584</f>
        <v/>
      </c>
      <c r="B1589" s="22" t="str">
        <f>'VIX HISTORIQUE'!B1584</f>
        <v/>
      </c>
      <c r="C1589" s="22" t="str">
        <f>'VIX HISTORIQUE'!D1584</f>
        <v/>
      </c>
      <c r="D1589" s="22" t="str">
        <f>'VIX HISTORIQUE'!F1584</f>
        <v/>
      </c>
      <c r="E1589" s="22" t="str">
        <f>'VIX HISTORIQUE'!H1584</f>
        <v/>
      </c>
      <c r="F1589" s="22" t="str">
        <f>'VIX HISTORIQUE'!J1584</f>
        <v/>
      </c>
    </row>
    <row r="1590" ht="15.75" customHeight="1">
      <c r="A1590" s="25" t="str">
        <f>'VIX HISTORIQUE'!A1585</f>
        <v/>
      </c>
      <c r="B1590" s="22" t="str">
        <f>'VIX HISTORIQUE'!B1585</f>
        <v/>
      </c>
      <c r="C1590" s="22" t="str">
        <f>'VIX HISTORIQUE'!D1585</f>
        <v/>
      </c>
      <c r="D1590" s="22" t="str">
        <f>'VIX HISTORIQUE'!F1585</f>
        <v/>
      </c>
      <c r="E1590" s="22" t="str">
        <f>'VIX HISTORIQUE'!H1585</f>
        <v/>
      </c>
      <c r="F1590" s="22" t="str">
        <f>'VIX HISTORIQUE'!J1585</f>
        <v/>
      </c>
    </row>
    <row r="1591" ht="15.75" customHeight="1">
      <c r="A1591" s="25" t="str">
        <f>'VIX HISTORIQUE'!A1586</f>
        <v/>
      </c>
      <c r="B1591" s="22" t="str">
        <f>'VIX HISTORIQUE'!B1586</f>
        <v/>
      </c>
      <c r="C1591" s="22" t="str">
        <f>'VIX HISTORIQUE'!D1586</f>
        <v/>
      </c>
      <c r="D1591" s="22" t="str">
        <f>'VIX HISTORIQUE'!F1586</f>
        <v/>
      </c>
      <c r="E1591" s="22" t="str">
        <f>'VIX HISTORIQUE'!H1586</f>
        <v/>
      </c>
      <c r="F1591" s="22" t="str">
        <f>'VIX HISTORIQUE'!J1586</f>
        <v/>
      </c>
    </row>
    <row r="1592" ht="15.75" customHeight="1">
      <c r="A1592" s="25" t="str">
        <f>'VIX HISTORIQUE'!A1587</f>
        <v/>
      </c>
      <c r="B1592" s="22" t="str">
        <f>'VIX HISTORIQUE'!B1587</f>
        <v/>
      </c>
      <c r="C1592" s="22" t="str">
        <f>'VIX HISTORIQUE'!D1587</f>
        <v/>
      </c>
      <c r="D1592" s="22" t="str">
        <f>'VIX HISTORIQUE'!F1587</f>
        <v/>
      </c>
      <c r="E1592" s="22" t="str">
        <f>'VIX HISTORIQUE'!H1587</f>
        <v/>
      </c>
      <c r="F1592" s="22" t="str">
        <f>'VIX HISTORIQUE'!J1587</f>
        <v/>
      </c>
    </row>
    <row r="1593" ht="15.75" customHeight="1">
      <c r="A1593" s="25" t="str">
        <f>'VIX HISTORIQUE'!A1588</f>
        <v/>
      </c>
      <c r="B1593" s="22" t="str">
        <f>'VIX HISTORIQUE'!B1588</f>
        <v/>
      </c>
      <c r="C1593" s="22" t="str">
        <f>'VIX HISTORIQUE'!D1588</f>
        <v/>
      </c>
      <c r="D1593" s="22" t="str">
        <f>'VIX HISTORIQUE'!F1588</f>
        <v/>
      </c>
      <c r="E1593" s="22" t="str">
        <f>'VIX HISTORIQUE'!H1588</f>
        <v/>
      </c>
      <c r="F1593" s="22" t="str">
        <f>'VIX HISTORIQUE'!J1588</f>
        <v/>
      </c>
    </row>
    <row r="1594" ht="15.75" customHeight="1">
      <c r="A1594" s="25" t="str">
        <f>'VIX HISTORIQUE'!A1589</f>
        <v/>
      </c>
      <c r="B1594" s="22" t="str">
        <f>'VIX HISTORIQUE'!B1589</f>
        <v/>
      </c>
      <c r="C1594" s="22" t="str">
        <f>'VIX HISTORIQUE'!D1589</f>
        <v/>
      </c>
      <c r="D1594" s="22" t="str">
        <f>'VIX HISTORIQUE'!F1589</f>
        <v/>
      </c>
      <c r="E1594" s="22" t="str">
        <f>'VIX HISTORIQUE'!H1589</f>
        <v/>
      </c>
      <c r="F1594" s="22" t="str">
        <f>'VIX HISTORIQUE'!J1589</f>
        <v/>
      </c>
    </row>
    <row r="1595" ht="15.75" customHeight="1">
      <c r="A1595" s="25" t="str">
        <f>'VIX HISTORIQUE'!A1590</f>
        <v/>
      </c>
      <c r="B1595" s="22" t="str">
        <f>'VIX HISTORIQUE'!B1590</f>
        <v/>
      </c>
      <c r="C1595" s="22" t="str">
        <f>'VIX HISTORIQUE'!D1590</f>
        <v/>
      </c>
      <c r="D1595" s="22" t="str">
        <f>'VIX HISTORIQUE'!F1590</f>
        <v/>
      </c>
      <c r="E1595" s="22" t="str">
        <f>'VIX HISTORIQUE'!H1590</f>
        <v/>
      </c>
      <c r="F1595" s="22" t="str">
        <f>'VIX HISTORIQUE'!J1590</f>
        <v/>
      </c>
    </row>
    <row r="1596" ht="15.75" customHeight="1">
      <c r="A1596" s="25" t="str">
        <f>'VIX HISTORIQUE'!A1591</f>
        <v/>
      </c>
      <c r="B1596" s="22" t="str">
        <f>'VIX HISTORIQUE'!B1591</f>
        <v/>
      </c>
      <c r="C1596" s="22" t="str">
        <f>'VIX HISTORIQUE'!D1591</f>
        <v/>
      </c>
      <c r="D1596" s="22" t="str">
        <f>'VIX HISTORIQUE'!F1591</f>
        <v/>
      </c>
      <c r="E1596" s="22" t="str">
        <f>'VIX HISTORIQUE'!H1591</f>
        <v/>
      </c>
      <c r="F1596" s="22" t="str">
        <f>'VIX HISTORIQUE'!J1591</f>
        <v/>
      </c>
    </row>
    <row r="1597" ht="15.75" customHeight="1">
      <c r="A1597" s="25" t="str">
        <f>'VIX HISTORIQUE'!A1592</f>
        <v/>
      </c>
      <c r="B1597" s="22" t="str">
        <f>'VIX HISTORIQUE'!B1592</f>
        <v/>
      </c>
      <c r="C1597" s="22" t="str">
        <f>'VIX HISTORIQUE'!D1592</f>
        <v/>
      </c>
      <c r="D1597" s="22" t="str">
        <f>'VIX HISTORIQUE'!F1592</f>
        <v/>
      </c>
      <c r="E1597" s="22" t="str">
        <f>'VIX HISTORIQUE'!H1592</f>
        <v/>
      </c>
      <c r="F1597" s="22" t="str">
        <f>'VIX HISTORIQUE'!J1592</f>
        <v/>
      </c>
    </row>
    <row r="1598" ht="15.75" customHeight="1">
      <c r="A1598" s="25" t="str">
        <f>'VIX HISTORIQUE'!A1593</f>
        <v/>
      </c>
      <c r="B1598" s="22" t="str">
        <f>'VIX HISTORIQUE'!B1593</f>
        <v/>
      </c>
      <c r="C1598" s="22" t="str">
        <f>'VIX HISTORIQUE'!D1593</f>
        <v/>
      </c>
      <c r="D1598" s="22" t="str">
        <f>'VIX HISTORIQUE'!F1593</f>
        <v/>
      </c>
      <c r="E1598" s="22" t="str">
        <f>'VIX HISTORIQUE'!H1593</f>
        <v/>
      </c>
      <c r="F1598" s="22" t="str">
        <f>'VIX HISTORIQUE'!J1593</f>
        <v/>
      </c>
    </row>
    <row r="1599" ht="15.75" customHeight="1">
      <c r="A1599" s="25" t="str">
        <f>'VIX HISTORIQUE'!A1594</f>
        <v/>
      </c>
      <c r="B1599" s="22" t="str">
        <f>'VIX HISTORIQUE'!B1594</f>
        <v/>
      </c>
      <c r="C1599" s="22" t="str">
        <f>'VIX HISTORIQUE'!D1594</f>
        <v/>
      </c>
      <c r="D1599" s="22" t="str">
        <f>'VIX HISTORIQUE'!F1594</f>
        <v/>
      </c>
      <c r="E1599" s="22" t="str">
        <f>'VIX HISTORIQUE'!H1594</f>
        <v/>
      </c>
      <c r="F1599" s="22" t="str">
        <f>'VIX HISTORIQUE'!J1594</f>
        <v/>
      </c>
    </row>
    <row r="1600" ht="15.75" customHeight="1">
      <c r="A1600" s="25" t="str">
        <f>'VIX HISTORIQUE'!A1595</f>
        <v/>
      </c>
      <c r="B1600" s="22" t="str">
        <f>'VIX HISTORIQUE'!B1595</f>
        <v/>
      </c>
      <c r="C1600" s="22" t="str">
        <f>'VIX HISTORIQUE'!D1595</f>
        <v/>
      </c>
      <c r="D1600" s="22" t="str">
        <f>'VIX HISTORIQUE'!F1595</f>
        <v/>
      </c>
      <c r="E1600" s="22" t="str">
        <f>'VIX HISTORIQUE'!H1595</f>
        <v/>
      </c>
      <c r="F1600" s="22" t="str">
        <f>'VIX HISTORIQUE'!J1595</f>
        <v/>
      </c>
    </row>
    <row r="1601" ht="15.75" customHeight="1">
      <c r="A1601" s="25" t="str">
        <f>'VIX HISTORIQUE'!A1596</f>
        <v/>
      </c>
      <c r="B1601" s="22" t="str">
        <f>'VIX HISTORIQUE'!B1596</f>
        <v/>
      </c>
      <c r="C1601" s="22" t="str">
        <f>'VIX HISTORIQUE'!D1596</f>
        <v/>
      </c>
      <c r="D1601" s="22" t="str">
        <f>'VIX HISTORIQUE'!F1596</f>
        <v/>
      </c>
      <c r="E1601" s="22" t="str">
        <f>'VIX HISTORIQUE'!H1596</f>
        <v/>
      </c>
      <c r="F1601" s="22" t="str">
        <f>'VIX HISTORIQUE'!J1596</f>
        <v/>
      </c>
    </row>
    <row r="1602" ht="15.75" customHeight="1">
      <c r="A1602" s="25" t="str">
        <f>'VIX HISTORIQUE'!A1597</f>
        <v/>
      </c>
      <c r="B1602" s="22" t="str">
        <f>'VIX HISTORIQUE'!B1597</f>
        <v/>
      </c>
      <c r="C1602" s="22" t="str">
        <f>'VIX HISTORIQUE'!D1597</f>
        <v/>
      </c>
      <c r="D1602" s="22" t="str">
        <f>'VIX HISTORIQUE'!F1597</f>
        <v/>
      </c>
      <c r="E1602" s="22" t="str">
        <f>'VIX HISTORIQUE'!H1597</f>
        <v/>
      </c>
      <c r="F1602" s="22" t="str">
        <f>'VIX HISTORIQUE'!J1597</f>
        <v/>
      </c>
    </row>
    <row r="1603" ht="15.75" customHeight="1">
      <c r="A1603" s="25" t="str">
        <f>'VIX HISTORIQUE'!A2119</f>
        <v/>
      </c>
      <c r="B1603" s="22" t="str">
        <f>'VIX HISTORIQUE'!B2119</f>
        <v/>
      </c>
      <c r="C1603" s="22" t="str">
        <f>'VIX HISTORIQUE'!D2119</f>
        <v/>
      </c>
      <c r="D1603" s="22" t="str">
        <f>'VIX HISTORIQUE'!G2119</f>
        <v/>
      </c>
      <c r="E1603" s="22" t="str">
        <f>'VIX HISTORIQUE'!I2119</f>
        <v/>
      </c>
      <c r="F1603" s="22" t="str">
        <f t="shared" ref="F1603:F1624" si="1">#REF!</f>
        <v>#REF!</v>
      </c>
    </row>
    <row r="1604" ht="15.75" customHeight="1">
      <c r="A1604" s="25" t="str">
        <f>'VIX HISTORIQUE'!A2120</f>
        <v/>
      </c>
      <c r="B1604" s="22" t="str">
        <f>'VIX HISTORIQUE'!B2120</f>
        <v/>
      </c>
      <c r="C1604" s="22" t="str">
        <f>'VIX HISTORIQUE'!D2120</f>
        <v/>
      </c>
      <c r="D1604" s="22" t="str">
        <f>'VIX HISTORIQUE'!G2120</f>
        <v/>
      </c>
      <c r="E1604" s="22" t="str">
        <f>'VIX HISTORIQUE'!I2120</f>
        <v/>
      </c>
      <c r="F1604" s="22" t="str">
        <f t="shared" si="1"/>
        <v>#REF!</v>
      </c>
    </row>
    <row r="1605" ht="15.75" customHeight="1">
      <c r="A1605" s="25" t="str">
        <f>'VIX HISTORIQUE'!A2121</f>
        <v/>
      </c>
      <c r="B1605" s="22" t="str">
        <f>'VIX HISTORIQUE'!B2121</f>
        <v/>
      </c>
      <c r="C1605" s="22" t="str">
        <f>'VIX HISTORIQUE'!D2121</f>
        <v/>
      </c>
      <c r="D1605" s="22" t="str">
        <f>'VIX HISTORIQUE'!G2121</f>
        <v/>
      </c>
      <c r="E1605" s="22" t="str">
        <f>'VIX HISTORIQUE'!I2121</f>
        <v/>
      </c>
      <c r="F1605" s="22" t="str">
        <f t="shared" si="1"/>
        <v>#REF!</v>
      </c>
    </row>
    <row r="1606" ht="15.75" customHeight="1">
      <c r="A1606" s="25" t="str">
        <f>'VIX HISTORIQUE'!A2122</f>
        <v/>
      </c>
      <c r="B1606" s="22" t="str">
        <f>'VIX HISTORIQUE'!B2122</f>
        <v/>
      </c>
      <c r="C1606" s="22" t="str">
        <f>'VIX HISTORIQUE'!D2122</f>
        <v/>
      </c>
      <c r="D1606" s="22" t="str">
        <f>'VIX HISTORIQUE'!G2122</f>
        <v/>
      </c>
      <c r="E1606" s="22" t="str">
        <f>'VIX HISTORIQUE'!I2122</f>
        <v/>
      </c>
      <c r="F1606" s="22" t="str">
        <f t="shared" si="1"/>
        <v>#REF!</v>
      </c>
    </row>
    <row r="1607" ht="15.75" customHeight="1">
      <c r="A1607" s="25" t="str">
        <f>'VIX HISTORIQUE'!A2123</f>
        <v/>
      </c>
      <c r="B1607" s="22" t="str">
        <f>'VIX HISTORIQUE'!B2123</f>
        <v/>
      </c>
      <c r="C1607" s="22" t="str">
        <f>'VIX HISTORIQUE'!D2123</f>
        <v/>
      </c>
      <c r="D1607" s="22" t="str">
        <f>'VIX HISTORIQUE'!G2123</f>
        <v/>
      </c>
      <c r="E1607" s="22" t="str">
        <f>'VIX HISTORIQUE'!I2123</f>
        <v/>
      </c>
      <c r="F1607" s="22" t="str">
        <f t="shared" si="1"/>
        <v>#REF!</v>
      </c>
    </row>
    <row r="1608" ht="15.75" customHeight="1">
      <c r="A1608" s="25" t="str">
        <f>'VIX HISTORIQUE'!A2124</f>
        <v/>
      </c>
      <c r="B1608" s="22" t="str">
        <f>'VIX HISTORIQUE'!B2124</f>
        <v/>
      </c>
      <c r="C1608" s="22" t="str">
        <f>'VIX HISTORIQUE'!D2124</f>
        <v/>
      </c>
      <c r="D1608" s="22" t="str">
        <f>'VIX HISTORIQUE'!G2124</f>
        <v/>
      </c>
      <c r="E1608" s="22" t="str">
        <f>'VIX HISTORIQUE'!I2124</f>
        <v/>
      </c>
      <c r="F1608" s="22" t="str">
        <f t="shared" si="1"/>
        <v>#REF!</v>
      </c>
    </row>
    <row r="1609" ht="15.75" customHeight="1">
      <c r="A1609" s="25" t="str">
        <f>'VIX HISTORIQUE'!A2125</f>
        <v/>
      </c>
      <c r="B1609" s="22" t="str">
        <f>'VIX HISTORIQUE'!B2125</f>
        <v/>
      </c>
      <c r="C1609" s="22" t="str">
        <f>'VIX HISTORIQUE'!D2125</f>
        <v/>
      </c>
      <c r="D1609" s="22" t="str">
        <f>'VIX HISTORIQUE'!G2125</f>
        <v/>
      </c>
      <c r="E1609" s="22" t="str">
        <f>'VIX HISTORIQUE'!I2125</f>
        <v/>
      </c>
      <c r="F1609" s="22" t="str">
        <f t="shared" si="1"/>
        <v>#REF!</v>
      </c>
    </row>
    <row r="1610" ht="15.75" customHeight="1">
      <c r="A1610" s="25" t="str">
        <f>'VIX HISTORIQUE'!A2126</f>
        <v/>
      </c>
      <c r="B1610" s="22" t="str">
        <f>'VIX HISTORIQUE'!B2126</f>
        <v/>
      </c>
      <c r="C1610" s="22" t="str">
        <f>'VIX HISTORIQUE'!D2126</f>
        <v/>
      </c>
      <c r="D1610" s="22" t="str">
        <f>'VIX HISTORIQUE'!G2126</f>
        <v/>
      </c>
      <c r="E1610" s="22" t="str">
        <f>'VIX HISTORIQUE'!I2126</f>
        <v/>
      </c>
      <c r="F1610" s="22" t="str">
        <f t="shared" si="1"/>
        <v>#REF!</v>
      </c>
    </row>
    <row r="1611" ht="15.75" customHeight="1">
      <c r="A1611" s="25" t="str">
        <f>'VIX HISTORIQUE'!A2127</f>
        <v/>
      </c>
      <c r="B1611" s="22" t="str">
        <f>'VIX HISTORIQUE'!B2127</f>
        <v/>
      </c>
      <c r="C1611" s="22" t="str">
        <f>'VIX HISTORIQUE'!D2127</f>
        <v/>
      </c>
      <c r="D1611" s="22" t="str">
        <f>'VIX HISTORIQUE'!G2127</f>
        <v/>
      </c>
      <c r="E1611" s="22" t="str">
        <f>'VIX HISTORIQUE'!I2127</f>
        <v/>
      </c>
      <c r="F1611" s="22" t="str">
        <f t="shared" si="1"/>
        <v>#REF!</v>
      </c>
    </row>
    <row r="1612" ht="15.75" customHeight="1">
      <c r="A1612" s="25" t="str">
        <f>'VIX HISTORIQUE'!A2128</f>
        <v/>
      </c>
      <c r="B1612" s="22" t="str">
        <f>'VIX HISTORIQUE'!B2128</f>
        <v/>
      </c>
      <c r="C1612" s="22" t="str">
        <f>'VIX HISTORIQUE'!D2128</f>
        <v/>
      </c>
      <c r="D1612" s="22" t="str">
        <f>'VIX HISTORIQUE'!G2128</f>
        <v/>
      </c>
      <c r="E1612" s="22" t="str">
        <f>'VIX HISTORIQUE'!I2128</f>
        <v/>
      </c>
      <c r="F1612" s="22" t="str">
        <f t="shared" si="1"/>
        <v>#REF!</v>
      </c>
    </row>
    <row r="1613" ht="15.75" customHeight="1">
      <c r="A1613" s="25" t="str">
        <f>'VIX HISTORIQUE'!A2129</f>
        <v/>
      </c>
      <c r="B1613" s="22" t="str">
        <f>'VIX HISTORIQUE'!B2129</f>
        <v/>
      </c>
      <c r="C1613" s="22" t="str">
        <f>'VIX HISTORIQUE'!D2129</f>
        <v/>
      </c>
      <c r="D1613" s="22" t="str">
        <f>'VIX HISTORIQUE'!G2129</f>
        <v/>
      </c>
      <c r="E1613" s="22" t="str">
        <f>'VIX HISTORIQUE'!I2129</f>
        <v/>
      </c>
      <c r="F1613" s="22" t="str">
        <f t="shared" si="1"/>
        <v>#REF!</v>
      </c>
    </row>
    <row r="1614" ht="15.75" customHeight="1">
      <c r="A1614" s="25" t="str">
        <f>'VIX HISTORIQUE'!A2130</f>
        <v/>
      </c>
      <c r="B1614" s="22" t="str">
        <f>'VIX HISTORIQUE'!B2130</f>
        <v/>
      </c>
      <c r="C1614" s="22" t="str">
        <f>'VIX HISTORIQUE'!D2130</f>
        <v/>
      </c>
      <c r="D1614" s="22" t="str">
        <f>'VIX HISTORIQUE'!G2130</f>
        <v/>
      </c>
      <c r="E1614" s="22" t="str">
        <f>'VIX HISTORIQUE'!I2130</f>
        <v/>
      </c>
      <c r="F1614" s="22" t="str">
        <f t="shared" si="1"/>
        <v>#REF!</v>
      </c>
    </row>
    <row r="1615" ht="15.75" customHeight="1">
      <c r="A1615" s="25" t="str">
        <f>'VIX HISTORIQUE'!A2131</f>
        <v/>
      </c>
      <c r="B1615" s="22" t="str">
        <f>'VIX HISTORIQUE'!B2131</f>
        <v/>
      </c>
      <c r="C1615" s="22" t="str">
        <f>'VIX HISTORIQUE'!D2131</f>
        <v/>
      </c>
      <c r="D1615" s="22" t="str">
        <f>'VIX HISTORIQUE'!G2131</f>
        <v/>
      </c>
      <c r="E1615" s="22" t="str">
        <f>'VIX HISTORIQUE'!I2131</f>
        <v/>
      </c>
      <c r="F1615" s="22" t="str">
        <f t="shared" si="1"/>
        <v>#REF!</v>
      </c>
    </row>
    <row r="1616" ht="15.75" customHeight="1">
      <c r="A1616" s="25" t="str">
        <f>'VIX HISTORIQUE'!A2132</f>
        <v/>
      </c>
      <c r="B1616" s="22" t="str">
        <f>'VIX HISTORIQUE'!B2132</f>
        <v/>
      </c>
      <c r="C1616" s="22" t="str">
        <f>'VIX HISTORIQUE'!D2132</f>
        <v/>
      </c>
      <c r="D1616" s="22" t="str">
        <f>'VIX HISTORIQUE'!G2132</f>
        <v/>
      </c>
      <c r="E1616" s="22" t="str">
        <f>'VIX HISTORIQUE'!I2132</f>
        <v/>
      </c>
      <c r="F1616" s="22" t="str">
        <f t="shared" si="1"/>
        <v>#REF!</v>
      </c>
    </row>
    <row r="1617" ht="15.75" customHeight="1">
      <c r="A1617" s="25" t="str">
        <f>'VIX HISTORIQUE'!A2133</f>
        <v/>
      </c>
      <c r="B1617" s="22" t="str">
        <f>'VIX HISTORIQUE'!B2133</f>
        <v/>
      </c>
      <c r="C1617" s="22" t="str">
        <f>'VIX HISTORIQUE'!D2133</f>
        <v/>
      </c>
      <c r="D1617" s="22" t="str">
        <f>'VIX HISTORIQUE'!G2133</f>
        <v/>
      </c>
      <c r="E1617" s="22" t="str">
        <f>'VIX HISTORIQUE'!I2133</f>
        <v/>
      </c>
      <c r="F1617" s="22" t="str">
        <f t="shared" si="1"/>
        <v>#REF!</v>
      </c>
    </row>
    <row r="1618" ht="15.75" customHeight="1">
      <c r="A1618" s="25" t="str">
        <f>'VIX HISTORIQUE'!A2134</f>
        <v/>
      </c>
      <c r="B1618" s="22" t="str">
        <f>'VIX HISTORIQUE'!B2134</f>
        <v/>
      </c>
      <c r="C1618" s="22" t="str">
        <f>'VIX HISTORIQUE'!D2134</f>
        <v/>
      </c>
      <c r="D1618" s="22" t="str">
        <f>'VIX HISTORIQUE'!G2134</f>
        <v/>
      </c>
      <c r="E1618" s="22" t="str">
        <f>'VIX HISTORIQUE'!I2134</f>
        <v/>
      </c>
      <c r="F1618" s="22" t="str">
        <f t="shared" si="1"/>
        <v>#REF!</v>
      </c>
    </row>
    <row r="1619" ht="15.75" customHeight="1">
      <c r="A1619" s="25" t="str">
        <f>'VIX HISTORIQUE'!A2135</f>
        <v/>
      </c>
      <c r="B1619" s="22" t="str">
        <f>'VIX HISTORIQUE'!B2135</f>
        <v/>
      </c>
      <c r="C1619" s="22" t="str">
        <f>'VIX HISTORIQUE'!D2135</f>
        <v/>
      </c>
      <c r="D1619" s="22" t="str">
        <f>'VIX HISTORIQUE'!G2135</f>
        <v/>
      </c>
      <c r="E1619" s="22" t="str">
        <f>'VIX HISTORIQUE'!I2135</f>
        <v/>
      </c>
      <c r="F1619" s="22" t="str">
        <f t="shared" si="1"/>
        <v>#REF!</v>
      </c>
    </row>
    <row r="1620" ht="15.75" customHeight="1">
      <c r="A1620" s="25" t="str">
        <f>'VIX HISTORIQUE'!A2136</f>
        <v/>
      </c>
      <c r="B1620" s="22" t="str">
        <f>'VIX HISTORIQUE'!B2136</f>
        <v/>
      </c>
      <c r="C1620" s="22" t="str">
        <f>'VIX HISTORIQUE'!D2136</f>
        <v/>
      </c>
      <c r="D1620" s="22" t="str">
        <f>'VIX HISTORIQUE'!G2136</f>
        <v/>
      </c>
      <c r="E1620" s="22" t="str">
        <f>'VIX HISTORIQUE'!I2136</f>
        <v/>
      </c>
      <c r="F1620" s="22" t="str">
        <f t="shared" si="1"/>
        <v>#REF!</v>
      </c>
    </row>
    <row r="1621" ht="15.75" customHeight="1">
      <c r="A1621" s="25" t="str">
        <f>'VIX HISTORIQUE'!A2137</f>
        <v/>
      </c>
      <c r="B1621" s="22" t="str">
        <f>'VIX HISTORIQUE'!B2137</f>
        <v/>
      </c>
      <c r="C1621" s="22" t="str">
        <f>'VIX HISTORIQUE'!D2137</f>
        <v/>
      </c>
      <c r="D1621" s="22" t="str">
        <f>'VIX HISTORIQUE'!G2137</f>
        <v/>
      </c>
      <c r="E1621" s="22" t="str">
        <f>'VIX HISTORIQUE'!I2137</f>
        <v/>
      </c>
      <c r="F1621" s="22" t="str">
        <f t="shared" si="1"/>
        <v>#REF!</v>
      </c>
    </row>
    <row r="1622" ht="15.75" customHeight="1">
      <c r="A1622" s="25" t="str">
        <f>'VIX HISTORIQUE'!A2138</f>
        <v/>
      </c>
      <c r="B1622" s="22" t="str">
        <f>'VIX HISTORIQUE'!B2138</f>
        <v/>
      </c>
      <c r="C1622" s="22" t="str">
        <f>'VIX HISTORIQUE'!D2138</f>
        <v/>
      </c>
      <c r="D1622" s="22" t="str">
        <f>'VIX HISTORIQUE'!G2138</f>
        <v/>
      </c>
      <c r="E1622" s="22" t="str">
        <f>'VIX HISTORIQUE'!I2138</f>
        <v/>
      </c>
      <c r="F1622" s="22" t="str">
        <f t="shared" si="1"/>
        <v>#REF!</v>
      </c>
    </row>
    <row r="1623" ht="15.75" customHeight="1">
      <c r="A1623" s="25" t="str">
        <f>'VIX HISTORIQUE'!A2139</f>
        <v/>
      </c>
      <c r="B1623" s="22" t="str">
        <f>'VIX HISTORIQUE'!B2139</f>
        <v/>
      </c>
      <c r="C1623" s="22" t="str">
        <f>'VIX HISTORIQUE'!D2139</f>
        <v/>
      </c>
      <c r="D1623" s="22" t="str">
        <f>'VIX HISTORIQUE'!G2139</f>
        <v/>
      </c>
      <c r="E1623" s="22" t="str">
        <f>'VIX HISTORIQUE'!I2139</f>
        <v/>
      </c>
      <c r="F1623" s="22" t="str">
        <f t="shared" si="1"/>
        <v>#REF!</v>
      </c>
    </row>
    <row r="1624" ht="15.75" customHeight="1">
      <c r="A1624" s="25" t="str">
        <f>'VIX HISTORIQUE'!A2140</f>
        <v/>
      </c>
      <c r="B1624" s="22" t="str">
        <f>'VIX HISTORIQUE'!B2140</f>
        <v/>
      </c>
      <c r="C1624" s="22" t="str">
        <f>'VIX HISTORIQUE'!D2140</f>
        <v/>
      </c>
      <c r="D1624" s="22" t="str">
        <f>'VIX HISTORIQUE'!G2140</f>
        <v/>
      </c>
      <c r="E1624" s="22" t="str">
        <f>'VIX HISTORIQUE'!I2140</f>
        <v/>
      </c>
      <c r="F1624" s="22" t="str">
        <f t="shared" si="1"/>
        <v>#REF!</v>
      </c>
    </row>
    <row r="1625" ht="15.75" customHeight="1">
      <c r="A1625" s="25"/>
    </row>
    <row r="1626" ht="15.75" customHeight="1">
      <c r="A1626" s="25"/>
    </row>
    <row r="1627" ht="15.75" customHeight="1">
      <c r="A1627" s="25"/>
    </row>
    <row r="1628" ht="15.75" customHeight="1">
      <c r="A1628" s="25"/>
    </row>
    <row r="1629" ht="15.75" customHeight="1">
      <c r="A1629" s="25"/>
    </row>
    <row r="1630" ht="15.75" customHeight="1">
      <c r="A1630" s="25"/>
    </row>
    <row r="1631" ht="15.75" customHeight="1">
      <c r="A1631" s="25"/>
    </row>
    <row r="1632" ht="15.75" customHeight="1">
      <c r="A1632" s="25"/>
    </row>
    <row r="1633" ht="15.75" customHeight="1">
      <c r="A1633" s="25"/>
    </row>
    <row r="1634" ht="15.75" customHeight="1">
      <c r="A1634" s="25"/>
    </row>
    <row r="1635" ht="15.75" customHeight="1">
      <c r="A1635" s="25"/>
    </row>
    <row r="1636" ht="15.75" customHeight="1">
      <c r="A1636" s="25"/>
    </row>
    <row r="1637" ht="15.75" customHeight="1">
      <c r="A1637" s="25"/>
    </row>
    <row r="1638" ht="15.75" customHeight="1">
      <c r="A1638" s="25"/>
    </row>
    <row r="1639" ht="15.75" customHeight="1">
      <c r="A1639" s="25"/>
    </row>
    <row r="1640" ht="15.75" customHeight="1">
      <c r="A1640" s="25"/>
    </row>
    <row r="1641" ht="15.75" customHeight="1">
      <c r="A1641" s="25"/>
    </row>
    <row r="1642" ht="15.75" customHeight="1">
      <c r="A1642" s="25"/>
    </row>
    <row r="1643" ht="15.75" customHeight="1">
      <c r="A1643" s="25"/>
    </row>
    <row r="1644" ht="15.75" customHeight="1">
      <c r="A1644" s="25"/>
    </row>
    <row r="1645" ht="15.75" customHeight="1">
      <c r="A1645" s="25"/>
    </row>
    <row r="1646" ht="15.75" customHeight="1">
      <c r="A1646" s="25"/>
    </row>
    <row r="1647" ht="15.75" customHeight="1">
      <c r="A1647" s="25"/>
    </row>
    <row r="1648" ht="15.75" customHeight="1">
      <c r="A1648" s="25"/>
    </row>
    <row r="1649" ht="15.75" customHeight="1">
      <c r="A1649" s="25"/>
    </row>
    <row r="1650" ht="15.75" customHeight="1">
      <c r="A1650" s="25"/>
    </row>
    <row r="1651" ht="15.75" customHeight="1">
      <c r="A1651" s="25"/>
    </row>
    <row r="1652" ht="15.75" customHeight="1">
      <c r="A1652" s="25"/>
    </row>
    <row r="1653" ht="15.75" customHeight="1">
      <c r="A1653" s="25"/>
    </row>
    <row r="1654" ht="15.75" customHeight="1">
      <c r="A1654" s="25"/>
    </row>
    <row r="1655" ht="15.75" customHeight="1">
      <c r="A1655" s="25"/>
    </row>
    <row r="1656" ht="15.75" customHeight="1">
      <c r="A1656" s="25"/>
    </row>
    <row r="1657" ht="15.75" customHeight="1">
      <c r="A1657" s="25"/>
    </row>
    <row r="1658" ht="15.75" customHeight="1">
      <c r="A1658" s="25"/>
    </row>
    <row r="1659" ht="15.75" customHeight="1">
      <c r="A1659" s="25"/>
    </row>
    <row r="1660" ht="15.75" customHeight="1">
      <c r="A1660" s="25"/>
    </row>
    <row r="1661" ht="15.75" customHeight="1">
      <c r="A1661" s="25"/>
    </row>
    <row r="1662" ht="15.75" customHeight="1">
      <c r="A1662" s="25"/>
    </row>
    <row r="1663" ht="15.75" customHeight="1">
      <c r="A1663" s="25"/>
    </row>
    <row r="1664" ht="15.75" customHeight="1">
      <c r="A1664" s="25"/>
    </row>
    <row r="1665" ht="15.75" customHeight="1">
      <c r="A1665" s="25"/>
    </row>
    <row r="1666" ht="15.75" customHeight="1">
      <c r="A1666" s="25"/>
    </row>
    <row r="1667" ht="15.75" customHeight="1">
      <c r="A1667" s="25"/>
    </row>
    <row r="1668" ht="15.75" customHeight="1">
      <c r="A1668" s="25"/>
    </row>
    <row r="1669" ht="15.75" customHeight="1">
      <c r="A1669" s="25"/>
    </row>
    <row r="1670" ht="15.75" customHeight="1">
      <c r="A1670" s="25"/>
    </row>
    <row r="1671" ht="15.75" customHeight="1">
      <c r="A1671" s="25"/>
    </row>
    <row r="1672" ht="15.75" customHeight="1">
      <c r="A1672" s="25"/>
    </row>
    <row r="1673" ht="15.75" customHeight="1">
      <c r="A1673" s="25"/>
    </row>
    <row r="1674" ht="15.75" customHeight="1">
      <c r="A1674" s="25"/>
    </row>
    <row r="1675" ht="15.75" customHeight="1">
      <c r="A1675" s="25"/>
    </row>
    <row r="1676" ht="15.75" customHeight="1">
      <c r="A1676" s="25"/>
    </row>
    <row r="1677" ht="15.75" customHeight="1">
      <c r="A1677" s="25"/>
    </row>
    <row r="1678" ht="15.75" customHeight="1">
      <c r="A1678" s="25"/>
    </row>
    <row r="1679" ht="15.75" customHeight="1">
      <c r="A1679" s="25"/>
    </row>
    <row r="1680" ht="15.75" customHeight="1">
      <c r="A1680" s="25"/>
    </row>
    <row r="1681" ht="15.75" customHeight="1">
      <c r="A1681" s="25"/>
    </row>
    <row r="1682" ht="15.75" customHeight="1">
      <c r="A1682" s="25"/>
    </row>
    <row r="1683" ht="15.75" customHeight="1">
      <c r="A1683" s="25"/>
    </row>
    <row r="1684" ht="15.75" customHeight="1">
      <c r="A1684" s="25"/>
    </row>
    <row r="1685" ht="15.75" customHeight="1">
      <c r="A1685" s="25"/>
    </row>
    <row r="1686" ht="15.75" customHeight="1">
      <c r="A1686" s="25"/>
    </row>
    <row r="1687" ht="15.75" customHeight="1">
      <c r="A1687" s="25"/>
    </row>
    <row r="1688" ht="15.75" customHeight="1">
      <c r="A1688" s="25"/>
    </row>
    <row r="1689" ht="15.75" customHeight="1">
      <c r="A1689" s="25"/>
    </row>
    <row r="1690" ht="15.75" customHeight="1">
      <c r="A1690" s="25"/>
    </row>
    <row r="1691" ht="15.75" customHeight="1">
      <c r="A1691" s="25"/>
    </row>
    <row r="1692" ht="15.75" customHeight="1">
      <c r="A1692" s="25"/>
    </row>
    <row r="1693" ht="15.75" customHeight="1">
      <c r="A1693" s="25"/>
    </row>
    <row r="1694" ht="15.75" customHeight="1">
      <c r="A1694" s="25"/>
    </row>
    <row r="1695" ht="15.75" customHeight="1">
      <c r="A1695" s="25"/>
    </row>
    <row r="1696" ht="15.75" customHeight="1">
      <c r="A1696" s="25"/>
    </row>
    <row r="1697" ht="15.75" customHeight="1">
      <c r="A1697" s="25"/>
    </row>
    <row r="1698" ht="15.75" customHeight="1">
      <c r="A1698" s="25"/>
    </row>
    <row r="1699" ht="15.75" customHeight="1">
      <c r="A1699" s="25"/>
    </row>
    <row r="1700" ht="15.75" customHeight="1">
      <c r="A1700" s="25"/>
    </row>
    <row r="1701" ht="15.75" customHeight="1">
      <c r="A1701" s="25"/>
    </row>
    <row r="1702" ht="15.75" customHeight="1">
      <c r="A1702" s="25"/>
    </row>
    <row r="1703" ht="15.75" customHeight="1">
      <c r="A1703" s="25"/>
    </row>
    <row r="1704" ht="15.75" customHeight="1">
      <c r="A1704" s="25"/>
    </row>
    <row r="1705" ht="15.75" customHeight="1">
      <c r="A1705" s="25"/>
    </row>
    <row r="1706" ht="15.75" customHeight="1">
      <c r="A1706" s="25"/>
    </row>
    <row r="1707" ht="15.75" customHeight="1">
      <c r="A1707" s="25"/>
    </row>
    <row r="1708" ht="15.75" customHeight="1">
      <c r="A1708" s="25"/>
    </row>
    <row r="1709" ht="15.75" customHeight="1">
      <c r="A1709" s="25"/>
    </row>
    <row r="1710" ht="15.75" customHeight="1">
      <c r="A1710" s="25"/>
    </row>
    <row r="1711" ht="15.75" customHeight="1">
      <c r="A1711" s="25"/>
    </row>
    <row r="1712" ht="15.75" customHeight="1">
      <c r="A1712" s="25"/>
    </row>
    <row r="1713" ht="15.75" customHeight="1">
      <c r="A1713" s="25"/>
    </row>
    <row r="1714" ht="15.75" customHeight="1">
      <c r="A1714" s="25"/>
    </row>
    <row r="1715" ht="15.75" customHeight="1">
      <c r="A1715" s="25"/>
    </row>
    <row r="1716" ht="15.75" customHeight="1">
      <c r="A1716" s="25"/>
    </row>
    <row r="1717" ht="15.75" customHeight="1">
      <c r="A1717" s="25"/>
    </row>
    <row r="1718" ht="15.75" customHeight="1">
      <c r="A1718" s="25"/>
    </row>
    <row r="1719" ht="15.75" customHeight="1">
      <c r="A1719" s="25"/>
    </row>
    <row r="1720" ht="15.75" customHeight="1">
      <c r="A1720" s="25"/>
    </row>
    <row r="1721" ht="15.75" customHeight="1">
      <c r="A1721" s="25"/>
    </row>
    <row r="1722" ht="15.75" customHeight="1">
      <c r="A1722" s="25"/>
    </row>
    <row r="1723" ht="15.75" customHeight="1">
      <c r="A1723" s="25"/>
    </row>
    <row r="1724" ht="15.75" customHeight="1">
      <c r="A1724" s="25"/>
    </row>
    <row r="1725" ht="15.75" customHeight="1">
      <c r="A1725" s="25"/>
    </row>
    <row r="1726" ht="15.75" customHeight="1">
      <c r="A1726" s="25"/>
    </row>
    <row r="1727" ht="15.75" customHeight="1">
      <c r="A1727" s="25"/>
    </row>
    <row r="1728" ht="15.75" customHeight="1">
      <c r="A1728" s="25"/>
    </row>
    <row r="1729" ht="15.75" customHeight="1">
      <c r="A1729" s="25"/>
    </row>
    <row r="1730" ht="15.75" customHeight="1">
      <c r="A1730" s="25"/>
    </row>
    <row r="1731" ht="15.75" customHeight="1">
      <c r="A1731" s="25"/>
    </row>
    <row r="1732" ht="15.75" customHeight="1">
      <c r="A1732" s="25"/>
    </row>
    <row r="1733" ht="15.75" customHeight="1">
      <c r="A1733" s="25"/>
    </row>
    <row r="1734" ht="15.75" customHeight="1">
      <c r="A1734" s="25"/>
    </row>
    <row r="1735" ht="15.75" customHeight="1">
      <c r="A1735" s="25"/>
    </row>
    <row r="1736" ht="15.75" customHeight="1">
      <c r="A1736" s="25"/>
    </row>
    <row r="1737" ht="15.75" customHeight="1">
      <c r="A1737" s="25"/>
    </row>
    <row r="1738" ht="15.75" customHeight="1">
      <c r="A1738" s="25"/>
    </row>
    <row r="1739" ht="15.75" customHeight="1">
      <c r="A1739" s="25"/>
    </row>
    <row r="1740" ht="15.75" customHeight="1">
      <c r="A1740" s="25"/>
    </row>
    <row r="1741" ht="15.75" customHeight="1">
      <c r="A1741" s="25"/>
    </row>
    <row r="1742" ht="15.75" customHeight="1">
      <c r="A1742" s="25"/>
    </row>
    <row r="1743" ht="15.75" customHeight="1">
      <c r="A1743" s="25"/>
    </row>
    <row r="1744" ht="15.75" customHeight="1">
      <c r="A1744" s="25"/>
    </row>
    <row r="1745" ht="15.75" customHeight="1">
      <c r="A1745" s="25"/>
    </row>
    <row r="1746" ht="15.75" customHeight="1">
      <c r="A1746" s="25"/>
    </row>
    <row r="1747" ht="15.75" customHeight="1">
      <c r="A1747" s="25"/>
    </row>
    <row r="1748" ht="15.75" customHeight="1">
      <c r="A1748" s="25"/>
    </row>
    <row r="1749" ht="15.75" customHeight="1">
      <c r="A1749" s="25"/>
    </row>
    <row r="1750" ht="15.75" customHeight="1">
      <c r="A1750" s="25"/>
    </row>
    <row r="1751" ht="15.75" customHeight="1">
      <c r="A1751" s="25"/>
    </row>
    <row r="1752" ht="15.75" customHeight="1">
      <c r="A1752" s="25"/>
    </row>
    <row r="1753" ht="15.75" customHeight="1">
      <c r="A1753" s="25"/>
    </row>
    <row r="1754" ht="15.75" customHeight="1">
      <c r="A1754" s="25"/>
    </row>
    <row r="1755" ht="15.75" customHeight="1">
      <c r="A1755" s="25"/>
    </row>
    <row r="1756" ht="15.75" customHeight="1">
      <c r="A1756" s="25"/>
    </row>
    <row r="1757" ht="15.75" customHeight="1">
      <c r="A1757" s="25"/>
    </row>
    <row r="1758" ht="15.75" customHeight="1">
      <c r="A1758" s="25"/>
    </row>
    <row r="1759" ht="15.75" customHeight="1">
      <c r="A1759" s="25"/>
    </row>
    <row r="1760" ht="15.75" customHeight="1">
      <c r="A1760" s="25"/>
    </row>
    <row r="1761" ht="15.75" customHeight="1">
      <c r="A1761" s="25"/>
    </row>
    <row r="1762" ht="15.75" customHeight="1">
      <c r="A1762" s="25"/>
    </row>
    <row r="1763" ht="15.75" customHeight="1">
      <c r="A1763" s="25"/>
    </row>
    <row r="1764" ht="15.75" customHeight="1">
      <c r="A1764" s="25"/>
    </row>
    <row r="1765" ht="15.75" customHeight="1">
      <c r="A1765" s="25"/>
    </row>
    <row r="1766" ht="15.75" customHeight="1">
      <c r="A1766" s="25"/>
    </row>
    <row r="1767" ht="15.75" customHeight="1">
      <c r="A1767" s="25"/>
    </row>
    <row r="1768" ht="15.75" customHeight="1">
      <c r="A1768" s="25"/>
    </row>
    <row r="1769" ht="15.75" customHeight="1">
      <c r="A1769" s="25"/>
    </row>
    <row r="1770" ht="15.75" customHeight="1">
      <c r="A1770" s="25"/>
    </row>
    <row r="1771" ht="15.75" customHeight="1">
      <c r="A1771" s="25"/>
    </row>
    <row r="1772" ht="15.75" customHeight="1">
      <c r="A1772" s="25"/>
    </row>
    <row r="1773" ht="15.75" customHeight="1">
      <c r="A1773" s="25"/>
    </row>
    <row r="1774" ht="15.75" customHeight="1">
      <c r="A1774" s="25"/>
    </row>
    <row r="1775" ht="15.75" customHeight="1">
      <c r="A1775" s="25"/>
    </row>
    <row r="1776" ht="15.75" customHeight="1">
      <c r="A1776" s="25"/>
    </row>
    <row r="1777" ht="15.75" customHeight="1">
      <c r="A1777" s="25"/>
    </row>
    <row r="1778" ht="15.75" customHeight="1">
      <c r="A1778" s="25"/>
    </row>
    <row r="1779" ht="15.75" customHeight="1">
      <c r="A1779" s="25"/>
    </row>
    <row r="1780" ht="15.75" customHeight="1">
      <c r="A1780" s="25"/>
    </row>
    <row r="1781" ht="15.75" customHeight="1">
      <c r="A1781" s="25"/>
    </row>
    <row r="1782" ht="15.75" customHeight="1">
      <c r="A1782" s="25"/>
    </row>
    <row r="1783" ht="15.75" customHeight="1">
      <c r="A1783" s="25"/>
    </row>
    <row r="1784" ht="15.75" customHeight="1">
      <c r="A1784" s="25"/>
    </row>
    <row r="1785" ht="15.75" customHeight="1">
      <c r="A1785" s="25"/>
    </row>
    <row r="1786" ht="15.75" customHeight="1">
      <c r="A1786" s="25"/>
    </row>
    <row r="1787" ht="15.75" customHeight="1">
      <c r="A1787" s="25"/>
    </row>
    <row r="1788" ht="15.75" customHeight="1">
      <c r="A1788" s="25"/>
    </row>
    <row r="1789" ht="15.75" customHeight="1">
      <c r="A1789" s="25"/>
    </row>
    <row r="1790" ht="15.75" customHeight="1">
      <c r="A1790" s="25"/>
    </row>
    <row r="1791" ht="15.75" customHeight="1">
      <c r="A1791" s="25"/>
    </row>
    <row r="1792" ht="15.75" customHeight="1">
      <c r="A1792" s="25"/>
    </row>
    <row r="1793" ht="15.75" customHeight="1">
      <c r="A1793" s="25"/>
    </row>
    <row r="1794" ht="15.75" customHeight="1">
      <c r="A1794" s="25"/>
    </row>
    <row r="1795" ht="15.75" customHeight="1">
      <c r="A1795" s="25"/>
    </row>
    <row r="1796" ht="15.75" customHeight="1">
      <c r="A1796" s="25"/>
    </row>
    <row r="1797" ht="15.75" customHeight="1">
      <c r="A1797" s="25"/>
    </row>
    <row r="1798" ht="15.75" customHeight="1">
      <c r="A1798" s="25"/>
    </row>
    <row r="1799" ht="15.75" customHeight="1">
      <c r="A1799" s="25"/>
    </row>
    <row r="1800" ht="15.75" customHeight="1">
      <c r="A1800" s="25"/>
    </row>
    <row r="1801" ht="15.75" customHeight="1">
      <c r="A1801" s="25"/>
    </row>
    <row r="1802" ht="15.75" customHeight="1">
      <c r="A1802" s="25"/>
    </row>
    <row r="1803" ht="15.75" customHeight="1">
      <c r="A1803" s="25"/>
    </row>
    <row r="1804" ht="15.75" customHeight="1">
      <c r="A1804" s="25"/>
    </row>
    <row r="1805" ht="15.75" customHeight="1">
      <c r="A1805" s="25"/>
    </row>
    <row r="1806" ht="15.75" customHeight="1">
      <c r="A1806" s="25"/>
    </row>
    <row r="1807" ht="15.75" customHeight="1">
      <c r="A1807" s="25"/>
    </row>
    <row r="1808" ht="15.75" customHeight="1">
      <c r="A1808" s="25"/>
    </row>
    <row r="1809" ht="15.75" customHeight="1">
      <c r="A1809" s="25"/>
    </row>
    <row r="1810" ht="15.75" customHeight="1">
      <c r="A1810" s="25"/>
    </row>
    <row r="1811" ht="15.75" customHeight="1">
      <c r="A1811" s="25"/>
    </row>
    <row r="1812" ht="15.75" customHeight="1">
      <c r="A1812" s="25"/>
    </row>
    <row r="1813" ht="15.75" customHeight="1">
      <c r="A1813" s="25"/>
    </row>
    <row r="1814" ht="15.75" customHeight="1">
      <c r="A1814" s="25"/>
    </row>
    <row r="1815" ht="15.75" customHeight="1">
      <c r="A1815" s="25"/>
    </row>
    <row r="1816" ht="15.75" customHeight="1">
      <c r="A1816" s="25"/>
    </row>
    <row r="1817" ht="15.75" customHeight="1">
      <c r="A1817" s="25"/>
    </row>
    <row r="1818" ht="15.75" customHeight="1">
      <c r="A1818" s="25"/>
    </row>
    <row r="1819" ht="15.75" customHeight="1">
      <c r="A1819" s="25"/>
    </row>
    <row r="1820" ht="15.75" customHeight="1">
      <c r="A1820" s="25"/>
    </row>
    <row r="1821" ht="15.75" customHeight="1">
      <c r="A1821" s="25"/>
    </row>
    <row r="1822" ht="15.75" customHeight="1">
      <c r="A1822" s="25"/>
    </row>
    <row r="1823" ht="15.75" customHeight="1">
      <c r="A1823" s="25"/>
    </row>
    <row r="1824" ht="15.75" customHeight="1">
      <c r="A1824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0"/>
    <col customWidth="1" min="2" max="4" width="17.25"/>
    <col customWidth="1" min="5" max="5" width="32.5"/>
    <col customWidth="1" min="6" max="8" width="27.13"/>
    <col customWidth="1" min="16" max="16" width="14.63"/>
    <col customWidth="1" min="17" max="17" width="18.13"/>
  </cols>
  <sheetData>
    <row r="1" ht="15.75" customHeight="1">
      <c r="A1" s="1" t="s">
        <v>0</v>
      </c>
      <c r="B1" s="1" t="s">
        <v>105</v>
      </c>
      <c r="C1" s="1" t="s">
        <v>106</v>
      </c>
      <c r="D1" s="1" t="s">
        <v>1</v>
      </c>
      <c r="E1" s="4" t="s">
        <v>107</v>
      </c>
      <c r="F1" s="4" t="s">
        <v>108</v>
      </c>
      <c r="G1" s="4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3" t="s">
        <v>6</v>
      </c>
      <c r="M1" s="2" t="s">
        <v>114</v>
      </c>
      <c r="N1" s="2" t="s">
        <v>115</v>
      </c>
      <c r="O1" s="2" t="s">
        <v>116</v>
      </c>
      <c r="P1" s="4" t="s">
        <v>10</v>
      </c>
      <c r="Q1" s="2" t="s">
        <v>117</v>
      </c>
      <c r="R1" s="5" t="s">
        <v>12</v>
      </c>
    </row>
    <row r="2" ht="15.75" customHeight="1">
      <c r="A2" s="6" t="s">
        <v>13</v>
      </c>
      <c r="B2" s="6" t="s">
        <v>118</v>
      </c>
      <c r="C2" s="6" t="s">
        <v>119</v>
      </c>
      <c r="D2" s="6" t="s">
        <v>14</v>
      </c>
      <c r="E2" s="22" t="s">
        <v>120</v>
      </c>
      <c r="F2" s="28">
        <v>45654.0</v>
      </c>
      <c r="G2" s="14">
        <v>4.5</v>
      </c>
      <c r="H2" s="7" t="s">
        <v>121</v>
      </c>
      <c r="I2" s="8" t="s">
        <v>16</v>
      </c>
      <c r="J2" s="8" t="s">
        <v>17</v>
      </c>
      <c r="K2" s="9" t="s">
        <v>18</v>
      </c>
      <c r="L2" s="8" t="s">
        <v>19</v>
      </c>
      <c r="M2" s="10">
        <v>993746.0</v>
      </c>
      <c r="N2" s="11">
        <v>45361.0</v>
      </c>
      <c r="O2" s="8" t="s">
        <v>20</v>
      </c>
      <c r="P2" s="8" t="s">
        <v>21</v>
      </c>
      <c r="Q2" s="12" t="s">
        <v>22</v>
      </c>
      <c r="R2" s="13">
        <v>9.496416061512175</v>
      </c>
    </row>
    <row r="3" ht="15.75" customHeight="1">
      <c r="A3" s="6" t="s">
        <v>13</v>
      </c>
      <c r="B3" s="6" t="s">
        <v>118</v>
      </c>
      <c r="C3" s="6" t="s">
        <v>122</v>
      </c>
      <c r="D3" s="14" t="s">
        <v>23</v>
      </c>
      <c r="E3" s="14" t="s">
        <v>123</v>
      </c>
      <c r="F3" s="28">
        <v>45653.0</v>
      </c>
      <c r="G3" s="14">
        <v>3.1</v>
      </c>
      <c r="H3" s="15" t="s">
        <v>24</v>
      </c>
      <c r="I3" s="8" t="s">
        <v>25</v>
      </c>
      <c r="J3" s="8" t="s">
        <v>26</v>
      </c>
      <c r="K3" s="9" t="s">
        <v>27</v>
      </c>
      <c r="L3" s="8" t="s">
        <v>28</v>
      </c>
      <c r="M3" s="10">
        <v>53822.0</v>
      </c>
      <c r="N3" s="11">
        <v>45361.0</v>
      </c>
      <c r="O3" s="8" t="s">
        <v>29</v>
      </c>
      <c r="P3" s="8" t="s">
        <v>30</v>
      </c>
      <c r="Q3" s="12" t="s">
        <v>31</v>
      </c>
      <c r="R3" s="13">
        <v>4.783801794105083</v>
      </c>
    </row>
    <row r="4" ht="15.75" customHeight="1">
      <c r="A4" s="6" t="s">
        <v>13</v>
      </c>
      <c r="B4" s="6" t="s">
        <v>118</v>
      </c>
      <c r="C4" s="6" t="s">
        <v>124</v>
      </c>
      <c r="D4" s="14" t="s">
        <v>32</v>
      </c>
      <c r="E4" s="14" t="s">
        <v>125</v>
      </c>
      <c r="F4" s="28">
        <v>45652.0</v>
      </c>
      <c r="G4" s="14">
        <v>4.5</v>
      </c>
      <c r="H4" s="15" t="s">
        <v>33</v>
      </c>
      <c r="I4" s="8" t="s">
        <v>34</v>
      </c>
      <c r="J4" s="10">
        <v>9794870.0</v>
      </c>
      <c r="K4" s="9" t="s">
        <v>35</v>
      </c>
      <c r="L4" s="8" t="s">
        <v>36</v>
      </c>
      <c r="M4" s="10">
        <v>9789836.0</v>
      </c>
      <c r="N4" s="11">
        <v>45361.0</v>
      </c>
      <c r="O4" s="8" t="s">
        <v>37</v>
      </c>
      <c r="P4" s="8" t="s">
        <v>38</v>
      </c>
      <c r="Q4" s="16" t="s">
        <v>39</v>
      </c>
      <c r="R4" s="13">
        <v>18.807744553609574</v>
      </c>
    </row>
    <row r="5" ht="15.75" customHeight="1">
      <c r="A5" s="6" t="s">
        <v>13</v>
      </c>
      <c r="B5" s="6" t="s">
        <v>118</v>
      </c>
      <c r="C5" s="6" t="s">
        <v>126</v>
      </c>
      <c r="D5" s="14" t="s">
        <v>40</v>
      </c>
      <c r="E5" s="14" t="s">
        <v>123</v>
      </c>
      <c r="F5" s="28">
        <v>45651.0</v>
      </c>
      <c r="G5" s="14">
        <v>3.5</v>
      </c>
      <c r="H5" s="15" t="s">
        <v>41</v>
      </c>
      <c r="I5" s="8" t="s">
        <v>42</v>
      </c>
      <c r="J5" s="10">
        <v>5205.0</v>
      </c>
      <c r="K5" s="9" t="s">
        <v>27</v>
      </c>
      <c r="L5" s="8" t="s">
        <v>43</v>
      </c>
      <c r="M5" s="10">
        <v>52234.0</v>
      </c>
      <c r="N5" s="11">
        <v>45361.0</v>
      </c>
      <c r="O5" s="8" t="s">
        <v>44</v>
      </c>
      <c r="P5" s="8" t="s">
        <v>45</v>
      </c>
      <c r="Q5" s="12" t="s">
        <v>46</v>
      </c>
      <c r="R5" s="13">
        <v>9.45370354549338</v>
      </c>
    </row>
    <row r="6" ht="15.75" customHeight="1">
      <c r="A6" s="6" t="s">
        <v>13</v>
      </c>
      <c r="B6" s="6" t="s">
        <v>118</v>
      </c>
      <c r="C6" s="6" t="s">
        <v>127</v>
      </c>
      <c r="D6" s="14" t="s">
        <v>47</v>
      </c>
      <c r="E6" s="14" t="s">
        <v>128</v>
      </c>
      <c r="F6" s="28">
        <v>45652.0</v>
      </c>
      <c r="G6" s="14">
        <v>3.2</v>
      </c>
      <c r="H6" s="7" t="s">
        <v>129</v>
      </c>
      <c r="I6" s="8" t="s">
        <v>49</v>
      </c>
      <c r="J6" s="10">
        <v>52508.0</v>
      </c>
      <c r="K6" s="9" t="s">
        <v>18</v>
      </c>
      <c r="L6" s="8" t="s">
        <v>50</v>
      </c>
      <c r="M6" s="10">
        <v>5313.0</v>
      </c>
      <c r="N6" s="11">
        <v>45361.0</v>
      </c>
      <c r="O6" s="8" t="s">
        <v>51</v>
      </c>
      <c r="P6" s="8" t="s">
        <v>52</v>
      </c>
      <c r="Q6" s="12" t="s">
        <v>53</v>
      </c>
      <c r="R6" s="13">
        <v>9.83811618966254</v>
      </c>
    </row>
    <row r="7" ht="15.75" customHeight="1">
      <c r="A7" s="6" t="s">
        <v>13</v>
      </c>
      <c r="B7" s="6" t="s">
        <v>130</v>
      </c>
      <c r="C7" s="6" t="s">
        <v>131</v>
      </c>
      <c r="D7" s="14" t="s">
        <v>54</v>
      </c>
      <c r="E7" s="14" t="s">
        <v>132</v>
      </c>
      <c r="F7" s="28">
        <v>45653.0</v>
      </c>
      <c r="G7" s="14">
        <v>4.5</v>
      </c>
      <c r="H7" s="7" t="s">
        <v>133</v>
      </c>
      <c r="I7" s="8" t="s">
        <v>16</v>
      </c>
      <c r="J7" s="8" t="s">
        <v>56</v>
      </c>
      <c r="K7" s="9" t="s">
        <v>18</v>
      </c>
      <c r="L7" s="8" t="s">
        <v>57</v>
      </c>
      <c r="M7" s="10">
        <v>991209.0</v>
      </c>
      <c r="N7" s="11">
        <v>45361.0</v>
      </c>
      <c r="O7" s="8" t="s">
        <v>58</v>
      </c>
      <c r="P7" s="8" t="s">
        <v>59</v>
      </c>
      <c r="Q7" s="12" t="s">
        <v>60</v>
      </c>
      <c r="R7" s="13">
        <v>9.482178556172576</v>
      </c>
    </row>
    <row r="8" ht="15.75" customHeight="1">
      <c r="A8" s="6" t="s">
        <v>13</v>
      </c>
      <c r="B8" s="6" t="s">
        <v>130</v>
      </c>
      <c r="C8" s="6" t="s">
        <v>134</v>
      </c>
      <c r="D8" s="14" t="s">
        <v>61</v>
      </c>
      <c r="E8" s="14" t="s">
        <v>123</v>
      </c>
      <c r="F8" s="28">
        <v>45654.0</v>
      </c>
      <c r="G8" s="14">
        <v>3.2</v>
      </c>
      <c r="H8" s="7" t="s">
        <v>135</v>
      </c>
      <c r="I8" s="8" t="s">
        <v>63</v>
      </c>
      <c r="J8" s="10">
        <v>53343.0</v>
      </c>
      <c r="K8" s="9" t="s">
        <v>18</v>
      </c>
      <c r="L8" s="8" t="s">
        <v>64</v>
      </c>
      <c r="M8" s="10">
        <v>5432.0</v>
      </c>
      <c r="N8" s="11">
        <v>45361.0</v>
      </c>
      <c r="O8" s="8" t="s">
        <v>65</v>
      </c>
      <c r="P8" s="8" t="s">
        <v>66</v>
      </c>
      <c r="Q8" s="12" t="s">
        <v>67</v>
      </c>
      <c r="R8" s="13">
        <v>4.7980392994446825</v>
      </c>
    </row>
    <row r="9" ht="15.75" customHeight="1">
      <c r="A9" s="22" t="s">
        <v>84</v>
      </c>
      <c r="B9" s="6" t="s">
        <v>130</v>
      </c>
      <c r="C9" s="6" t="s">
        <v>136</v>
      </c>
      <c r="D9" s="22" t="s">
        <v>85</v>
      </c>
      <c r="E9" s="14" t="s">
        <v>137</v>
      </c>
      <c r="F9" s="14"/>
      <c r="G9" s="14"/>
      <c r="H9" s="15" t="s">
        <v>86</v>
      </c>
      <c r="I9" s="23">
        <v>1400.0</v>
      </c>
      <c r="J9" s="24">
        <v>5.3444571E7</v>
      </c>
      <c r="K9" s="19" t="s">
        <v>27</v>
      </c>
      <c r="L9" s="18" t="s">
        <v>87</v>
      </c>
      <c r="M9" s="18" t="s">
        <v>88</v>
      </c>
      <c r="N9" s="20">
        <v>45361.0</v>
      </c>
      <c r="O9" s="23" t="s">
        <v>89</v>
      </c>
      <c r="P9" s="23" t="s">
        <v>90</v>
      </c>
      <c r="Q9" s="21" t="s">
        <v>91</v>
      </c>
      <c r="R9" s="13">
        <v>33.333333333333336</v>
      </c>
    </row>
    <row r="10" ht="15.75" customHeight="1">
      <c r="A10" s="22" t="s">
        <v>13</v>
      </c>
      <c r="B10" s="6" t="s">
        <v>130</v>
      </c>
      <c r="C10" s="22" t="s">
        <v>138</v>
      </c>
      <c r="D10" s="22" t="s">
        <v>139</v>
      </c>
      <c r="E10" s="22" t="s">
        <v>140</v>
      </c>
      <c r="F10" s="22" t="s">
        <v>141</v>
      </c>
      <c r="G10" s="22">
        <v>6.85</v>
      </c>
    </row>
    <row r="11" ht="15.75" customHeight="1">
      <c r="A11" s="6" t="s">
        <v>13</v>
      </c>
      <c r="B11" s="6" t="s">
        <v>130</v>
      </c>
      <c r="C11" s="29" t="s">
        <v>142</v>
      </c>
      <c r="D11" s="22" t="s">
        <v>143</v>
      </c>
      <c r="E11" s="22" t="s">
        <v>144</v>
      </c>
      <c r="F11" s="30">
        <v>45656.0</v>
      </c>
      <c r="G11" s="22">
        <v>4.6</v>
      </c>
    </row>
    <row r="12" ht="15.75" customHeight="1"/>
    <row r="13" ht="15.75" customHeight="1"/>
    <row r="14" ht="15.75" customHeight="1"/>
    <row r="15" ht="15.75" customHeight="1">
      <c r="L15" s="26">
        <v>1.0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hyperlinks>
    <hyperlink r:id="rId1" ref="H1"/>
    <hyperlink r:id="rId2" ref="I1"/>
    <hyperlink r:id="rId3" ref="J1"/>
    <hyperlink r:id="rId4" ref="K1"/>
    <hyperlink r:id="rId5" ref="M1"/>
    <hyperlink r:id="rId6" ref="N1"/>
    <hyperlink r:id="rId7" ref="O1"/>
    <hyperlink r:id="rId8" ref="Q1"/>
    <hyperlink r:id="rId9" ref="H2"/>
    <hyperlink r:id="rId10" ref="H6"/>
    <hyperlink r:id="rId11" ref="H7"/>
    <hyperlink r:id="rId12" ref="H8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B1" s="22" t="s">
        <v>92</v>
      </c>
      <c r="D1" s="22" t="s">
        <v>93</v>
      </c>
      <c r="E1" s="22">
        <v>2023.0</v>
      </c>
      <c r="F1" s="22">
        <v>9.0</v>
      </c>
      <c r="G1" s="22">
        <v>15.0</v>
      </c>
      <c r="I1" s="22" t="s">
        <v>94</v>
      </c>
      <c r="J1" s="22" t="s">
        <v>95</v>
      </c>
    </row>
    <row r="2" ht="15.75" customHeight="1">
      <c r="B2" s="22" t="s">
        <v>14</v>
      </c>
      <c r="D2" s="22" t="s">
        <v>23</v>
      </c>
      <c r="F2" s="22" t="s">
        <v>32</v>
      </c>
      <c r="H2" s="14" t="s">
        <v>40</v>
      </c>
      <c r="I2" s="14"/>
      <c r="J2" s="14" t="s">
        <v>47</v>
      </c>
      <c r="K2" s="14"/>
      <c r="L2" s="14" t="s">
        <v>54</v>
      </c>
      <c r="M2" s="14"/>
      <c r="N2" s="14" t="s">
        <v>61</v>
      </c>
      <c r="O2" s="22"/>
      <c r="P2" s="22" t="s">
        <v>85</v>
      </c>
      <c r="T2" s="22" t="s">
        <v>145</v>
      </c>
      <c r="V2" s="22"/>
    </row>
    <row r="3" ht="15.75" customHeight="1">
      <c r="B3" s="22" t="s">
        <v>119</v>
      </c>
      <c r="D3" s="22" t="s">
        <v>122</v>
      </c>
      <c r="F3" s="22" t="s">
        <v>124</v>
      </c>
      <c r="H3" s="22" t="s">
        <v>126</v>
      </c>
      <c r="J3" s="22" t="s">
        <v>127</v>
      </c>
      <c r="L3" s="22" t="s">
        <v>131</v>
      </c>
      <c r="N3" s="22" t="s">
        <v>134</v>
      </c>
      <c r="P3" s="22" t="s">
        <v>136</v>
      </c>
      <c r="R3" s="22" t="s">
        <v>146</v>
      </c>
      <c r="T3" s="22" t="s">
        <v>138</v>
      </c>
      <c r="V3" s="22" t="s">
        <v>147</v>
      </c>
    </row>
    <row r="4" ht="15.75" customHeight="1">
      <c r="A4" s="22" t="str">
        <f>IFERROR(__xludf.DUMMYFUNCTION("GOOGLEFINANCE(B$3, ""price"", DATE($E$1, $F$1, $G$1), TODAY(), $J$1)"),"Loading...")</f>
        <v>Loading...</v>
      </c>
      <c r="B4" s="22"/>
      <c r="C4" s="22" t="str">
        <f>IFERROR(__xludf.DUMMYFUNCTION("GOOGLEFINANCE(D$3, ""price"", DATE($E$1, $F$1, $G$1), TODAY(), $J$1)"),"Loading...")</f>
        <v>Loading...</v>
      </c>
      <c r="D4" s="22"/>
      <c r="E4" s="22" t="str">
        <f>IFERROR(__xludf.DUMMYFUNCTION("GOOGLEFINANCE(F$3, ""price"", DATE($E$1, $F$1, $G$1), TODAY(), $J$1)"),"Loading...")</f>
        <v>Loading...</v>
      </c>
      <c r="F4" s="22"/>
      <c r="G4" s="22" t="str">
        <f>IFERROR(__xludf.DUMMYFUNCTION("GOOGLEFINANCE(H$3, ""price"", DATE($E$1, $F$1, $G$1), TODAY(), $J$1)"),"Loading...")</f>
        <v>Loading...</v>
      </c>
      <c r="H4" s="22"/>
      <c r="I4" s="22" t="str">
        <f>IFERROR(__xludf.DUMMYFUNCTION("GOOGLEFINANCE(J$3, ""price"", DATE($E$1, $F$1, $G$1), TODAY(), $J$1)"),"Loading...")</f>
        <v>Loading...</v>
      </c>
      <c r="K4" s="22" t="str">
        <f>IFERROR(__xludf.DUMMYFUNCTION("GOOGLEFINANCE(L$3, ""price"", DATE($E$1, $F$1, $G$1), TODAY(), $J$1)"),"Loading...")</f>
        <v>Loading...</v>
      </c>
      <c r="L4" s="22"/>
      <c r="M4" s="22" t="str">
        <f>IFERROR(__xludf.DUMMYFUNCTION("GOOGLEFINANCE(N$3, ""price"", DATE($E$1, $F$1, $G$1), TODAY(), $J$1)"),"Loading...")</f>
        <v>Loading...</v>
      </c>
      <c r="N4" s="22"/>
      <c r="O4" s="22" t="str">
        <f>IFERROR(__xludf.DUMMYFUNCTION("GOOGLEFINANCE(P$3, ""price"", DATE($E$1, $F$1, $G$1), TODAY(), $J$1)"),"Loading...")</f>
        <v>Loading...</v>
      </c>
      <c r="P4" s="22"/>
      <c r="Q4" s="31" t="str">
        <f>IFERROR(__xludf.DUMMYFUNCTION("GOOGLEFINANCE(R$3, ""price"", DATE($E$1, $F$1, $G$1), TODAY(), $J$1)"),"Loading...")</f>
        <v>Loading...</v>
      </c>
      <c r="R4" s="22"/>
      <c r="S4" s="22" t="str">
        <f>IFERROR(__xludf.DUMMYFUNCTION("GOOGLEFINANCE(T$3, ""price"", DATE($E$1, $F$1, $G$1), TODAY(), $J$1)"),"Loading...")</f>
        <v>Loading...</v>
      </c>
      <c r="T4" s="22"/>
      <c r="U4" s="22" t="str">
        <f>IFERROR(__xludf.DUMMYFUNCTION("GOOGLEFINANCE(V$3, ""price"", DATE($E$1, $F$1, $G$1), TODAY(), $J$1)"),"Loading...")</f>
        <v>Loading...</v>
      </c>
      <c r="V4" s="22"/>
    </row>
    <row r="5" ht="15.75" customHeight="1">
      <c r="A5" s="31"/>
      <c r="B5" s="22"/>
      <c r="C5" s="31"/>
      <c r="D5" s="22"/>
      <c r="E5" s="31"/>
      <c r="F5" s="22"/>
      <c r="G5" s="31"/>
      <c r="H5" s="22"/>
      <c r="I5" s="31"/>
      <c r="K5" s="31"/>
      <c r="L5" s="22"/>
      <c r="M5" s="31"/>
      <c r="N5" s="22"/>
      <c r="O5" s="31"/>
      <c r="P5" s="22"/>
      <c r="Q5" s="31"/>
      <c r="R5" s="22"/>
      <c r="S5" s="31"/>
      <c r="T5" s="22"/>
      <c r="U5" s="31"/>
      <c r="V5" s="32"/>
    </row>
    <row r="6" ht="15.75" customHeight="1">
      <c r="A6" s="31"/>
      <c r="B6" s="22"/>
      <c r="C6" s="31"/>
      <c r="D6" s="22"/>
      <c r="E6" s="31"/>
      <c r="F6" s="22"/>
      <c r="G6" s="31"/>
      <c r="H6" s="22"/>
      <c r="I6" s="31"/>
      <c r="K6" s="31"/>
      <c r="L6" s="22"/>
      <c r="M6" s="31"/>
      <c r="N6" s="22"/>
      <c r="O6" s="31"/>
      <c r="P6" s="22"/>
      <c r="Q6" s="31"/>
      <c r="R6" s="22"/>
      <c r="S6" s="31"/>
      <c r="T6" s="22"/>
      <c r="U6" s="31"/>
      <c r="V6" s="32"/>
    </row>
    <row r="7" ht="15.75" customHeight="1">
      <c r="A7" s="31"/>
      <c r="B7" s="22"/>
      <c r="C7" s="31"/>
      <c r="D7" s="22"/>
      <c r="E7" s="31"/>
      <c r="F7" s="22"/>
      <c r="G7" s="31"/>
      <c r="H7" s="22"/>
      <c r="I7" s="31"/>
      <c r="K7" s="31"/>
      <c r="L7" s="22"/>
      <c r="M7" s="31"/>
      <c r="N7" s="22"/>
      <c r="O7" s="31"/>
      <c r="P7" s="22"/>
      <c r="Q7" s="31"/>
      <c r="R7" s="22"/>
      <c r="S7" s="31"/>
      <c r="T7" s="22"/>
      <c r="U7" s="31"/>
      <c r="V7" s="32"/>
    </row>
    <row r="8" ht="15.75" customHeight="1">
      <c r="A8" s="31"/>
      <c r="B8" s="22"/>
      <c r="C8" s="31"/>
      <c r="D8" s="22"/>
      <c r="E8" s="31"/>
      <c r="F8" s="22"/>
      <c r="G8" s="31"/>
      <c r="H8" s="22"/>
      <c r="I8" s="31"/>
      <c r="K8" s="31"/>
      <c r="L8" s="22"/>
      <c r="M8" s="31"/>
      <c r="N8" s="22"/>
      <c r="O8" s="31"/>
      <c r="P8" s="22"/>
      <c r="Q8" s="31"/>
      <c r="R8" s="22"/>
      <c r="S8" s="31"/>
      <c r="T8" s="22"/>
      <c r="U8" s="31"/>
      <c r="V8" s="32"/>
    </row>
    <row r="9" ht="15.75" customHeight="1">
      <c r="A9" s="31"/>
      <c r="B9" s="22"/>
      <c r="C9" s="31"/>
      <c r="D9" s="22"/>
      <c r="E9" s="31"/>
      <c r="F9" s="22"/>
      <c r="G9" s="31"/>
      <c r="H9" s="22"/>
      <c r="I9" s="31"/>
      <c r="K9" s="31"/>
      <c r="L9" s="22"/>
      <c r="M9" s="31"/>
      <c r="N9" s="22"/>
      <c r="O9" s="31"/>
      <c r="P9" s="22"/>
      <c r="Q9" s="31"/>
      <c r="R9" s="22"/>
      <c r="S9" s="31"/>
      <c r="T9" s="22"/>
      <c r="U9" s="31"/>
      <c r="V9" s="32"/>
    </row>
    <row r="10" ht="15.75" customHeight="1">
      <c r="A10" s="31"/>
      <c r="B10" s="22"/>
      <c r="C10" s="31"/>
      <c r="D10" s="22"/>
      <c r="E10" s="31"/>
      <c r="F10" s="22"/>
      <c r="G10" s="31"/>
      <c r="H10" s="22"/>
      <c r="I10" s="31"/>
      <c r="K10" s="31"/>
      <c r="L10" s="22"/>
      <c r="M10" s="31"/>
      <c r="N10" s="22"/>
      <c r="O10" s="31"/>
      <c r="P10" s="22"/>
      <c r="Q10" s="31"/>
      <c r="R10" s="22"/>
      <c r="S10" s="31"/>
      <c r="T10" s="22"/>
      <c r="U10" s="31"/>
      <c r="V10" s="32"/>
    </row>
    <row r="11" ht="15.75" customHeight="1">
      <c r="A11" s="31"/>
      <c r="B11" s="22"/>
      <c r="C11" s="31"/>
      <c r="D11" s="22"/>
      <c r="E11" s="31"/>
      <c r="F11" s="22"/>
      <c r="G11" s="31"/>
      <c r="H11" s="22"/>
      <c r="I11" s="31"/>
      <c r="K11" s="31"/>
      <c r="L11" s="22"/>
      <c r="M11" s="31"/>
      <c r="N11" s="22"/>
      <c r="O11" s="31"/>
      <c r="P11" s="22"/>
      <c r="Q11" s="31"/>
      <c r="R11" s="22"/>
      <c r="S11" s="31"/>
      <c r="T11" s="22"/>
      <c r="U11" s="31"/>
      <c r="V11" s="32"/>
    </row>
    <row r="12" ht="15.75" customHeight="1">
      <c r="A12" s="31"/>
      <c r="B12" s="22"/>
      <c r="C12" s="31"/>
      <c r="D12" s="22"/>
      <c r="E12" s="31"/>
      <c r="F12" s="22"/>
      <c r="G12" s="31"/>
      <c r="H12" s="22"/>
      <c r="I12" s="31"/>
      <c r="K12" s="31"/>
      <c r="L12" s="22"/>
      <c r="M12" s="31"/>
      <c r="N12" s="22"/>
      <c r="O12" s="31"/>
      <c r="P12" s="22"/>
      <c r="Q12" s="31"/>
      <c r="R12" s="22"/>
      <c r="S12" s="31"/>
      <c r="T12" s="22"/>
      <c r="U12" s="31"/>
      <c r="V12" s="32"/>
    </row>
    <row r="13" ht="15.75" customHeight="1">
      <c r="A13" s="31"/>
      <c r="B13" s="22"/>
      <c r="C13" s="31"/>
      <c r="D13" s="22"/>
      <c r="E13" s="31"/>
      <c r="F13" s="22"/>
      <c r="G13" s="31"/>
      <c r="H13" s="22"/>
      <c r="I13" s="31"/>
      <c r="K13" s="31"/>
      <c r="L13" s="22"/>
      <c r="M13" s="31"/>
      <c r="N13" s="22"/>
      <c r="O13" s="31"/>
      <c r="P13" s="22"/>
      <c r="Q13" s="31"/>
      <c r="R13" s="22"/>
      <c r="S13" s="31"/>
      <c r="T13" s="22"/>
      <c r="U13" s="31"/>
      <c r="V13" s="32"/>
    </row>
    <row r="14" ht="15.75" customHeight="1">
      <c r="A14" s="31"/>
      <c r="B14" s="22"/>
      <c r="C14" s="31"/>
      <c r="D14" s="22"/>
      <c r="E14" s="31"/>
      <c r="F14" s="22"/>
      <c r="G14" s="31"/>
      <c r="H14" s="22"/>
      <c r="I14" s="31"/>
      <c r="K14" s="31"/>
      <c r="L14" s="22"/>
      <c r="M14" s="31"/>
      <c r="N14" s="22"/>
      <c r="O14" s="31"/>
      <c r="P14" s="22"/>
      <c r="Q14" s="31"/>
      <c r="R14" s="22"/>
      <c r="S14" s="31"/>
      <c r="T14" s="22"/>
      <c r="U14" s="31"/>
      <c r="V14" s="32"/>
    </row>
    <row r="15" ht="15.75" customHeight="1">
      <c r="A15" s="31"/>
      <c r="B15" s="22"/>
      <c r="C15" s="31"/>
      <c r="D15" s="22"/>
      <c r="E15" s="31"/>
      <c r="F15" s="22"/>
      <c r="G15" s="31"/>
      <c r="H15" s="22"/>
      <c r="I15" s="31"/>
      <c r="K15" s="31"/>
      <c r="L15" s="22"/>
      <c r="M15" s="31"/>
      <c r="N15" s="22"/>
      <c r="O15" s="31"/>
      <c r="P15" s="22"/>
      <c r="Q15" s="31"/>
      <c r="R15" s="22"/>
      <c r="S15" s="31"/>
      <c r="T15" s="22"/>
      <c r="U15" s="31"/>
      <c r="V15" s="32"/>
    </row>
    <row r="16" ht="15.75" customHeight="1">
      <c r="A16" s="31"/>
      <c r="B16" s="22"/>
      <c r="C16" s="31"/>
      <c r="D16" s="22"/>
      <c r="E16" s="31"/>
      <c r="F16" s="22"/>
      <c r="G16" s="31"/>
      <c r="H16" s="22"/>
      <c r="I16" s="31"/>
      <c r="K16" s="31"/>
      <c r="L16" s="22"/>
      <c r="M16" s="31"/>
      <c r="N16" s="22"/>
      <c r="O16" s="31"/>
      <c r="P16" s="22"/>
      <c r="Q16" s="31"/>
      <c r="R16" s="22"/>
      <c r="S16" s="31"/>
      <c r="T16" s="22"/>
      <c r="U16" s="31"/>
      <c r="V16" s="32"/>
    </row>
    <row r="17" ht="15.75" customHeight="1">
      <c r="A17" s="31"/>
      <c r="B17" s="22"/>
      <c r="C17" s="31"/>
      <c r="D17" s="22"/>
      <c r="E17" s="31"/>
      <c r="F17" s="22"/>
      <c r="G17" s="31"/>
      <c r="H17" s="22"/>
      <c r="I17" s="31"/>
      <c r="K17" s="31"/>
      <c r="L17" s="22"/>
      <c r="M17" s="31"/>
      <c r="N17" s="22"/>
      <c r="O17" s="31"/>
      <c r="P17" s="22"/>
      <c r="Q17" s="31"/>
      <c r="R17" s="22"/>
      <c r="S17" s="31"/>
      <c r="T17" s="22"/>
      <c r="U17" s="31"/>
      <c r="V17" s="32"/>
    </row>
    <row r="18" ht="15.75" customHeight="1">
      <c r="A18" s="31"/>
      <c r="B18" s="22"/>
      <c r="C18" s="31"/>
      <c r="D18" s="22"/>
      <c r="E18" s="31"/>
      <c r="F18" s="22"/>
      <c r="G18" s="31"/>
      <c r="H18" s="22"/>
      <c r="I18" s="31"/>
      <c r="K18" s="31"/>
      <c r="L18" s="22"/>
      <c r="M18" s="31"/>
      <c r="N18" s="22"/>
      <c r="O18" s="31"/>
      <c r="P18" s="22"/>
      <c r="Q18" s="31"/>
      <c r="R18" s="22"/>
      <c r="S18" s="31"/>
      <c r="T18" s="22"/>
      <c r="U18" s="31"/>
      <c r="V18" s="32"/>
    </row>
    <row r="19" ht="15.75" customHeight="1">
      <c r="A19" s="31"/>
      <c r="B19" s="22"/>
      <c r="C19" s="31"/>
      <c r="D19" s="22"/>
      <c r="E19" s="31"/>
      <c r="F19" s="22"/>
      <c r="G19" s="31"/>
      <c r="H19" s="22"/>
      <c r="I19" s="31"/>
      <c r="K19" s="31"/>
      <c r="L19" s="22"/>
      <c r="M19" s="31"/>
      <c r="N19" s="22"/>
      <c r="O19" s="31"/>
      <c r="P19" s="22"/>
      <c r="Q19" s="31"/>
      <c r="R19" s="22"/>
      <c r="S19" s="31"/>
      <c r="T19" s="22"/>
      <c r="U19" s="31"/>
      <c r="V19" s="32"/>
    </row>
    <row r="20" ht="15.75" customHeight="1">
      <c r="A20" s="31"/>
      <c r="B20" s="22"/>
      <c r="C20" s="31"/>
      <c r="D20" s="22"/>
      <c r="E20" s="31"/>
      <c r="F20" s="22"/>
      <c r="G20" s="31"/>
      <c r="H20" s="22"/>
      <c r="I20" s="31"/>
      <c r="K20" s="31"/>
      <c r="L20" s="22"/>
      <c r="M20" s="31"/>
      <c r="N20" s="22"/>
      <c r="O20" s="31"/>
      <c r="P20" s="22"/>
      <c r="Q20" s="31"/>
      <c r="R20" s="22"/>
      <c r="S20" s="31"/>
      <c r="T20" s="22"/>
      <c r="U20" s="31"/>
      <c r="V20" s="32"/>
    </row>
    <row r="21" ht="15.75" customHeight="1">
      <c r="A21" s="31"/>
      <c r="B21" s="22"/>
      <c r="C21" s="31"/>
      <c r="D21" s="22"/>
      <c r="E21" s="31"/>
      <c r="F21" s="22"/>
      <c r="G21" s="31"/>
      <c r="H21" s="22"/>
      <c r="I21" s="31"/>
      <c r="K21" s="31"/>
      <c r="L21" s="22"/>
      <c r="M21" s="31"/>
      <c r="N21" s="22"/>
      <c r="O21" s="31"/>
      <c r="P21" s="22"/>
      <c r="Q21" s="31"/>
      <c r="R21" s="22"/>
      <c r="S21" s="31"/>
      <c r="T21" s="22"/>
      <c r="U21" s="31"/>
      <c r="V21" s="32"/>
    </row>
    <row r="22" ht="15.75" customHeight="1">
      <c r="A22" s="31"/>
      <c r="B22" s="22"/>
      <c r="C22" s="31"/>
      <c r="D22" s="22"/>
      <c r="E22" s="31"/>
      <c r="F22" s="22"/>
      <c r="G22" s="31"/>
      <c r="H22" s="22"/>
      <c r="I22" s="31"/>
      <c r="K22" s="31"/>
      <c r="L22" s="22"/>
      <c r="M22" s="31"/>
      <c r="N22" s="22"/>
      <c r="O22" s="31"/>
      <c r="P22" s="22"/>
      <c r="Q22" s="31"/>
      <c r="R22" s="22"/>
      <c r="S22" s="31"/>
      <c r="T22" s="22"/>
      <c r="U22" s="31"/>
      <c r="V22" s="32"/>
    </row>
    <row r="23" ht="15.75" customHeight="1">
      <c r="A23" s="31"/>
      <c r="B23" s="22"/>
      <c r="C23" s="31"/>
      <c r="D23" s="22"/>
      <c r="E23" s="31"/>
      <c r="F23" s="22"/>
      <c r="G23" s="31"/>
      <c r="H23" s="22"/>
      <c r="I23" s="31"/>
      <c r="K23" s="31"/>
      <c r="L23" s="22"/>
      <c r="M23" s="31"/>
      <c r="N23" s="22"/>
      <c r="O23" s="31"/>
      <c r="P23" s="22"/>
      <c r="Q23" s="31"/>
      <c r="R23" s="22"/>
      <c r="S23" s="31"/>
      <c r="T23" s="22"/>
      <c r="U23" s="31"/>
      <c r="V23" s="22"/>
    </row>
    <row r="24" ht="15.75" customHeight="1">
      <c r="A24" s="31"/>
      <c r="B24" s="22"/>
      <c r="C24" s="31"/>
      <c r="D24" s="22"/>
      <c r="E24" s="31"/>
      <c r="F24" s="22"/>
      <c r="G24" s="31"/>
      <c r="H24" s="22"/>
      <c r="I24" s="31"/>
      <c r="K24" s="31"/>
      <c r="L24" s="22"/>
      <c r="M24" s="31"/>
      <c r="N24" s="22"/>
      <c r="O24" s="31"/>
      <c r="P24" s="22"/>
      <c r="Q24" s="31"/>
      <c r="R24" s="22"/>
      <c r="S24" s="31"/>
      <c r="T24" s="22"/>
      <c r="U24" s="31"/>
    </row>
    <row r="25" ht="15.75" customHeight="1">
      <c r="A25" s="31"/>
      <c r="B25" s="22"/>
      <c r="C25" s="31"/>
      <c r="D25" s="22"/>
      <c r="E25" s="31"/>
      <c r="F25" s="22"/>
      <c r="G25" s="31"/>
      <c r="H25" s="22"/>
      <c r="I25" s="31"/>
      <c r="K25" s="31"/>
      <c r="L25" s="22"/>
      <c r="M25" s="31"/>
      <c r="N25" s="22"/>
      <c r="O25" s="31"/>
      <c r="P25" s="22"/>
      <c r="Q25" s="31"/>
      <c r="R25" s="22"/>
      <c r="S25" s="31"/>
      <c r="T25" s="22"/>
      <c r="U25" s="31"/>
    </row>
    <row r="26" ht="15.75" customHeight="1">
      <c r="A26" s="31"/>
      <c r="B26" s="22"/>
      <c r="C26" s="31"/>
      <c r="D26" s="22"/>
      <c r="E26" s="31"/>
      <c r="F26" s="22"/>
      <c r="G26" s="31"/>
      <c r="H26" s="22"/>
      <c r="I26" s="31"/>
      <c r="K26" s="31"/>
      <c r="L26" s="22"/>
      <c r="M26" s="31"/>
      <c r="N26" s="22"/>
      <c r="O26" s="31"/>
      <c r="P26" s="22"/>
      <c r="Q26" s="31"/>
      <c r="R26" s="22"/>
      <c r="S26" s="31"/>
      <c r="T26" s="22"/>
      <c r="U26" s="31"/>
    </row>
    <row r="27" ht="15.75" customHeight="1">
      <c r="A27" s="31"/>
      <c r="B27" s="22"/>
      <c r="C27" s="31"/>
      <c r="D27" s="22"/>
      <c r="E27" s="31"/>
      <c r="F27" s="22"/>
      <c r="G27" s="31"/>
      <c r="H27" s="22"/>
      <c r="I27" s="31"/>
      <c r="K27" s="31"/>
      <c r="L27" s="22"/>
      <c r="M27" s="31"/>
      <c r="N27" s="22"/>
      <c r="O27" s="31"/>
      <c r="P27" s="22"/>
      <c r="Q27" s="31"/>
      <c r="R27" s="22"/>
      <c r="S27" s="31"/>
      <c r="T27" s="22"/>
      <c r="U27" s="31"/>
    </row>
    <row r="28" ht="15.75" customHeight="1">
      <c r="A28" s="31"/>
      <c r="B28" s="22"/>
      <c r="C28" s="31"/>
      <c r="D28" s="22"/>
      <c r="E28" s="31"/>
      <c r="F28" s="22"/>
      <c r="G28" s="31"/>
      <c r="H28" s="22"/>
      <c r="I28" s="31"/>
      <c r="K28" s="31"/>
      <c r="L28" s="22"/>
      <c r="M28" s="31"/>
      <c r="N28" s="22"/>
      <c r="O28" s="31"/>
      <c r="P28" s="22"/>
      <c r="Q28" s="31"/>
      <c r="R28" s="22"/>
      <c r="S28" s="31"/>
      <c r="T28" s="22"/>
      <c r="U28" s="31"/>
    </row>
    <row r="29" ht="15.75" customHeight="1">
      <c r="A29" s="31"/>
      <c r="B29" s="22"/>
      <c r="C29" s="31"/>
      <c r="D29" s="22"/>
      <c r="E29" s="31"/>
      <c r="F29" s="22"/>
      <c r="G29" s="31"/>
      <c r="H29" s="22"/>
      <c r="I29" s="31"/>
      <c r="K29" s="31"/>
      <c r="L29" s="22"/>
      <c r="M29" s="31"/>
      <c r="N29" s="22"/>
      <c r="O29" s="31"/>
      <c r="P29" s="22"/>
      <c r="Q29" s="31"/>
      <c r="R29" s="22"/>
      <c r="S29" s="31"/>
      <c r="T29" s="22"/>
      <c r="U29" s="31"/>
    </row>
    <row r="30" ht="15.75" customHeight="1">
      <c r="A30" s="31"/>
      <c r="B30" s="22"/>
      <c r="C30" s="31"/>
      <c r="D30" s="22"/>
      <c r="E30" s="31"/>
      <c r="F30" s="22"/>
      <c r="G30" s="31"/>
      <c r="H30" s="22"/>
      <c r="I30" s="31"/>
      <c r="K30" s="31"/>
      <c r="L30" s="22"/>
      <c r="M30" s="31"/>
      <c r="N30" s="22"/>
      <c r="O30" s="31"/>
      <c r="P30" s="22"/>
      <c r="Q30" s="31"/>
      <c r="R30" s="22"/>
      <c r="S30" s="31"/>
      <c r="T30" s="22"/>
      <c r="U30" s="31"/>
    </row>
    <row r="31" ht="15.75" customHeight="1">
      <c r="A31" s="31"/>
      <c r="B31" s="22"/>
      <c r="C31" s="31"/>
      <c r="D31" s="22"/>
      <c r="E31" s="31"/>
      <c r="F31" s="22"/>
      <c r="G31" s="31"/>
      <c r="H31" s="22"/>
      <c r="I31" s="31"/>
      <c r="K31" s="31"/>
      <c r="L31" s="22"/>
      <c r="M31" s="31"/>
      <c r="N31" s="22"/>
      <c r="O31" s="31"/>
      <c r="P31" s="22"/>
      <c r="Q31" s="31"/>
      <c r="R31" s="22"/>
      <c r="S31" s="31"/>
      <c r="T31" s="22"/>
      <c r="U31" s="31"/>
    </row>
    <row r="32" ht="15.75" customHeight="1">
      <c r="A32" s="31"/>
      <c r="B32" s="22"/>
      <c r="C32" s="31"/>
      <c r="D32" s="22"/>
      <c r="E32" s="31"/>
      <c r="F32" s="22"/>
      <c r="G32" s="31"/>
      <c r="H32" s="22"/>
      <c r="I32" s="31"/>
      <c r="K32" s="31"/>
      <c r="L32" s="22"/>
      <c r="M32" s="31"/>
      <c r="N32" s="22"/>
      <c r="O32" s="31"/>
      <c r="P32" s="22"/>
      <c r="Q32" s="31"/>
      <c r="R32" s="22"/>
      <c r="S32" s="31"/>
      <c r="T32" s="22"/>
      <c r="U32" s="31"/>
    </row>
    <row r="33" ht="15.75" customHeight="1">
      <c r="A33" s="31"/>
      <c r="B33" s="22"/>
      <c r="C33" s="31"/>
      <c r="D33" s="22"/>
      <c r="E33" s="31"/>
      <c r="F33" s="22"/>
      <c r="G33" s="31"/>
      <c r="H33" s="22"/>
      <c r="I33" s="31"/>
      <c r="K33" s="31"/>
      <c r="L33" s="22"/>
      <c r="M33" s="31"/>
      <c r="N33" s="22"/>
      <c r="O33" s="31"/>
      <c r="P33" s="22"/>
      <c r="Q33" s="31"/>
      <c r="R33" s="22"/>
      <c r="S33" s="31"/>
      <c r="T33" s="22"/>
      <c r="U33" s="31"/>
    </row>
    <row r="34" ht="15.75" customHeight="1">
      <c r="A34" s="31"/>
      <c r="B34" s="22"/>
      <c r="C34" s="31"/>
      <c r="D34" s="22"/>
      <c r="E34" s="31"/>
      <c r="F34" s="22"/>
      <c r="G34" s="31"/>
      <c r="H34" s="22"/>
      <c r="I34" s="31"/>
      <c r="K34" s="31"/>
      <c r="L34" s="22"/>
      <c r="M34" s="31"/>
      <c r="N34" s="22"/>
      <c r="O34" s="31"/>
      <c r="P34" s="22"/>
      <c r="Q34" s="31"/>
      <c r="R34" s="22"/>
      <c r="S34" s="31"/>
      <c r="T34" s="22"/>
      <c r="U34" s="31"/>
    </row>
    <row r="35" ht="15.75" customHeight="1">
      <c r="A35" s="31"/>
      <c r="B35" s="22"/>
      <c r="C35" s="31"/>
      <c r="D35" s="22"/>
      <c r="E35" s="31"/>
      <c r="F35" s="22"/>
      <c r="G35" s="31"/>
      <c r="H35" s="22"/>
      <c r="I35" s="31"/>
      <c r="K35" s="31"/>
      <c r="L35" s="22"/>
      <c r="M35" s="31"/>
      <c r="N35" s="22"/>
      <c r="O35" s="31"/>
      <c r="P35" s="22"/>
      <c r="Q35" s="31"/>
      <c r="R35" s="22"/>
      <c r="S35" s="31"/>
      <c r="T35" s="22"/>
      <c r="U35" s="31"/>
    </row>
    <row r="36" ht="15.75" customHeight="1">
      <c r="A36" s="31"/>
      <c r="B36" s="22"/>
      <c r="C36" s="31"/>
      <c r="D36" s="22"/>
      <c r="E36" s="31"/>
      <c r="F36" s="22"/>
      <c r="G36" s="31"/>
      <c r="H36" s="22"/>
      <c r="I36" s="31"/>
      <c r="K36" s="31"/>
      <c r="L36" s="22"/>
      <c r="M36" s="31"/>
      <c r="N36" s="22"/>
      <c r="O36" s="31"/>
      <c r="P36" s="22"/>
      <c r="Q36" s="31"/>
      <c r="R36" s="22"/>
      <c r="S36" s="31"/>
      <c r="T36" s="22"/>
      <c r="U36" s="31"/>
    </row>
    <row r="37" ht="15.75" customHeight="1">
      <c r="A37" s="31"/>
      <c r="B37" s="22"/>
      <c r="C37" s="31"/>
      <c r="D37" s="22"/>
      <c r="E37" s="31"/>
      <c r="F37" s="22"/>
      <c r="G37" s="31"/>
      <c r="H37" s="22"/>
      <c r="I37" s="31"/>
      <c r="K37" s="31"/>
      <c r="L37" s="22"/>
      <c r="M37" s="31"/>
      <c r="N37" s="22"/>
      <c r="O37" s="31"/>
      <c r="P37" s="22"/>
      <c r="Q37" s="31"/>
      <c r="R37" s="22"/>
      <c r="S37" s="31"/>
      <c r="T37" s="22"/>
      <c r="U37" s="31"/>
    </row>
    <row r="38" ht="15.75" customHeight="1">
      <c r="A38" s="31"/>
      <c r="B38" s="22"/>
      <c r="C38" s="31"/>
      <c r="D38" s="22"/>
      <c r="E38" s="31"/>
      <c r="F38" s="22"/>
      <c r="G38" s="31"/>
      <c r="H38" s="22"/>
      <c r="I38" s="31"/>
      <c r="K38" s="31"/>
      <c r="L38" s="22"/>
      <c r="M38" s="31"/>
      <c r="N38" s="22"/>
      <c r="O38" s="31"/>
      <c r="P38" s="22"/>
      <c r="Q38" s="31"/>
      <c r="R38" s="22"/>
      <c r="S38" s="31"/>
      <c r="T38" s="22"/>
      <c r="U38" s="31"/>
    </row>
    <row r="39" ht="15.75" customHeight="1">
      <c r="A39" s="31"/>
      <c r="B39" s="22"/>
      <c r="C39" s="31"/>
      <c r="D39" s="22"/>
      <c r="E39" s="31"/>
      <c r="F39" s="22"/>
      <c r="G39" s="31"/>
      <c r="H39" s="22"/>
      <c r="I39" s="31"/>
      <c r="K39" s="31"/>
      <c r="L39" s="22"/>
      <c r="M39" s="31"/>
      <c r="N39" s="22"/>
      <c r="O39" s="31"/>
      <c r="P39" s="22"/>
      <c r="Q39" s="31"/>
      <c r="R39" s="22"/>
      <c r="S39" s="31"/>
      <c r="T39" s="22"/>
      <c r="U39" s="31"/>
    </row>
    <row r="40" ht="15.75" customHeight="1">
      <c r="A40" s="31"/>
      <c r="B40" s="22"/>
      <c r="C40" s="31"/>
      <c r="D40" s="22"/>
      <c r="E40" s="31"/>
      <c r="F40" s="22"/>
      <c r="G40" s="31"/>
      <c r="H40" s="22"/>
      <c r="I40" s="31"/>
      <c r="K40" s="31"/>
      <c r="L40" s="22"/>
      <c r="M40" s="31"/>
      <c r="N40" s="22"/>
      <c r="O40" s="31"/>
      <c r="P40" s="22"/>
      <c r="Q40" s="31"/>
      <c r="R40" s="22"/>
      <c r="S40" s="31"/>
      <c r="T40" s="22"/>
      <c r="U40" s="31"/>
    </row>
    <row r="41" ht="15.75" customHeight="1">
      <c r="A41" s="31"/>
      <c r="B41" s="22"/>
      <c r="C41" s="31"/>
      <c r="D41" s="22"/>
      <c r="E41" s="31"/>
      <c r="F41" s="22"/>
      <c r="G41" s="31"/>
      <c r="H41" s="22"/>
      <c r="I41" s="31"/>
      <c r="K41" s="31"/>
      <c r="L41" s="22"/>
      <c r="M41" s="31"/>
      <c r="N41" s="22"/>
      <c r="O41" s="31"/>
      <c r="P41" s="22"/>
      <c r="Q41" s="31"/>
      <c r="R41" s="22"/>
      <c r="S41" s="31"/>
      <c r="T41" s="22"/>
      <c r="U41" s="31"/>
    </row>
    <row r="42" ht="15.75" customHeight="1">
      <c r="A42" s="31"/>
      <c r="B42" s="22"/>
      <c r="C42" s="31"/>
      <c r="D42" s="22"/>
      <c r="E42" s="31"/>
      <c r="F42" s="22"/>
      <c r="G42" s="31"/>
      <c r="H42" s="22"/>
      <c r="I42" s="31"/>
      <c r="K42" s="31"/>
      <c r="L42" s="22"/>
      <c r="M42" s="31"/>
      <c r="N42" s="22"/>
      <c r="O42" s="31"/>
      <c r="P42" s="22"/>
      <c r="Q42" s="31"/>
      <c r="R42" s="22"/>
      <c r="S42" s="31"/>
      <c r="T42" s="22"/>
      <c r="U42" s="31"/>
    </row>
    <row r="43" ht="15.75" customHeight="1">
      <c r="A43" s="31"/>
      <c r="B43" s="22"/>
      <c r="C43" s="31"/>
      <c r="D43" s="22"/>
      <c r="E43" s="31"/>
      <c r="F43" s="22"/>
      <c r="G43" s="31"/>
      <c r="H43" s="22"/>
      <c r="I43" s="31"/>
      <c r="K43" s="31"/>
      <c r="L43" s="22"/>
      <c r="M43" s="31"/>
      <c r="N43" s="22"/>
      <c r="O43" s="31"/>
      <c r="P43" s="22"/>
      <c r="Q43" s="31"/>
      <c r="R43" s="22"/>
      <c r="S43" s="31"/>
      <c r="T43" s="22"/>
      <c r="U43" s="31"/>
    </row>
    <row r="44" ht="15.75" customHeight="1">
      <c r="A44" s="31"/>
      <c r="B44" s="22"/>
      <c r="C44" s="31"/>
      <c r="D44" s="22"/>
      <c r="E44" s="31"/>
      <c r="F44" s="22"/>
      <c r="G44" s="31"/>
      <c r="H44" s="22"/>
      <c r="I44" s="31"/>
      <c r="K44" s="31"/>
      <c r="L44" s="22"/>
      <c r="M44" s="31"/>
      <c r="N44" s="22"/>
      <c r="O44" s="31"/>
      <c r="P44" s="22"/>
      <c r="Q44" s="31"/>
      <c r="R44" s="22"/>
      <c r="S44" s="31"/>
      <c r="T44" s="22"/>
      <c r="U44" s="31"/>
    </row>
    <row r="45" ht="15.75" customHeight="1">
      <c r="A45" s="31"/>
      <c r="B45" s="22"/>
      <c r="C45" s="31"/>
      <c r="D45" s="22"/>
      <c r="E45" s="31"/>
      <c r="F45" s="22"/>
      <c r="G45" s="31"/>
      <c r="H45" s="22"/>
      <c r="I45" s="31"/>
      <c r="K45" s="31"/>
      <c r="L45" s="22"/>
      <c r="M45" s="31"/>
      <c r="N45" s="22"/>
      <c r="O45" s="31"/>
      <c r="P45" s="22"/>
      <c r="Q45" s="31"/>
      <c r="R45" s="22"/>
      <c r="S45" s="31"/>
      <c r="T45" s="22"/>
      <c r="U45" s="31"/>
    </row>
    <row r="46" ht="15.75" customHeight="1">
      <c r="A46" s="31"/>
      <c r="B46" s="22"/>
      <c r="C46" s="31"/>
      <c r="D46" s="22"/>
      <c r="E46" s="31"/>
      <c r="F46" s="22"/>
      <c r="G46" s="31"/>
      <c r="H46" s="22"/>
      <c r="I46" s="31"/>
      <c r="K46" s="31"/>
      <c r="L46" s="22"/>
      <c r="M46" s="31"/>
      <c r="N46" s="22"/>
      <c r="O46" s="31"/>
      <c r="P46" s="22"/>
      <c r="Q46" s="31"/>
      <c r="R46" s="22"/>
      <c r="S46" s="31"/>
      <c r="T46" s="22"/>
      <c r="U46" s="31"/>
    </row>
    <row r="47" ht="15.75" customHeight="1">
      <c r="A47" s="31"/>
      <c r="B47" s="22"/>
      <c r="C47" s="31"/>
      <c r="D47" s="22"/>
      <c r="E47" s="31"/>
      <c r="F47" s="22"/>
      <c r="G47" s="31"/>
      <c r="H47" s="22"/>
      <c r="I47" s="31"/>
      <c r="K47" s="31"/>
      <c r="L47" s="22"/>
      <c r="M47" s="31"/>
      <c r="N47" s="22"/>
      <c r="O47" s="31"/>
      <c r="P47" s="22"/>
      <c r="Q47" s="31"/>
      <c r="R47" s="22"/>
      <c r="S47" s="31"/>
      <c r="T47" s="22"/>
      <c r="U47" s="31"/>
    </row>
    <row r="48" ht="15.75" customHeight="1">
      <c r="A48" s="31"/>
      <c r="B48" s="22"/>
      <c r="C48" s="31"/>
      <c r="D48" s="22"/>
      <c r="E48" s="31"/>
      <c r="F48" s="22"/>
      <c r="G48" s="31"/>
      <c r="H48" s="22"/>
      <c r="I48" s="31"/>
      <c r="K48" s="31"/>
      <c r="L48" s="22"/>
      <c r="M48" s="31"/>
      <c r="N48" s="22"/>
      <c r="O48" s="31"/>
      <c r="P48" s="22"/>
      <c r="Q48" s="31"/>
      <c r="R48" s="22"/>
      <c r="S48" s="31"/>
      <c r="T48" s="22"/>
      <c r="U48" s="31"/>
    </row>
    <row r="49" ht="15.75" customHeight="1">
      <c r="A49" s="31"/>
      <c r="B49" s="22"/>
      <c r="C49" s="31"/>
      <c r="D49" s="22"/>
      <c r="E49" s="31"/>
      <c r="F49" s="22"/>
      <c r="G49" s="31"/>
      <c r="H49" s="22"/>
      <c r="I49" s="31"/>
      <c r="K49" s="31"/>
      <c r="L49" s="22"/>
      <c r="M49" s="31"/>
      <c r="N49" s="22"/>
      <c r="O49" s="31"/>
      <c r="P49" s="22"/>
      <c r="Q49" s="31"/>
      <c r="R49" s="22"/>
      <c r="S49" s="31"/>
      <c r="T49" s="22"/>
      <c r="U49" s="31"/>
    </row>
    <row r="50" ht="15.75" customHeight="1">
      <c r="A50" s="31"/>
      <c r="B50" s="22"/>
      <c r="C50" s="31"/>
      <c r="D50" s="22"/>
      <c r="E50" s="31"/>
      <c r="F50" s="22"/>
      <c r="G50" s="31"/>
      <c r="H50" s="22"/>
      <c r="I50" s="31"/>
      <c r="K50" s="31"/>
      <c r="L50" s="22"/>
      <c r="M50" s="31"/>
      <c r="N50" s="22"/>
      <c r="O50" s="31"/>
      <c r="P50" s="22"/>
      <c r="Q50" s="31"/>
      <c r="R50" s="22"/>
      <c r="S50" s="31"/>
      <c r="T50" s="22"/>
      <c r="U50" s="31"/>
    </row>
    <row r="51" ht="15.75" customHeight="1">
      <c r="A51" s="31"/>
      <c r="B51" s="22"/>
      <c r="C51" s="31"/>
      <c r="D51" s="22"/>
      <c r="E51" s="31"/>
      <c r="F51" s="22"/>
      <c r="G51" s="31"/>
      <c r="H51" s="22"/>
      <c r="I51" s="31"/>
      <c r="K51" s="31"/>
      <c r="L51" s="22"/>
      <c r="M51" s="31"/>
      <c r="N51" s="22"/>
      <c r="O51" s="31"/>
      <c r="P51" s="22"/>
      <c r="Q51" s="31"/>
      <c r="R51" s="22"/>
      <c r="S51" s="31"/>
      <c r="T51" s="22"/>
      <c r="U51" s="31"/>
    </row>
    <row r="52" ht="15.75" customHeight="1">
      <c r="A52" s="31"/>
      <c r="B52" s="22"/>
      <c r="C52" s="31"/>
      <c r="D52" s="22"/>
      <c r="E52" s="31"/>
      <c r="F52" s="22"/>
      <c r="G52" s="31"/>
      <c r="H52" s="22"/>
      <c r="I52" s="31"/>
      <c r="K52" s="31"/>
      <c r="L52" s="22"/>
      <c r="M52" s="31"/>
      <c r="N52" s="22"/>
      <c r="O52" s="31"/>
      <c r="P52" s="22"/>
      <c r="Q52" s="31"/>
      <c r="R52" s="22"/>
      <c r="S52" s="31"/>
      <c r="T52" s="22"/>
      <c r="U52" s="31"/>
    </row>
    <row r="53" ht="15.75" customHeight="1">
      <c r="A53" s="31"/>
      <c r="B53" s="22"/>
      <c r="C53" s="31"/>
      <c r="D53" s="22"/>
      <c r="E53" s="31"/>
      <c r="F53" s="22"/>
      <c r="G53" s="31"/>
      <c r="H53" s="22"/>
      <c r="I53" s="31"/>
      <c r="K53" s="31"/>
      <c r="L53" s="22"/>
      <c r="M53" s="31"/>
      <c r="N53" s="22"/>
      <c r="O53" s="31"/>
      <c r="P53" s="22"/>
      <c r="Q53" s="31"/>
      <c r="R53" s="22"/>
      <c r="S53" s="31"/>
      <c r="T53" s="22"/>
      <c r="U53" s="31"/>
    </row>
    <row r="54" ht="15.75" customHeight="1">
      <c r="A54" s="31"/>
      <c r="B54" s="22"/>
      <c r="C54" s="31"/>
      <c r="D54" s="22"/>
      <c r="E54" s="31"/>
      <c r="F54" s="22"/>
      <c r="G54" s="31"/>
      <c r="H54" s="22"/>
      <c r="I54" s="31"/>
      <c r="K54" s="31"/>
      <c r="L54" s="22"/>
      <c r="M54" s="31"/>
      <c r="N54" s="22"/>
      <c r="O54" s="31"/>
      <c r="P54" s="22"/>
      <c r="Q54" s="31"/>
      <c r="R54" s="22"/>
      <c r="S54" s="31"/>
      <c r="T54" s="22"/>
      <c r="U54" s="31"/>
    </row>
    <row r="55" ht="15.75" customHeight="1">
      <c r="A55" s="31"/>
      <c r="B55" s="22"/>
      <c r="C55" s="31"/>
      <c r="D55" s="22"/>
      <c r="E55" s="31"/>
      <c r="F55" s="22"/>
      <c r="G55" s="31"/>
      <c r="H55" s="22"/>
      <c r="I55" s="31"/>
      <c r="K55" s="31"/>
      <c r="L55" s="22"/>
      <c r="M55" s="31"/>
      <c r="N55" s="22"/>
      <c r="O55" s="31"/>
      <c r="P55" s="22"/>
      <c r="Q55" s="31"/>
      <c r="R55" s="22"/>
      <c r="S55" s="31"/>
      <c r="T55" s="22"/>
      <c r="U55" s="31"/>
    </row>
    <row r="56" ht="15.75" customHeight="1">
      <c r="A56" s="31"/>
      <c r="B56" s="22"/>
      <c r="C56" s="31"/>
      <c r="D56" s="22"/>
      <c r="E56" s="31"/>
      <c r="F56" s="22"/>
      <c r="G56" s="31"/>
      <c r="H56" s="22"/>
      <c r="I56" s="31"/>
      <c r="K56" s="31"/>
      <c r="L56" s="22"/>
      <c r="M56" s="31"/>
      <c r="N56" s="22"/>
      <c r="O56" s="31"/>
      <c r="P56" s="22"/>
      <c r="Q56" s="31"/>
      <c r="R56" s="22"/>
      <c r="S56" s="31"/>
      <c r="T56" s="22"/>
      <c r="U56" s="31"/>
    </row>
    <row r="57" ht="15.75" customHeight="1">
      <c r="A57" s="31"/>
      <c r="B57" s="22"/>
      <c r="C57" s="31"/>
      <c r="D57" s="22"/>
      <c r="E57" s="31"/>
      <c r="F57" s="22"/>
      <c r="G57" s="31"/>
      <c r="H57" s="22"/>
      <c r="I57" s="31"/>
      <c r="K57" s="31"/>
      <c r="L57" s="22"/>
      <c r="M57" s="31"/>
      <c r="N57" s="22"/>
      <c r="O57" s="31"/>
      <c r="P57" s="22"/>
      <c r="Q57" s="31"/>
      <c r="R57" s="22"/>
      <c r="S57" s="31"/>
      <c r="T57" s="22"/>
      <c r="U57" s="31"/>
    </row>
    <row r="58" ht="15.75" customHeight="1">
      <c r="A58" s="31"/>
      <c r="B58" s="22"/>
      <c r="C58" s="31"/>
      <c r="D58" s="22"/>
      <c r="E58" s="31"/>
      <c r="F58" s="22"/>
      <c r="G58" s="31"/>
      <c r="H58" s="22"/>
      <c r="I58" s="31"/>
      <c r="K58" s="31"/>
      <c r="L58" s="22"/>
      <c r="M58" s="31"/>
      <c r="N58" s="22"/>
      <c r="O58" s="31"/>
      <c r="P58" s="22"/>
      <c r="Q58" s="31"/>
      <c r="R58" s="22"/>
      <c r="S58" s="31"/>
      <c r="T58" s="22"/>
      <c r="U58" s="31"/>
    </row>
    <row r="59" ht="15.75" customHeight="1">
      <c r="A59" s="31"/>
      <c r="B59" s="22"/>
      <c r="C59" s="31"/>
      <c r="D59" s="22"/>
      <c r="E59" s="31"/>
      <c r="F59" s="22"/>
      <c r="G59" s="31"/>
      <c r="H59" s="22"/>
      <c r="I59" s="31"/>
      <c r="K59" s="31"/>
      <c r="L59" s="22"/>
      <c r="M59" s="31"/>
      <c r="N59" s="22"/>
      <c r="O59" s="31"/>
      <c r="P59" s="22"/>
      <c r="Q59" s="31"/>
      <c r="R59" s="22"/>
      <c r="S59" s="31"/>
      <c r="T59" s="22"/>
      <c r="U59" s="31"/>
    </row>
    <row r="60" ht="15.75" customHeight="1">
      <c r="A60" s="31"/>
      <c r="B60" s="22"/>
      <c r="C60" s="31"/>
      <c r="D60" s="22"/>
      <c r="E60" s="31"/>
      <c r="F60" s="22"/>
      <c r="G60" s="31"/>
      <c r="H60" s="22"/>
      <c r="I60" s="31"/>
      <c r="K60" s="31"/>
      <c r="L60" s="22"/>
      <c r="M60" s="31"/>
      <c r="N60" s="22"/>
      <c r="O60" s="31"/>
      <c r="P60" s="22"/>
      <c r="Q60" s="31"/>
      <c r="R60" s="22"/>
      <c r="S60" s="31"/>
      <c r="T60" s="22"/>
      <c r="U60" s="31"/>
    </row>
    <row r="61" ht="15.75" customHeight="1">
      <c r="A61" s="31"/>
      <c r="B61" s="22"/>
      <c r="C61" s="31"/>
      <c r="D61" s="22"/>
      <c r="E61" s="31"/>
      <c r="F61" s="22"/>
      <c r="G61" s="31"/>
      <c r="H61" s="22"/>
      <c r="I61" s="31"/>
      <c r="K61" s="31"/>
      <c r="L61" s="22"/>
      <c r="M61" s="31"/>
      <c r="N61" s="22"/>
      <c r="O61" s="31"/>
      <c r="P61" s="22"/>
      <c r="Q61" s="31"/>
      <c r="R61" s="22"/>
      <c r="S61" s="31"/>
      <c r="T61" s="22"/>
      <c r="U61" s="31"/>
    </row>
    <row r="62" ht="15.75" customHeight="1">
      <c r="A62" s="31"/>
      <c r="C62" s="31"/>
      <c r="E62" s="31"/>
      <c r="G62" s="31"/>
      <c r="I62" s="31"/>
      <c r="K62" s="31"/>
      <c r="M62" s="31"/>
      <c r="O62" s="31"/>
      <c r="Q62" s="31"/>
      <c r="S62" s="31"/>
      <c r="T62" s="22"/>
      <c r="U62" s="31"/>
    </row>
    <row r="63" ht="15.75" customHeight="1">
      <c r="A63" s="31"/>
      <c r="C63" s="31"/>
      <c r="E63" s="31"/>
      <c r="G63" s="31"/>
      <c r="I63" s="31"/>
      <c r="K63" s="31"/>
      <c r="M63" s="31"/>
      <c r="O63" s="31"/>
      <c r="Q63" s="31"/>
      <c r="S63" s="31"/>
      <c r="T63" s="22"/>
      <c r="U63" s="31"/>
    </row>
    <row r="64" ht="15.75" customHeight="1">
      <c r="A64" s="31"/>
      <c r="C64" s="31"/>
      <c r="E64" s="31"/>
      <c r="G64" s="31"/>
      <c r="I64" s="31"/>
      <c r="K64" s="31"/>
      <c r="M64" s="31"/>
      <c r="O64" s="31"/>
      <c r="Q64" s="31"/>
      <c r="S64" s="31"/>
      <c r="T64" s="22"/>
      <c r="U64" s="31"/>
    </row>
    <row r="65" ht="15.75" customHeight="1">
      <c r="A65" s="31"/>
      <c r="C65" s="31"/>
      <c r="E65" s="31"/>
      <c r="G65" s="31"/>
      <c r="I65" s="31"/>
      <c r="K65" s="31"/>
      <c r="M65" s="31"/>
      <c r="O65" s="31"/>
      <c r="Q65" s="31"/>
      <c r="S65" s="31"/>
      <c r="T65" s="22"/>
      <c r="U65" s="31"/>
    </row>
    <row r="66" ht="15.75" customHeight="1">
      <c r="A66" s="31"/>
      <c r="C66" s="31"/>
      <c r="E66" s="31"/>
      <c r="G66" s="31"/>
      <c r="I66" s="31"/>
      <c r="K66" s="31"/>
      <c r="M66" s="31"/>
      <c r="O66" s="31"/>
      <c r="Q66" s="31"/>
      <c r="S66" s="31"/>
      <c r="T66" s="22"/>
      <c r="U66" s="31"/>
    </row>
    <row r="67" ht="15.75" customHeight="1">
      <c r="A67" s="31"/>
      <c r="C67" s="31"/>
      <c r="E67" s="31"/>
      <c r="G67" s="31"/>
      <c r="I67" s="31"/>
      <c r="K67" s="31"/>
      <c r="M67" s="31"/>
      <c r="O67" s="31"/>
      <c r="Q67" s="31"/>
      <c r="S67" s="31"/>
      <c r="T67" s="22"/>
      <c r="U67" s="31"/>
    </row>
    <row r="68" ht="15.75" customHeight="1">
      <c r="A68" s="31"/>
      <c r="C68" s="31"/>
      <c r="E68" s="31"/>
      <c r="G68" s="31"/>
      <c r="I68" s="31"/>
      <c r="K68" s="31"/>
      <c r="M68" s="31"/>
      <c r="O68" s="31"/>
      <c r="Q68" s="31"/>
      <c r="S68" s="31"/>
      <c r="T68" s="22"/>
      <c r="U68" s="31"/>
    </row>
    <row r="69" ht="15.75" customHeight="1">
      <c r="A69" s="31"/>
      <c r="C69" s="31"/>
      <c r="E69" s="31"/>
      <c r="G69" s="31"/>
      <c r="I69" s="31"/>
      <c r="K69" s="31"/>
      <c r="M69" s="31"/>
      <c r="O69" s="31"/>
      <c r="Q69" s="31"/>
      <c r="S69" s="31"/>
      <c r="T69" s="22"/>
      <c r="U69" s="31"/>
    </row>
    <row r="70" ht="15.75" customHeight="1">
      <c r="A70" s="31"/>
      <c r="C70" s="31"/>
      <c r="E70" s="31"/>
      <c r="G70" s="31"/>
      <c r="I70" s="31"/>
      <c r="K70" s="31"/>
      <c r="M70" s="31"/>
      <c r="O70" s="31"/>
      <c r="Q70" s="31"/>
      <c r="S70" s="31"/>
      <c r="T70" s="22"/>
      <c r="U70" s="31"/>
    </row>
    <row r="71" ht="15.75" customHeight="1">
      <c r="A71" s="31"/>
      <c r="C71" s="31"/>
      <c r="E71" s="31"/>
      <c r="G71" s="31"/>
      <c r="I71" s="31"/>
      <c r="K71" s="31"/>
      <c r="M71" s="31"/>
      <c r="O71" s="31"/>
      <c r="Q71" s="31"/>
      <c r="S71" s="31"/>
      <c r="T71" s="22"/>
      <c r="U71" s="31"/>
    </row>
    <row r="72" ht="15.75" customHeight="1">
      <c r="A72" s="31"/>
      <c r="C72" s="31"/>
      <c r="E72" s="31"/>
      <c r="G72" s="31"/>
      <c r="I72" s="31"/>
      <c r="K72" s="31"/>
      <c r="M72" s="31"/>
      <c r="O72" s="31"/>
      <c r="Q72" s="31"/>
      <c r="S72" s="31"/>
      <c r="T72" s="22"/>
      <c r="U72" s="31"/>
    </row>
    <row r="73" ht="15.75" customHeight="1">
      <c r="A73" s="31"/>
      <c r="C73" s="31"/>
      <c r="E73" s="31"/>
      <c r="G73" s="31"/>
      <c r="I73" s="31"/>
      <c r="K73" s="31"/>
      <c r="M73" s="31"/>
      <c r="O73" s="31"/>
      <c r="Q73" s="31"/>
      <c r="S73" s="31"/>
      <c r="T73" s="22"/>
      <c r="U73" s="31"/>
    </row>
    <row r="74" ht="15.75" customHeight="1">
      <c r="A74" s="31"/>
      <c r="C74" s="31"/>
      <c r="E74" s="31"/>
      <c r="G74" s="31"/>
      <c r="I74" s="31"/>
      <c r="K74" s="31"/>
      <c r="M74" s="31"/>
      <c r="O74" s="31"/>
      <c r="Q74" s="31"/>
      <c r="S74" s="31"/>
      <c r="T74" s="22"/>
      <c r="U74" s="31"/>
    </row>
    <row r="75" ht="15.75" customHeight="1">
      <c r="A75" s="31"/>
      <c r="C75" s="31"/>
      <c r="E75" s="31"/>
      <c r="G75" s="31"/>
      <c r="I75" s="31"/>
      <c r="K75" s="31"/>
      <c r="M75" s="31"/>
      <c r="O75" s="31"/>
      <c r="Q75" s="31"/>
      <c r="S75" s="31"/>
      <c r="T75" s="22"/>
      <c r="U75" s="31"/>
    </row>
    <row r="76" ht="15.75" customHeight="1">
      <c r="A76" s="31"/>
      <c r="C76" s="31"/>
      <c r="E76" s="31"/>
      <c r="G76" s="31"/>
      <c r="I76" s="31"/>
      <c r="K76" s="31"/>
      <c r="M76" s="31"/>
      <c r="O76" s="31"/>
      <c r="Q76" s="31"/>
      <c r="S76" s="31"/>
      <c r="T76" s="22"/>
      <c r="U76" s="31"/>
    </row>
    <row r="77" ht="15.75" customHeight="1">
      <c r="A77" s="31"/>
      <c r="C77" s="31"/>
      <c r="E77" s="31"/>
      <c r="G77" s="31"/>
      <c r="I77" s="31"/>
      <c r="K77" s="31"/>
      <c r="M77" s="31"/>
      <c r="O77" s="31"/>
      <c r="Q77" s="31"/>
      <c r="S77" s="31"/>
      <c r="T77" s="22"/>
      <c r="U77" s="31"/>
    </row>
    <row r="78" ht="15.75" customHeight="1">
      <c r="A78" s="31"/>
      <c r="C78" s="31"/>
      <c r="E78" s="31"/>
      <c r="G78" s="31"/>
      <c r="I78" s="31"/>
      <c r="K78" s="31"/>
      <c r="M78" s="31"/>
      <c r="O78" s="31"/>
      <c r="Q78" s="31"/>
      <c r="S78" s="31"/>
      <c r="T78" s="22"/>
      <c r="U78" s="31"/>
    </row>
    <row r="79" ht="15.75" customHeight="1">
      <c r="A79" s="31"/>
      <c r="C79" s="31"/>
      <c r="E79" s="31"/>
      <c r="G79" s="31"/>
      <c r="I79" s="31"/>
      <c r="K79" s="31"/>
      <c r="M79" s="31"/>
      <c r="O79" s="31"/>
      <c r="Q79" s="31"/>
      <c r="S79" s="31"/>
      <c r="T79" s="22"/>
      <c r="U79" s="31"/>
    </row>
    <row r="80" ht="15.75" customHeight="1">
      <c r="A80" s="31"/>
      <c r="C80" s="31"/>
      <c r="E80" s="31"/>
      <c r="G80" s="31"/>
      <c r="I80" s="31"/>
      <c r="K80" s="31"/>
      <c r="M80" s="31"/>
      <c r="O80" s="31"/>
      <c r="Q80" s="31"/>
      <c r="S80" s="31"/>
      <c r="T80" s="22"/>
      <c r="U80" s="31"/>
    </row>
    <row r="81" ht="15.75" customHeight="1">
      <c r="A81" s="31"/>
      <c r="C81" s="31"/>
      <c r="E81" s="31"/>
      <c r="G81" s="31"/>
      <c r="I81" s="31"/>
      <c r="K81" s="31"/>
      <c r="M81" s="31"/>
      <c r="O81" s="31"/>
      <c r="Q81" s="31"/>
      <c r="S81" s="31"/>
      <c r="T81" s="22"/>
      <c r="U81" s="31"/>
    </row>
    <row r="82" ht="15.75" customHeight="1">
      <c r="A82" s="31"/>
      <c r="C82" s="31"/>
      <c r="E82" s="31"/>
      <c r="G82" s="31"/>
      <c r="I82" s="31"/>
      <c r="K82" s="31"/>
      <c r="M82" s="31"/>
      <c r="O82" s="31"/>
      <c r="Q82" s="31"/>
      <c r="S82" s="31"/>
      <c r="T82" s="22"/>
      <c r="U82" s="31"/>
    </row>
    <row r="83" ht="15.75" customHeight="1">
      <c r="A83" s="31"/>
      <c r="C83" s="31"/>
      <c r="E83" s="31"/>
      <c r="G83" s="31"/>
      <c r="I83" s="31"/>
      <c r="K83" s="31"/>
      <c r="M83" s="31"/>
      <c r="O83" s="31"/>
      <c r="Q83" s="31"/>
      <c r="S83" s="31"/>
      <c r="T83" s="22"/>
      <c r="U83" s="31"/>
    </row>
    <row r="84" ht="15.75" customHeight="1">
      <c r="A84" s="31"/>
      <c r="C84" s="31"/>
      <c r="E84" s="31"/>
      <c r="G84" s="31"/>
      <c r="I84" s="31"/>
      <c r="K84" s="31"/>
      <c r="M84" s="31"/>
      <c r="O84" s="31"/>
      <c r="Q84" s="31"/>
      <c r="S84" s="31"/>
      <c r="T84" s="22"/>
      <c r="U84" s="31"/>
    </row>
    <row r="85" ht="15.75" customHeight="1">
      <c r="A85" s="31"/>
      <c r="C85" s="31"/>
      <c r="E85" s="31"/>
      <c r="G85" s="31"/>
      <c r="I85" s="31"/>
      <c r="K85" s="31"/>
      <c r="M85" s="31"/>
      <c r="O85" s="31"/>
      <c r="Q85" s="31"/>
      <c r="S85" s="31"/>
      <c r="T85" s="22"/>
      <c r="U85" s="31"/>
    </row>
    <row r="86" ht="15.75" customHeight="1">
      <c r="A86" s="31"/>
      <c r="C86" s="31"/>
      <c r="E86" s="31"/>
      <c r="G86" s="31"/>
      <c r="I86" s="31"/>
      <c r="K86" s="31"/>
      <c r="M86" s="31"/>
      <c r="O86" s="31"/>
      <c r="Q86" s="31"/>
      <c r="S86" s="31"/>
      <c r="T86" s="22"/>
      <c r="U86" s="31"/>
    </row>
    <row r="87" ht="15.75" customHeight="1">
      <c r="A87" s="31"/>
      <c r="C87" s="31"/>
      <c r="E87" s="31"/>
      <c r="G87" s="31"/>
      <c r="I87" s="31"/>
      <c r="K87" s="31"/>
      <c r="M87" s="31"/>
      <c r="O87" s="31"/>
      <c r="Q87" s="31"/>
      <c r="S87" s="31"/>
      <c r="T87" s="22"/>
      <c r="U87" s="31"/>
    </row>
    <row r="88" ht="15.75" customHeight="1">
      <c r="A88" s="31"/>
      <c r="C88" s="31"/>
      <c r="E88" s="31"/>
      <c r="G88" s="31"/>
      <c r="I88" s="31"/>
      <c r="K88" s="31"/>
      <c r="M88" s="31"/>
      <c r="O88" s="31"/>
      <c r="Q88" s="31"/>
      <c r="S88" s="31"/>
      <c r="T88" s="22"/>
      <c r="U88" s="31"/>
    </row>
    <row r="89" ht="15.75" customHeight="1">
      <c r="A89" s="31"/>
      <c r="C89" s="31"/>
      <c r="E89" s="31"/>
      <c r="G89" s="31"/>
      <c r="I89" s="31"/>
      <c r="K89" s="31"/>
      <c r="M89" s="31"/>
      <c r="O89" s="31"/>
      <c r="Q89" s="31"/>
      <c r="S89" s="31"/>
      <c r="T89" s="22"/>
      <c r="U89" s="31"/>
    </row>
    <row r="90" ht="15.75" customHeight="1">
      <c r="A90" s="31"/>
      <c r="C90" s="31"/>
      <c r="E90" s="31"/>
      <c r="G90" s="31"/>
      <c r="I90" s="31"/>
      <c r="K90" s="31"/>
      <c r="M90" s="31"/>
      <c r="O90" s="31"/>
      <c r="Q90" s="31"/>
      <c r="S90" s="31"/>
      <c r="T90" s="22"/>
      <c r="U90" s="31"/>
    </row>
    <row r="91" ht="15.75" customHeight="1">
      <c r="A91" s="31"/>
      <c r="C91" s="31"/>
      <c r="E91" s="31"/>
      <c r="G91" s="31"/>
      <c r="I91" s="31"/>
      <c r="K91" s="31"/>
      <c r="M91" s="31"/>
      <c r="O91" s="31"/>
      <c r="Q91" s="31"/>
      <c r="S91" s="31"/>
      <c r="T91" s="22"/>
      <c r="U91" s="31"/>
    </row>
    <row r="92" ht="15.75" customHeight="1">
      <c r="A92" s="31"/>
      <c r="C92" s="31"/>
      <c r="E92" s="31"/>
      <c r="G92" s="31"/>
      <c r="I92" s="31"/>
      <c r="K92" s="31"/>
      <c r="M92" s="31"/>
      <c r="O92" s="31"/>
      <c r="Q92" s="31"/>
      <c r="S92" s="31"/>
      <c r="T92" s="22"/>
      <c r="U92" s="31"/>
    </row>
    <row r="93" ht="15.75" customHeight="1">
      <c r="A93" s="31"/>
      <c r="C93" s="31"/>
      <c r="E93" s="31"/>
      <c r="G93" s="31"/>
      <c r="I93" s="31"/>
      <c r="K93" s="31"/>
      <c r="M93" s="31"/>
      <c r="O93" s="31"/>
      <c r="Q93" s="31"/>
      <c r="S93" s="31"/>
      <c r="T93" s="22"/>
      <c r="U93" s="31"/>
    </row>
    <row r="94" ht="15.75" customHeight="1">
      <c r="A94" s="31"/>
      <c r="C94" s="31"/>
      <c r="E94" s="31"/>
      <c r="G94" s="31"/>
      <c r="I94" s="31"/>
      <c r="K94" s="31"/>
      <c r="M94" s="31"/>
      <c r="O94" s="31"/>
      <c r="Q94" s="31"/>
      <c r="S94" s="31"/>
      <c r="T94" s="22"/>
      <c r="U94" s="31"/>
    </row>
    <row r="95" ht="15.75" customHeight="1">
      <c r="A95" s="31"/>
      <c r="C95" s="31"/>
      <c r="E95" s="31"/>
      <c r="G95" s="31"/>
      <c r="I95" s="31"/>
      <c r="K95" s="31"/>
      <c r="M95" s="31"/>
      <c r="O95" s="31"/>
      <c r="Q95" s="31"/>
      <c r="S95" s="31"/>
      <c r="T95" s="22"/>
      <c r="U95" s="31"/>
    </row>
    <row r="96" ht="15.75" customHeight="1">
      <c r="A96" s="31"/>
      <c r="C96" s="31"/>
      <c r="E96" s="31"/>
      <c r="G96" s="31"/>
      <c r="I96" s="31"/>
      <c r="K96" s="31"/>
      <c r="M96" s="31"/>
      <c r="O96" s="31"/>
      <c r="Q96" s="31"/>
      <c r="S96" s="31"/>
      <c r="T96" s="22"/>
      <c r="U96" s="31"/>
    </row>
    <row r="97" ht="15.75" customHeight="1">
      <c r="A97" s="31"/>
      <c r="C97" s="31"/>
      <c r="E97" s="31"/>
      <c r="G97" s="31"/>
      <c r="I97" s="31"/>
      <c r="K97" s="31"/>
      <c r="M97" s="31"/>
      <c r="O97" s="31"/>
      <c r="Q97" s="31"/>
      <c r="S97" s="31"/>
      <c r="T97" s="22"/>
      <c r="U97" s="31"/>
    </row>
    <row r="98" ht="15.75" customHeight="1">
      <c r="A98" s="31"/>
      <c r="C98" s="31"/>
      <c r="E98" s="31"/>
      <c r="G98" s="31"/>
      <c r="I98" s="31"/>
      <c r="K98" s="31"/>
      <c r="M98" s="31"/>
      <c r="O98" s="31"/>
      <c r="Q98" s="31"/>
      <c r="S98" s="31"/>
      <c r="T98" s="22"/>
      <c r="U98" s="31"/>
    </row>
    <row r="99" ht="15.75" customHeight="1">
      <c r="A99" s="31"/>
      <c r="C99" s="31"/>
      <c r="E99" s="31"/>
      <c r="G99" s="31"/>
      <c r="I99" s="31"/>
      <c r="K99" s="31"/>
      <c r="M99" s="31"/>
      <c r="O99" s="31"/>
      <c r="Q99" s="31"/>
      <c r="S99" s="31"/>
      <c r="T99" s="22"/>
      <c r="U99" s="31"/>
    </row>
    <row r="100" ht="15.75" customHeight="1">
      <c r="A100" s="31"/>
      <c r="C100" s="31"/>
      <c r="E100" s="31"/>
      <c r="G100" s="31"/>
      <c r="I100" s="31"/>
      <c r="K100" s="31"/>
      <c r="M100" s="31"/>
      <c r="O100" s="31"/>
      <c r="Q100" s="31"/>
      <c r="S100" s="31"/>
      <c r="T100" s="22"/>
      <c r="U100" s="31"/>
    </row>
    <row r="101" ht="15.75" customHeight="1">
      <c r="A101" s="31"/>
      <c r="C101" s="31"/>
      <c r="E101" s="31"/>
      <c r="G101" s="31"/>
      <c r="I101" s="31"/>
      <c r="K101" s="31"/>
      <c r="M101" s="31"/>
      <c r="O101" s="31"/>
      <c r="Q101" s="31"/>
      <c r="S101" s="31"/>
      <c r="T101" s="22"/>
      <c r="U101" s="31"/>
    </row>
    <row r="102" ht="15.75" customHeight="1">
      <c r="A102" s="31"/>
      <c r="C102" s="31"/>
      <c r="E102" s="31"/>
      <c r="G102" s="31"/>
      <c r="I102" s="31"/>
      <c r="K102" s="31"/>
      <c r="M102" s="31"/>
      <c r="O102" s="31"/>
      <c r="Q102" s="31"/>
      <c r="S102" s="31"/>
      <c r="T102" s="22"/>
      <c r="U102" s="31"/>
    </row>
    <row r="103" ht="15.75" customHeight="1">
      <c r="A103" s="31"/>
      <c r="C103" s="31"/>
      <c r="E103" s="31"/>
      <c r="G103" s="31"/>
      <c r="I103" s="31"/>
      <c r="K103" s="31"/>
      <c r="M103" s="31"/>
      <c r="O103" s="31"/>
      <c r="Q103" s="31"/>
      <c r="S103" s="31"/>
      <c r="T103" s="22"/>
      <c r="U103" s="31"/>
    </row>
    <row r="104" ht="15.75" customHeight="1">
      <c r="A104" s="31"/>
      <c r="C104" s="31"/>
      <c r="E104" s="31"/>
      <c r="G104" s="31"/>
      <c r="I104" s="31"/>
      <c r="K104" s="31"/>
      <c r="M104" s="31"/>
      <c r="O104" s="31"/>
      <c r="Q104" s="31"/>
      <c r="S104" s="31"/>
      <c r="T104" s="22"/>
      <c r="U104" s="31"/>
    </row>
    <row r="105" ht="15.75" customHeight="1">
      <c r="A105" s="31"/>
      <c r="C105" s="31"/>
      <c r="E105" s="31"/>
      <c r="G105" s="31"/>
      <c r="I105" s="31"/>
      <c r="K105" s="31"/>
      <c r="M105" s="31"/>
      <c r="O105" s="31"/>
      <c r="Q105" s="31"/>
      <c r="S105" s="31"/>
      <c r="T105" s="22"/>
      <c r="U105" s="31"/>
    </row>
    <row r="106" ht="15.75" customHeight="1">
      <c r="A106" s="31"/>
      <c r="C106" s="31"/>
      <c r="E106" s="31"/>
      <c r="G106" s="31"/>
      <c r="I106" s="31"/>
      <c r="K106" s="31"/>
      <c r="M106" s="31"/>
      <c r="O106" s="31"/>
      <c r="Q106" s="31"/>
      <c r="S106" s="31"/>
      <c r="T106" s="22"/>
      <c r="U106" s="31"/>
    </row>
    <row r="107" ht="15.75" customHeight="1">
      <c r="A107" s="31"/>
      <c r="C107" s="31"/>
      <c r="E107" s="31"/>
      <c r="G107" s="31"/>
      <c r="I107" s="31"/>
      <c r="K107" s="31"/>
      <c r="M107" s="31"/>
      <c r="O107" s="31"/>
      <c r="Q107" s="31"/>
      <c r="S107" s="31"/>
      <c r="T107" s="22"/>
      <c r="U107" s="31"/>
    </row>
    <row r="108" ht="15.75" customHeight="1">
      <c r="A108" s="31"/>
      <c r="C108" s="31"/>
      <c r="E108" s="31"/>
      <c r="G108" s="31"/>
      <c r="I108" s="31"/>
      <c r="K108" s="31"/>
      <c r="M108" s="31"/>
      <c r="O108" s="31"/>
      <c r="Q108" s="31"/>
      <c r="S108" s="31"/>
      <c r="T108" s="22"/>
      <c r="U108" s="31"/>
    </row>
    <row r="109" ht="15.75" customHeight="1">
      <c r="A109" s="31"/>
      <c r="C109" s="31"/>
      <c r="E109" s="31"/>
      <c r="G109" s="31"/>
      <c r="I109" s="31"/>
      <c r="K109" s="31"/>
      <c r="M109" s="31"/>
      <c r="O109" s="31"/>
      <c r="Q109" s="31"/>
      <c r="S109" s="31"/>
      <c r="T109" s="22"/>
      <c r="U109" s="31"/>
    </row>
    <row r="110" ht="15.75" customHeight="1">
      <c r="A110" s="31"/>
      <c r="C110" s="31"/>
      <c r="E110" s="31"/>
      <c r="G110" s="31"/>
      <c r="I110" s="31"/>
      <c r="K110" s="31"/>
      <c r="M110" s="31"/>
      <c r="O110" s="31"/>
      <c r="Q110" s="31"/>
      <c r="S110" s="31"/>
      <c r="T110" s="22"/>
      <c r="U110" s="31"/>
    </row>
    <row r="111" ht="15.75" customHeight="1">
      <c r="A111" s="31"/>
      <c r="C111" s="31"/>
      <c r="E111" s="31"/>
      <c r="G111" s="31"/>
      <c r="I111" s="31"/>
      <c r="K111" s="31"/>
      <c r="M111" s="31"/>
      <c r="O111" s="31"/>
      <c r="Q111" s="31"/>
      <c r="S111" s="31"/>
      <c r="T111" s="22"/>
      <c r="U111" s="31"/>
    </row>
    <row r="112" ht="15.75" customHeight="1">
      <c r="A112" s="31"/>
      <c r="C112" s="31"/>
      <c r="E112" s="31"/>
      <c r="G112" s="31"/>
      <c r="I112" s="31"/>
      <c r="K112" s="31"/>
      <c r="M112" s="31"/>
      <c r="O112" s="31"/>
      <c r="Q112" s="31"/>
      <c r="S112" s="31"/>
      <c r="T112" s="22"/>
      <c r="U112" s="31"/>
    </row>
    <row r="113" ht="15.75" customHeight="1">
      <c r="A113" s="31"/>
      <c r="C113" s="31"/>
      <c r="E113" s="31"/>
      <c r="G113" s="31"/>
      <c r="I113" s="31"/>
      <c r="K113" s="31"/>
      <c r="M113" s="31"/>
      <c r="O113" s="31"/>
      <c r="Q113" s="31"/>
      <c r="S113" s="31"/>
      <c r="T113" s="22"/>
      <c r="U113" s="31"/>
    </row>
    <row r="114" ht="15.75" customHeight="1">
      <c r="A114" s="31"/>
      <c r="C114" s="31"/>
      <c r="E114" s="31"/>
      <c r="G114" s="31"/>
      <c r="I114" s="31"/>
      <c r="K114" s="31"/>
      <c r="M114" s="31"/>
      <c r="O114" s="31"/>
      <c r="Q114" s="31"/>
      <c r="S114" s="31"/>
      <c r="T114" s="22"/>
      <c r="U114" s="31"/>
    </row>
    <row r="115" ht="15.75" customHeight="1">
      <c r="A115" s="31"/>
      <c r="C115" s="31"/>
      <c r="E115" s="31"/>
      <c r="G115" s="31"/>
      <c r="I115" s="31"/>
      <c r="K115" s="31"/>
      <c r="M115" s="31"/>
      <c r="O115" s="31"/>
      <c r="Q115" s="31"/>
      <c r="S115" s="31"/>
      <c r="T115" s="22"/>
      <c r="U115" s="31"/>
    </row>
    <row r="116" ht="15.75" customHeight="1">
      <c r="A116" s="31"/>
      <c r="C116" s="31"/>
      <c r="E116" s="31"/>
      <c r="G116" s="31"/>
      <c r="I116" s="31"/>
      <c r="K116" s="31"/>
      <c r="M116" s="31"/>
      <c r="O116" s="31"/>
      <c r="Q116" s="31"/>
      <c r="S116" s="31"/>
      <c r="T116" s="22"/>
      <c r="U116" s="31"/>
    </row>
    <row r="117" ht="15.75" customHeight="1">
      <c r="A117" s="31"/>
      <c r="C117" s="31"/>
      <c r="E117" s="31"/>
      <c r="G117" s="31"/>
      <c r="I117" s="31"/>
      <c r="K117" s="31"/>
      <c r="M117" s="31"/>
      <c r="O117" s="31"/>
      <c r="Q117" s="31"/>
      <c r="S117" s="31"/>
      <c r="T117" s="22"/>
      <c r="U117" s="31"/>
    </row>
    <row r="118" ht="15.75" customHeight="1">
      <c r="A118" s="31"/>
      <c r="C118" s="31"/>
      <c r="E118" s="31"/>
      <c r="G118" s="31"/>
      <c r="I118" s="31"/>
      <c r="K118" s="31"/>
      <c r="M118" s="31"/>
      <c r="O118" s="31"/>
      <c r="Q118" s="31"/>
      <c r="S118" s="31"/>
      <c r="T118" s="22"/>
      <c r="U118" s="31"/>
    </row>
    <row r="119" ht="15.75" customHeight="1">
      <c r="A119" s="31"/>
      <c r="C119" s="31"/>
      <c r="E119" s="31"/>
      <c r="G119" s="31"/>
      <c r="I119" s="31"/>
      <c r="K119" s="31"/>
      <c r="M119" s="31"/>
      <c r="O119" s="31"/>
      <c r="Q119" s="31"/>
      <c r="S119" s="31"/>
      <c r="T119" s="22"/>
      <c r="U119" s="31"/>
    </row>
    <row r="120" ht="15.75" customHeight="1">
      <c r="A120" s="31"/>
      <c r="C120" s="31"/>
      <c r="E120" s="31"/>
      <c r="G120" s="31"/>
      <c r="I120" s="31"/>
      <c r="K120" s="31"/>
      <c r="M120" s="31"/>
      <c r="O120" s="31"/>
      <c r="Q120" s="31"/>
      <c r="S120" s="31"/>
      <c r="T120" s="22"/>
      <c r="U120" s="31"/>
    </row>
    <row r="121" ht="15.75" customHeight="1">
      <c r="A121" s="31"/>
      <c r="C121" s="31"/>
      <c r="E121" s="31"/>
      <c r="G121" s="31"/>
      <c r="I121" s="31"/>
      <c r="K121" s="31"/>
      <c r="M121" s="31"/>
      <c r="O121" s="31"/>
      <c r="Q121" s="31"/>
      <c r="S121" s="31"/>
      <c r="T121" s="22"/>
      <c r="U121" s="31"/>
    </row>
    <row r="122" ht="15.75" customHeight="1">
      <c r="A122" s="31"/>
      <c r="C122" s="31"/>
      <c r="E122" s="31"/>
      <c r="G122" s="31"/>
      <c r="I122" s="31"/>
      <c r="K122" s="31"/>
      <c r="M122" s="31"/>
      <c r="O122" s="31"/>
      <c r="Q122" s="31"/>
      <c r="S122" s="31"/>
      <c r="T122" s="22"/>
      <c r="U122" s="31"/>
    </row>
    <row r="123" ht="15.75" customHeight="1">
      <c r="A123" s="31"/>
      <c r="C123" s="31"/>
      <c r="E123" s="31"/>
      <c r="G123" s="31"/>
      <c r="I123" s="31"/>
      <c r="K123" s="31"/>
      <c r="M123" s="31"/>
      <c r="O123" s="31"/>
      <c r="Q123" s="31"/>
      <c r="S123" s="31"/>
      <c r="T123" s="22"/>
      <c r="U123" s="31"/>
    </row>
    <row r="124" ht="15.75" customHeight="1">
      <c r="A124" s="31"/>
      <c r="C124" s="31"/>
      <c r="E124" s="31"/>
      <c r="G124" s="31"/>
      <c r="I124" s="31"/>
      <c r="K124" s="31"/>
      <c r="M124" s="31"/>
      <c r="O124" s="31"/>
      <c r="Q124" s="31"/>
      <c r="S124" s="31"/>
      <c r="T124" s="22"/>
      <c r="U124" s="31"/>
    </row>
    <row r="125" ht="15.75" customHeight="1">
      <c r="A125" s="31"/>
      <c r="C125" s="31"/>
      <c r="E125" s="31"/>
      <c r="G125" s="31"/>
      <c r="I125" s="31"/>
      <c r="K125" s="31"/>
      <c r="M125" s="31"/>
      <c r="O125" s="31"/>
      <c r="Q125" s="31"/>
      <c r="S125" s="31"/>
      <c r="T125" s="22"/>
      <c r="U125" s="31"/>
    </row>
    <row r="126" ht="15.75" customHeight="1">
      <c r="A126" s="31"/>
      <c r="C126" s="31"/>
      <c r="E126" s="31"/>
      <c r="G126" s="31"/>
      <c r="I126" s="31"/>
      <c r="K126" s="31"/>
      <c r="M126" s="31"/>
      <c r="O126" s="31"/>
      <c r="Q126" s="31"/>
      <c r="S126" s="31"/>
      <c r="T126" s="22"/>
      <c r="U126" s="31"/>
    </row>
    <row r="127" ht="15.75" customHeight="1">
      <c r="A127" s="31"/>
      <c r="C127" s="31"/>
      <c r="E127" s="31"/>
      <c r="G127" s="31"/>
      <c r="I127" s="31"/>
      <c r="K127" s="31"/>
      <c r="M127" s="31"/>
      <c r="O127" s="31"/>
      <c r="Q127" s="31"/>
      <c r="S127" s="31"/>
      <c r="T127" s="22"/>
      <c r="U127" s="31"/>
    </row>
    <row r="128" ht="15.75" customHeight="1">
      <c r="A128" s="31"/>
      <c r="C128" s="31"/>
      <c r="E128" s="31"/>
      <c r="G128" s="31"/>
      <c r="I128" s="31"/>
      <c r="K128" s="31"/>
      <c r="M128" s="31"/>
      <c r="O128" s="31"/>
      <c r="Q128" s="31"/>
      <c r="S128" s="31"/>
      <c r="T128" s="22"/>
      <c r="U128" s="31"/>
    </row>
    <row r="129" ht="15.75" customHeight="1">
      <c r="A129" s="31"/>
      <c r="C129" s="31"/>
      <c r="E129" s="31"/>
      <c r="G129" s="31"/>
      <c r="I129" s="31"/>
      <c r="K129" s="31"/>
      <c r="M129" s="31"/>
      <c r="O129" s="31"/>
      <c r="Q129" s="31"/>
      <c r="S129" s="31"/>
      <c r="T129" s="22"/>
      <c r="U129" s="31"/>
    </row>
    <row r="130" ht="15.75" customHeight="1">
      <c r="A130" s="31"/>
      <c r="C130" s="31"/>
      <c r="E130" s="31"/>
      <c r="G130" s="31"/>
      <c r="I130" s="31"/>
      <c r="K130" s="31"/>
      <c r="M130" s="31"/>
      <c r="O130" s="31"/>
      <c r="Q130" s="31"/>
      <c r="S130" s="31"/>
      <c r="T130" s="22"/>
      <c r="U130" s="31"/>
    </row>
    <row r="131" ht="15.75" customHeight="1">
      <c r="A131" s="31"/>
      <c r="C131" s="31"/>
      <c r="E131" s="31"/>
      <c r="G131" s="31"/>
      <c r="I131" s="31"/>
      <c r="K131" s="31"/>
      <c r="M131" s="31"/>
      <c r="O131" s="31"/>
      <c r="Q131" s="31"/>
      <c r="S131" s="31"/>
      <c r="T131" s="22"/>
      <c r="U131" s="31"/>
    </row>
    <row r="132" ht="15.75" customHeight="1">
      <c r="A132" s="31"/>
      <c r="C132" s="31"/>
      <c r="E132" s="31"/>
      <c r="G132" s="31"/>
      <c r="I132" s="31"/>
      <c r="K132" s="31"/>
      <c r="M132" s="31"/>
      <c r="O132" s="31"/>
      <c r="Q132" s="31"/>
      <c r="S132" s="31"/>
      <c r="T132" s="22"/>
      <c r="U132" s="31"/>
    </row>
    <row r="133" ht="15.75" customHeight="1">
      <c r="A133" s="31"/>
      <c r="C133" s="31"/>
      <c r="E133" s="31"/>
      <c r="G133" s="31"/>
      <c r="I133" s="31"/>
      <c r="K133" s="31"/>
      <c r="M133" s="31"/>
      <c r="O133" s="31"/>
      <c r="Q133" s="31"/>
      <c r="S133" s="31"/>
      <c r="T133" s="22"/>
      <c r="U133" s="31"/>
    </row>
    <row r="134" ht="15.75" customHeight="1">
      <c r="A134" s="31"/>
      <c r="C134" s="31"/>
      <c r="E134" s="31"/>
      <c r="G134" s="31"/>
      <c r="I134" s="31"/>
      <c r="K134" s="31"/>
      <c r="M134" s="31"/>
      <c r="O134" s="31"/>
      <c r="Q134" s="31"/>
      <c r="S134" s="31"/>
      <c r="T134" s="22"/>
      <c r="U134" s="31"/>
    </row>
    <row r="135" ht="15.75" customHeight="1">
      <c r="A135" s="31"/>
      <c r="C135" s="31"/>
      <c r="E135" s="31"/>
      <c r="G135" s="31"/>
      <c r="I135" s="31"/>
      <c r="K135" s="31"/>
      <c r="M135" s="31"/>
      <c r="O135" s="31"/>
      <c r="Q135" s="31"/>
      <c r="S135" s="31"/>
      <c r="T135" s="22"/>
      <c r="U135" s="31"/>
    </row>
    <row r="136" ht="15.75" customHeight="1">
      <c r="A136" s="31"/>
      <c r="C136" s="31"/>
      <c r="E136" s="31"/>
      <c r="G136" s="31"/>
      <c r="I136" s="31"/>
      <c r="K136" s="31"/>
      <c r="M136" s="31"/>
      <c r="O136" s="31"/>
      <c r="Q136" s="31"/>
      <c r="S136" s="31"/>
      <c r="T136" s="22"/>
      <c r="U136" s="31"/>
    </row>
    <row r="137" ht="15.75" customHeight="1">
      <c r="A137" s="31"/>
      <c r="C137" s="31"/>
      <c r="E137" s="31"/>
      <c r="G137" s="31"/>
      <c r="I137" s="31"/>
      <c r="K137" s="31"/>
      <c r="M137" s="31"/>
      <c r="O137" s="31"/>
      <c r="Q137" s="31"/>
      <c r="S137" s="31"/>
      <c r="T137" s="22"/>
      <c r="U137" s="31"/>
    </row>
    <row r="138" ht="15.75" customHeight="1">
      <c r="A138" s="31"/>
      <c r="C138" s="31"/>
      <c r="E138" s="31"/>
      <c r="G138" s="31"/>
      <c r="I138" s="31"/>
      <c r="K138" s="31"/>
      <c r="M138" s="31"/>
      <c r="O138" s="31"/>
      <c r="Q138" s="31"/>
      <c r="S138" s="31"/>
      <c r="T138" s="22"/>
      <c r="U138" s="31"/>
    </row>
    <row r="139" ht="15.75" customHeight="1">
      <c r="A139" s="31"/>
      <c r="C139" s="31"/>
      <c r="E139" s="31"/>
      <c r="G139" s="31"/>
      <c r="I139" s="31"/>
      <c r="K139" s="31"/>
      <c r="M139" s="31"/>
      <c r="O139" s="31"/>
      <c r="Q139" s="31"/>
      <c r="S139" s="31"/>
      <c r="T139" s="22"/>
      <c r="U139" s="31"/>
    </row>
    <row r="140" ht="15.75" customHeight="1">
      <c r="A140" s="31"/>
      <c r="C140" s="31"/>
      <c r="E140" s="31"/>
      <c r="G140" s="31"/>
      <c r="I140" s="31"/>
      <c r="K140" s="31"/>
      <c r="M140" s="31"/>
      <c r="O140" s="31"/>
      <c r="Q140" s="31"/>
      <c r="S140" s="31"/>
      <c r="T140" s="22"/>
      <c r="U140" s="31"/>
    </row>
    <row r="141" ht="15.75" customHeight="1">
      <c r="A141" s="31"/>
      <c r="C141" s="31"/>
      <c r="E141" s="31"/>
      <c r="G141" s="31"/>
      <c r="I141" s="31"/>
      <c r="K141" s="31"/>
      <c r="M141" s="31"/>
      <c r="O141" s="31"/>
      <c r="Q141" s="31"/>
      <c r="S141" s="31"/>
      <c r="U141" s="31"/>
    </row>
    <row r="142" ht="15.75" customHeight="1">
      <c r="A142" s="31"/>
      <c r="C142" s="31"/>
      <c r="E142" s="31"/>
      <c r="G142" s="31"/>
      <c r="I142" s="31"/>
      <c r="K142" s="31"/>
      <c r="M142" s="31"/>
      <c r="O142" s="31"/>
      <c r="Q142" s="31"/>
      <c r="S142" s="31"/>
      <c r="U142" s="31"/>
    </row>
    <row r="143" ht="15.75" customHeight="1">
      <c r="A143" s="31"/>
      <c r="C143" s="31"/>
      <c r="E143" s="31"/>
      <c r="G143" s="31"/>
      <c r="I143" s="31"/>
      <c r="K143" s="31"/>
      <c r="M143" s="31"/>
      <c r="O143" s="31"/>
      <c r="Q143" s="31"/>
      <c r="S143" s="31"/>
      <c r="U143" s="31"/>
    </row>
    <row r="144" ht="15.75" customHeight="1">
      <c r="A144" s="31"/>
      <c r="C144" s="31"/>
      <c r="E144" s="31"/>
      <c r="G144" s="31"/>
      <c r="I144" s="31"/>
      <c r="K144" s="31"/>
      <c r="M144" s="31"/>
      <c r="O144" s="31"/>
      <c r="Q144" s="31"/>
      <c r="S144" s="31"/>
      <c r="U144" s="31"/>
    </row>
    <row r="145" ht="15.75" customHeight="1">
      <c r="A145" s="31"/>
      <c r="C145" s="31"/>
      <c r="E145" s="31"/>
      <c r="G145" s="31"/>
      <c r="I145" s="31"/>
      <c r="K145" s="31"/>
      <c r="M145" s="31"/>
      <c r="O145" s="31"/>
      <c r="Q145" s="31"/>
      <c r="S145" s="31"/>
      <c r="U145" s="31"/>
    </row>
    <row r="146" ht="15.75" customHeight="1">
      <c r="A146" s="31"/>
      <c r="C146" s="31"/>
      <c r="E146" s="31"/>
      <c r="G146" s="31"/>
      <c r="I146" s="31"/>
      <c r="K146" s="31"/>
      <c r="M146" s="31"/>
      <c r="O146" s="31"/>
      <c r="Q146" s="31"/>
      <c r="S146" s="31"/>
      <c r="U146" s="31"/>
    </row>
    <row r="147" ht="15.75" customHeight="1">
      <c r="A147" s="31"/>
      <c r="C147" s="31"/>
      <c r="E147" s="31"/>
      <c r="G147" s="31"/>
      <c r="I147" s="31"/>
      <c r="K147" s="31"/>
      <c r="M147" s="31"/>
      <c r="O147" s="31"/>
      <c r="Q147" s="31"/>
      <c r="S147" s="31"/>
      <c r="U147" s="31"/>
    </row>
    <row r="148" ht="15.75" customHeight="1">
      <c r="A148" s="31"/>
      <c r="C148" s="31"/>
      <c r="E148" s="31"/>
      <c r="G148" s="31"/>
      <c r="I148" s="31"/>
      <c r="K148" s="31"/>
      <c r="M148" s="31"/>
      <c r="O148" s="31"/>
      <c r="Q148" s="31"/>
      <c r="S148" s="31"/>
      <c r="U148" s="31"/>
    </row>
    <row r="149" ht="15.75" customHeight="1">
      <c r="A149" s="31"/>
      <c r="C149" s="31"/>
      <c r="E149" s="31"/>
      <c r="G149" s="31"/>
      <c r="I149" s="31"/>
      <c r="K149" s="31"/>
      <c r="M149" s="31"/>
      <c r="O149" s="31"/>
      <c r="Q149" s="31"/>
      <c r="S149" s="31"/>
      <c r="U149" s="31"/>
    </row>
    <row r="150" ht="15.75" customHeight="1">
      <c r="A150" s="31"/>
      <c r="C150" s="31"/>
      <c r="E150" s="31"/>
      <c r="G150" s="31"/>
      <c r="I150" s="31"/>
      <c r="K150" s="31"/>
      <c r="M150" s="31"/>
      <c r="O150" s="31"/>
      <c r="Q150" s="31"/>
      <c r="S150" s="31"/>
      <c r="U150" s="31"/>
    </row>
    <row r="151" ht="15.75" customHeight="1">
      <c r="A151" s="31"/>
      <c r="C151" s="31"/>
      <c r="E151" s="31"/>
      <c r="G151" s="31"/>
      <c r="I151" s="31"/>
      <c r="K151" s="31"/>
      <c r="M151" s="31"/>
      <c r="O151" s="31"/>
      <c r="Q151" s="31"/>
      <c r="S151" s="31"/>
      <c r="U151" s="31"/>
    </row>
    <row r="152" ht="15.75" customHeight="1">
      <c r="A152" s="31"/>
      <c r="C152" s="31"/>
      <c r="E152" s="31"/>
      <c r="G152" s="31"/>
      <c r="I152" s="31"/>
      <c r="K152" s="31"/>
      <c r="M152" s="31"/>
      <c r="O152" s="31"/>
      <c r="Q152" s="31"/>
      <c r="S152" s="31"/>
      <c r="U152" s="31"/>
    </row>
    <row r="153" ht="15.75" customHeight="1">
      <c r="A153" s="31"/>
      <c r="C153" s="31"/>
      <c r="E153" s="31"/>
      <c r="G153" s="31"/>
      <c r="I153" s="31"/>
      <c r="K153" s="31"/>
      <c r="M153" s="31"/>
      <c r="O153" s="31"/>
      <c r="Q153" s="31"/>
      <c r="S153" s="31"/>
      <c r="U153" s="31"/>
    </row>
    <row r="154" ht="15.75" customHeight="1">
      <c r="A154" s="31"/>
      <c r="C154" s="31"/>
      <c r="E154" s="31"/>
      <c r="G154" s="31"/>
      <c r="I154" s="31"/>
      <c r="K154" s="31"/>
      <c r="M154" s="31"/>
      <c r="O154" s="31"/>
      <c r="Q154" s="31"/>
      <c r="S154" s="31"/>
      <c r="U154" s="31"/>
    </row>
    <row r="155" ht="15.75" customHeight="1">
      <c r="A155" s="31"/>
      <c r="C155" s="31"/>
      <c r="E155" s="31"/>
      <c r="G155" s="31"/>
      <c r="I155" s="31"/>
      <c r="K155" s="31"/>
      <c r="M155" s="31"/>
      <c r="O155" s="31"/>
      <c r="Q155" s="31"/>
      <c r="S155" s="31"/>
      <c r="U155" s="31"/>
    </row>
    <row r="156" ht="15.75" customHeight="1">
      <c r="A156" s="31"/>
      <c r="C156" s="31"/>
      <c r="E156" s="31"/>
      <c r="G156" s="31"/>
      <c r="I156" s="31"/>
      <c r="K156" s="31"/>
      <c r="M156" s="31"/>
      <c r="O156" s="31"/>
      <c r="Q156" s="31"/>
      <c r="S156" s="31"/>
      <c r="U156" s="31"/>
    </row>
    <row r="157" ht="15.75" customHeight="1">
      <c r="A157" s="31"/>
      <c r="C157" s="31"/>
      <c r="E157" s="31"/>
      <c r="G157" s="31"/>
      <c r="I157" s="31"/>
      <c r="K157" s="31"/>
      <c r="M157" s="31"/>
      <c r="O157" s="31"/>
      <c r="Q157" s="31"/>
      <c r="S157" s="31"/>
      <c r="U157" s="31"/>
    </row>
    <row r="158" ht="15.75" customHeight="1">
      <c r="A158" s="31"/>
      <c r="C158" s="31"/>
      <c r="E158" s="31"/>
      <c r="G158" s="31"/>
      <c r="I158" s="31"/>
      <c r="K158" s="31"/>
      <c r="M158" s="31"/>
      <c r="O158" s="31"/>
      <c r="Q158" s="31"/>
      <c r="S158" s="31"/>
      <c r="U158" s="31"/>
    </row>
    <row r="159" ht="15.75" customHeight="1">
      <c r="A159" s="31"/>
      <c r="C159" s="31"/>
      <c r="E159" s="31"/>
      <c r="G159" s="31"/>
      <c r="I159" s="31"/>
      <c r="K159" s="31"/>
      <c r="M159" s="31"/>
      <c r="O159" s="31"/>
      <c r="Q159" s="31"/>
      <c r="S159" s="31"/>
      <c r="U159" s="31"/>
    </row>
    <row r="160" ht="15.75" customHeight="1">
      <c r="A160" s="31"/>
      <c r="C160" s="31"/>
      <c r="E160" s="31"/>
      <c r="G160" s="31"/>
      <c r="I160" s="31"/>
      <c r="K160" s="31"/>
      <c r="M160" s="31"/>
      <c r="O160" s="31"/>
      <c r="Q160" s="31"/>
      <c r="S160" s="31"/>
      <c r="U160" s="31"/>
    </row>
    <row r="161" ht="15.75" customHeight="1">
      <c r="A161" s="31"/>
      <c r="C161" s="31"/>
      <c r="E161" s="31"/>
      <c r="G161" s="31"/>
      <c r="I161" s="31"/>
      <c r="K161" s="31"/>
      <c r="M161" s="31"/>
      <c r="O161" s="31"/>
      <c r="Q161" s="31"/>
      <c r="S161" s="31"/>
      <c r="U161" s="31"/>
    </row>
    <row r="162" ht="15.75" customHeight="1">
      <c r="A162" s="31"/>
      <c r="C162" s="31"/>
      <c r="E162" s="31"/>
      <c r="G162" s="31"/>
      <c r="I162" s="31"/>
      <c r="K162" s="31"/>
      <c r="M162" s="31"/>
      <c r="O162" s="31"/>
      <c r="Q162" s="31"/>
      <c r="S162" s="31"/>
      <c r="U162" s="31"/>
    </row>
    <row r="163" ht="15.75" customHeight="1">
      <c r="A163" s="31"/>
      <c r="C163" s="31"/>
      <c r="E163" s="31"/>
      <c r="G163" s="31"/>
      <c r="I163" s="31"/>
      <c r="K163" s="31"/>
      <c r="M163" s="31"/>
      <c r="O163" s="31"/>
      <c r="Q163" s="31"/>
      <c r="S163" s="31"/>
      <c r="U163" s="31"/>
    </row>
    <row r="164" ht="15.75" customHeight="1">
      <c r="A164" s="31"/>
      <c r="C164" s="31"/>
      <c r="E164" s="31"/>
      <c r="G164" s="31"/>
      <c r="I164" s="31"/>
      <c r="K164" s="31"/>
      <c r="M164" s="31"/>
      <c r="O164" s="31"/>
      <c r="Q164" s="31"/>
      <c r="S164" s="31"/>
      <c r="U164" s="31"/>
    </row>
    <row r="165" ht="15.75" customHeight="1">
      <c r="A165" s="31"/>
      <c r="C165" s="31"/>
      <c r="E165" s="31"/>
      <c r="G165" s="31"/>
      <c r="I165" s="31"/>
      <c r="K165" s="31"/>
      <c r="M165" s="31"/>
      <c r="O165" s="31"/>
      <c r="Q165" s="31"/>
      <c r="S165" s="31"/>
      <c r="U165" s="31"/>
    </row>
    <row r="166" ht="15.75" customHeight="1">
      <c r="A166" s="31"/>
      <c r="C166" s="31"/>
      <c r="E166" s="31"/>
      <c r="G166" s="31"/>
      <c r="I166" s="31"/>
      <c r="K166" s="31"/>
      <c r="M166" s="31"/>
      <c r="O166" s="31"/>
      <c r="Q166" s="31"/>
      <c r="S166" s="31"/>
      <c r="U166" s="31"/>
    </row>
    <row r="167" ht="15.75" customHeight="1">
      <c r="A167" s="31"/>
      <c r="C167" s="31"/>
      <c r="E167" s="31"/>
      <c r="G167" s="31"/>
      <c r="I167" s="31"/>
      <c r="K167" s="31"/>
      <c r="M167" s="31"/>
      <c r="O167" s="31"/>
      <c r="Q167" s="31"/>
      <c r="S167" s="31"/>
      <c r="U167" s="31"/>
    </row>
    <row r="168" ht="15.75" customHeight="1">
      <c r="A168" s="31"/>
      <c r="C168" s="31"/>
      <c r="E168" s="31"/>
      <c r="G168" s="31"/>
      <c r="I168" s="31"/>
      <c r="K168" s="31"/>
      <c r="M168" s="31"/>
      <c r="O168" s="31"/>
      <c r="Q168" s="31"/>
      <c r="S168" s="31"/>
      <c r="U168" s="31"/>
    </row>
    <row r="169" ht="15.75" customHeight="1">
      <c r="A169" s="31"/>
      <c r="C169" s="31"/>
      <c r="E169" s="31"/>
      <c r="G169" s="31"/>
      <c r="I169" s="31"/>
      <c r="K169" s="31"/>
      <c r="M169" s="31"/>
      <c r="O169" s="31"/>
      <c r="Q169" s="31"/>
      <c r="S169" s="31"/>
      <c r="U169" s="31"/>
    </row>
    <row r="170" ht="15.75" customHeight="1">
      <c r="A170" s="31"/>
      <c r="C170" s="31"/>
      <c r="E170" s="31"/>
      <c r="G170" s="31"/>
      <c r="I170" s="31"/>
      <c r="K170" s="31"/>
      <c r="M170" s="31"/>
      <c r="O170" s="31"/>
      <c r="Q170" s="31"/>
      <c r="S170" s="31"/>
      <c r="U170" s="31"/>
    </row>
    <row r="171" ht="15.75" customHeight="1">
      <c r="A171" s="31"/>
      <c r="C171" s="31"/>
      <c r="E171" s="31"/>
      <c r="G171" s="31"/>
      <c r="I171" s="31"/>
      <c r="K171" s="31"/>
      <c r="M171" s="31"/>
      <c r="O171" s="31"/>
      <c r="Q171" s="31"/>
      <c r="S171" s="31"/>
      <c r="U171" s="31"/>
    </row>
    <row r="172" ht="15.75" customHeight="1">
      <c r="A172" s="31"/>
      <c r="C172" s="31"/>
      <c r="E172" s="31"/>
      <c r="G172" s="31"/>
      <c r="I172" s="31"/>
      <c r="K172" s="31"/>
      <c r="M172" s="31"/>
      <c r="O172" s="31"/>
      <c r="Q172" s="31"/>
      <c r="S172" s="31"/>
      <c r="U172" s="31"/>
    </row>
    <row r="173" ht="15.75" customHeight="1">
      <c r="A173" s="31"/>
      <c r="C173" s="31"/>
      <c r="E173" s="31"/>
      <c r="G173" s="31"/>
      <c r="I173" s="31"/>
      <c r="K173" s="31"/>
      <c r="M173" s="31"/>
      <c r="O173" s="31"/>
      <c r="Q173" s="31"/>
      <c r="S173" s="31"/>
      <c r="U173" s="31"/>
    </row>
    <row r="174" ht="15.75" customHeight="1">
      <c r="A174" s="31"/>
      <c r="C174" s="31"/>
      <c r="E174" s="31"/>
      <c r="G174" s="31"/>
      <c r="I174" s="31"/>
      <c r="K174" s="31"/>
      <c r="M174" s="31"/>
      <c r="O174" s="31"/>
      <c r="Q174" s="31"/>
      <c r="S174" s="31"/>
      <c r="U174" s="31"/>
    </row>
    <row r="175" ht="15.75" customHeight="1">
      <c r="A175" s="31"/>
      <c r="C175" s="31"/>
      <c r="E175" s="31"/>
      <c r="G175" s="31"/>
      <c r="I175" s="31"/>
      <c r="K175" s="31"/>
      <c r="M175" s="31"/>
      <c r="O175" s="31"/>
      <c r="Q175" s="31"/>
      <c r="S175" s="31"/>
      <c r="U175" s="31"/>
    </row>
    <row r="176" ht="15.75" customHeight="1">
      <c r="A176" s="31"/>
      <c r="C176" s="31"/>
      <c r="E176" s="31"/>
      <c r="G176" s="31"/>
      <c r="I176" s="31"/>
      <c r="K176" s="31"/>
      <c r="M176" s="31"/>
      <c r="O176" s="31"/>
      <c r="Q176" s="31"/>
      <c r="S176" s="31"/>
      <c r="U176" s="31"/>
    </row>
    <row r="177" ht="15.75" customHeight="1">
      <c r="A177" s="31"/>
      <c r="C177" s="31"/>
      <c r="E177" s="31"/>
      <c r="G177" s="31"/>
      <c r="I177" s="31"/>
      <c r="K177" s="31"/>
      <c r="M177" s="31"/>
      <c r="O177" s="31"/>
      <c r="Q177" s="31"/>
      <c r="S177" s="31"/>
      <c r="U177" s="31"/>
    </row>
    <row r="178" ht="15.75" customHeight="1">
      <c r="A178" s="31"/>
      <c r="C178" s="31"/>
      <c r="E178" s="31"/>
      <c r="G178" s="31"/>
      <c r="I178" s="31"/>
      <c r="K178" s="31"/>
      <c r="M178" s="31"/>
      <c r="O178" s="31"/>
      <c r="Q178" s="31"/>
      <c r="S178" s="31"/>
      <c r="U178" s="31"/>
    </row>
    <row r="179" ht="15.75" customHeight="1">
      <c r="A179" s="31"/>
      <c r="C179" s="31"/>
      <c r="E179" s="31"/>
      <c r="G179" s="31"/>
      <c r="I179" s="31"/>
      <c r="K179" s="31"/>
      <c r="M179" s="31"/>
      <c r="O179" s="31"/>
      <c r="Q179" s="31"/>
      <c r="S179" s="31"/>
      <c r="U179" s="31"/>
    </row>
    <row r="180" ht="15.75" customHeight="1">
      <c r="A180" s="31"/>
      <c r="C180" s="31"/>
      <c r="E180" s="31"/>
      <c r="G180" s="31"/>
      <c r="I180" s="31"/>
      <c r="K180" s="31"/>
      <c r="M180" s="31"/>
      <c r="O180" s="31"/>
      <c r="Q180" s="31"/>
      <c r="S180" s="31"/>
      <c r="U180" s="31"/>
    </row>
    <row r="181" ht="15.75" customHeight="1">
      <c r="A181" s="31"/>
      <c r="C181" s="31"/>
      <c r="E181" s="31"/>
      <c r="G181" s="31"/>
      <c r="I181" s="31"/>
      <c r="K181" s="31"/>
      <c r="M181" s="31"/>
      <c r="O181" s="31"/>
      <c r="Q181" s="31"/>
      <c r="S181" s="31"/>
      <c r="U181" s="31"/>
    </row>
    <row r="182" ht="15.75" customHeight="1">
      <c r="A182" s="31"/>
      <c r="C182" s="31"/>
      <c r="E182" s="31"/>
      <c r="G182" s="31"/>
      <c r="I182" s="31"/>
      <c r="K182" s="31"/>
      <c r="M182" s="31"/>
      <c r="O182" s="31"/>
      <c r="Q182" s="31"/>
      <c r="S182" s="31"/>
      <c r="U182" s="31"/>
    </row>
    <row r="183" ht="15.75" customHeight="1">
      <c r="A183" s="31"/>
      <c r="C183" s="31"/>
      <c r="E183" s="31"/>
      <c r="G183" s="31"/>
      <c r="I183" s="31"/>
      <c r="K183" s="31"/>
      <c r="M183" s="31"/>
      <c r="O183" s="31"/>
      <c r="Q183" s="31"/>
      <c r="S183" s="31"/>
      <c r="U183" s="31"/>
    </row>
    <row r="184" ht="15.75" customHeight="1">
      <c r="A184" s="31"/>
      <c r="C184" s="31"/>
      <c r="E184" s="31"/>
      <c r="G184" s="31"/>
      <c r="I184" s="31"/>
      <c r="K184" s="31"/>
      <c r="M184" s="31"/>
      <c r="O184" s="31"/>
      <c r="Q184" s="31"/>
      <c r="S184" s="31"/>
      <c r="U184" s="31"/>
    </row>
    <row r="185" ht="15.75" customHeight="1">
      <c r="A185" s="31"/>
      <c r="C185" s="31"/>
      <c r="E185" s="31"/>
      <c r="G185" s="31"/>
      <c r="I185" s="31"/>
      <c r="K185" s="31"/>
      <c r="M185" s="31"/>
      <c r="O185" s="31"/>
      <c r="Q185" s="31"/>
      <c r="S185" s="31"/>
      <c r="U185" s="31"/>
    </row>
    <row r="186" ht="15.75" customHeight="1">
      <c r="A186" s="31"/>
      <c r="C186" s="31"/>
      <c r="E186" s="31"/>
      <c r="G186" s="31"/>
      <c r="I186" s="31"/>
      <c r="K186" s="31"/>
      <c r="M186" s="31"/>
      <c r="O186" s="31"/>
      <c r="Q186" s="31"/>
      <c r="S186" s="31"/>
      <c r="U186" s="31"/>
    </row>
    <row r="187" ht="15.75" customHeight="1">
      <c r="A187" s="31"/>
      <c r="C187" s="31"/>
      <c r="E187" s="31"/>
      <c r="G187" s="31"/>
      <c r="I187" s="31"/>
      <c r="K187" s="31"/>
      <c r="M187" s="31"/>
      <c r="O187" s="31"/>
      <c r="Q187" s="31"/>
      <c r="S187" s="31"/>
      <c r="U187" s="31"/>
    </row>
    <row r="188" ht="15.75" customHeight="1">
      <c r="A188" s="31"/>
      <c r="C188" s="31"/>
      <c r="E188" s="31"/>
      <c r="G188" s="31"/>
      <c r="I188" s="31"/>
      <c r="K188" s="31"/>
      <c r="M188" s="31"/>
      <c r="O188" s="31"/>
      <c r="Q188" s="31"/>
      <c r="S188" s="31"/>
      <c r="U188" s="31"/>
    </row>
    <row r="189" ht="15.75" customHeight="1">
      <c r="A189" s="31"/>
      <c r="C189" s="31"/>
      <c r="E189" s="31"/>
      <c r="G189" s="31"/>
      <c r="I189" s="31"/>
      <c r="K189" s="31"/>
      <c r="M189" s="31"/>
      <c r="O189" s="31"/>
      <c r="Q189" s="31"/>
      <c r="S189" s="31"/>
      <c r="U189" s="31"/>
    </row>
    <row r="190" ht="15.75" customHeight="1">
      <c r="A190" s="31"/>
      <c r="C190" s="31"/>
      <c r="E190" s="31"/>
      <c r="G190" s="31"/>
      <c r="I190" s="31"/>
      <c r="K190" s="31"/>
      <c r="M190" s="31"/>
      <c r="O190" s="31"/>
      <c r="Q190" s="31"/>
      <c r="S190" s="31"/>
      <c r="U190" s="31"/>
    </row>
    <row r="191" ht="15.75" customHeight="1">
      <c r="A191" s="31"/>
      <c r="C191" s="31"/>
      <c r="E191" s="31"/>
      <c r="G191" s="31"/>
      <c r="I191" s="31"/>
      <c r="K191" s="31"/>
      <c r="M191" s="31"/>
      <c r="O191" s="31"/>
      <c r="Q191" s="31"/>
      <c r="S191" s="31"/>
      <c r="U191" s="31"/>
    </row>
    <row r="192" ht="15.75" customHeight="1">
      <c r="A192" s="31"/>
      <c r="C192" s="31"/>
      <c r="E192" s="31"/>
      <c r="G192" s="31"/>
      <c r="I192" s="31"/>
      <c r="K192" s="31"/>
      <c r="M192" s="31"/>
      <c r="O192" s="31"/>
      <c r="Q192" s="31"/>
      <c r="S192" s="31"/>
      <c r="U192" s="31"/>
    </row>
    <row r="193" ht="15.75" customHeight="1">
      <c r="A193" s="31"/>
      <c r="C193" s="31"/>
      <c r="E193" s="31"/>
      <c r="G193" s="31"/>
      <c r="I193" s="31"/>
      <c r="K193" s="31"/>
      <c r="M193" s="31"/>
      <c r="O193" s="31"/>
      <c r="Q193" s="31"/>
      <c r="S193" s="31"/>
      <c r="U193" s="31"/>
    </row>
    <row r="194" ht="15.75" customHeight="1">
      <c r="A194" s="31"/>
      <c r="C194" s="31"/>
      <c r="E194" s="31"/>
      <c r="G194" s="31"/>
      <c r="I194" s="31"/>
      <c r="K194" s="31"/>
      <c r="M194" s="31"/>
      <c r="O194" s="31"/>
      <c r="Q194" s="31"/>
      <c r="S194" s="31"/>
      <c r="U194" s="31"/>
    </row>
    <row r="195" ht="15.75" customHeight="1">
      <c r="A195" s="31"/>
      <c r="C195" s="31"/>
      <c r="E195" s="31"/>
      <c r="G195" s="31"/>
      <c r="I195" s="31"/>
      <c r="K195" s="31"/>
      <c r="M195" s="31"/>
      <c r="O195" s="31"/>
      <c r="Q195" s="31"/>
      <c r="S195" s="31"/>
      <c r="U195" s="31"/>
    </row>
    <row r="196" ht="15.75" customHeight="1">
      <c r="A196" s="31"/>
      <c r="C196" s="31"/>
      <c r="E196" s="31"/>
      <c r="G196" s="31"/>
      <c r="I196" s="31"/>
      <c r="K196" s="31"/>
      <c r="M196" s="31"/>
      <c r="O196" s="31"/>
      <c r="Q196" s="31"/>
      <c r="S196" s="31"/>
      <c r="U196" s="31"/>
    </row>
    <row r="197" ht="15.75" customHeight="1">
      <c r="A197" s="31"/>
      <c r="C197" s="31"/>
      <c r="E197" s="31"/>
      <c r="G197" s="31"/>
      <c r="I197" s="31"/>
      <c r="K197" s="31"/>
      <c r="M197" s="31"/>
      <c r="O197" s="31"/>
      <c r="Q197" s="31"/>
      <c r="S197" s="31"/>
      <c r="U197" s="31"/>
    </row>
    <row r="198" ht="15.75" customHeight="1">
      <c r="A198" s="31"/>
      <c r="C198" s="31"/>
      <c r="E198" s="31"/>
      <c r="G198" s="31"/>
      <c r="I198" s="31"/>
      <c r="K198" s="31"/>
      <c r="M198" s="31"/>
      <c r="O198" s="31"/>
      <c r="Q198" s="31"/>
      <c r="S198" s="31"/>
      <c r="U198" s="31"/>
    </row>
    <row r="199" ht="15.75" customHeight="1">
      <c r="A199" s="31"/>
      <c r="C199" s="31"/>
      <c r="E199" s="31"/>
      <c r="G199" s="31"/>
      <c r="I199" s="31"/>
      <c r="K199" s="31"/>
      <c r="M199" s="31"/>
      <c r="O199" s="31"/>
      <c r="Q199" s="31"/>
      <c r="S199" s="31"/>
      <c r="U199" s="31"/>
    </row>
    <row r="200" ht="15.75" customHeight="1">
      <c r="A200" s="31"/>
      <c r="C200" s="31"/>
      <c r="E200" s="31"/>
      <c r="G200" s="31"/>
      <c r="I200" s="31"/>
      <c r="K200" s="31"/>
      <c r="M200" s="31"/>
      <c r="O200" s="31"/>
      <c r="Q200" s="31"/>
      <c r="S200" s="31"/>
      <c r="U200" s="31"/>
    </row>
    <row r="201" ht="15.75" customHeight="1">
      <c r="A201" s="31"/>
      <c r="C201" s="31"/>
      <c r="E201" s="31"/>
      <c r="G201" s="31"/>
      <c r="I201" s="31"/>
      <c r="K201" s="31"/>
      <c r="M201" s="31"/>
      <c r="O201" s="31"/>
      <c r="Q201" s="31"/>
      <c r="S201" s="31"/>
      <c r="U201" s="31"/>
    </row>
    <row r="202" ht="15.75" customHeight="1">
      <c r="A202" s="31"/>
      <c r="C202" s="31"/>
      <c r="E202" s="31"/>
      <c r="G202" s="31"/>
      <c r="I202" s="31"/>
      <c r="K202" s="31"/>
      <c r="M202" s="31"/>
      <c r="O202" s="31"/>
      <c r="Q202" s="31"/>
      <c r="S202" s="31"/>
      <c r="U202" s="31"/>
    </row>
    <row r="203" ht="15.75" customHeight="1">
      <c r="A203" s="31"/>
      <c r="C203" s="31"/>
      <c r="E203" s="31"/>
      <c r="G203" s="31"/>
      <c r="I203" s="31"/>
      <c r="K203" s="31"/>
      <c r="M203" s="31"/>
      <c r="O203" s="31"/>
      <c r="Q203" s="31"/>
      <c r="S203" s="31"/>
      <c r="U203" s="31"/>
    </row>
    <row r="204" ht="15.75" customHeight="1">
      <c r="A204" s="31"/>
      <c r="C204" s="31"/>
      <c r="E204" s="31"/>
      <c r="G204" s="31"/>
      <c r="I204" s="31"/>
      <c r="K204" s="31"/>
      <c r="M204" s="31"/>
      <c r="O204" s="31"/>
      <c r="Q204" s="31"/>
      <c r="S204" s="31"/>
      <c r="U204" s="31"/>
    </row>
    <row r="205" ht="15.75" customHeight="1">
      <c r="A205" s="31"/>
      <c r="C205" s="31"/>
      <c r="E205" s="31"/>
      <c r="G205" s="31"/>
      <c r="I205" s="31"/>
      <c r="K205" s="31"/>
      <c r="M205" s="31"/>
      <c r="O205" s="31"/>
      <c r="Q205" s="31"/>
      <c r="S205" s="31"/>
      <c r="U205" s="31"/>
    </row>
    <row r="206" ht="15.75" customHeight="1">
      <c r="A206" s="31"/>
      <c r="C206" s="31"/>
      <c r="E206" s="31"/>
      <c r="G206" s="31"/>
      <c r="I206" s="31"/>
      <c r="K206" s="31"/>
      <c r="M206" s="31"/>
      <c r="O206" s="31"/>
      <c r="Q206" s="31"/>
      <c r="S206" s="31"/>
      <c r="U206" s="31"/>
    </row>
    <row r="207" ht="15.75" customHeight="1">
      <c r="A207" s="31"/>
      <c r="C207" s="31"/>
      <c r="E207" s="31"/>
      <c r="G207" s="31"/>
      <c r="I207" s="31"/>
      <c r="K207" s="31"/>
      <c r="M207" s="31"/>
      <c r="O207" s="31"/>
      <c r="Q207" s="31"/>
      <c r="S207" s="31"/>
      <c r="U207" s="31"/>
    </row>
    <row r="208" ht="15.75" customHeight="1">
      <c r="A208" s="31"/>
      <c r="C208" s="31"/>
      <c r="E208" s="31"/>
      <c r="G208" s="31"/>
      <c r="I208" s="31"/>
      <c r="K208" s="31"/>
      <c r="M208" s="31"/>
      <c r="O208" s="31"/>
      <c r="Q208" s="31"/>
      <c r="S208" s="31"/>
      <c r="U208" s="31"/>
    </row>
    <row r="209" ht="15.75" customHeight="1">
      <c r="A209" s="31"/>
      <c r="C209" s="31"/>
      <c r="E209" s="31"/>
      <c r="G209" s="31"/>
      <c r="I209" s="31"/>
      <c r="K209" s="31"/>
      <c r="M209" s="31"/>
      <c r="O209" s="31"/>
      <c r="Q209" s="31"/>
      <c r="S209" s="31"/>
      <c r="U209" s="31"/>
    </row>
    <row r="210" ht="15.75" customHeight="1">
      <c r="A210" s="31"/>
      <c r="C210" s="31"/>
      <c r="E210" s="31"/>
      <c r="G210" s="31"/>
      <c r="I210" s="31"/>
      <c r="K210" s="31"/>
      <c r="M210" s="31"/>
      <c r="O210" s="31"/>
      <c r="Q210" s="31"/>
      <c r="S210" s="31"/>
      <c r="U210" s="31"/>
    </row>
    <row r="211" ht="15.75" customHeight="1">
      <c r="A211" s="31"/>
      <c r="C211" s="31"/>
      <c r="E211" s="31"/>
      <c r="G211" s="31"/>
      <c r="I211" s="31"/>
      <c r="K211" s="31"/>
      <c r="M211" s="31"/>
      <c r="O211" s="31"/>
      <c r="Q211" s="31"/>
      <c r="S211" s="31"/>
      <c r="U211" s="31"/>
    </row>
    <row r="212" ht="15.75" customHeight="1">
      <c r="A212" s="31"/>
      <c r="C212" s="31"/>
      <c r="E212" s="31"/>
      <c r="G212" s="31"/>
      <c r="I212" s="31"/>
      <c r="K212" s="31"/>
      <c r="M212" s="31"/>
      <c r="O212" s="31"/>
      <c r="Q212" s="31"/>
      <c r="S212" s="31"/>
      <c r="U212" s="31"/>
    </row>
    <row r="213" ht="15.75" customHeight="1">
      <c r="A213" s="31"/>
      <c r="C213" s="31"/>
      <c r="E213" s="31"/>
      <c r="G213" s="31"/>
      <c r="I213" s="31"/>
      <c r="K213" s="31"/>
      <c r="M213" s="31"/>
      <c r="O213" s="31"/>
      <c r="Q213" s="31"/>
      <c r="S213" s="31"/>
      <c r="U213" s="31"/>
    </row>
    <row r="214" ht="15.75" customHeight="1">
      <c r="A214" s="31"/>
      <c r="C214" s="31"/>
      <c r="E214" s="31"/>
      <c r="G214" s="31"/>
      <c r="I214" s="31"/>
      <c r="K214" s="31"/>
      <c r="M214" s="31"/>
      <c r="O214" s="31"/>
      <c r="Q214" s="31"/>
      <c r="S214" s="31"/>
      <c r="U214" s="31"/>
    </row>
    <row r="215" ht="15.75" customHeight="1">
      <c r="A215" s="31"/>
      <c r="C215" s="31"/>
      <c r="E215" s="31"/>
      <c r="G215" s="31"/>
      <c r="I215" s="31"/>
      <c r="K215" s="31"/>
      <c r="M215" s="31"/>
      <c r="O215" s="31"/>
      <c r="Q215" s="31"/>
      <c r="S215" s="31"/>
      <c r="U215" s="31"/>
    </row>
    <row r="216" ht="15.75" customHeight="1">
      <c r="A216" s="31"/>
      <c r="C216" s="31"/>
      <c r="E216" s="31"/>
      <c r="G216" s="31"/>
      <c r="I216" s="31"/>
      <c r="K216" s="31"/>
      <c r="M216" s="31"/>
      <c r="O216" s="31"/>
      <c r="Q216" s="31"/>
      <c r="S216" s="31"/>
      <c r="U216" s="31"/>
    </row>
    <row r="217" ht="15.75" customHeight="1">
      <c r="A217" s="31"/>
      <c r="C217" s="31"/>
      <c r="E217" s="31"/>
      <c r="G217" s="31"/>
      <c r="I217" s="31"/>
      <c r="K217" s="31"/>
      <c r="M217" s="31"/>
      <c r="O217" s="31"/>
      <c r="Q217" s="31"/>
      <c r="S217" s="31"/>
      <c r="U217" s="31"/>
    </row>
    <row r="218" ht="15.75" customHeight="1">
      <c r="A218" s="31"/>
      <c r="C218" s="31"/>
      <c r="E218" s="31"/>
      <c r="G218" s="31"/>
      <c r="I218" s="31"/>
      <c r="K218" s="31"/>
      <c r="M218" s="31"/>
      <c r="O218" s="31"/>
      <c r="Q218" s="31"/>
      <c r="S218" s="31"/>
      <c r="U218" s="31"/>
    </row>
    <row r="219" ht="15.75" customHeight="1">
      <c r="A219" s="31"/>
      <c r="C219" s="31"/>
      <c r="E219" s="31"/>
      <c r="G219" s="31"/>
      <c r="I219" s="31"/>
      <c r="K219" s="31"/>
      <c r="M219" s="31"/>
      <c r="O219" s="31"/>
      <c r="Q219" s="31"/>
      <c r="S219" s="31"/>
      <c r="U219" s="31"/>
    </row>
    <row r="220" ht="15.75" customHeight="1">
      <c r="A220" s="31"/>
      <c r="C220" s="31"/>
      <c r="E220" s="31"/>
      <c r="G220" s="31"/>
      <c r="I220" s="31"/>
      <c r="K220" s="31"/>
      <c r="M220" s="31"/>
      <c r="O220" s="31"/>
      <c r="Q220" s="31"/>
      <c r="S220" s="31"/>
      <c r="U220" s="31"/>
    </row>
    <row r="221" ht="15.75" customHeight="1">
      <c r="A221" s="31"/>
      <c r="C221" s="31"/>
      <c r="E221" s="31"/>
      <c r="G221" s="31"/>
      <c r="I221" s="31"/>
      <c r="K221" s="31"/>
      <c r="M221" s="31"/>
      <c r="O221" s="31"/>
      <c r="Q221" s="31"/>
      <c r="S221" s="31"/>
      <c r="U221" s="31"/>
    </row>
    <row r="222" ht="15.75" customHeight="1">
      <c r="A222" s="31"/>
      <c r="C222" s="31"/>
      <c r="E222" s="31"/>
      <c r="G222" s="31"/>
      <c r="I222" s="31"/>
      <c r="K222" s="31"/>
      <c r="M222" s="31"/>
      <c r="O222" s="31"/>
      <c r="Q222" s="31"/>
      <c r="S222" s="31"/>
      <c r="U222" s="31"/>
    </row>
    <row r="223" ht="15.75" customHeight="1">
      <c r="A223" s="31"/>
      <c r="C223" s="31"/>
      <c r="E223" s="31"/>
      <c r="G223" s="31"/>
      <c r="I223" s="31"/>
      <c r="K223" s="31"/>
      <c r="M223" s="31"/>
      <c r="O223" s="31"/>
      <c r="Q223" s="31"/>
      <c r="S223" s="31"/>
      <c r="U223" s="31"/>
    </row>
    <row r="224" ht="15.75" customHeight="1">
      <c r="A224" s="31"/>
      <c r="C224" s="31"/>
      <c r="E224" s="31"/>
      <c r="G224" s="31"/>
      <c r="I224" s="31"/>
      <c r="K224" s="31"/>
      <c r="M224" s="31"/>
      <c r="O224" s="31"/>
      <c r="Q224" s="31"/>
      <c r="S224" s="31"/>
      <c r="U224" s="31"/>
    </row>
    <row r="225" ht="15.75" customHeight="1">
      <c r="A225" s="31"/>
      <c r="C225" s="31"/>
      <c r="E225" s="31"/>
      <c r="G225" s="31"/>
      <c r="I225" s="31"/>
      <c r="K225" s="31"/>
      <c r="M225" s="31"/>
      <c r="O225" s="31"/>
      <c r="Q225" s="31"/>
      <c r="S225" s="31"/>
      <c r="U225" s="31"/>
    </row>
    <row r="226" ht="15.75" customHeight="1">
      <c r="A226" s="31"/>
      <c r="C226" s="31"/>
      <c r="E226" s="31"/>
      <c r="G226" s="31"/>
      <c r="I226" s="31"/>
      <c r="K226" s="31"/>
      <c r="M226" s="31"/>
      <c r="O226" s="31"/>
      <c r="Q226" s="31"/>
      <c r="S226" s="31"/>
      <c r="U226" s="31"/>
    </row>
    <row r="227" ht="15.75" customHeight="1">
      <c r="A227" s="31"/>
      <c r="C227" s="31"/>
      <c r="E227" s="31"/>
      <c r="G227" s="31"/>
      <c r="I227" s="31"/>
      <c r="K227" s="31"/>
      <c r="M227" s="31"/>
      <c r="O227" s="31"/>
      <c r="Q227" s="31"/>
      <c r="S227" s="31"/>
      <c r="U227" s="31"/>
    </row>
    <row r="228" ht="15.75" customHeight="1">
      <c r="A228" s="31"/>
      <c r="C228" s="31"/>
      <c r="E228" s="31"/>
      <c r="G228" s="31"/>
      <c r="I228" s="31"/>
      <c r="K228" s="31"/>
      <c r="M228" s="31"/>
      <c r="O228" s="31"/>
      <c r="Q228" s="31"/>
      <c r="S228" s="31"/>
      <c r="U228" s="31"/>
    </row>
    <row r="229" ht="15.75" customHeight="1">
      <c r="A229" s="31"/>
      <c r="C229" s="31"/>
      <c r="E229" s="31"/>
      <c r="G229" s="31"/>
      <c r="I229" s="31"/>
      <c r="K229" s="31"/>
      <c r="M229" s="31"/>
      <c r="O229" s="31"/>
      <c r="Q229" s="31"/>
      <c r="S229" s="31"/>
      <c r="U229" s="31"/>
    </row>
    <row r="230" ht="15.75" customHeight="1">
      <c r="A230" s="31"/>
      <c r="C230" s="31"/>
      <c r="E230" s="31"/>
      <c r="G230" s="31"/>
      <c r="I230" s="31"/>
      <c r="K230" s="31"/>
      <c r="M230" s="31"/>
      <c r="O230" s="31"/>
      <c r="Q230" s="31"/>
      <c r="S230" s="31"/>
      <c r="U230" s="31"/>
    </row>
    <row r="231" ht="15.75" customHeight="1">
      <c r="A231" s="31"/>
      <c r="C231" s="31"/>
      <c r="E231" s="31"/>
      <c r="G231" s="31"/>
      <c r="I231" s="31"/>
      <c r="K231" s="31"/>
      <c r="M231" s="31"/>
      <c r="O231" s="31"/>
      <c r="Q231" s="31"/>
      <c r="S231" s="31"/>
      <c r="U231" s="31"/>
    </row>
    <row r="232" ht="15.75" customHeight="1">
      <c r="A232" s="31"/>
      <c r="C232" s="31"/>
      <c r="E232" s="31"/>
      <c r="G232" s="31"/>
      <c r="I232" s="31"/>
      <c r="K232" s="31"/>
      <c r="M232" s="31"/>
      <c r="O232" s="31"/>
      <c r="Q232" s="31"/>
      <c r="S232" s="31"/>
      <c r="U232" s="31"/>
    </row>
    <row r="233" ht="15.75" customHeight="1">
      <c r="A233" s="31"/>
      <c r="C233" s="31"/>
      <c r="E233" s="31"/>
      <c r="G233" s="31"/>
      <c r="I233" s="31"/>
      <c r="K233" s="31"/>
      <c r="M233" s="31"/>
      <c r="O233" s="31"/>
      <c r="Q233" s="31"/>
      <c r="S233" s="31"/>
      <c r="U233" s="31"/>
    </row>
    <row r="234" ht="15.75" customHeight="1">
      <c r="A234" s="31"/>
      <c r="C234" s="31"/>
      <c r="E234" s="31"/>
      <c r="G234" s="31"/>
      <c r="I234" s="31"/>
      <c r="K234" s="31"/>
      <c r="M234" s="31"/>
      <c r="O234" s="31"/>
      <c r="Q234" s="31"/>
      <c r="S234" s="31"/>
      <c r="U234" s="31"/>
    </row>
    <row r="235" ht="15.75" customHeight="1">
      <c r="A235" s="31"/>
      <c r="C235" s="31"/>
      <c r="E235" s="31"/>
      <c r="G235" s="31"/>
      <c r="I235" s="31"/>
      <c r="K235" s="31"/>
      <c r="M235" s="31"/>
      <c r="O235" s="31"/>
      <c r="Q235" s="31"/>
      <c r="S235" s="31"/>
      <c r="U235" s="31"/>
    </row>
    <row r="236" ht="15.75" customHeight="1">
      <c r="A236" s="31"/>
      <c r="C236" s="31"/>
      <c r="E236" s="31"/>
      <c r="G236" s="31"/>
      <c r="I236" s="31"/>
      <c r="K236" s="31"/>
      <c r="M236" s="31"/>
      <c r="O236" s="31"/>
      <c r="Q236" s="31"/>
      <c r="S236" s="31"/>
      <c r="U236" s="31"/>
    </row>
    <row r="237" ht="15.75" customHeight="1">
      <c r="A237" s="31"/>
      <c r="C237" s="31"/>
      <c r="E237" s="31"/>
      <c r="G237" s="31"/>
      <c r="I237" s="31"/>
      <c r="K237" s="31"/>
      <c r="M237" s="31"/>
      <c r="O237" s="31"/>
      <c r="Q237" s="31"/>
      <c r="S237" s="31"/>
      <c r="U237" s="31"/>
    </row>
    <row r="238" ht="15.75" customHeight="1">
      <c r="A238" s="31"/>
      <c r="C238" s="31"/>
      <c r="E238" s="31"/>
      <c r="G238" s="31"/>
      <c r="I238" s="31"/>
      <c r="K238" s="31"/>
      <c r="M238" s="31"/>
      <c r="O238" s="31"/>
      <c r="Q238" s="31"/>
      <c r="S238" s="31"/>
      <c r="U238" s="31"/>
    </row>
    <row r="239" ht="15.75" customHeight="1">
      <c r="A239" s="31"/>
      <c r="C239" s="31"/>
      <c r="E239" s="31"/>
      <c r="G239" s="31"/>
      <c r="I239" s="31"/>
      <c r="K239" s="31"/>
      <c r="M239" s="31"/>
      <c r="O239" s="31"/>
      <c r="Q239" s="31"/>
      <c r="S239" s="31"/>
      <c r="U239" s="31"/>
    </row>
    <row r="240" ht="15.75" customHeight="1">
      <c r="A240" s="31"/>
      <c r="C240" s="31"/>
      <c r="E240" s="31"/>
      <c r="G240" s="31"/>
      <c r="I240" s="31"/>
      <c r="K240" s="31"/>
      <c r="M240" s="31"/>
      <c r="O240" s="31"/>
      <c r="Q240" s="31"/>
      <c r="S240" s="31"/>
      <c r="U240" s="31"/>
    </row>
    <row r="241" ht="15.75" customHeight="1">
      <c r="A241" s="31"/>
      <c r="C241" s="31"/>
      <c r="E241" s="31"/>
      <c r="G241" s="31"/>
      <c r="I241" s="31"/>
      <c r="K241" s="31"/>
      <c r="M241" s="31"/>
      <c r="O241" s="31"/>
      <c r="Q241" s="31"/>
      <c r="S241" s="31"/>
      <c r="U241" s="31"/>
    </row>
    <row r="242" ht="15.75" customHeight="1">
      <c r="A242" s="31"/>
      <c r="C242" s="31"/>
      <c r="E242" s="31"/>
      <c r="G242" s="31"/>
      <c r="I242" s="31"/>
      <c r="K242" s="31"/>
      <c r="M242" s="31"/>
      <c r="O242" s="31"/>
      <c r="Q242" s="31"/>
      <c r="S242" s="31"/>
      <c r="U242" s="31"/>
    </row>
    <row r="243" ht="15.75" customHeight="1">
      <c r="A243" s="31"/>
      <c r="C243" s="31"/>
      <c r="E243" s="31"/>
      <c r="G243" s="31"/>
      <c r="I243" s="31"/>
      <c r="K243" s="31"/>
      <c r="M243" s="31"/>
      <c r="O243" s="31"/>
      <c r="Q243" s="31"/>
      <c r="S243" s="31"/>
      <c r="U243" s="31"/>
    </row>
    <row r="244" ht="15.75" customHeight="1">
      <c r="A244" s="31"/>
      <c r="C244" s="31"/>
      <c r="E244" s="31"/>
      <c r="G244" s="31"/>
      <c r="I244" s="31"/>
      <c r="K244" s="31"/>
      <c r="M244" s="31"/>
      <c r="O244" s="31"/>
      <c r="Q244" s="31"/>
      <c r="S244" s="31"/>
      <c r="U244" s="31"/>
    </row>
    <row r="245" ht="15.75" customHeight="1">
      <c r="A245" s="31"/>
      <c r="C245" s="31"/>
      <c r="E245" s="31"/>
      <c r="G245" s="31"/>
      <c r="I245" s="31"/>
      <c r="K245" s="31"/>
      <c r="M245" s="31"/>
      <c r="O245" s="31"/>
      <c r="Q245" s="31"/>
      <c r="S245" s="31"/>
      <c r="U245" s="31"/>
    </row>
    <row r="246" ht="15.75" customHeight="1">
      <c r="A246" s="31"/>
      <c r="C246" s="31"/>
      <c r="E246" s="31"/>
      <c r="G246" s="31"/>
      <c r="I246" s="31"/>
      <c r="K246" s="31"/>
      <c r="M246" s="31"/>
      <c r="O246" s="31"/>
      <c r="Q246" s="31"/>
      <c r="S246" s="31"/>
      <c r="U246" s="31"/>
    </row>
    <row r="247" ht="15.75" customHeight="1">
      <c r="A247" s="31"/>
      <c r="C247" s="31"/>
      <c r="E247" s="31"/>
      <c r="G247" s="31"/>
      <c r="I247" s="31"/>
      <c r="K247" s="31"/>
      <c r="M247" s="31"/>
      <c r="O247" s="31"/>
      <c r="Q247" s="31"/>
      <c r="S247" s="31"/>
      <c r="U247" s="31"/>
    </row>
    <row r="248" ht="15.75" customHeight="1">
      <c r="A248" s="31"/>
      <c r="C248" s="31"/>
      <c r="E248" s="31"/>
      <c r="G248" s="31"/>
      <c r="I248" s="31"/>
      <c r="K248" s="31"/>
      <c r="M248" s="31"/>
      <c r="O248" s="31"/>
      <c r="Q248" s="31"/>
      <c r="S248" s="31"/>
      <c r="U248" s="31"/>
    </row>
    <row r="249" ht="15.75" customHeight="1">
      <c r="A249" s="31"/>
      <c r="C249" s="31"/>
      <c r="E249" s="31"/>
      <c r="G249" s="31"/>
      <c r="I249" s="31"/>
      <c r="K249" s="31"/>
      <c r="M249" s="31"/>
      <c r="O249" s="31"/>
      <c r="Q249" s="31"/>
      <c r="S249" s="31"/>
      <c r="U249" s="31"/>
    </row>
    <row r="250" ht="15.75" customHeight="1">
      <c r="A250" s="31"/>
      <c r="C250" s="31"/>
      <c r="E250" s="31"/>
      <c r="G250" s="31"/>
      <c r="I250" s="31"/>
      <c r="K250" s="31"/>
      <c r="M250" s="31"/>
      <c r="O250" s="31"/>
      <c r="Q250" s="31"/>
      <c r="S250" s="31"/>
      <c r="U250" s="31"/>
    </row>
    <row r="251" ht="15.75" customHeight="1">
      <c r="A251" s="31"/>
      <c r="C251" s="31"/>
      <c r="E251" s="31"/>
      <c r="G251" s="31"/>
      <c r="I251" s="31"/>
      <c r="K251" s="31"/>
      <c r="M251" s="31"/>
      <c r="O251" s="31"/>
      <c r="Q251" s="31"/>
      <c r="S251" s="31"/>
      <c r="U251" s="31"/>
    </row>
    <row r="252" ht="15.75" customHeight="1">
      <c r="A252" s="31"/>
      <c r="C252" s="31"/>
      <c r="E252" s="31"/>
      <c r="G252" s="31"/>
      <c r="I252" s="31"/>
      <c r="K252" s="31"/>
      <c r="M252" s="31"/>
      <c r="O252" s="31"/>
      <c r="Q252" s="31"/>
      <c r="S252" s="31"/>
      <c r="U252" s="31"/>
    </row>
    <row r="253" ht="15.75" customHeight="1">
      <c r="A253" s="31"/>
      <c r="C253" s="31"/>
      <c r="E253" s="31"/>
      <c r="G253" s="31"/>
      <c r="I253" s="31"/>
      <c r="K253" s="31"/>
      <c r="M253" s="31"/>
      <c r="O253" s="31"/>
      <c r="Q253" s="31"/>
      <c r="S253" s="31"/>
      <c r="U253" s="31"/>
    </row>
    <row r="254" ht="15.75" customHeight="1">
      <c r="A254" s="31"/>
      <c r="C254" s="31"/>
      <c r="E254" s="31"/>
      <c r="G254" s="31"/>
      <c r="I254" s="31"/>
      <c r="K254" s="31"/>
      <c r="M254" s="31"/>
      <c r="O254" s="31"/>
      <c r="Q254" s="31"/>
      <c r="S254" s="31"/>
      <c r="U254" s="31"/>
    </row>
    <row r="255" ht="15.75" customHeight="1">
      <c r="A255" s="31"/>
      <c r="C255" s="31"/>
      <c r="E255" s="31"/>
      <c r="G255" s="31"/>
      <c r="I255" s="31"/>
      <c r="K255" s="31"/>
      <c r="M255" s="31"/>
      <c r="O255" s="31"/>
      <c r="Q255" s="31"/>
      <c r="S255" s="31"/>
      <c r="U255" s="31"/>
    </row>
    <row r="256" ht="15.75" customHeight="1">
      <c r="A256" s="31"/>
      <c r="C256" s="31"/>
      <c r="E256" s="31"/>
      <c r="G256" s="31"/>
      <c r="I256" s="31"/>
      <c r="K256" s="31"/>
      <c r="M256" s="31"/>
      <c r="O256" s="31"/>
      <c r="Q256" s="31"/>
      <c r="S256" s="31"/>
      <c r="U256" s="31"/>
    </row>
    <row r="257" ht="15.75" customHeight="1">
      <c r="A257" s="31"/>
      <c r="C257" s="31"/>
      <c r="E257" s="31"/>
      <c r="G257" s="31"/>
      <c r="I257" s="31"/>
      <c r="K257" s="31"/>
      <c r="M257" s="31"/>
      <c r="O257" s="31"/>
      <c r="Q257" s="31"/>
      <c r="S257" s="31"/>
      <c r="U257" s="31"/>
    </row>
    <row r="258" ht="15.75" customHeight="1">
      <c r="A258" s="31"/>
      <c r="C258" s="31"/>
      <c r="E258" s="31"/>
      <c r="G258" s="31"/>
      <c r="I258" s="31"/>
      <c r="K258" s="31"/>
      <c r="M258" s="31"/>
      <c r="O258" s="31"/>
      <c r="Q258" s="31"/>
      <c r="S258" s="31"/>
      <c r="U258" s="31"/>
    </row>
    <row r="259" ht="15.75" customHeight="1">
      <c r="A259" s="31"/>
      <c r="C259" s="31"/>
      <c r="E259" s="31"/>
      <c r="G259" s="31"/>
      <c r="I259" s="31"/>
      <c r="K259" s="31"/>
      <c r="M259" s="31"/>
      <c r="O259" s="31"/>
      <c r="Q259" s="31"/>
      <c r="S259" s="31"/>
      <c r="U259" s="31"/>
    </row>
    <row r="260" ht="15.75" customHeight="1">
      <c r="A260" s="31"/>
      <c r="C260" s="31"/>
      <c r="E260" s="31"/>
      <c r="G260" s="31"/>
      <c r="I260" s="31"/>
      <c r="K260" s="31"/>
      <c r="M260" s="31"/>
      <c r="O260" s="31"/>
      <c r="Q260" s="31"/>
      <c r="S260" s="31"/>
      <c r="U260" s="31"/>
    </row>
    <row r="261" ht="15.75" customHeight="1">
      <c r="A261" s="31"/>
      <c r="C261" s="31"/>
      <c r="E261" s="31"/>
      <c r="G261" s="31"/>
      <c r="I261" s="31"/>
      <c r="K261" s="31"/>
      <c r="M261" s="31"/>
      <c r="O261" s="31"/>
      <c r="Q261" s="31"/>
      <c r="S261" s="31"/>
      <c r="U261" s="31"/>
    </row>
    <row r="262" ht="15.75" customHeight="1">
      <c r="A262" s="31"/>
      <c r="C262" s="31"/>
      <c r="E262" s="31"/>
      <c r="G262" s="31"/>
      <c r="I262" s="31"/>
      <c r="K262" s="31"/>
      <c r="M262" s="31"/>
      <c r="O262" s="31"/>
      <c r="Q262" s="31"/>
      <c r="S262" s="31"/>
      <c r="U262" s="31"/>
    </row>
    <row r="263" ht="15.75" customHeight="1">
      <c r="A263" s="31"/>
      <c r="C263" s="31"/>
      <c r="E263" s="31"/>
      <c r="G263" s="31"/>
      <c r="I263" s="31"/>
      <c r="K263" s="31"/>
      <c r="M263" s="31"/>
      <c r="O263" s="31"/>
      <c r="Q263" s="31"/>
      <c r="S263" s="31"/>
      <c r="U263" s="31"/>
    </row>
    <row r="264" ht="15.75" customHeight="1">
      <c r="A264" s="31"/>
      <c r="C264" s="31"/>
      <c r="E264" s="31"/>
      <c r="G264" s="31"/>
      <c r="I264" s="31"/>
      <c r="K264" s="31"/>
      <c r="M264" s="31"/>
      <c r="O264" s="31"/>
      <c r="Q264" s="31"/>
      <c r="S264" s="31"/>
      <c r="U264" s="31"/>
    </row>
    <row r="265" ht="15.75" customHeight="1">
      <c r="A265" s="31"/>
      <c r="C265" s="31"/>
      <c r="E265" s="31"/>
      <c r="G265" s="31"/>
      <c r="I265" s="31"/>
      <c r="K265" s="31"/>
      <c r="M265" s="31"/>
      <c r="O265" s="31"/>
      <c r="Q265" s="31"/>
      <c r="S265" s="31"/>
      <c r="U265" s="31"/>
    </row>
    <row r="266" ht="15.75" customHeight="1">
      <c r="A266" s="31"/>
      <c r="C266" s="31"/>
      <c r="E266" s="31"/>
      <c r="G266" s="31"/>
      <c r="I266" s="31"/>
      <c r="K266" s="31"/>
      <c r="M266" s="31"/>
      <c r="O266" s="31"/>
      <c r="Q266" s="31"/>
      <c r="S266" s="31"/>
      <c r="U266" s="31"/>
    </row>
    <row r="267" ht="15.75" customHeight="1">
      <c r="A267" s="31"/>
      <c r="C267" s="31"/>
      <c r="E267" s="31"/>
      <c r="G267" s="31"/>
      <c r="I267" s="31"/>
      <c r="K267" s="31"/>
      <c r="M267" s="31"/>
      <c r="O267" s="31"/>
      <c r="Q267" s="31"/>
      <c r="S267" s="31"/>
      <c r="U267" s="31"/>
    </row>
    <row r="268" ht="15.75" customHeight="1">
      <c r="A268" s="31"/>
      <c r="C268" s="31"/>
      <c r="E268" s="31"/>
      <c r="G268" s="31"/>
      <c r="I268" s="31"/>
      <c r="K268" s="31"/>
      <c r="M268" s="31"/>
      <c r="O268" s="31"/>
      <c r="Q268" s="31"/>
      <c r="S268" s="31"/>
      <c r="U268" s="31"/>
    </row>
    <row r="269" ht="15.75" customHeight="1">
      <c r="A269" s="31"/>
      <c r="C269" s="31"/>
      <c r="E269" s="31"/>
      <c r="G269" s="31"/>
      <c r="I269" s="31"/>
      <c r="K269" s="31"/>
      <c r="M269" s="31"/>
      <c r="O269" s="31"/>
      <c r="Q269" s="31"/>
      <c r="S269" s="31"/>
      <c r="U269" s="31"/>
    </row>
    <row r="270" ht="15.75" customHeight="1">
      <c r="A270" s="31"/>
      <c r="C270" s="31"/>
      <c r="E270" s="31"/>
      <c r="G270" s="31"/>
      <c r="I270" s="31"/>
      <c r="K270" s="31"/>
      <c r="M270" s="31"/>
      <c r="O270" s="31"/>
      <c r="Q270" s="31"/>
      <c r="S270" s="31"/>
      <c r="U270" s="31"/>
    </row>
    <row r="271" ht="15.75" customHeight="1">
      <c r="A271" s="31"/>
      <c r="C271" s="31"/>
      <c r="E271" s="31"/>
      <c r="G271" s="31"/>
      <c r="I271" s="31"/>
      <c r="K271" s="31"/>
      <c r="M271" s="31"/>
      <c r="O271" s="31"/>
      <c r="Q271" s="31"/>
      <c r="S271" s="31"/>
      <c r="U271" s="31"/>
    </row>
    <row r="272" ht="15.75" customHeight="1">
      <c r="A272" s="31"/>
      <c r="C272" s="31"/>
      <c r="E272" s="31"/>
      <c r="G272" s="31"/>
      <c r="I272" s="31"/>
      <c r="K272" s="31"/>
      <c r="M272" s="31"/>
      <c r="O272" s="31"/>
      <c r="Q272" s="31"/>
      <c r="S272" s="31"/>
      <c r="U272" s="31"/>
    </row>
    <row r="273" ht="15.75" customHeight="1">
      <c r="A273" s="31"/>
      <c r="C273" s="31"/>
      <c r="E273" s="31"/>
      <c r="G273" s="31"/>
      <c r="I273" s="31"/>
      <c r="K273" s="31"/>
      <c r="M273" s="31"/>
      <c r="O273" s="31"/>
      <c r="Q273" s="31"/>
      <c r="S273" s="31"/>
      <c r="U273" s="31"/>
    </row>
    <row r="274" ht="15.75" customHeight="1">
      <c r="A274" s="31"/>
      <c r="C274" s="31"/>
      <c r="E274" s="31"/>
      <c r="G274" s="31"/>
      <c r="I274" s="31"/>
      <c r="K274" s="31"/>
      <c r="M274" s="31"/>
      <c r="O274" s="31"/>
      <c r="Q274" s="31"/>
      <c r="S274" s="31"/>
      <c r="U274" s="31"/>
    </row>
    <row r="275" ht="15.75" customHeight="1">
      <c r="A275" s="31"/>
      <c r="C275" s="31"/>
      <c r="E275" s="31"/>
      <c r="G275" s="31"/>
      <c r="I275" s="31"/>
      <c r="K275" s="31"/>
      <c r="M275" s="31"/>
      <c r="O275" s="31"/>
      <c r="Q275" s="31"/>
      <c r="S275" s="31"/>
      <c r="U275" s="31"/>
    </row>
    <row r="276" ht="15.75" customHeight="1">
      <c r="A276" s="31"/>
      <c r="C276" s="31"/>
      <c r="E276" s="31"/>
      <c r="G276" s="31"/>
      <c r="I276" s="31"/>
      <c r="K276" s="31"/>
      <c r="M276" s="31"/>
      <c r="O276" s="31"/>
      <c r="Q276" s="31"/>
      <c r="S276" s="31"/>
      <c r="U276" s="31"/>
    </row>
    <row r="277" ht="15.75" customHeight="1">
      <c r="A277" s="31"/>
      <c r="C277" s="31"/>
      <c r="E277" s="31"/>
      <c r="G277" s="31"/>
      <c r="I277" s="31"/>
      <c r="K277" s="31"/>
      <c r="M277" s="31"/>
      <c r="O277" s="31"/>
      <c r="Q277" s="31"/>
      <c r="S277" s="31"/>
      <c r="U277" s="31"/>
    </row>
    <row r="278" ht="15.75" customHeight="1">
      <c r="A278" s="31"/>
      <c r="C278" s="31"/>
      <c r="E278" s="31"/>
      <c r="G278" s="31"/>
      <c r="I278" s="31"/>
      <c r="K278" s="31"/>
      <c r="M278" s="31"/>
      <c r="O278" s="31"/>
      <c r="Q278" s="31"/>
      <c r="S278" s="31"/>
      <c r="U278" s="31"/>
    </row>
    <row r="279" ht="15.75" customHeight="1">
      <c r="A279" s="31"/>
      <c r="C279" s="31"/>
      <c r="E279" s="31"/>
      <c r="G279" s="31"/>
      <c r="I279" s="31"/>
      <c r="K279" s="31"/>
      <c r="M279" s="31"/>
      <c r="O279" s="31"/>
      <c r="Q279" s="31"/>
      <c r="S279" s="31"/>
      <c r="U279" s="31"/>
    </row>
    <row r="280" ht="15.75" customHeight="1">
      <c r="A280" s="31"/>
      <c r="C280" s="31"/>
      <c r="E280" s="31"/>
      <c r="G280" s="31"/>
      <c r="I280" s="31"/>
      <c r="K280" s="31"/>
      <c r="M280" s="31"/>
      <c r="O280" s="31"/>
      <c r="Q280" s="31"/>
      <c r="S280" s="31"/>
      <c r="U280" s="31"/>
    </row>
    <row r="281" ht="15.75" customHeight="1">
      <c r="A281" s="31"/>
      <c r="C281" s="31"/>
      <c r="E281" s="31"/>
      <c r="G281" s="31"/>
      <c r="I281" s="31"/>
      <c r="K281" s="31"/>
      <c r="M281" s="31"/>
      <c r="O281" s="31"/>
      <c r="Q281" s="31"/>
      <c r="S281" s="31"/>
      <c r="U281" s="31"/>
    </row>
    <row r="282" ht="15.75" customHeight="1">
      <c r="A282" s="31"/>
      <c r="C282" s="31"/>
      <c r="E282" s="31"/>
      <c r="G282" s="31"/>
      <c r="I282" s="31"/>
      <c r="K282" s="31"/>
      <c r="M282" s="31"/>
      <c r="O282" s="31"/>
      <c r="Q282" s="31"/>
      <c r="S282" s="31"/>
      <c r="U282" s="31"/>
    </row>
    <row r="283" ht="15.75" customHeight="1">
      <c r="A283" s="31"/>
      <c r="C283" s="31"/>
      <c r="E283" s="31"/>
      <c r="G283" s="31"/>
      <c r="I283" s="31"/>
      <c r="K283" s="31"/>
      <c r="M283" s="31"/>
      <c r="O283" s="31"/>
      <c r="Q283" s="31"/>
      <c r="S283" s="31"/>
      <c r="U283" s="31"/>
    </row>
    <row r="284" ht="15.75" customHeight="1">
      <c r="A284" s="31"/>
      <c r="C284" s="31"/>
      <c r="E284" s="31"/>
      <c r="G284" s="31"/>
      <c r="I284" s="31"/>
      <c r="K284" s="31"/>
      <c r="M284" s="31"/>
      <c r="O284" s="31"/>
      <c r="Q284" s="31"/>
      <c r="S284" s="31"/>
      <c r="U284" s="31"/>
    </row>
    <row r="285" ht="15.75" customHeight="1">
      <c r="A285" s="31"/>
      <c r="C285" s="31"/>
      <c r="E285" s="31"/>
      <c r="G285" s="31"/>
      <c r="I285" s="31"/>
      <c r="K285" s="31"/>
      <c r="M285" s="31"/>
      <c r="O285" s="31"/>
      <c r="Q285" s="31"/>
      <c r="S285" s="31"/>
      <c r="U285" s="31"/>
    </row>
    <row r="286" ht="15.75" customHeight="1">
      <c r="A286" s="31"/>
      <c r="C286" s="31"/>
      <c r="E286" s="31"/>
      <c r="G286" s="31"/>
      <c r="I286" s="31"/>
      <c r="K286" s="31"/>
      <c r="M286" s="31"/>
      <c r="O286" s="31"/>
      <c r="Q286" s="31"/>
      <c r="S286" s="31"/>
      <c r="U286" s="31"/>
    </row>
    <row r="287" ht="15.75" customHeight="1">
      <c r="A287" s="31"/>
      <c r="C287" s="31"/>
      <c r="E287" s="31"/>
      <c r="G287" s="31"/>
      <c r="I287" s="31"/>
      <c r="K287" s="31"/>
      <c r="M287" s="31"/>
      <c r="O287" s="31"/>
      <c r="Q287" s="31"/>
      <c r="S287" s="31"/>
      <c r="U287" s="31"/>
    </row>
    <row r="288" ht="15.75" customHeight="1">
      <c r="A288" s="31"/>
      <c r="C288" s="31"/>
      <c r="E288" s="31"/>
      <c r="G288" s="31"/>
      <c r="I288" s="31"/>
      <c r="K288" s="31"/>
      <c r="M288" s="31"/>
      <c r="O288" s="31"/>
      <c r="Q288" s="31"/>
      <c r="S288" s="31"/>
      <c r="U288" s="31"/>
    </row>
    <row r="289" ht="15.75" customHeight="1">
      <c r="A289" s="31"/>
      <c r="C289" s="31"/>
      <c r="E289" s="31"/>
      <c r="G289" s="31"/>
      <c r="I289" s="31"/>
      <c r="K289" s="31"/>
      <c r="M289" s="31"/>
      <c r="O289" s="31"/>
      <c r="Q289" s="31"/>
      <c r="S289" s="31"/>
      <c r="U289" s="31"/>
    </row>
    <row r="290" ht="15.75" customHeight="1">
      <c r="A290" s="31"/>
      <c r="C290" s="31"/>
      <c r="E290" s="31"/>
      <c r="G290" s="31"/>
      <c r="I290" s="31"/>
      <c r="K290" s="31"/>
      <c r="M290" s="31"/>
      <c r="O290" s="31"/>
      <c r="Q290" s="31"/>
      <c r="S290" s="31"/>
      <c r="U290" s="31"/>
    </row>
    <row r="291" ht="15.75" customHeight="1">
      <c r="A291" s="31"/>
      <c r="C291" s="31"/>
      <c r="E291" s="31"/>
      <c r="G291" s="31"/>
      <c r="I291" s="31"/>
      <c r="K291" s="31"/>
      <c r="M291" s="31"/>
      <c r="O291" s="31"/>
      <c r="Q291" s="31"/>
      <c r="S291" s="31"/>
      <c r="U291" s="31"/>
    </row>
    <row r="292" ht="15.75" customHeight="1">
      <c r="A292" s="31"/>
      <c r="C292" s="31"/>
      <c r="E292" s="31"/>
      <c r="G292" s="31"/>
      <c r="I292" s="31"/>
      <c r="K292" s="31"/>
      <c r="M292" s="31"/>
      <c r="O292" s="31"/>
      <c r="Q292" s="31"/>
      <c r="S292" s="31"/>
      <c r="U292" s="31"/>
    </row>
    <row r="293" ht="15.75" customHeight="1">
      <c r="A293" s="31"/>
      <c r="C293" s="31"/>
      <c r="E293" s="31"/>
      <c r="G293" s="31"/>
      <c r="I293" s="31"/>
      <c r="K293" s="31"/>
      <c r="M293" s="31"/>
      <c r="O293" s="31"/>
      <c r="Q293" s="31"/>
      <c r="S293" s="31"/>
      <c r="U293" s="31"/>
    </row>
    <row r="294" ht="15.75" customHeight="1">
      <c r="A294" s="31"/>
      <c r="C294" s="31"/>
      <c r="E294" s="31"/>
      <c r="G294" s="31"/>
      <c r="I294" s="31"/>
      <c r="K294" s="31"/>
      <c r="M294" s="31"/>
      <c r="O294" s="31"/>
      <c r="Q294" s="31"/>
      <c r="S294" s="31"/>
      <c r="U294" s="31"/>
    </row>
    <row r="295" ht="15.75" customHeight="1">
      <c r="A295" s="31"/>
      <c r="C295" s="31"/>
      <c r="E295" s="31"/>
      <c r="G295" s="31"/>
      <c r="I295" s="31"/>
      <c r="K295" s="31"/>
      <c r="M295" s="31"/>
      <c r="O295" s="31"/>
      <c r="Q295" s="31"/>
      <c r="S295" s="31"/>
      <c r="U295" s="31"/>
    </row>
    <row r="296" ht="15.75" customHeight="1">
      <c r="A296" s="31"/>
      <c r="C296" s="31"/>
      <c r="E296" s="31"/>
      <c r="G296" s="31"/>
      <c r="I296" s="31"/>
      <c r="K296" s="31"/>
      <c r="M296" s="31"/>
      <c r="O296" s="31"/>
      <c r="Q296" s="31"/>
      <c r="S296" s="31"/>
      <c r="U296" s="31"/>
    </row>
    <row r="297" ht="15.75" customHeight="1">
      <c r="A297" s="31"/>
      <c r="C297" s="31"/>
      <c r="E297" s="31"/>
      <c r="G297" s="31"/>
      <c r="I297" s="31"/>
      <c r="K297" s="31"/>
      <c r="M297" s="31"/>
      <c r="O297" s="31"/>
      <c r="Q297" s="31"/>
      <c r="S297" s="31"/>
      <c r="U297" s="31"/>
    </row>
    <row r="298" ht="15.75" customHeight="1">
      <c r="A298" s="31"/>
      <c r="C298" s="31"/>
      <c r="E298" s="31"/>
      <c r="G298" s="31"/>
      <c r="I298" s="31"/>
      <c r="K298" s="31"/>
      <c r="M298" s="31"/>
      <c r="O298" s="31"/>
      <c r="Q298" s="31"/>
      <c r="S298" s="31"/>
      <c r="U298" s="31"/>
    </row>
    <row r="299" ht="15.75" customHeight="1">
      <c r="A299" s="31"/>
      <c r="C299" s="31"/>
      <c r="E299" s="31"/>
      <c r="G299" s="31"/>
      <c r="I299" s="31"/>
      <c r="K299" s="31"/>
      <c r="M299" s="31"/>
      <c r="O299" s="31"/>
      <c r="Q299" s="31"/>
      <c r="S299" s="31"/>
      <c r="U299" s="31"/>
    </row>
    <row r="300" ht="15.75" customHeight="1">
      <c r="A300" s="31"/>
      <c r="C300" s="31"/>
      <c r="E300" s="31"/>
      <c r="G300" s="31"/>
      <c r="I300" s="31"/>
      <c r="K300" s="31"/>
      <c r="M300" s="31"/>
      <c r="O300" s="31"/>
      <c r="Q300" s="31"/>
      <c r="S300" s="31"/>
      <c r="U300" s="31"/>
    </row>
    <row r="301" ht="15.75" customHeight="1">
      <c r="A301" s="31"/>
      <c r="C301" s="31"/>
      <c r="E301" s="31"/>
      <c r="G301" s="31"/>
      <c r="I301" s="31"/>
      <c r="K301" s="31"/>
      <c r="M301" s="31"/>
      <c r="O301" s="31"/>
      <c r="Q301" s="31"/>
      <c r="S301" s="31"/>
      <c r="U301" s="31"/>
    </row>
    <row r="302" ht="15.75" customHeight="1">
      <c r="A302" s="31"/>
      <c r="C302" s="31"/>
      <c r="E302" s="31"/>
      <c r="G302" s="31"/>
      <c r="I302" s="31"/>
      <c r="K302" s="31"/>
      <c r="M302" s="31"/>
      <c r="O302" s="31"/>
      <c r="Q302" s="31"/>
      <c r="S302" s="31"/>
      <c r="U302" s="31"/>
    </row>
    <row r="303" ht="15.75" customHeight="1">
      <c r="A303" s="31"/>
      <c r="C303" s="31"/>
      <c r="E303" s="31"/>
      <c r="G303" s="31"/>
      <c r="I303" s="31"/>
      <c r="K303" s="31"/>
      <c r="M303" s="31"/>
      <c r="O303" s="31"/>
      <c r="Q303" s="31"/>
      <c r="S303" s="31"/>
      <c r="U303" s="31"/>
    </row>
    <row r="304" ht="15.75" customHeight="1">
      <c r="A304" s="31"/>
      <c r="C304" s="31"/>
      <c r="E304" s="31"/>
      <c r="G304" s="31"/>
      <c r="I304" s="31"/>
      <c r="K304" s="31"/>
      <c r="M304" s="31"/>
      <c r="O304" s="31"/>
      <c r="Q304" s="31"/>
      <c r="S304" s="31"/>
      <c r="U304" s="31"/>
    </row>
    <row r="305" ht="15.75" customHeight="1">
      <c r="G305" s="31"/>
      <c r="I305" s="31"/>
      <c r="K305" s="31"/>
      <c r="M305" s="31"/>
      <c r="O305" s="31"/>
      <c r="Q305" s="31"/>
      <c r="S305" s="31"/>
      <c r="U305" s="31"/>
    </row>
    <row r="306" ht="15.75" customHeight="1">
      <c r="G306" s="31"/>
      <c r="I306" s="31"/>
      <c r="K306" s="31"/>
      <c r="M306" s="31"/>
      <c r="O306" s="31"/>
      <c r="Q306" s="31"/>
      <c r="S306" s="31"/>
      <c r="U306" s="31"/>
    </row>
    <row r="307" ht="15.75" customHeight="1">
      <c r="G307" s="31"/>
      <c r="I307" s="31"/>
      <c r="K307" s="31"/>
      <c r="M307" s="31"/>
      <c r="O307" s="31"/>
      <c r="Q307" s="31"/>
      <c r="S307" s="31"/>
      <c r="U307" s="31"/>
    </row>
    <row r="308" ht="15.75" customHeight="1">
      <c r="G308" s="31"/>
      <c r="I308" s="31"/>
      <c r="K308" s="31"/>
      <c r="M308" s="31"/>
      <c r="O308" s="31"/>
      <c r="Q308" s="31"/>
      <c r="S308" s="31"/>
      <c r="U308" s="31"/>
    </row>
    <row r="309" ht="15.75" customHeight="1">
      <c r="G309" s="31"/>
      <c r="I309" s="31"/>
      <c r="K309" s="31"/>
      <c r="M309" s="31"/>
      <c r="O309" s="31"/>
      <c r="Q309" s="31"/>
      <c r="S309" s="31"/>
      <c r="U309" s="31"/>
    </row>
    <row r="310" ht="15.75" customHeight="1">
      <c r="G310" s="31"/>
      <c r="I310" s="31"/>
      <c r="K310" s="31"/>
      <c r="M310" s="31"/>
      <c r="O310" s="31"/>
      <c r="Q310" s="31"/>
      <c r="S310" s="31"/>
      <c r="U310" s="31"/>
    </row>
    <row r="311" ht="15.75" customHeight="1">
      <c r="G311" s="31"/>
      <c r="I311" s="31"/>
      <c r="K311" s="31"/>
      <c r="M311" s="31"/>
      <c r="O311" s="31"/>
      <c r="Q311" s="31"/>
      <c r="S311" s="31"/>
      <c r="U311" s="31"/>
    </row>
    <row r="312" ht="15.75" customHeight="1">
      <c r="G312" s="31"/>
      <c r="I312" s="31"/>
      <c r="K312" s="31"/>
      <c r="M312" s="31"/>
      <c r="O312" s="31"/>
      <c r="Q312" s="31"/>
      <c r="S312" s="31"/>
      <c r="U312" s="31"/>
    </row>
    <row r="313" ht="15.75" customHeight="1">
      <c r="G313" s="31"/>
      <c r="I313" s="31"/>
      <c r="K313" s="31"/>
      <c r="M313" s="31"/>
      <c r="O313" s="31"/>
      <c r="Q313" s="31"/>
      <c r="S313" s="31"/>
      <c r="U313" s="31"/>
    </row>
    <row r="314" ht="15.75" customHeight="1">
      <c r="G314" s="31"/>
      <c r="I314" s="31"/>
      <c r="K314" s="31"/>
      <c r="M314" s="31"/>
      <c r="O314" s="31"/>
      <c r="Q314" s="31"/>
      <c r="S314" s="31"/>
      <c r="U314" s="31"/>
    </row>
    <row r="315" ht="15.75" customHeight="1">
      <c r="G315" s="31"/>
      <c r="I315" s="31"/>
      <c r="K315" s="31"/>
      <c r="M315" s="31"/>
      <c r="O315" s="31"/>
      <c r="Q315" s="31"/>
      <c r="S315" s="31"/>
      <c r="U315" s="31"/>
    </row>
    <row r="316" ht="15.75" customHeight="1">
      <c r="G316" s="31"/>
      <c r="I316" s="31"/>
      <c r="K316" s="31"/>
      <c r="M316" s="31"/>
      <c r="O316" s="31"/>
      <c r="Q316" s="31"/>
      <c r="S316" s="31"/>
      <c r="U316" s="31"/>
    </row>
    <row r="317" ht="15.75" customHeight="1">
      <c r="G317" s="31"/>
      <c r="I317" s="31"/>
      <c r="K317" s="31"/>
      <c r="M317" s="31"/>
      <c r="O317" s="31"/>
      <c r="Q317" s="31"/>
      <c r="S317" s="31"/>
      <c r="U317" s="31"/>
    </row>
    <row r="318" ht="15.75" customHeight="1">
      <c r="G318" s="31"/>
      <c r="I318" s="31"/>
      <c r="K318" s="31"/>
      <c r="M318" s="31"/>
      <c r="O318" s="31"/>
      <c r="Q318" s="31"/>
      <c r="S318" s="31"/>
      <c r="U318" s="31"/>
    </row>
    <row r="319" ht="15.75" customHeight="1">
      <c r="G319" s="31"/>
      <c r="I319" s="31"/>
      <c r="K319" s="31"/>
      <c r="M319" s="31"/>
      <c r="O319" s="31"/>
      <c r="Q319" s="31"/>
      <c r="S319" s="31"/>
      <c r="U319" s="31"/>
    </row>
    <row r="320" ht="15.75" customHeight="1">
      <c r="G320" s="31"/>
      <c r="I320" s="31"/>
      <c r="K320" s="31"/>
      <c r="M320" s="31"/>
      <c r="O320" s="31"/>
      <c r="Q320" s="31"/>
      <c r="S320" s="31"/>
      <c r="U320" s="31"/>
    </row>
    <row r="321" ht="15.75" customHeight="1">
      <c r="G321" s="31"/>
      <c r="I321" s="31"/>
      <c r="K321" s="31"/>
      <c r="M321" s="31"/>
      <c r="O321" s="31"/>
      <c r="Q321" s="31"/>
      <c r="S321" s="31"/>
      <c r="U321" s="31"/>
    </row>
    <row r="322" ht="15.75" customHeight="1">
      <c r="G322" s="31"/>
      <c r="I322" s="31"/>
      <c r="K322" s="31"/>
      <c r="M322" s="31"/>
      <c r="O322" s="31"/>
      <c r="Q322" s="31"/>
      <c r="S322" s="31"/>
      <c r="U322" s="31"/>
    </row>
    <row r="323" ht="15.75" customHeight="1">
      <c r="G323" s="31"/>
      <c r="I323" s="31"/>
      <c r="K323" s="31"/>
      <c r="M323" s="31"/>
      <c r="O323" s="31"/>
      <c r="Q323" s="31"/>
      <c r="S323" s="31"/>
      <c r="U323" s="31"/>
    </row>
    <row r="324" ht="15.75" customHeight="1">
      <c r="G324" s="31"/>
      <c r="I324" s="31"/>
      <c r="K324" s="31"/>
      <c r="M324" s="31"/>
      <c r="O324" s="31"/>
      <c r="Q324" s="31"/>
      <c r="S324" s="31"/>
      <c r="U324" s="31"/>
    </row>
    <row r="325" ht="15.75" customHeight="1">
      <c r="G325" s="31"/>
      <c r="I325" s="31"/>
      <c r="K325" s="31"/>
      <c r="M325" s="31"/>
      <c r="O325" s="31"/>
      <c r="Q325" s="31"/>
      <c r="S325" s="31"/>
      <c r="U325" s="31"/>
    </row>
    <row r="326" ht="15.75" customHeight="1">
      <c r="G326" s="31"/>
      <c r="I326" s="31"/>
      <c r="K326" s="31"/>
      <c r="M326" s="31"/>
      <c r="O326" s="31"/>
      <c r="Q326" s="31"/>
      <c r="S326" s="31"/>
      <c r="U326" s="31"/>
    </row>
    <row r="327" ht="15.75" customHeight="1">
      <c r="G327" s="31"/>
      <c r="I327" s="31"/>
      <c r="K327" s="31"/>
      <c r="M327" s="31"/>
      <c r="O327" s="31"/>
      <c r="Q327" s="31"/>
      <c r="S327" s="31"/>
      <c r="U327" s="31"/>
    </row>
    <row r="328" ht="15.75" customHeight="1">
      <c r="G328" s="31"/>
      <c r="I328" s="31"/>
      <c r="K328" s="31"/>
      <c r="M328" s="31"/>
      <c r="O328" s="31"/>
      <c r="Q328" s="31"/>
      <c r="S328" s="31"/>
      <c r="U328" s="31"/>
    </row>
    <row r="329" ht="15.75" customHeight="1">
      <c r="G329" s="31"/>
      <c r="I329" s="31"/>
      <c r="K329" s="31"/>
      <c r="M329" s="31"/>
      <c r="O329" s="31"/>
      <c r="Q329" s="31"/>
      <c r="S329" s="31"/>
      <c r="U329" s="31"/>
    </row>
    <row r="330" ht="15.75" customHeight="1">
      <c r="G330" s="31"/>
      <c r="I330" s="31"/>
      <c r="K330" s="31"/>
      <c r="M330" s="31"/>
      <c r="O330" s="31"/>
      <c r="Q330" s="31"/>
      <c r="S330" s="31"/>
      <c r="U330" s="31"/>
    </row>
    <row r="331" ht="15.75" customHeight="1">
      <c r="G331" s="31"/>
      <c r="I331" s="31"/>
      <c r="K331" s="31"/>
      <c r="M331" s="31"/>
      <c r="O331" s="31"/>
      <c r="Q331" s="31"/>
      <c r="S331" s="31"/>
      <c r="U331" s="31"/>
    </row>
    <row r="332" ht="15.75" customHeight="1">
      <c r="G332" s="31"/>
      <c r="I332" s="31"/>
      <c r="K332" s="31"/>
      <c r="M332" s="31"/>
      <c r="O332" s="31"/>
      <c r="Q332" s="31"/>
      <c r="S332" s="31"/>
      <c r="U332" s="31"/>
    </row>
    <row r="333" ht="15.75" customHeight="1">
      <c r="G333" s="31"/>
      <c r="I333" s="31"/>
      <c r="K333" s="31"/>
      <c r="M333" s="31"/>
      <c r="O333" s="31"/>
      <c r="Q333" s="31"/>
      <c r="S333" s="31"/>
      <c r="U333" s="31"/>
    </row>
    <row r="334" ht="15.75" customHeight="1">
      <c r="G334" s="31"/>
      <c r="I334" s="31"/>
      <c r="K334" s="31"/>
      <c r="M334" s="31"/>
      <c r="O334" s="31"/>
      <c r="Q334" s="31"/>
      <c r="S334" s="31"/>
      <c r="U334" s="31"/>
    </row>
    <row r="335" ht="15.75" customHeight="1">
      <c r="G335" s="31"/>
      <c r="I335" s="31"/>
      <c r="K335" s="31"/>
      <c r="M335" s="31"/>
      <c r="O335" s="31"/>
      <c r="Q335" s="31"/>
      <c r="S335" s="31"/>
      <c r="U335" s="31"/>
    </row>
    <row r="336" ht="15.75" customHeight="1">
      <c r="G336" s="31"/>
      <c r="I336" s="31"/>
      <c r="K336" s="31"/>
      <c r="M336" s="31"/>
      <c r="O336" s="31"/>
      <c r="S336" s="31"/>
      <c r="U336" s="31"/>
    </row>
    <row r="337" ht="15.75" customHeight="1">
      <c r="U337" s="31"/>
    </row>
    <row r="338" ht="15.75" customHeight="1">
      <c r="U338" s="31"/>
    </row>
    <row r="339" ht="15.75" customHeight="1">
      <c r="U339" s="31"/>
    </row>
    <row r="340" ht="15.75" customHeight="1">
      <c r="U340" s="31"/>
    </row>
    <row r="341" ht="15.75" customHeight="1">
      <c r="U341" s="31"/>
    </row>
    <row r="342" ht="15.75" customHeight="1">
      <c r="U342" s="31"/>
    </row>
    <row r="343" ht="15.75" customHeight="1">
      <c r="U343" s="31"/>
    </row>
    <row r="344" ht="15.75" customHeight="1">
      <c r="U344" s="31"/>
    </row>
    <row r="345" ht="15.75" customHeight="1">
      <c r="U345" s="31"/>
    </row>
    <row r="346" ht="15.75" customHeight="1">
      <c r="U346" s="31"/>
    </row>
    <row r="347" ht="15.75" customHeight="1">
      <c r="U347" s="31"/>
    </row>
    <row r="348" ht="15.75" customHeight="1">
      <c r="U348" s="31"/>
    </row>
    <row r="349" ht="15.75" customHeight="1">
      <c r="U349" s="31"/>
    </row>
    <row r="350" ht="15.75" customHeight="1">
      <c r="U350" s="31"/>
    </row>
    <row r="351" ht="15.75" customHeight="1">
      <c r="U351" s="31"/>
    </row>
    <row r="352" ht="15.75" customHeight="1">
      <c r="U352" s="31"/>
    </row>
    <row r="353" ht="15.75" customHeight="1">
      <c r="U353" s="31"/>
    </row>
    <row r="354" ht="15.75" customHeight="1">
      <c r="U354" s="31"/>
    </row>
    <row r="355" ht="15.75" customHeight="1">
      <c r="U355" s="31"/>
    </row>
    <row r="356" ht="15.75" customHeight="1">
      <c r="U356" s="31"/>
    </row>
    <row r="357" ht="15.75" customHeight="1">
      <c r="U357" s="31"/>
    </row>
    <row r="358" ht="15.75" customHeight="1">
      <c r="U358" s="31"/>
    </row>
    <row r="359" ht="15.75" customHeight="1">
      <c r="U359" s="31"/>
    </row>
    <row r="360" ht="15.75" customHeight="1">
      <c r="U360" s="31"/>
    </row>
    <row r="361" ht="15.75" customHeight="1">
      <c r="U361" s="31"/>
    </row>
    <row r="362" ht="15.75" customHeight="1">
      <c r="U362" s="31"/>
    </row>
    <row r="363" ht="15.75" customHeight="1">
      <c r="U363" s="31"/>
    </row>
    <row r="364" ht="15.75" customHeight="1">
      <c r="U364" s="31"/>
    </row>
    <row r="365" ht="15.75" customHeight="1">
      <c r="U365" s="31"/>
    </row>
    <row r="366" ht="15.75" customHeight="1">
      <c r="U366" s="31"/>
    </row>
    <row r="367" ht="15.75" customHeight="1">
      <c r="U367" s="31"/>
    </row>
    <row r="368" ht="15.75" customHeight="1">
      <c r="U368" s="31"/>
    </row>
    <row r="369" ht="15.75" customHeight="1">
      <c r="U369" s="31"/>
    </row>
    <row r="370" ht="15.75" customHeight="1">
      <c r="U370" s="31"/>
    </row>
    <row r="371" ht="15.75" customHeight="1">
      <c r="U371" s="31"/>
    </row>
    <row r="372" ht="15.75" customHeight="1">
      <c r="U372" s="31"/>
    </row>
    <row r="373" ht="15.75" customHeight="1">
      <c r="U373" s="31"/>
    </row>
    <row r="374" ht="15.75" customHeight="1">
      <c r="U374" s="31"/>
    </row>
    <row r="375" ht="15.75" customHeight="1">
      <c r="U375" s="31"/>
    </row>
    <row r="376" ht="15.75" customHeight="1">
      <c r="U376" s="31"/>
    </row>
    <row r="377" ht="15.75" customHeight="1">
      <c r="U377" s="31"/>
    </row>
    <row r="378" ht="15.75" customHeight="1">
      <c r="U378" s="31"/>
    </row>
    <row r="379" ht="15.75" customHeight="1">
      <c r="U379" s="31"/>
    </row>
    <row r="380" ht="15.75" customHeight="1">
      <c r="U380" s="31"/>
    </row>
    <row r="381" ht="15.75" customHeight="1">
      <c r="U381" s="31"/>
    </row>
    <row r="382" ht="15.75" customHeight="1">
      <c r="U382" s="31"/>
    </row>
    <row r="383" ht="15.75" customHeight="1">
      <c r="U383" s="31"/>
    </row>
    <row r="384" ht="15.75" customHeight="1">
      <c r="U384" s="31"/>
    </row>
    <row r="385" ht="15.75" customHeight="1">
      <c r="U385" s="31"/>
    </row>
    <row r="386" ht="15.75" customHeight="1">
      <c r="U386" s="31"/>
    </row>
    <row r="387" ht="15.75" customHeight="1">
      <c r="U387" s="31"/>
    </row>
    <row r="388" ht="15.75" customHeight="1">
      <c r="U388" s="31"/>
    </row>
    <row r="389" ht="15.75" customHeight="1">
      <c r="U389" s="31"/>
    </row>
    <row r="390" ht="15.75" customHeight="1">
      <c r="U390" s="31"/>
    </row>
    <row r="391" ht="15.75" customHeight="1">
      <c r="U391" s="31"/>
    </row>
    <row r="392" ht="15.75" customHeight="1">
      <c r="U392" s="31"/>
    </row>
    <row r="393" ht="15.75" customHeight="1">
      <c r="U393" s="31"/>
    </row>
    <row r="394" ht="15.75" customHeight="1">
      <c r="U394" s="31"/>
    </row>
    <row r="395" ht="15.75" customHeight="1">
      <c r="U395" s="31"/>
    </row>
    <row r="396" ht="15.75" customHeight="1">
      <c r="U396" s="31"/>
    </row>
    <row r="397" ht="15.75" customHeight="1">
      <c r="U397" s="31"/>
    </row>
    <row r="398" ht="15.75" customHeight="1">
      <c r="U398" s="31"/>
    </row>
    <row r="399" ht="15.75" customHeight="1">
      <c r="U399" s="31"/>
    </row>
    <row r="400" ht="15.75" customHeight="1">
      <c r="U400" s="31"/>
    </row>
    <row r="401" ht="15.75" customHeight="1">
      <c r="U401" s="31"/>
    </row>
    <row r="402" ht="15.75" customHeight="1">
      <c r="U402" s="31"/>
    </row>
    <row r="403" ht="15.75" customHeight="1">
      <c r="U403" s="31"/>
    </row>
    <row r="404" ht="15.75" customHeight="1">
      <c r="U404" s="31"/>
    </row>
    <row r="405" ht="15.75" customHeight="1">
      <c r="U405" s="31"/>
    </row>
    <row r="406" ht="15.75" customHeight="1">
      <c r="U406" s="31"/>
    </row>
    <row r="407" ht="15.75" customHeight="1">
      <c r="U407" s="31"/>
    </row>
    <row r="408" ht="15.75" customHeight="1">
      <c r="U408" s="31"/>
    </row>
    <row r="409" ht="15.75" customHeight="1">
      <c r="U409" s="31"/>
    </row>
    <row r="410" ht="15.75" customHeight="1">
      <c r="U410" s="31"/>
    </row>
    <row r="411" ht="15.75" customHeight="1">
      <c r="U411" s="31"/>
    </row>
    <row r="412" ht="15.75" customHeight="1">
      <c r="U412" s="31"/>
    </row>
    <row r="413" ht="15.75" customHeight="1">
      <c r="U413" s="31"/>
    </row>
    <row r="414" ht="15.75" customHeight="1">
      <c r="U414" s="31"/>
    </row>
    <row r="415" ht="15.75" customHeight="1">
      <c r="U415" s="31"/>
    </row>
    <row r="416" ht="15.75" customHeight="1">
      <c r="U416" s="31"/>
    </row>
    <row r="417" ht="15.75" customHeight="1">
      <c r="U417" s="31"/>
    </row>
    <row r="418" ht="15.75" customHeight="1">
      <c r="U418" s="31"/>
    </row>
    <row r="419" ht="15.75" customHeight="1">
      <c r="U419" s="31"/>
    </row>
    <row r="420" ht="15.75" customHeight="1">
      <c r="U420" s="31"/>
    </row>
    <row r="421" ht="15.75" customHeight="1">
      <c r="U421" s="31"/>
    </row>
    <row r="422" ht="15.75" customHeight="1">
      <c r="U422" s="31"/>
    </row>
    <row r="423" ht="15.75" customHeight="1">
      <c r="U423" s="31"/>
    </row>
    <row r="424" ht="15.75" customHeight="1">
      <c r="U424" s="31"/>
    </row>
    <row r="425" ht="15.75" customHeight="1">
      <c r="U425" s="31"/>
    </row>
    <row r="426" ht="15.75" customHeight="1">
      <c r="U426" s="31"/>
    </row>
    <row r="427" ht="15.75" customHeight="1">
      <c r="U427" s="31"/>
    </row>
    <row r="428" ht="15.75" customHeight="1">
      <c r="U428" s="31"/>
    </row>
    <row r="429" ht="15.75" customHeight="1">
      <c r="U429" s="31"/>
    </row>
    <row r="430" ht="15.75" customHeight="1">
      <c r="U430" s="31"/>
    </row>
    <row r="431" ht="15.75" customHeight="1">
      <c r="U431" s="31"/>
    </row>
    <row r="432" ht="15.75" customHeight="1">
      <c r="U432" s="31"/>
    </row>
    <row r="433" ht="15.75" customHeight="1">
      <c r="U433" s="31"/>
    </row>
    <row r="434" ht="15.75" customHeight="1">
      <c r="U434" s="31"/>
    </row>
    <row r="435" ht="15.75" customHeight="1">
      <c r="U435" s="31"/>
    </row>
    <row r="436" ht="15.75" customHeight="1">
      <c r="U436" s="31"/>
    </row>
    <row r="437" ht="15.75" customHeight="1">
      <c r="U437" s="31"/>
    </row>
    <row r="438" ht="15.75" customHeight="1">
      <c r="U438" s="31"/>
    </row>
    <row r="439" ht="15.75" customHeight="1">
      <c r="U439" s="31"/>
    </row>
    <row r="440" ht="15.75" customHeight="1">
      <c r="U440" s="31"/>
    </row>
    <row r="441" ht="15.75" customHeight="1">
      <c r="U441" s="31"/>
    </row>
    <row r="442" ht="15.75" customHeight="1">
      <c r="U442" s="31"/>
    </row>
    <row r="443" ht="15.75" customHeight="1">
      <c r="U443" s="31"/>
    </row>
    <row r="444" ht="15.75" customHeight="1">
      <c r="U444" s="31"/>
    </row>
    <row r="445" ht="15.75" customHeight="1">
      <c r="U445" s="31"/>
    </row>
    <row r="446" ht="15.75" customHeight="1">
      <c r="U446" s="31"/>
    </row>
    <row r="447" ht="15.75" customHeight="1">
      <c r="U447" s="31"/>
    </row>
    <row r="448" ht="15.75" customHeight="1">
      <c r="U448" s="31"/>
    </row>
    <row r="449" ht="15.75" customHeight="1">
      <c r="U449" s="31"/>
    </row>
    <row r="450" ht="15.75" customHeight="1">
      <c r="U450" s="31"/>
    </row>
    <row r="451" ht="15.75" customHeight="1">
      <c r="U451" s="31"/>
    </row>
    <row r="452" ht="15.75" customHeight="1">
      <c r="U452" s="31"/>
    </row>
    <row r="453" ht="15.75" customHeight="1">
      <c r="U453" s="31"/>
    </row>
    <row r="454" ht="15.75" customHeight="1">
      <c r="U454" s="31"/>
    </row>
    <row r="455" ht="15.75" customHeight="1">
      <c r="U455" s="31"/>
    </row>
    <row r="456" ht="15.75" customHeight="1">
      <c r="U456" s="31"/>
    </row>
    <row r="457" ht="15.75" customHeight="1">
      <c r="U457" s="31"/>
    </row>
    <row r="458" ht="15.75" customHeight="1">
      <c r="U458" s="31"/>
    </row>
    <row r="459" ht="15.75" customHeight="1">
      <c r="U459" s="31"/>
    </row>
    <row r="460" ht="15.75" customHeight="1">
      <c r="U460" s="31"/>
    </row>
    <row r="461" ht="15.75" customHeight="1">
      <c r="U461" s="31"/>
    </row>
    <row r="462" ht="15.75" customHeight="1">
      <c r="U462" s="31"/>
    </row>
    <row r="463" ht="15.75" customHeight="1">
      <c r="U463" s="31"/>
    </row>
    <row r="464" ht="15.75" customHeight="1">
      <c r="U464" s="31"/>
    </row>
    <row r="465" ht="15.75" customHeight="1">
      <c r="U465" s="31"/>
    </row>
    <row r="466" ht="15.75" customHeight="1">
      <c r="U466" s="31"/>
    </row>
    <row r="467" ht="15.75" customHeight="1">
      <c r="U467" s="31"/>
    </row>
    <row r="468" ht="15.75" customHeight="1">
      <c r="U468" s="31"/>
    </row>
    <row r="469" ht="15.75" customHeight="1">
      <c r="U469" s="31"/>
    </row>
    <row r="470" ht="15.75" customHeight="1">
      <c r="U470" s="31"/>
    </row>
    <row r="471" ht="15.75" customHeight="1">
      <c r="U471" s="31"/>
    </row>
    <row r="472" ht="15.75" customHeight="1">
      <c r="U472" s="31"/>
    </row>
    <row r="473" ht="15.75" customHeight="1">
      <c r="U473" s="31"/>
    </row>
    <row r="474" ht="15.75" customHeight="1">
      <c r="U474" s="31"/>
    </row>
    <row r="475" ht="15.75" customHeight="1">
      <c r="U475" s="31"/>
    </row>
    <row r="476" ht="15.75" customHeight="1">
      <c r="U476" s="31"/>
    </row>
    <row r="477" ht="15.75" customHeight="1">
      <c r="U477" s="31"/>
    </row>
    <row r="478" ht="15.75" customHeight="1">
      <c r="U478" s="31"/>
    </row>
    <row r="479" ht="15.75" customHeight="1">
      <c r="U479" s="31"/>
    </row>
    <row r="480" ht="15.75" customHeight="1">
      <c r="U480" s="31"/>
    </row>
    <row r="481" ht="15.75" customHeight="1">
      <c r="U481" s="31"/>
    </row>
    <row r="482" ht="15.75" customHeight="1">
      <c r="U482" s="31"/>
    </row>
    <row r="483" ht="15.75" customHeight="1">
      <c r="U483" s="31"/>
    </row>
    <row r="484" ht="15.75" customHeight="1">
      <c r="U484" s="31"/>
    </row>
    <row r="485" ht="15.75" customHeight="1">
      <c r="U485" s="31"/>
    </row>
    <row r="486" ht="15.75" customHeight="1">
      <c r="U486" s="31"/>
    </row>
    <row r="487" ht="15.75" customHeight="1">
      <c r="U487" s="31"/>
    </row>
    <row r="488" ht="15.75" customHeight="1">
      <c r="U488" s="31"/>
    </row>
    <row r="489" ht="15.75" customHeight="1">
      <c r="U489" s="31"/>
    </row>
    <row r="490" ht="15.75" customHeight="1">
      <c r="U490" s="31"/>
    </row>
    <row r="491" ht="15.75" customHeight="1">
      <c r="U491" s="31"/>
    </row>
    <row r="492" ht="15.75" customHeight="1">
      <c r="U492" s="31"/>
    </row>
    <row r="493" ht="15.75" customHeight="1">
      <c r="U493" s="31"/>
    </row>
    <row r="494" ht="15.75" customHeight="1">
      <c r="U494" s="31"/>
    </row>
    <row r="495" ht="15.75" customHeight="1">
      <c r="U495" s="31"/>
    </row>
    <row r="496" ht="15.75" customHeight="1">
      <c r="U496" s="31"/>
    </row>
    <row r="497" ht="15.75" customHeight="1">
      <c r="U497" s="31"/>
    </row>
    <row r="498" ht="15.75" customHeight="1">
      <c r="U498" s="31"/>
    </row>
    <row r="499" ht="15.75" customHeight="1">
      <c r="U499" s="31"/>
    </row>
    <row r="500" ht="15.75" customHeight="1">
      <c r="U500" s="31"/>
    </row>
    <row r="501" ht="15.75" customHeight="1">
      <c r="U501" s="31"/>
    </row>
    <row r="502" ht="15.75" customHeight="1">
      <c r="U502" s="31"/>
    </row>
    <row r="503" ht="15.75" customHeight="1">
      <c r="U503" s="31"/>
    </row>
    <row r="504" ht="15.75" customHeight="1">
      <c r="U504" s="31"/>
    </row>
    <row r="505" ht="15.75" customHeight="1">
      <c r="U505" s="31"/>
    </row>
    <row r="506" ht="15.75" customHeight="1">
      <c r="U506" s="31"/>
    </row>
    <row r="507" ht="15.75" customHeight="1">
      <c r="U507" s="31"/>
    </row>
    <row r="508" ht="15.75" customHeight="1">
      <c r="U508" s="31"/>
    </row>
    <row r="509" ht="15.75" customHeight="1">
      <c r="U509" s="31"/>
    </row>
    <row r="510" ht="15.75" customHeight="1">
      <c r="U510" s="31"/>
    </row>
    <row r="511" ht="15.75" customHeight="1">
      <c r="U511" s="31"/>
    </row>
    <row r="512" ht="15.75" customHeight="1">
      <c r="U512" s="31"/>
    </row>
    <row r="513" ht="15.75" customHeight="1">
      <c r="U513" s="31"/>
    </row>
    <row r="514" ht="15.75" customHeight="1">
      <c r="U514" s="31"/>
    </row>
    <row r="515" ht="15.75" customHeight="1">
      <c r="U515" s="31"/>
    </row>
    <row r="516" ht="15.75" customHeight="1">
      <c r="U516" s="31"/>
    </row>
    <row r="517" ht="15.75" customHeight="1">
      <c r="U517" s="31"/>
    </row>
    <row r="518" ht="15.75" customHeight="1">
      <c r="U518" s="31"/>
    </row>
    <row r="519" ht="15.75" customHeight="1">
      <c r="U519" s="31"/>
    </row>
    <row r="520" ht="15.75" customHeight="1">
      <c r="U520" s="31"/>
    </row>
    <row r="521" ht="15.75" customHeight="1">
      <c r="U521" s="31"/>
    </row>
    <row r="522" ht="15.75" customHeight="1">
      <c r="U522" s="31"/>
    </row>
    <row r="523" ht="15.75" customHeight="1">
      <c r="U523" s="31"/>
    </row>
    <row r="524" ht="15.75" customHeight="1">
      <c r="U524" s="31"/>
    </row>
    <row r="525" ht="15.75" customHeight="1">
      <c r="U525" s="31"/>
    </row>
    <row r="526" ht="15.75" customHeight="1">
      <c r="U526" s="31"/>
    </row>
    <row r="527" ht="15.75" customHeight="1">
      <c r="U527" s="31"/>
    </row>
    <row r="528" ht="15.75" customHeight="1">
      <c r="U528" s="31"/>
    </row>
    <row r="529" ht="15.75" customHeight="1">
      <c r="U529" s="31"/>
    </row>
    <row r="530" ht="15.75" customHeight="1">
      <c r="U530" s="31"/>
    </row>
    <row r="531" ht="15.75" customHeight="1">
      <c r="U531" s="31"/>
    </row>
    <row r="532" ht="15.75" customHeight="1">
      <c r="U532" s="31"/>
    </row>
    <row r="533" ht="15.75" customHeight="1">
      <c r="U533" s="31"/>
    </row>
    <row r="534" ht="15.75" customHeight="1">
      <c r="U534" s="31"/>
    </row>
    <row r="535" ht="15.75" customHeight="1">
      <c r="U535" s="31"/>
    </row>
    <row r="536" ht="15.75" customHeight="1">
      <c r="U536" s="31"/>
    </row>
    <row r="537" ht="15.75" customHeight="1">
      <c r="U537" s="31"/>
    </row>
    <row r="538" ht="15.75" customHeight="1">
      <c r="U538" s="31"/>
    </row>
    <row r="539" ht="15.75" customHeight="1">
      <c r="U539" s="31"/>
    </row>
    <row r="540" ht="15.75" customHeight="1">
      <c r="U540" s="31"/>
    </row>
    <row r="541" ht="15.75" customHeight="1">
      <c r="U541" s="31"/>
    </row>
    <row r="542" ht="15.75" customHeight="1">
      <c r="U542" s="31"/>
    </row>
    <row r="543" ht="15.75" customHeight="1">
      <c r="U543" s="31"/>
    </row>
    <row r="544" ht="15.75" customHeight="1">
      <c r="U544" s="31"/>
    </row>
    <row r="545" ht="15.75" customHeight="1">
      <c r="U545" s="31"/>
    </row>
    <row r="546" ht="15.75" customHeight="1">
      <c r="U546" s="31"/>
    </row>
    <row r="547" ht="15.75" customHeight="1">
      <c r="U547" s="31"/>
    </row>
    <row r="548" ht="15.75" customHeight="1">
      <c r="U548" s="31"/>
    </row>
    <row r="549" ht="15.75" customHeight="1">
      <c r="U549" s="31"/>
    </row>
    <row r="550" ht="15.75" customHeight="1">
      <c r="U550" s="31"/>
    </row>
    <row r="551" ht="15.75" customHeight="1">
      <c r="U551" s="31"/>
    </row>
    <row r="552" ht="15.75" customHeight="1">
      <c r="U552" s="31"/>
    </row>
    <row r="553" ht="15.75" customHeight="1">
      <c r="U553" s="31"/>
    </row>
    <row r="554" ht="15.75" customHeight="1">
      <c r="U554" s="31"/>
    </row>
    <row r="555" ht="15.75" customHeight="1">
      <c r="U555" s="31"/>
    </row>
    <row r="556" ht="15.75" customHeight="1">
      <c r="U556" s="31"/>
    </row>
    <row r="557" ht="15.75" customHeight="1">
      <c r="U557" s="31"/>
    </row>
    <row r="558" ht="15.75" customHeight="1">
      <c r="U558" s="31"/>
    </row>
    <row r="559" ht="15.75" customHeight="1">
      <c r="U559" s="31"/>
    </row>
    <row r="560" ht="15.75" customHeight="1">
      <c r="U560" s="31"/>
    </row>
    <row r="561" ht="15.75" customHeight="1">
      <c r="U561" s="31"/>
    </row>
    <row r="562" ht="15.75" customHeight="1">
      <c r="U562" s="31"/>
    </row>
    <row r="563" ht="15.75" customHeight="1">
      <c r="U563" s="31"/>
    </row>
    <row r="564" ht="15.75" customHeight="1">
      <c r="U564" s="31"/>
    </row>
    <row r="565" ht="15.75" customHeight="1">
      <c r="U565" s="31"/>
    </row>
    <row r="566" ht="15.75" customHeight="1">
      <c r="U566" s="31"/>
    </row>
    <row r="567" ht="15.75" customHeight="1">
      <c r="U567" s="31"/>
    </row>
    <row r="568" ht="15.75" customHeight="1">
      <c r="U568" s="31"/>
    </row>
    <row r="569" ht="15.75" customHeight="1">
      <c r="U569" s="31"/>
    </row>
    <row r="570" ht="15.75" customHeight="1">
      <c r="U570" s="31"/>
    </row>
    <row r="571" ht="15.75" customHeight="1">
      <c r="U571" s="31"/>
    </row>
    <row r="572" ht="15.75" customHeight="1">
      <c r="U572" s="31"/>
    </row>
    <row r="573" ht="15.75" customHeight="1">
      <c r="U573" s="31"/>
    </row>
    <row r="574" ht="15.75" customHeight="1">
      <c r="U574" s="31"/>
    </row>
    <row r="575" ht="15.75" customHeight="1">
      <c r="U575" s="31"/>
    </row>
    <row r="576" ht="15.75" customHeight="1">
      <c r="U576" s="31"/>
    </row>
    <row r="577" ht="15.75" customHeight="1">
      <c r="U577" s="31"/>
    </row>
    <row r="578" ht="15.75" customHeight="1">
      <c r="U578" s="31"/>
    </row>
    <row r="579" ht="15.75" customHeight="1">
      <c r="U579" s="31"/>
    </row>
    <row r="580" ht="15.75" customHeight="1">
      <c r="U580" s="31"/>
    </row>
    <row r="581" ht="15.75" customHeight="1">
      <c r="U581" s="31"/>
    </row>
    <row r="582" ht="15.75" customHeight="1">
      <c r="U582" s="31"/>
    </row>
    <row r="583" ht="15.75" customHeight="1">
      <c r="U583" s="31"/>
    </row>
    <row r="584" ht="15.75" customHeight="1">
      <c r="U584" s="31"/>
    </row>
    <row r="585" ht="15.75" customHeight="1">
      <c r="U585" s="31"/>
    </row>
    <row r="586" ht="15.75" customHeight="1">
      <c r="U586" s="31"/>
    </row>
    <row r="587" ht="15.75" customHeight="1">
      <c r="U587" s="31"/>
    </row>
    <row r="588" ht="15.75" customHeight="1">
      <c r="U588" s="31"/>
    </row>
    <row r="589" ht="15.75" customHeight="1">
      <c r="U589" s="31"/>
    </row>
    <row r="590" ht="15.75" customHeight="1">
      <c r="U590" s="31"/>
    </row>
    <row r="591" ht="15.75" customHeight="1">
      <c r="U591" s="31"/>
    </row>
    <row r="592" ht="15.75" customHeight="1">
      <c r="U592" s="31"/>
    </row>
    <row r="593" ht="15.75" customHeight="1">
      <c r="U593" s="31"/>
    </row>
    <row r="594" ht="15.75" customHeight="1">
      <c r="U594" s="31"/>
    </row>
    <row r="595" ht="15.75" customHeight="1">
      <c r="U595" s="31"/>
    </row>
    <row r="596" ht="15.75" customHeight="1">
      <c r="U596" s="31"/>
    </row>
    <row r="597" ht="15.75" customHeight="1">
      <c r="U597" s="31"/>
    </row>
    <row r="598" ht="15.75" customHeight="1">
      <c r="U598" s="31"/>
    </row>
    <row r="599" ht="15.75" customHeight="1">
      <c r="U599" s="31"/>
    </row>
    <row r="600" ht="15.75" customHeight="1">
      <c r="U600" s="31"/>
    </row>
    <row r="601" ht="15.75" customHeight="1">
      <c r="U601" s="31"/>
    </row>
    <row r="602" ht="15.75" customHeight="1">
      <c r="U602" s="31"/>
    </row>
    <row r="603" ht="15.75" customHeight="1">
      <c r="U603" s="31"/>
    </row>
    <row r="604" ht="15.75" customHeight="1">
      <c r="U604" s="31"/>
    </row>
    <row r="605" ht="15.75" customHeight="1">
      <c r="U605" s="31"/>
    </row>
    <row r="606" ht="15.75" customHeight="1">
      <c r="U606" s="31"/>
    </row>
    <row r="607" ht="15.75" customHeight="1">
      <c r="U607" s="31"/>
    </row>
    <row r="608" ht="15.75" customHeight="1">
      <c r="U608" s="31"/>
    </row>
    <row r="609" ht="15.75" customHeight="1">
      <c r="U609" s="31"/>
    </row>
    <row r="610" ht="15.75" customHeight="1">
      <c r="U610" s="31"/>
    </row>
    <row r="611" ht="15.75" customHeight="1">
      <c r="U611" s="31"/>
    </row>
    <row r="612" ht="15.75" customHeight="1">
      <c r="U612" s="31"/>
    </row>
    <row r="613" ht="15.75" customHeight="1">
      <c r="U613" s="31"/>
    </row>
    <row r="614" ht="15.75" customHeight="1">
      <c r="U614" s="31"/>
    </row>
    <row r="615" ht="15.75" customHeight="1">
      <c r="U615" s="31"/>
    </row>
    <row r="616" ht="15.75" customHeight="1">
      <c r="U616" s="31"/>
    </row>
    <row r="617" ht="15.75" customHeight="1">
      <c r="U617" s="31"/>
    </row>
    <row r="618" ht="15.75" customHeight="1">
      <c r="U618" s="31"/>
    </row>
    <row r="619" ht="15.75" customHeight="1">
      <c r="U619" s="31"/>
    </row>
    <row r="620" ht="15.75" customHeight="1">
      <c r="U620" s="31"/>
    </row>
    <row r="621" ht="15.75" customHeight="1">
      <c r="U621" s="31"/>
    </row>
    <row r="622" ht="15.75" customHeight="1">
      <c r="U622" s="31"/>
    </row>
    <row r="623" ht="15.75" customHeight="1">
      <c r="U623" s="31"/>
    </row>
    <row r="624" ht="15.75" customHeight="1">
      <c r="U624" s="31"/>
    </row>
    <row r="625" ht="15.75" customHeight="1">
      <c r="U625" s="31"/>
    </row>
    <row r="626" ht="15.75" customHeight="1">
      <c r="U626" s="31"/>
    </row>
    <row r="627" ht="15.75" customHeight="1">
      <c r="U627" s="31"/>
    </row>
    <row r="628" ht="15.75" customHeight="1">
      <c r="U628" s="31"/>
    </row>
    <row r="629" ht="15.75" customHeight="1">
      <c r="U629" s="31"/>
    </row>
    <row r="630" ht="15.75" customHeight="1">
      <c r="U630" s="31"/>
    </row>
    <row r="631" ht="15.75" customHeight="1">
      <c r="U631" s="31"/>
    </row>
    <row r="632" ht="15.75" customHeight="1">
      <c r="U632" s="31"/>
    </row>
    <row r="633" ht="15.75" customHeight="1">
      <c r="U633" s="31"/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3" max="3" width="16.38"/>
    <col customWidth="1" min="9" max="9" width="17.88"/>
    <col customWidth="1" min="10" max="10" width="19.88"/>
  </cols>
  <sheetData>
    <row r="1" ht="15.75" customHeight="1">
      <c r="B1" s="22" t="s">
        <v>92</v>
      </c>
      <c r="D1" s="22" t="s">
        <v>93</v>
      </c>
      <c r="E1" s="22">
        <v>1999.0</v>
      </c>
      <c r="F1" s="22">
        <v>1.0</v>
      </c>
      <c r="G1" s="22">
        <v>1.0</v>
      </c>
      <c r="I1" s="22" t="s">
        <v>94</v>
      </c>
      <c r="J1" s="33" t="s">
        <v>148</v>
      </c>
      <c r="M1" s="34">
        <v>0.025</v>
      </c>
    </row>
    <row r="2" ht="15.75" customHeight="1">
      <c r="B2" s="22" t="s">
        <v>85</v>
      </c>
      <c r="C2" s="22"/>
      <c r="D2" s="22"/>
      <c r="E2" s="22"/>
      <c r="F2" s="22"/>
      <c r="G2" s="22" t="s">
        <v>85</v>
      </c>
      <c r="K2" s="14"/>
      <c r="L2" s="14"/>
      <c r="M2" s="14">
        <f>1.5^5</f>
        <v>7.59375</v>
      </c>
      <c r="N2" s="14"/>
      <c r="O2" s="14"/>
      <c r="R2" s="22" t="s">
        <v>149</v>
      </c>
    </row>
    <row r="3" ht="15.75" customHeight="1">
      <c r="B3" s="22" t="s">
        <v>97</v>
      </c>
      <c r="C3" s="22" t="s">
        <v>150</v>
      </c>
      <c r="E3" s="22" t="s">
        <v>151</v>
      </c>
      <c r="F3" s="22"/>
      <c r="G3" s="22" t="s">
        <v>152</v>
      </c>
      <c r="H3" s="22" t="s">
        <v>153</v>
      </c>
      <c r="I3" s="22" t="s">
        <v>154</v>
      </c>
      <c r="J3" s="34">
        <v>0.02</v>
      </c>
      <c r="L3" s="22" t="str">
        <f>MEDIAN($G162:$G1348)</f>
        <v>#NUM!</v>
      </c>
      <c r="M3" s="22" t="str">
        <f>MEDIAN($H266:$H1345)</f>
        <v>#NUM!</v>
      </c>
      <c r="O3" s="22" t="s">
        <v>155</v>
      </c>
      <c r="P3" s="22" t="s">
        <v>156</v>
      </c>
      <c r="Q3" s="22" t="s">
        <v>157</v>
      </c>
      <c r="R3" s="22" t="s">
        <v>156</v>
      </c>
      <c r="S3" s="22" t="s">
        <v>157</v>
      </c>
    </row>
    <row r="4" ht="15.75" customHeight="1">
      <c r="A4" s="22" t="str">
        <f>IFERROR(__xludf.DUMMYFUNCTION("GOOGLEFINANCE(B$3, ""price"", DATE($E1, $F1, $G1), TODAY(), $J$1)"),"Loading...")</f>
        <v>Loading...</v>
      </c>
      <c r="B4" s="22"/>
      <c r="D4" s="22" t="str">
        <f>IFERROR(__xludf.DUMMYFUNCTION("GOOGLEFINANCE(E$3, ""price"", DATE($E1, $F1, $G1), TODAY(), $J$1)"),"Loading...")</f>
        <v>Loading...</v>
      </c>
      <c r="E4" s="22"/>
      <c r="F4" s="22" t="s">
        <v>158</v>
      </c>
      <c r="I4" s="22" t="s">
        <v>159</v>
      </c>
      <c r="J4" s="22" t="str">
        <f t="shared" ref="J4:K4" si="1">B526/B5-1</f>
        <v>#DIV/0!</v>
      </c>
      <c r="K4" s="22" t="str">
        <f t="shared" si="1"/>
        <v>#DIV/0!</v>
      </c>
      <c r="O4" s="22">
        <v>-60.0</v>
      </c>
      <c r="P4" s="22">
        <f t="array" ref="P4:P29">FREQUENCY(G162:G1348, $O$4:$O$28)</f>
        <v>0</v>
      </c>
      <c r="Q4" s="22" t="str">
        <f>IFERROR(__xludf.DUMMYFUNCTION("FREQUENCY(FILTER(H6:H10000, H6:H10000&lt;&gt;0, H6:H10000&lt;&gt;""""), $O$4:$O$28)"),"#N/A")</f>
        <v>#N/A</v>
      </c>
      <c r="R4" s="32" t="str">
        <f t="shared" ref="R4:S4" si="2">100*P4/P$30</f>
        <v>#DIV/0!</v>
      </c>
      <c r="S4" s="32" t="str">
        <f t="shared" si="2"/>
        <v>#N/A</v>
      </c>
    </row>
    <row r="5" ht="15.75" customHeight="1">
      <c r="A5" s="31"/>
      <c r="B5" s="22"/>
      <c r="C5" s="22" t="str">
        <f>B5</f>
        <v/>
      </c>
      <c r="D5" s="25"/>
      <c r="E5" s="22"/>
      <c r="F5" s="22">
        <v>100.0</v>
      </c>
      <c r="O5" s="22">
        <f t="shared" ref="O5:O28" si="6">O4+10</f>
        <v>-50</v>
      </c>
      <c r="P5" s="22">
        <v>0.0</v>
      </c>
      <c r="Q5" s="22"/>
      <c r="R5" s="32" t="str">
        <f t="shared" ref="R5:S5" si="3">100*P5/P$30</f>
        <v>#DIV/0!</v>
      </c>
      <c r="S5" s="32" t="str">
        <f t="shared" si="3"/>
        <v>#DIV/0!</v>
      </c>
      <c r="T5" s="32" t="str">
        <f t="shared" ref="T5:U5" si="4">R5+R4</f>
        <v>#DIV/0!</v>
      </c>
      <c r="U5" s="32" t="str">
        <f t="shared" si="4"/>
        <v>#DIV/0!</v>
      </c>
      <c r="V5" s="32" t="str">
        <f t="shared" ref="V5:W5" si="5">100-T5</f>
        <v>#DIV/0!</v>
      </c>
      <c r="W5" s="32" t="str">
        <f t="shared" si="5"/>
        <v>#DIV/0!</v>
      </c>
    </row>
    <row r="6" ht="15.75" customHeight="1">
      <c r="A6" s="31"/>
      <c r="B6" s="22"/>
      <c r="C6" s="22" t="str">
        <f t="shared" ref="C6:C1385" si="10">IF(ISBLANK(B6), "", C5 * (1 + (B6 - B5) / B5 + $J$3 / 52))
</f>
        <v/>
      </c>
      <c r="D6" s="25"/>
      <c r="E6" s="22"/>
      <c r="F6" s="22" t="str">
        <f t="shared" ref="F6:F1346" si="11">IF(OR(ISBLANK(B6),B6=0),"",F5*((E5/E6)*(C6/C5)))</f>
        <v/>
      </c>
      <c r="I6" s="22" t="str">
        <f>AVERAGEIF($H$6:$H$10000, "&lt;&gt;0")</f>
        <v>#DIV/0!</v>
      </c>
      <c r="O6" s="22">
        <f t="shared" si="6"/>
        <v>-40</v>
      </c>
      <c r="P6" s="22">
        <v>0.0</v>
      </c>
      <c r="Q6" s="22"/>
      <c r="R6" s="32" t="str">
        <f t="shared" ref="R6:S6" si="7">100*P6/P$30</f>
        <v>#DIV/0!</v>
      </c>
      <c r="S6" s="32" t="str">
        <f t="shared" si="7"/>
        <v>#DIV/0!</v>
      </c>
      <c r="T6" s="32" t="str">
        <f t="shared" ref="T6:U6" si="8">R6+T5</f>
        <v>#DIV/0!</v>
      </c>
      <c r="U6" s="32" t="str">
        <f t="shared" si="8"/>
        <v>#DIV/0!</v>
      </c>
      <c r="V6" s="32" t="str">
        <f t="shared" ref="V6:W6" si="9">100-T6</f>
        <v>#DIV/0!</v>
      </c>
      <c r="W6" s="32" t="str">
        <f t="shared" si="9"/>
        <v>#DIV/0!</v>
      </c>
    </row>
    <row r="7" ht="15.75" customHeight="1">
      <c r="A7" s="31"/>
      <c r="B7" s="22"/>
      <c r="C7" s="22" t="str">
        <f t="shared" si="10"/>
        <v/>
      </c>
      <c r="D7" s="25"/>
      <c r="E7" s="22"/>
      <c r="F7" s="22" t="str">
        <f t="shared" si="11"/>
        <v/>
      </c>
      <c r="I7" s="22" t="str">
        <f>IFERROR(__xludf.DUMMYFUNCTION("MEDIAN(FILTER(H6:H10000, H6:H10000&lt;&gt;0))"),"#NUM!")</f>
        <v>#NUM!</v>
      </c>
      <c r="O7" s="22">
        <f t="shared" si="6"/>
        <v>-30</v>
      </c>
      <c r="P7" s="22">
        <v>0.0</v>
      </c>
      <c r="Q7" s="22"/>
      <c r="R7" s="32" t="str">
        <f t="shared" ref="R7:S7" si="12">100*P7/P$30</f>
        <v>#DIV/0!</v>
      </c>
      <c r="S7" s="32" t="str">
        <f t="shared" si="12"/>
        <v>#DIV/0!</v>
      </c>
      <c r="T7" s="32" t="str">
        <f t="shared" ref="T7:U7" si="13">R7+T6</f>
        <v>#DIV/0!</v>
      </c>
      <c r="U7" s="32" t="str">
        <f t="shared" si="13"/>
        <v>#DIV/0!</v>
      </c>
      <c r="V7" s="32" t="str">
        <f t="shared" ref="V7:W7" si="14">100-T7</f>
        <v>#DIV/0!</v>
      </c>
      <c r="W7" s="32" t="str">
        <f t="shared" si="14"/>
        <v>#DIV/0!</v>
      </c>
    </row>
    <row r="8" ht="15.75" customHeight="1">
      <c r="A8" s="31"/>
      <c r="B8" s="22"/>
      <c r="C8" s="22" t="str">
        <f t="shared" si="10"/>
        <v/>
      </c>
      <c r="D8" s="25"/>
      <c r="E8" s="22"/>
      <c r="F8" s="22" t="str">
        <f t="shared" si="11"/>
        <v/>
      </c>
      <c r="O8" s="22">
        <f t="shared" si="6"/>
        <v>-20</v>
      </c>
      <c r="P8" s="22">
        <v>0.0</v>
      </c>
      <c r="Q8" s="22"/>
      <c r="R8" s="32" t="str">
        <f t="shared" ref="R8:S8" si="15">100*P8/P$30</f>
        <v>#DIV/0!</v>
      </c>
      <c r="S8" s="32" t="str">
        <f t="shared" si="15"/>
        <v>#DIV/0!</v>
      </c>
      <c r="T8" s="32" t="str">
        <f t="shared" ref="T8:U8" si="16">R8+T7</f>
        <v>#DIV/0!</v>
      </c>
      <c r="U8" s="32" t="str">
        <f t="shared" si="16"/>
        <v>#DIV/0!</v>
      </c>
      <c r="V8" s="32" t="str">
        <f t="shared" ref="V8:W8" si="17">100-T8</f>
        <v>#DIV/0!</v>
      </c>
      <c r="W8" s="32" t="str">
        <f t="shared" si="17"/>
        <v>#DIV/0!</v>
      </c>
    </row>
    <row r="9" ht="15.75" customHeight="1">
      <c r="A9" s="31"/>
      <c r="B9" s="22"/>
      <c r="C9" s="22" t="str">
        <f t="shared" si="10"/>
        <v/>
      </c>
      <c r="D9" s="25"/>
      <c r="E9" s="22"/>
      <c r="F9" s="22" t="str">
        <f t="shared" si="11"/>
        <v/>
      </c>
      <c r="I9" s="22">
        <f>1.05^5</f>
        <v>1.276281563</v>
      </c>
      <c r="O9" s="22">
        <f t="shared" si="6"/>
        <v>-10</v>
      </c>
      <c r="P9" s="22">
        <v>0.0</v>
      </c>
      <c r="Q9" s="22"/>
      <c r="R9" s="32" t="str">
        <f t="shared" ref="R9:S9" si="18">100*P9/P$30</f>
        <v>#DIV/0!</v>
      </c>
      <c r="S9" s="32" t="str">
        <f t="shared" si="18"/>
        <v>#DIV/0!</v>
      </c>
      <c r="T9" s="32" t="str">
        <f t="shared" ref="T9:U9" si="19">R9+T8</f>
        <v>#DIV/0!</v>
      </c>
      <c r="U9" s="32" t="str">
        <f t="shared" si="19"/>
        <v>#DIV/0!</v>
      </c>
      <c r="V9" s="32" t="str">
        <f t="shared" ref="V9:W9" si="20">100-T9</f>
        <v>#DIV/0!</v>
      </c>
      <c r="W9" s="32" t="str">
        <f t="shared" si="20"/>
        <v>#DIV/0!</v>
      </c>
    </row>
    <row r="10" ht="15.75" customHeight="1">
      <c r="A10" s="31"/>
      <c r="B10" s="22"/>
      <c r="C10" s="22" t="str">
        <f t="shared" si="10"/>
        <v/>
      </c>
      <c r="D10" s="25"/>
      <c r="E10" s="22"/>
      <c r="F10" s="22" t="str">
        <f t="shared" si="11"/>
        <v/>
      </c>
      <c r="O10" s="22">
        <f t="shared" si="6"/>
        <v>0</v>
      </c>
      <c r="P10" s="22">
        <v>0.0</v>
      </c>
      <c r="Q10" s="22"/>
      <c r="R10" s="32" t="str">
        <f t="shared" ref="R10:S10" si="21">100*P10/P$30</f>
        <v>#DIV/0!</v>
      </c>
      <c r="S10" s="32" t="str">
        <f t="shared" si="21"/>
        <v>#DIV/0!</v>
      </c>
      <c r="T10" s="32" t="str">
        <f t="shared" ref="T10:U10" si="22">R10+T9</f>
        <v>#DIV/0!</v>
      </c>
      <c r="U10" s="32" t="str">
        <f t="shared" si="22"/>
        <v>#DIV/0!</v>
      </c>
      <c r="V10" s="32" t="str">
        <f t="shared" ref="V10:W10" si="23">100-T10</f>
        <v>#DIV/0!</v>
      </c>
      <c r="W10" s="32" t="str">
        <f t="shared" si="23"/>
        <v>#DIV/0!</v>
      </c>
    </row>
    <row r="11" ht="15.75" customHeight="1">
      <c r="A11" s="31"/>
      <c r="B11" s="22"/>
      <c r="C11" s="22" t="str">
        <f t="shared" si="10"/>
        <v/>
      </c>
      <c r="D11" s="25"/>
      <c r="E11" s="22"/>
      <c r="F11" s="22" t="str">
        <f t="shared" si="11"/>
        <v/>
      </c>
      <c r="O11" s="22">
        <f t="shared" si="6"/>
        <v>10</v>
      </c>
      <c r="P11" s="22">
        <v>0.0</v>
      </c>
      <c r="Q11" s="22"/>
      <c r="R11" s="32" t="str">
        <f t="shared" ref="R11:S11" si="24">100*P11/P$30</f>
        <v>#DIV/0!</v>
      </c>
      <c r="S11" s="32" t="str">
        <f t="shared" si="24"/>
        <v>#DIV/0!</v>
      </c>
      <c r="T11" s="32" t="str">
        <f t="shared" ref="T11:U11" si="25">R11+T10</f>
        <v>#DIV/0!</v>
      </c>
      <c r="U11" s="32" t="str">
        <f t="shared" si="25"/>
        <v>#DIV/0!</v>
      </c>
      <c r="V11" s="32" t="str">
        <f t="shared" ref="V11:W11" si="26">100-T11</f>
        <v>#DIV/0!</v>
      </c>
      <c r="W11" s="32" t="str">
        <f t="shared" si="26"/>
        <v>#DIV/0!</v>
      </c>
    </row>
    <row r="12" ht="15.75" customHeight="1">
      <c r="A12" s="31"/>
      <c r="B12" s="22"/>
      <c r="C12" s="22" t="str">
        <f t="shared" si="10"/>
        <v/>
      </c>
      <c r="D12" s="25"/>
      <c r="E12" s="22"/>
      <c r="F12" s="22" t="str">
        <f t="shared" si="11"/>
        <v/>
      </c>
      <c r="O12" s="22">
        <f t="shared" si="6"/>
        <v>20</v>
      </c>
      <c r="P12" s="22">
        <v>0.0</v>
      </c>
      <c r="Q12" s="22"/>
      <c r="R12" s="32" t="str">
        <f t="shared" ref="R12:S12" si="27">100*P12/P$30</f>
        <v>#DIV/0!</v>
      </c>
      <c r="S12" s="32" t="str">
        <f t="shared" si="27"/>
        <v>#DIV/0!</v>
      </c>
      <c r="T12" s="32" t="str">
        <f t="shared" ref="T12:U12" si="28">R12+T11</f>
        <v>#DIV/0!</v>
      </c>
      <c r="U12" s="32" t="str">
        <f t="shared" si="28"/>
        <v>#DIV/0!</v>
      </c>
      <c r="V12" s="32" t="str">
        <f t="shared" ref="V12:W12" si="29">100-T12</f>
        <v>#DIV/0!</v>
      </c>
      <c r="W12" s="32" t="str">
        <f t="shared" si="29"/>
        <v>#DIV/0!</v>
      </c>
    </row>
    <row r="13" ht="15.75" customHeight="1">
      <c r="A13" s="31"/>
      <c r="B13" s="22"/>
      <c r="C13" s="22" t="str">
        <f t="shared" si="10"/>
        <v/>
      </c>
      <c r="D13" s="25"/>
      <c r="E13" s="22"/>
      <c r="F13" s="22" t="str">
        <f t="shared" si="11"/>
        <v/>
      </c>
      <c r="O13" s="22">
        <f t="shared" si="6"/>
        <v>30</v>
      </c>
      <c r="P13" s="22">
        <v>0.0</v>
      </c>
      <c r="Q13" s="22"/>
      <c r="R13" s="32" t="str">
        <f t="shared" ref="R13:S13" si="30">100*P13/P$30</f>
        <v>#DIV/0!</v>
      </c>
      <c r="S13" s="32" t="str">
        <f t="shared" si="30"/>
        <v>#DIV/0!</v>
      </c>
      <c r="T13" s="32" t="str">
        <f t="shared" ref="T13:U13" si="31">R13+T12</f>
        <v>#DIV/0!</v>
      </c>
      <c r="U13" s="32" t="str">
        <f t="shared" si="31"/>
        <v>#DIV/0!</v>
      </c>
      <c r="V13" s="32" t="str">
        <f t="shared" ref="V13:W13" si="32">100-T13</f>
        <v>#DIV/0!</v>
      </c>
      <c r="W13" s="32" t="str">
        <f t="shared" si="32"/>
        <v>#DIV/0!</v>
      </c>
    </row>
    <row r="14" ht="15.75" customHeight="1">
      <c r="A14" s="31"/>
      <c r="B14" s="22"/>
      <c r="C14" s="22" t="str">
        <f t="shared" si="10"/>
        <v/>
      </c>
      <c r="D14" s="25"/>
      <c r="E14" s="22"/>
      <c r="F14" s="22" t="str">
        <f t="shared" si="11"/>
        <v/>
      </c>
      <c r="O14" s="22">
        <f t="shared" si="6"/>
        <v>40</v>
      </c>
      <c r="P14" s="22">
        <v>0.0</v>
      </c>
      <c r="Q14" s="22"/>
      <c r="R14" s="32" t="str">
        <f t="shared" ref="R14:S14" si="33">100*P14/P$30</f>
        <v>#DIV/0!</v>
      </c>
      <c r="S14" s="32" t="str">
        <f t="shared" si="33"/>
        <v>#DIV/0!</v>
      </c>
      <c r="T14" s="32" t="str">
        <f t="shared" ref="T14:U14" si="34">R14+T13</f>
        <v>#DIV/0!</v>
      </c>
      <c r="U14" s="32" t="str">
        <f t="shared" si="34"/>
        <v>#DIV/0!</v>
      </c>
      <c r="V14" s="32" t="str">
        <f t="shared" ref="V14:W14" si="35">100-T14</f>
        <v>#DIV/0!</v>
      </c>
      <c r="W14" s="32" t="str">
        <f t="shared" si="35"/>
        <v>#DIV/0!</v>
      </c>
    </row>
    <row r="15" ht="15.75" customHeight="1">
      <c r="A15" s="31"/>
      <c r="B15" s="22"/>
      <c r="C15" s="22" t="str">
        <f t="shared" si="10"/>
        <v/>
      </c>
      <c r="D15" s="25"/>
      <c r="E15" s="22"/>
      <c r="F15" s="22" t="str">
        <f t="shared" si="11"/>
        <v/>
      </c>
      <c r="O15" s="22">
        <f t="shared" si="6"/>
        <v>50</v>
      </c>
      <c r="P15" s="22">
        <v>0.0</v>
      </c>
      <c r="Q15" s="22"/>
      <c r="R15" s="32" t="str">
        <f t="shared" ref="R15:S15" si="36">100*P15/P$30</f>
        <v>#DIV/0!</v>
      </c>
      <c r="S15" s="32" t="str">
        <f t="shared" si="36"/>
        <v>#DIV/0!</v>
      </c>
      <c r="T15" s="32" t="str">
        <f t="shared" ref="T15:U15" si="37">R15+T14</f>
        <v>#DIV/0!</v>
      </c>
      <c r="U15" s="32" t="str">
        <f t="shared" si="37"/>
        <v>#DIV/0!</v>
      </c>
      <c r="V15" s="32" t="str">
        <f t="shared" ref="V15:W15" si="38">100-T15</f>
        <v>#DIV/0!</v>
      </c>
      <c r="W15" s="32" t="str">
        <f t="shared" si="38"/>
        <v>#DIV/0!</v>
      </c>
    </row>
    <row r="16" ht="15.75" customHeight="1">
      <c r="A16" s="31"/>
      <c r="B16" s="22"/>
      <c r="C16" s="22" t="str">
        <f t="shared" si="10"/>
        <v/>
      </c>
      <c r="D16" s="25"/>
      <c r="E16" s="22"/>
      <c r="F16" s="22" t="str">
        <f t="shared" si="11"/>
        <v/>
      </c>
      <c r="O16" s="22">
        <f t="shared" si="6"/>
        <v>60</v>
      </c>
      <c r="P16" s="22">
        <v>0.0</v>
      </c>
      <c r="Q16" s="22"/>
      <c r="R16" s="32" t="str">
        <f t="shared" ref="R16:S16" si="39">100*P16/P$30</f>
        <v>#DIV/0!</v>
      </c>
      <c r="S16" s="32" t="str">
        <f t="shared" si="39"/>
        <v>#DIV/0!</v>
      </c>
      <c r="T16" s="32" t="str">
        <f t="shared" ref="T16:U16" si="40">R16+T15</f>
        <v>#DIV/0!</v>
      </c>
      <c r="U16" s="32" t="str">
        <f t="shared" si="40"/>
        <v>#DIV/0!</v>
      </c>
      <c r="V16" s="32" t="str">
        <f t="shared" ref="V16:W16" si="41">100-T16</f>
        <v>#DIV/0!</v>
      </c>
      <c r="W16" s="32" t="str">
        <f t="shared" si="41"/>
        <v>#DIV/0!</v>
      </c>
    </row>
    <row r="17" ht="15.75" customHeight="1">
      <c r="A17" s="31"/>
      <c r="B17" s="22"/>
      <c r="C17" s="22" t="str">
        <f t="shared" si="10"/>
        <v/>
      </c>
      <c r="D17" s="25"/>
      <c r="E17" s="22"/>
      <c r="F17" s="22" t="str">
        <f t="shared" si="11"/>
        <v/>
      </c>
      <c r="O17" s="22">
        <f t="shared" si="6"/>
        <v>70</v>
      </c>
      <c r="P17" s="22">
        <v>0.0</v>
      </c>
      <c r="Q17" s="22"/>
      <c r="R17" s="32" t="str">
        <f t="shared" ref="R17:S17" si="42">100*P17/P$30</f>
        <v>#DIV/0!</v>
      </c>
      <c r="S17" s="32" t="str">
        <f t="shared" si="42"/>
        <v>#DIV/0!</v>
      </c>
      <c r="T17" s="32" t="str">
        <f t="shared" ref="T17:U17" si="43">R17+T16</f>
        <v>#DIV/0!</v>
      </c>
      <c r="U17" s="32" t="str">
        <f t="shared" si="43"/>
        <v>#DIV/0!</v>
      </c>
      <c r="V17" s="32" t="str">
        <f t="shared" ref="V17:W17" si="44">100-T17</f>
        <v>#DIV/0!</v>
      </c>
      <c r="W17" s="32" t="str">
        <f t="shared" si="44"/>
        <v>#DIV/0!</v>
      </c>
    </row>
    <row r="18" ht="15.75" customHeight="1">
      <c r="A18" s="31"/>
      <c r="B18" s="22"/>
      <c r="C18" s="22" t="str">
        <f t="shared" si="10"/>
        <v/>
      </c>
      <c r="D18" s="25"/>
      <c r="E18" s="22"/>
      <c r="F18" s="22" t="str">
        <f t="shared" si="11"/>
        <v/>
      </c>
      <c r="O18" s="22">
        <f t="shared" si="6"/>
        <v>80</v>
      </c>
      <c r="P18" s="22">
        <v>0.0</v>
      </c>
      <c r="Q18" s="22"/>
      <c r="R18" s="32" t="str">
        <f t="shared" ref="R18:S18" si="45">100*P18/P$30</f>
        <v>#DIV/0!</v>
      </c>
      <c r="S18" s="32" t="str">
        <f t="shared" si="45"/>
        <v>#DIV/0!</v>
      </c>
      <c r="T18" s="32" t="str">
        <f t="shared" ref="T18:U18" si="46">R18+T17</f>
        <v>#DIV/0!</v>
      </c>
      <c r="U18" s="32" t="str">
        <f t="shared" si="46"/>
        <v>#DIV/0!</v>
      </c>
      <c r="V18" s="32" t="str">
        <f t="shared" ref="V18:W18" si="47">100-T18</f>
        <v>#DIV/0!</v>
      </c>
      <c r="W18" s="32" t="str">
        <f t="shared" si="47"/>
        <v>#DIV/0!</v>
      </c>
    </row>
    <row r="19" ht="15.75" customHeight="1">
      <c r="A19" s="31"/>
      <c r="B19" s="22"/>
      <c r="C19" s="22" t="str">
        <f t="shared" si="10"/>
        <v/>
      </c>
      <c r="D19" s="25"/>
      <c r="E19" s="22"/>
      <c r="F19" s="22" t="str">
        <f t="shared" si="11"/>
        <v/>
      </c>
      <c r="O19" s="22">
        <f t="shared" si="6"/>
        <v>90</v>
      </c>
      <c r="P19" s="22">
        <v>0.0</v>
      </c>
      <c r="Q19" s="22"/>
      <c r="R19" s="32" t="str">
        <f t="shared" ref="R19:S19" si="48">100*P19/P$30</f>
        <v>#DIV/0!</v>
      </c>
      <c r="S19" s="32" t="str">
        <f t="shared" si="48"/>
        <v>#DIV/0!</v>
      </c>
      <c r="T19" s="32" t="str">
        <f t="shared" ref="T19:U19" si="49">R19+T18</f>
        <v>#DIV/0!</v>
      </c>
      <c r="U19" s="32" t="str">
        <f t="shared" si="49"/>
        <v>#DIV/0!</v>
      </c>
      <c r="V19" s="32" t="str">
        <f t="shared" ref="V19:W19" si="50">100-T19</f>
        <v>#DIV/0!</v>
      </c>
      <c r="W19" s="32" t="str">
        <f t="shared" si="50"/>
        <v>#DIV/0!</v>
      </c>
    </row>
    <row r="20" ht="15.75" customHeight="1">
      <c r="A20" s="31"/>
      <c r="B20" s="22"/>
      <c r="C20" s="22" t="str">
        <f t="shared" si="10"/>
        <v/>
      </c>
      <c r="D20" s="25"/>
      <c r="E20" s="22"/>
      <c r="F20" s="22" t="str">
        <f t="shared" si="11"/>
        <v/>
      </c>
      <c r="O20" s="22">
        <f t="shared" si="6"/>
        <v>100</v>
      </c>
      <c r="P20" s="22">
        <v>0.0</v>
      </c>
      <c r="Q20" s="22"/>
      <c r="R20" s="32" t="str">
        <f t="shared" ref="R20:S20" si="51">100*P20/P$30</f>
        <v>#DIV/0!</v>
      </c>
      <c r="S20" s="32" t="str">
        <f t="shared" si="51"/>
        <v>#DIV/0!</v>
      </c>
      <c r="T20" s="32" t="str">
        <f t="shared" ref="T20:U20" si="52">R20+T19</f>
        <v>#DIV/0!</v>
      </c>
      <c r="U20" s="32" t="str">
        <f t="shared" si="52"/>
        <v>#DIV/0!</v>
      </c>
      <c r="V20" s="32" t="str">
        <f t="shared" ref="V20:W20" si="53">100-T20</f>
        <v>#DIV/0!</v>
      </c>
      <c r="W20" s="32" t="str">
        <f t="shared" si="53"/>
        <v>#DIV/0!</v>
      </c>
    </row>
    <row r="21" ht="15.75" customHeight="1">
      <c r="A21" s="31"/>
      <c r="B21" s="22"/>
      <c r="C21" s="22" t="str">
        <f t="shared" si="10"/>
        <v/>
      </c>
      <c r="D21" s="25"/>
      <c r="E21" s="22"/>
      <c r="F21" s="22" t="str">
        <f t="shared" si="11"/>
        <v/>
      </c>
      <c r="O21" s="22">
        <f t="shared" si="6"/>
        <v>110</v>
      </c>
      <c r="P21" s="22">
        <v>0.0</v>
      </c>
      <c r="Q21" s="22"/>
      <c r="R21" s="32" t="str">
        <f t="shared" ref="R21:S21" si="54">100*P21/P$30</f>
        <v>#DIV/0!</v>
      </c>
      <c r="S21" s="32" t="str">
        <f t="shared" si="54"/>
        <v>#DIV/0!</v>
      </c>
      <c r="T21" s="32" t="str">
        <f t="shared" ref="T21:U21" si="55">R21+T20</f>
        <v>#DIV/0!</v>
      </c>
      <c r="U21" s="32" t="str">
        <f t="shared" si="55"/>
        <v>#DIV/0!</v>
      </c>
      <c r="V21" s="32" t="str">
        <f t="shared" ref="V21:W21" si="56">100-T21</f>
        <v>#DIV/0!</v>
      </c>
      <c r="W21" s="32" t="str">
        <f t="shared" si="56"/>
        <v>#DIV/0!</v>
      </c>
    </row>
    <row r="22" ht="15.75" customHeight="1">
      <c r="A22" s="31"/>
      <c r="B22" s="22"/>
      <c r="C22" s="22" t="str">
        <f t="shared" si="10"/>
        <v/>
      </c>
      <c r="D22" s="25"/>
      <c r="E22" s="22"/>
      <c r="F22" s="22" t="str">
        <f t="shared" si="11"/>
        <v/>
      </c>
      <c r="O22" s="22">
        <f t="shared" si="6"/>
        <v>120</v>
      </c>
      <c r="P22" s="22">
        <v>0.0</v>
      </c>
      <c r="Q22" s="22"/>
      <c r="R22" s="32" t="str">
        <f t="shared" ref="R22:S22" si="57">100*P22/P$30</f>
        <v>#DIV/0!</v>
      </c>
      <c r="S22" s="32" t="str">
        <f t="shared" si="57"/>
        <v>#DIV/0!</v>
      </c>
      <c r="T22" s="32" t="str">
        <f t="shared" ref="T22:U22" si="58">R22+T21</f>
        <v>#DIV/0!</v>
      </c>
      <c r="U22" s="32" t="str">
        <f t="shared" si="58"/>
        <v>#DIV/0!</v>
      </c>
      <c r="V22" s="32" t="str">
        <f t="shared" ref="V22:W22" si="59">100-T22</f>
        <v>#DIV/0!</v>
      </c>
      <c r="W22" s="32" t="str">
        <f t="shared" si="59"/>
        <v>#DIV/0!</v>
      </c>
    </row>
    <row r="23" ht="15.75" customHeight="1">
      <c r="A23" s="31"/>
      <c r="B23" s="22"/>
      <c r="C23" s="22" t="str">
        <f t="shared" si="10"/>
        <v/>
      </c>
      <c r="D23" s="25"/>
      <c r="E23" s="22"/>
      <c r="F23" s="22" t="str">
        <f t="shared" si="11"/>
        <v/>
      </c>
      <c r="O23" s="22">
        <f t="shared" si="6"/>
        <v>130</v>
      </c>
      <c r="P23" s="22">
        <v>0.0</v>
      </c>
      <c r="Q23" s="22"/>
      <c r="R23" s="32" t="str">
        <f t="shared" ref="R23:S23" si="60">100*P23/P$30</f>
        <v>#DIV/0!</v>
      </c>
      <c r="S23" s="32" t="str">
        <f t="shared" si="60"/>
        <v>#DIV/0!</v>
      </c>
      <c r="T23" s="32" t="str">
        <f t="shared" ref="T23:U23" si="61">R23+T22</f>
        <v>#DIV/0!</v>
      </c>
      <c r="U23" s="32" t="str">
        <f t="shared" si="61"/>
        <v>#DIV/0!</v>
      </c>
      <c r="V23" s="32" t="str">
        <f t="shared" ref="V23:W23" si="62">100-T23</f>
        <v>#DIV/0!</v>
      </c>
      <c r="W23" s="32" t="str">
        <f t="shared" si="62"/>
        <v>#DIV/0!</v>
      </c>
    </row>
    <row r="24" ht="15.75" customHeight="1">
      <c r="A24" s="31"/>
      <c r="B24" s="22"/>
      <c r="C24" s="22" t="str">
        <f t="shared" si="10"/>
        <v/>
      </c>
      <c r="D24" s="25"/>
      <c r="E24" s="22"/>
      <c r="F24" s="22" t="str">
        <f t="shared" si="11"/>
        <v/>
      </c>
      <c r="O24" s="22">
        <f t="shared" si="6"/>
        <v>140</v>
      </c>
      <c r="P24" s="22">
        <v>0.0</v>
      </c>
      <c r="Q24" s="22"/>
      <c r="R24" s="32" t="str">
        <f t="shared" ref="R24:S24" si="63">100*P24/P$30</f>
        <v>#DIV/0!</v>
      </c>
      <c r="S24" s="32" t="str">
        <f t="shared" si="63"/>
        <v>#DIV/0!</v>
      </c>
      <c r="T24" s="32" t="str">
        <f t="shared" ref="T24:U24" si="64">R24+T23</f>
        <v>#DIV/0!</v>
      </c>
      <c r="U24" s="32" t="str">
        <f t="shared" si="64"/>
        <v>#DIV/0!</v>
      </c>
      <c r="V24" s="32" t="str">
        <f t="shared" ref="V24:W24" si="65">100-T24</f>
        <v>#DIV/0!</v>
      </c>
      <c r="W24" s="32" t="str">
        <f t="shared" si="65"/>
        <v>#DIV/0!</v>
      </c>
    </row>
    <row r="25" ht="15.75" customHeight="1">
      <c r="A25" s="31"/>
      <c r="B25" s="22"/>
      <c r="C25" s="22" t="str">
        <f t="shared" si="10"/>
        <v/>
      </c>
      <c r="D25" s="25"/>
      <c r="E25" s="22"/>
      <c r="F25" s="22" t="str">
        <f t="shared" si="11"/>
        <v/>
      </c>
      <c r="O25" s="22">
        <f t="shared" si="6"/>
        <v>150</v>
      </c>
      <c r="P25" s="22">
        <v>0.0</v>
      </c>
      <c r="Q25" s="22"/>
      <c r="R25" s="32" t="str">
        <f t="shared" ref="R25:S25" si="66">100*P25/P$30</f>
        <v>#DIV/0!</v>
      </c>
      <c r="S25" s="32" t="str">
        <f t="shared" si="66"/>
        <v>#DIV/0!</v>
      </c>
      <c r="T25" s="32" t="str">
        <f t="shared" ref="T25:U25" si="67">R25+T24</f>
        <v>#DIV/0!</v>
      </c>
      <c r="U25" s="32" t="str">
        <f t="shared" si="67"/>
        <v>#DIV/0!</v>
      </c>
      <c r="V25" s="32" t="str">
        <f t="shared" ref="V25:W25" si="68">100-T25</f>
        <v>#DIV/0!</v>
      </c>
      <c r="W25" s="32" t="str">
        <f t="shared" si="68"/>
        <v>#DIV/0!</v>
      </c>
    </row>
    <row r="26" ht="15.75" customHeight="1">
      <c r="A26" s="31"/>
      <c r="B26" s="22"/>
      <c r="C26" s="22" t="str">
        <f t="shared" si="10"/>
        <v/>
      </c>
      <c r="D26" s="25"/>
      <c r="E26" s="22"/>
      <c r="F26" s="22" t="str">
        <f t="shared" si="11"/>
        <v/>
      </c>
      <c r="O26" s="22">
        <f t="shared" si="6"/>
        <v>160</v>
      </c>
      <c r="P26" s="22">
        <v>0.0</v>
      </c>
      <c r="Q26" s="22"/>
      <c r="R26" s="32" t="str">
        <f t="shared" ref="R26:S26" si="69">100*P26/P$30</f>
        <v>#DIV/0!</v>
      </c>
      <c r="S26" s="32" t="str">
        <f t="shared" si="69"/>
        <v>#DIV/0!</v>
      </c>
      <c r="T26" s="32" t="str">
        <f t="shared" ref="T26:U26" si="70">R26+T25</f>
        <v>#DIV/0!</v>
      </c>
      <c r="U26" s="32" t="str">
        <f t="shared" si="70"/>
        <v>#DIV/0!</v>
      </c>
      <c r="V26" s="32" t="str">
        <f t="shared" ref="V26:W26" si="71">100-T26</f>
        <v>#DIV/0!</v>
      </c>
      <c r="W26" s="32" t="str">
        <f t="shared" si="71"/>
        <v>#DIV/0!</v>
      </c>
    </row>
    <row r="27" ht="15.75" customHeight="1">
      <c r="A27" s="31"/>
      <c r="B27" s="22"/>
      <c r="C27" s="22" t="str">
        <f t="shared" si="10"/>
        <v/>
      </c>
      <c r="D27" s="25"/>
      <c r="E27" s="22"/>
      <c r="F27" s="22" t="str">
        <f t="shared" si="11"/>
        <v/>
      </c>
      <c r="I27" s="22">
        <f>1.05^5</f>
        <v>1.276281563</v>
      </c>
      <c r="O27" s="22">
        <f t="shared" si="6"/>
        <v>170</v>
      </c>
      <c r="P27" s="22">
        <v>0.0</v>
      </c>
      <c r="Q27" s="22"/>
      <c r="R27" s="32" t="str">
        <f t="shared" ref="R27:S27" si="72">100*P27/P$30</f>
        <v>#DIV/0!</v>
      </c>
      <c r="S27" s="32" t="str">
        <f t="shared" si="72"/>
        <v>#DIV/0!</v>
      </c>
      <c r="T27" s="32" t="str">
        <f t="shared" ref="T27:U27" si="73">R27+T26</f>
        <v>#DIV/0!</v>
      </c>
      <c r="U27" s="32" t="str">
        <f t="shared" si="73"/>
        <v>#DIV/0!</v>
      </c>
      <c r="V27" s="32" t="str">
        <f t="shared" ref="V27:W27" si="74">100-T27</f>
        <v>#DIV/0!</v>
      </c>
      <c r="W27" s="32" t="str">
        <f t="shared" si="74"/>
        <v>#DIV/0!</v>
      </c>
    </row>
    <row r="28" ht="15.75" customHeight="1">
      <c r="A28" s="31"/>
      <c r="B28" s="22"/>
      <c r="C28" s="22" t="str">
        <f t="shared" si="10"/>
        <v/>
      </c>
      <c r="D28" s="25"/>
      <c r="E28" s="22"/>
      <c r="F28" s="22" t="str">
        <f t="shared" si="11"/>
        <v/>
      </c>
      <c r="I28" s="22">
        <f>18+33</f>
        <v>51</v>
      </c>
      <c r="O28" s="22">
        <f t="shared" si="6"/>
        <v>180</v>
      </c>
      <c r="P28" s="22">
        <v>0.0</v>
      </c>
      <c r="Q28" s="22"/>
      <c r="R28" s="32" t="str">
        <f t="shared" ref="R28:S28" si="75">100*P28/P$30</f>
        <v>#DIV/0!</v>
      </c>
      <c r="S28" s="32" t="str">
        <f t="shared" si="75"/>
        <v>#DIV/0!</v>
      </c>
      <c r="T28" s="32" t="str">
        <f t="shared" ref="T28:U28" si="76">R28+T27</f>
        <v>#DIV/0!</v>
      </c>
      <c r="U28" s="32" t="str">
        <f t="shared" si="76"/>
        <v>#DIV/0!</v>
      </c>
      <c r="V28" s="32" t="str">
        <f t="shared" ref="V28:W28" si="77">100-T28</f>
        <v>#DIV/0!</v>
      </c>
      <c r="W28" s="32" t="str">
        <f t="shared" si="77"/>
        <v>#DIV/0!</v>
      </c>
    </row>
    <row r="29" ht="15.75" customHeight="1">
      <c r="A29" s="31"/>
      <c r="B29" s="22"/>
      <c r="C29" s="22" t="str">
        <f t="shared" si="10"/>
        <v/>
      </c>
      <c r="D29" s="25"/>
      <c r="E29" s="22"/>
      <c r="F29" s="22" t="str">
        <f t="shared" si="11"/>
        <v/>
      </c>
      <c r="P29" s="22">
        <v>0.0</v>
      </c>
      <c r="Q29" s="22"/>
      <c r="T29" s="32" t="str">
        <f>R29+R28</f>
        <v>#DIV/0!</v>
      </c>
    </row>
    <row r="30" ht="15.75" customHeight="1">
      <c r="A30" s="31"/>
      <c r="B30" s="22"/>
      <c r="C30" s="22" t="str">
        <f t="shared" si="10"/>
        <v/>
      </c>
      <c r="D30" s="25"/>
      <c r="E30" s="22"/>
      <c r="F30" s="22" t="str">
        <f t="shared" si="11"/>
        <v/>
      </c>
      <c r="P30" s="22">
        <f t="shared" ref="P30:Q30" si="78">SUM(P5:P29)</f>
        <v>0</v>
      </c>
      <c r="Q30" s="22">
        <f t="shared" si="78"/>
        <v>0</v>
      </c>
      <c r="S30" s="22">
        <f>1.05^5</f>
        <v>1.276281563</v>
      </c>
      <c r="T30" s="22">
        <f>2/3*27+1/3*50</f>
        <v>34.66666667</v>
      </c>
      <c r="U30" s="22">
        <f>(100+T30)/100</f>
        <v>1.346666667</v>
      </c>
    </row>
    <row r="31" ht="15.75" customHeight="1">
      <c r="A31" s="31"/>
      <c r="B31" s="22"/>
      <c r="C31" s="22" t="str">
        <f t="shared" si="10"/>
        <v/>
      </c>
      <c r="D31" s="25"/>
      <c r="E31" s="22"/>
      <c r="F31" s="22" t="str">
        <f t="shared" si="11"/>
        <v/>
      </c>
      <c r="T31" s="22">
        <f>T30^0.2</f>
        <v>2.032274729</v>
      </c>
      <c r="U31" s="22">
        <f>U30^0.2-1</f>
        <v>0.06133386543</v>
      </c>
    </row>
    <row r="32" ht="15.75" customHeight="1">
      <c r="A32" s="31"/>
      <c r="B32" s="22"/>
      <c r="C32" s="22" t="str">
        <f t="shared" si="10"/>
        <v/>
      </c>
      <c r="D32" s="25"/>
      <c r="E32" s="22"/>
      <c r="F32" s="22" t="str">
        <f t="shared" si="11"/>
        <v/>
      </c>
      <c r="U32" s="22">
        <f>1.07^5</f>
        <v>1.402551731</v>
      </c>
    </row>
    <row r="33" ht="15.75" customHeight="1">
      <c r="A33" s="31"/>
      <c r="B33" s="22"/>
      <c r="C33" s="22" t="str">
        <f t="shared" si="10"/>
        <v/>
      </c>
      <c r="D33" s="25"/>
      <c r="E33" s="22"/>
      <c r="F33" s="22" t="str">
        <f t="shared" si="11"/>
        <v/>
      </c>
    </row>
    <row r="34" ht="15.75" customHeight="1">
      <c r="A34" s="31"/>
      <c r="B34" s="22"/>
      <c r="C34" s="22" t="str">
        <f t="shared" si="10"/>
        <v/>
      </c>
      <c r="D34" s="25"/>
      <c r="E34" s="22"/>
      <c r="F34" s="22" t="str">
        <f t="shared" si="11"/>
        <v/>
      </c>
    </row>
    <row r="35" ht="15.75" customHeight="1">
      <c r="A35" s="31"/>
      <c r="B35" s="22"/>
      <c r="C35" s="22" t="str">
        <f t="shared" si="10"/>
        <v/>
      </c>
      <c r="D35" s="25"/>
      <c r="E35" s="22"/>
      <c r="F35" s="22" t="str">
        <f t="shared" si="11"/>
        <v/>
      </c>
    </row>
    <row r="36" ht="15.75" customHeight="1">
      <c r="A36" s="31"/>
      <c r="B36" s="22"/>
      <c r="C36" s="22" t="str">
        <f t="shared" si="10"/>
        <v/>
      </c>
      <c r="D36" s="25"/>
      <c r="E36" s="22"/>
      <c r="F36" s="22" t="str">
        <f t="shared" si="11"/>
        <v/>
      </c>
    </row>
    <row r="37" ht="15.75" customHeight="1">
      <c r="A37" s="31"/>
      <c r="B37" s="22"/>
      <c r="C37" s="22" t="str">
        <f t="shared" si="10"/>
        <v/>
      </c>
      <c r="D37" s="25"/>
      <c r="E37" s="22"/>
      <c r="F37" s="22" t="str">
        <f t="shared" si="11"/>
        <v/>
      </c>
    </row>
    <row r="38" ht="15.75" customHeight="1">
      <c r="A38" s="31"/>
      <c r="B38" s="22"/>
      <c r="C38" s="22" t="str">
        <f t="shared" si="10"/>
        <v/>
      </c>
      <c r="D38" s="25"/>
      <c r="E38" s="22"/>
      <c r="F38" s="22" t="str">
        <f t="shared" si="11"/>
        <v/>
      </c>
      <c r="R38" s="22">
        <f>1.05^5*2/3+1/3*50</f>
        <v>17.51752104</v>
      </c>
    </row>
    <row r="39" ht="15.75" customHeight="1">
      <c r="A39" s="31"/>
      <c r="B39" s="22"/>
      <c r="C39" s="22" t="str">
        <f t="shared" si="10"/>
        <v/>
      </c>
      <c r="D39" s="25"/>
      <c r="E39" s="22"/>
      <c r="F39" s="22" t="str">
        <f t="shared" si="11"/>
        <v/>
      </c>
    </row>
    <row r="40" ht="15.75" customHeight="1">
      <c r="A40" s="31"/>
      <c r="B40" s="22"/>
      <c r="C40" s="22" t="str">
        <f t="shared" si="10"/>
        <v/>
      </c>
      <c r="D40" s="25"/>
      <c r="E40" s="22"/>
      <c r="F40" s="22" t="str">
        <f t="shared" si="11"/>
        <v/>
      </c>
      <c r="R40" s="22">
        <f>1.05^5</f>
        <v>1.276281563</v>
      </c>
      <c r="S40" s="22">
        <f>2/3*27+1/3*50</f>
        <v>34.66666667</v>
      </c>
    </row>
    <row r="41" ht="15.75" customHeight="1">
      <c r="A41" s="31"/>
      <c r="B41" s="22"/>
      <c r="C41" s="22" t="str">
        <f t="shared" si="10"/>
        <v/>
      </c>
      <c r="D41" s="25"/>
      <c r="E41" s="22"/>
      <c r="F41" s="22" t="str">
        <f t="shared" si="11"/>
        <v/>
      </c>
    </row>
    <row r="42" ht="15.75" customHeight="1">
      <c r="A42" s="31"/>
      <c r="B42" s="22"/>
      <c r="C42" s="22" t="str">
        <f t="shared" si="10"/>
        <v/>
      </c>
      <c r="D42" s="25"/>
      <c r="E42" s="22"/>
      <c r="F42" s="22" t="str">
        <f t="shared" si="11"/>
        <v/>
      </c>
    </row>
    <row r="43" ht="15.75" customHeight="1">
      <c r="A43" s="31"/>
      <c r="B43" s="22"/>
      <c r="C43" s="22" t="str">
        <f t="shared" si="10"/>
        <v/>
      </c>
      <c r="D43" s="25"/>
      <c r="E43" s="22"/>
      <c r="F43" s="22" t="str">
        <f t="shared" si="11"/>
        <v/>
      </c>
    </row>
    <row r="44" ht="15.75" customHeight="1">
      <c r="A44" s="31"/>
      <c r="B44" s="22"/>
      <c r="C44" s="22" t="str">
        <f t="shared" si="10"/>
        <v/>
      </c>
      <c r="D44" s="25"/>
      <c r="E44" s="22"/>
      <c r="F44" s="22" t="str">
        <f t="shared" si="11"/>
        <v/>
      </c>
    </row>
    <row r="45" ht="15.75" customHeight="1">
      <c r="A45" s="31"/>
      <c r="B45" s="22"/>
      <c r="C45" s="22" t="str">
        <f t="shared" si="10"/>
        <v/>
      </c>
      <c r="D45" s="25"/>
      <c r="E45" s="22"/>
      <c r="F45" s="22" t="str">
        <f t="shared" si="11"/>
        <v/>
      </c>
    </row>
    <row r="46" ht="15.75" customHeight="1">
      <c r="A46" s="31"/>
      <c r="B46" s="22"/>
      <c r="C46" s="22" t="str">
        <f t="shared" si="10"/>
        <v/>
      </c>
      <c r="D46" s="25"/>
      <c r="E46" s="22"/>
      <c r="F46" s="22" t="str">
        <f t="shared" si="11"/>
        <v/>
      </c>
    </row>
    <row r="47" ht="15.75" customHeight="1">
      <c r="A47" s="31"/>
      <c r="B47" s="22"/>
      <c r="C47" s="22" t="str">
        <f t="shared" si="10"/>
        <v/>
      </c>
      <c r="D47" s="25"/>
      <c r="E47" s="22"/>
      <c r="F47" s="22" t="str">
        <f t="shared" si="11"/>
        <v/>
      </c>
    </row>
    <row r="48" ht="15.75" customHeight="1">
      <c r="A48" s="31"/>
      <c r="B48" s="22"/>
      <c r="C48" s="22" t="str">
        <f t="shared" si="10"/>
        <v/>
      </c>
      <c r="D48" s="25"/>
      <c r="E48" s="22"/>
      <c r="F48" s="22" t="str">
        <f t="shared" si="11"/>
        <v/>
      </c>
    </row>
    <row r="49" ht="15.75" customHeight="1">
      <c r="A49" s="31"/>
      <c r="B49" s="22"/>
      <c r="C49" s="22" t="str">
        <f t="shared" si="10"/>
        <v/>
      </c>
      <c r="D49" s="25"/>
      <c r="E49" s="22"/>
      <c r="F49" s="22" t="str">
        <f t="shared" si="11"/>
        <v/>
      </c>
    </row>
    <row r="50" ht="15.75" customHeight="1">
      <c r="A50" s="31"/>
      <c r="B50" s="22"/>
      <c r="C50" s="22" t="str">
        <f t="shared" si="10"/>
        <v/>
      </c>
      <c r="D50" s="25"/>
      <c r="E50" s="22"/>
      <c r="F50" s="22" t="str">
        <f t="shared" si="11"/>
        <v/>
      </c>
    </row>
    <row r="51" ht="15.75" customHeight="1">
      <c r="A51" s="31"/>
      <c r="B51" s="22"/>
      <c r="C51" s="22" t="str">
        <f t="shared" si="10"/>
        <v/>
      </c>
      <c r="D51" s="25"/>
      <c r="E51" s="22"/>
      <c r="F51" s="22" t="str">
        <f t="shared" si="11"/>
        <v/>
      </c>
    </row>
    <row r="52" ht="15.75" customHeight="1">
      <c r="A52" s="31"/>
      <c r="B52" s="22"/>
      <c r="C52" s="22" t="str">
        <f t="shared" si="10"/>
        <v/>
      </c>
      <c r="D52" s="25"/>
      <c r="E52" s="22"/>
      <c r="F52" s="22" t="str">
        <f t="shared" si="11"/>
        <v/>
      </c>
    </row>
    <row r="53" ht="15.75" customHeight="1">
      <c r="A53" s="31"/>
      <c r="B53" s="22"/>
      <c r="C53" s="22" t="str">
        <f t="shared" si="10"/>
        <v/>
      </c>
      <c r="D53" s="25"/>
      <c r="E53" s="22"/>
      <c r="F53" s="22" t="str">
        <f t="shared" si="11"/>
        <v/>
      </c>
    </row>
    <row r="54" ht="15.75" customHeight="1">
      <c r="A54" s="31"/>
      <c r="B54" s="22"/>
      <c r="C54" s="22" t="str">
        <f t="shared" si="10"/>
        <v/>
      </c>
      <c r="D54" s="25"/>
      <c r="E54" s="22"/>
      <c r="F54" s="22" t="str">
        <f t="shared" si="11"/>
        <v/>
      </c>
    </row>
    <row r="55" ht="15.75" customHeight="1">
      <c r="A55" s="31"/>
      <c r="B55" s="22"/>
      <c r="C55" s="22" t="str">
        <f t="shared" si="10"/>
        <v/>
      </c>
      <c r="D55" s="25"/>
      <c r="E55" s="22"/>
      <c r="F55" s="22" t="str">
        <f t="shared" si="11"/>
        <v/>
      </c>
    </row>
    <row r="56" ht="15.75" customHeight="1">
      <c r="A56" s="31"/>
      <c r="B56" s="22"/>
      <c r="C56" s="22" t="str">
        <f t="shared" si="10"/>
        <v/>
      </c>
      <c r="D56" s="25"/>
      <c r="E56" s="22"/>
      <c r="F56" s="22" t="str">
        <f t="shared" si="11"/>
        <v/>
      </c>
    </row>
    <row r="57" ht="15.75" customHeight="1">
      <c r="A57" s="31"/>
      <c r="B57" s="22"/>
      <c r="C57" s="22" t="str">
        <f t="shared" si="10"/>
        <v/>
      </c>
      <c r="D57" s="25"/>
      <c r="E57" s="22"/>
      <c r="F57" s="22" t="str">
        <f t="shared" si="11"/>
        <v/>
      </c>
    </row>
    <row r="58" ht="15.75" customHeight="1">
      <c r="A58" s="31"/>
      <c r="B58" s="22"/>
      <c r="C58" s="22" t="str">
        <f t="shared" si="10"/>
        <v/>
      </c>
      <c r="D58" s="25"/>
      <c r="E58" s="22"/>
      <c r="F58" s="22" t="str">
        <f t="shared" si="11"/>
        <v/>
      </c>
    </row>
    <row r="59" ht="15.75" customHeight="1">
      <c r="A59" s="31"/>
      <c r="B59" s="22"/>
      <c r="C59" s="22" t="str">
        <f t="shared" si="10"/>
        <v/>
      </c>
      <c r="D59" s="25"/>
      <c r="E59" s="22"/>
      <c r="F59" s="22" t="str">
        <f t="shared" si="11"/>
        <v/>
      </c>
    </row>
    <row r="60" ht="15.75" customHeight="1">
      <c r="A60" s="31"/>
      <c r="B60" s="22"/>
      <c r="C60" s="22" t="str">
        <f t="shared" si="10"/>
        <v/>
      </c>
      <c r="D60" s="25"/>
      <c r="E60" s="22"/>
      <c r="F60" s="22" t="str">
        <f t="shared" si="11"/>
        <v/>
      </c>
    </row>
    <row r="61" ht="15.75" customHeight="1">
      <c r="A61" s="31"/>
      <c r="B61" s="22"/>
      <c r="C61" s="22" t="str">
        <f t="shared" si="10"/>
        <v/>
      </c>
      <c r="D61" s="25"/>
      <c r="E61" s="22"/>
      <c r="F61" s="22" t="str">
        <f t="shared" si="11"/>
        <v/>
      </c>
    </row>
    <row r="62" ht="15.75" customHeight="1">
      <c r="A62" s="31"/>
      <c r="B62" s="22"/>
      <c r="C62" s="22" t="str">
        <f t="shared" si="10"/>
        <v/>
      </c>
      <c r="D62" s="25"/>
      <c r="E62" s="22"/>
      <c r="F62" s="22" t="str">
        <f t="shared" si="11"/>
        <v/>
      </c>
    </row>
    <row r="63" ht="15.75" customHeight="1">
      <c r="A63" s="31"/>
      <c r="B63" s="22"/>
      <c r="C63" s="22" t="str">
        <f t="shared" si="10"/>
        <v/>
      </c>
      <c r="D63" s="25"/>
      <c r="E63" s="22"/>
      <c r="F63" s="22" t="str">
        <f t="shared" si="11"/>
        <v/>
      </c>
    </row>
    <row r="64" ht="15.75" customHeight="1">
      <c r="A64" s="31"/>
      <c r="B64" s="22"/>
      <c r="C64" s="22" t="str">
        <f t="shared" si="10"/>
        <v/>
      </c>
      <c r="D64" s="25"/>
      <c r="E64" s="22"/>
      <c r="F64" s="22" t="str">
        <f t="shared" si="11"/>
        <v/>
      </c>
    </row>
    <row r="65" ht="15.75" customHeight="1">
      <c r="A65" s="31"/>
      <c r="B65" s="22"/>
      <c r="C65" s="22" t="str">
        <f t="shared" si="10"/>
        <v/>
      </c>
      <c r="D65" s="25"/>
      <c r="E65" s="22"/>
      <c r="F65" s="22" t="str">
        <f t="shared" si="11"/>
        <v/>
      </c>
    </row>
    <row r="66" ht="15.75" customHeight="1">
      <c r="A66" s="31"/>
      <c r="B66" s="22"/>
      <c r="C66" s="22" t="str">
        <f t="shared" si="10"/>
        <v/>
      </c>
      <c r="D66" s="25"/>
      <c r="E66" s="22"/>
      <c r="F66" s="22" t="str">
        <f t="shared" si="11"/>
        <v/>
      </c>
    </row>
    <row r="67" ht="15.75" customHeight="1">
      <c r="A67" s="31"/>
      <c r="B67" s="22"/>
      <c r="C67" s="22" t="str">
        <f t="shared" si="10"/>
        <v/>
      </c>
      <c r="D67" s="25"/>
      <c r="E67" s="22"/>
      <c r="F67" s="22" t="str">
        <f t="shared" si="11"/>
        <v/>
      </c>
    </row>
    <row r="68" ht="15.75" customHeight="1">
      <c r="A68" s="31"/>
      <c r="B68" s="22"/>
      <c r="C68" s="22" t="str">
        <f t="shared" si="10"/>
        <v/>
      </c>
      <c r="D68" s="25"/>
      <c r="E68" s="22"/>
      <c r="F68" s="22" t="str">
        <f t="shared" si="11"/>
        <v/>
      </c>
    </row>
    <row r="69" ht="15.75" customHeight="1">
      <c r="A69" s="31"/>
      <c r="B69" s="22"/>
      <c r="C69" s="22" t="str">
        <f t="shared" si="10"/>
        <v/>
      </c>
      <c r="D69" s="25"/>
      <c r="E69" s="22"/>
      <c r="F69" s="22" t="str">
        <f t="shared" si="11"/>
        <v/>
      </c>
    </row>
    <row r="70" ht="15.75" customHeight="1">
      <c r="A70" s="31"/>
      <c r="B70" s="22"/>
      <c r="C70" s="22" t="str">
        <f t="shared" si="10"/>
        <v/>
      </c>
      <c r="D70" s="25"/>
      <c r="E70" s="22"/>
      <c r="F70" s="22" t="str">
        <f t="shared" si="11"/>
        <v/>
      </c>
    </row>
    <row r="71" ht="15.75" customHeight="1">
      <c r="A71" s="31"/>
      <c r="B71" s="22"/>
      <c r="C71" s="22" t="str">
        <f t="shared" si="10"/>
        <v/>
      </c>
      <c r="D71" s="25"/>
      <c r="E71" s="22"/>
      <c r="F71" s="22" t="str">
        <f t="shared" si="11"/>
        <v/>
      </c>
    </row>
    <row r="72" ht="15.75" customHeight="1">
      <c r="A72" s="31"/>
      <c r="B72" s="22"/>
      <c r="C72" s="22" t="str">
        <f t="shared" si="10"/>
        <v/>
      </c>
      <c r="D72" s="25"/>
      <c r="E72" s="22"/>
      <c r="F72" s="22" t="str">
        <f t="shared" si="11"/>
        <v/>
      </c>
    </row>
    <row r="73" ht="15.75" customHeight="1">
      <c r="A73" s="31"/>
      <c r="B73" s="22"/>
      <c r="C73" s="22" t="str">
        <f t="shared" si="10"/>
        <v/>
      </c>
      <c r="D73" s="25"/>
      <c r="E73" s="22"/>
      <c r="F73" s="22" t="str">
        <f t="shared" si="11"/>
        <v/>
      </c>
    </row>
    <row r="74" ht="15.75" customHeight="1">
      <c r="A74" s="31"/>
      <c r="B74" s="22"/>
      <c r="C74" s="22" t="str">
        <f t="shared" si="10"/>
        <v/>
      </c>
      <c r="D74" s="25"/>
      <c r="E74" s="22"/>
      <c r="F74" s="22" t="str">
        <f t="shared" si="11"/>
        <v/>
      </c>
    </row>
    <row r="75" ht="15.75" customHeight="1">
      <c r="A75" s="31"/>
      <c r="B75" s="22"/>
      <c r="C75" s="22" t="str">
        <f t="shared" si="10"/>
        <v/>
      </c>
      <c r="D75" s="25"/>
      <c r="E75" s="22"/>
      <c r="F75" s="22" t="str">
        <f t="shared" si="11"/>
        <v/>
      </c>
    </row>
    <row r="76" ht="15.75" customHeight="1">
      <c r="A76" s="31"/>
      <c r="B76" s="22"/>
      <c r="C76" s="22" t="str">
        <f t="shared" si="10"/>
        <v/>
      </c>
      <c r="D76" s="25"/>
      <c r="E76" s="22"/>
      <c r="F76" s="22" t="str">
        <f t="shared" si="11"/>
        <v/>
      </c>
    </row>
    <row r="77" ht="15.75" customHeight="1">
      <c r="A77" s="31"/>
      <c r="B77" s="22"/>
      <c r="C77" s="22" t="str">
        <f t="shared" si="10"/>
        <v/>
      </c>
      <c r="D77" s="25"/>
      <c r="E77" s="22"/>
      <c r="F77" s="22" t="str">
        <f t="shared" si="11"/>
        <v/>
      </c>
    </row>
    <row r="78" ht="15.75" customHeight="1">
      <c r="A78" s="31"/>
      <c r="B78" s="22"/>
      <c r="C78" s="22" t="str">
        <f t="shared" si="10"/>
        <v/>
      </c>
      <c r="D78" s="25"/>
      <c r="E78" s="22"/>
      <c r="F78" s="22" t="str">
        <f t="shared" si="11"/>
        <v/>
      </c>
    </row>
    <row r="79" ht="15.75" customHeight="1">
      <c r="A79" s="31"/>
      <c r="B79" s="22"/>
      <c r="C79" s="22" t="str">
        <f t="shared" si="10"/>
        <v/>
      </c>
      <c r="D79" s="25"/>
      <c r="E79" s="22"/>
      <c r="F79" s="22" t="str">
        <f t="shared" si="11"/>
        <v/>
      </c>
    </row>
    <row r="80" ht="15.75" customHeight="1">
      <c r="A80" s="31"/>
      <c r="B80" s="22"/>
      <c r="C80" s="22" t="str">
        <f t="shared" si="10"/>
        <v/>
      </c>
      <c r="D80" s="25"/>
      <c r="E80" s="22"/>
      <c r="F80" s="22" t="str">
        <f t="shared" si="11"/>
        <v/>
      </c>
    </row>
    <row r="81" ht="15.75" customHeight="1">
      <c r="A81" s="31"/>
      <c r="B81" s="22"/>
      <c r="C81" s="22" t="str">
        <f t="shared" si="10"/>
        <v/>
      </c>
      <c r="D81" s="25"/>
      <c r="E81" s="22"/>
      <c r="F81" s="22" t="str">
        <f t="shared" si="11"/>
        <v/>
      </c>
    </row>
    <row r="82" ht="15.75" customHeight="1">
      <c r="A82" s="31"/>
      <c r="B82" s="22"/>
      <c r="C82" s="22" t="str">
        <f t="shared" si="10"/>
        <v/>
      </c>
      <c r="D82" s="25"/>
      <c r="E82" s="22"/>
      <c r="F82" s="22" t="str">
        <f t="shared" si="11"/>
        <v/>
      </c>
    </row>
    <row r="83" ht="15.75" customHeight="1">
      <c r="A83" s="31"/>
      <c r="B83" s="22"/>
      <c r="C83" s="22" t="str">
        <f t="shared" si="10"/>
        <v/>
      </c>
      <c r="D83" s="25"/>
      <c r="E83" s="22"/>
      <c r="F83" s="22" t="str">
        <f t="shared" si="11"/>
        <v/>
      </c>
    </row>
    <row r="84" ht="15.75" customHeight="1">
      <c r="A84" s="31"/>
      <c r="B84" s="22"/>
      <c r="C84" s="22" t="str">
        <f t="shared" si="10"/>
        <v/>
      </c>
      <c r="D84" s="25"/>
      <c r="E84" s="22"/>
      <c r="F84" s="22" t="str">
        <f t="shared" si="11"/>
        <v/>
      </c>
    </row>
    <row r="85" ht="15.75" customHeight="1">
      <c r="A85" s="31"/>
      <c r="B85" s="22"/>
      <c r="C85" s="22" t="str">
        <f t="shared" si="10"/>
        <v/>
      </c>
      <c r="D85" s="25"/>
      <c r="E85" s="22"/>
      <c r="F85" s="22" t="str">
        <f t="shared" si="11"/>
        <v/>
      </c>
    </row>
    <row r="86" ht="15.75" customHeight="1">
      <c r="A86" s="31"/>
      <c r="B86" s="22"/>
      <c r="C86" s="22" t="str">
        <f t="shared" si="10"/>
        <v/>
      </c>
      <c r="D86" s="25"/>
      <c r="E86" s="22"/>
      <c r="F86" s="22" t="str">
        <f t="shared" si="11"/>
        <v/>
      </c>
    </row>
    <row r="87" ht="15.75" customHeight="1">
      <c r="A87" s="31"/>
      <c r="B87" s="22"/>
      <c r="C87" s="22" t="str">
        <f t="shared" si="10"/>
        <v/>
      </c>
      <c r="D87" s="25"/>
      <c r="E87" s="22"/>
      <c r="F87" s="22" t="str">
        <f t="shared" si="11"/>
        <v/>
      </c>
    </row>
    <row r="88" ht="15.75" customHeight="1">
      <c r="A88" s="31"/>
      <c r="B88" s="22"/>
      <c r="C88" s="22" t="str">
        <f t="shared" si="10"/>
        <v/>
      </c>
      <c r="D88" s="25"/>
      <c r="E88" s="22"/>
      <c r="F88" s="22" t="str">
        <f t="shared" si="11"/>
        <v/>
      </c>
    </row>
    <row r="89" ht="15.75" customHeight="1">
      <c r="A89" s="31"/>
      <c r="B89" s="22"/>
      <c r="C89" s="22" t="str">
        <f t="shared" si="10"/>
        <v/>
      </c>
      <c r="D89" s="25"/>
      <c r="E89" s="22"/>
      <c r="F89" s="22" t="str">
        <f t="shared" si="11"/>
        <v/>
      </c>
    </row>
    <row r="90" ht="15.75" customHeight="1">
      <c r="A90" s="31"/>
      <c r="B90" s="22"/>
      <c r="C90" s="22" t="str">
        <f t="shared" si="10"/>
        <v/>
      </c>
      <c r="D90" s="25"/>
      <c r="E90" s="22"/>
      <c r="F90" s="22" t="str">
        <f t="shared" si="11"/>
        <v/>
      </c>
    </row>
    <row r="91" ht="15.75" customHeight="1">
      <c r="A91" s="31"/>
      <c r="B91" s="22"/>
      <c r="C91" s="22" t="str">
        <f t="shared" si="10"/>
        <v/>
      </c>
      <c r="D91" s="25"/>
      <c r="E91" s="22"/>
      <c r="F91" s="22" t="str">
        <f t="shared" si="11"/>
        <v/>
      </c>
    </row>
    <row r="92" ht="15.75" customHeight="1">
      <c r="A92" s="31"/>
      <c r="B92" s="22"/>
      <c r="C92" s="22" t="str">
        <f t="shared" si="10"/>
        <v/>
      </c>
      <c r="D92" s="25"/>
      <c r="E92" s="22"/>
      <c r="F92" s="22" t="str">
        <f t="shared" si="11"/>
        <v/>
      </c>
    </row>
    <row r="93" ht="15.75" customHeight="1">
      <c r="A93" s="31"/>
      <c r="B93" s="22"/>
      <c r="C93" s="22" t="str">
        <f t="shared" si="10"/>
        <v/>
      </c>
      <c r="D93" s="25"/>
      <c r="E93" s="22"/>
      <c r="F93" s="22" t="str">
        <f t="shared" si="11"/>
        <v/>
      </c>
    </row>
    <row r="94" ht="15.75" customHeight="1">
      <c r="A94" s="31"/>
      <c r="B94" s="22"/>
      <c r="C94" s="22" t="str">
        <f t="shared" si="10"/>
        <v/>
      </c>
      <c r="D94" s="25"/>
      <c r="E94" s="22"/>
      <c r="F94" s="22" t="str">
        <f t="shared" si="11"/>
        <v/>
      </c>
    </row>
    <row r="95" ht="15.75" customHeight="1">
      <c r="A95" s="31"/>
      <c r="B95" s="22"/>
      <c r="C95" s="22" t="str">
        <f t="shared" si="10"/>
        <v/>
      </c>
      <c r="D95" s="25"/>
      <c r="E95" s="22"/>
      <c r="F95" s="22" t="str">
        <f t="shared" si="11"/>
        <v/>
      </c>
    </row>
    <row r="96" ht="15.75" customHeight="1">
      <c r="A96" s="31"/>
      <c r="B96" s="22"/>
      <c r="C96" s="22" t="str">
        <f t="shared" si="10"/>
        <v/>
      </c>
      <c r="D96" s="25"/>
      <c r="E96" s="22"/>
      <c r="F96" s="22" t="str">
        <f t="shared" si="11"/>
        <v/>
      </c>
    </row>
    <row r="97" ht="15.75" customHeight="1">
      <c r="A97" s="31"/>
      <c r="B97" s="22"/>
      <c r="C97" s="22" t="str">
        <f t="shared" si="10"/>
        <v/>
      </c>
      <c r="D97" s="25"/>
      <c r="E97" s="22"/>
      <c r="F97" s="22" t="str">
        <f t="shared" si="11"/>
        <v/>
      </c>
    </row>
    <row r="98" ht="15.75" customHeight="1">
      <c r="A98" s="31"/>
      <c r="B98" s="22"/>
      <c r="C98" s="22" t="str">
        <f t="shared" si="10"/>
        <v/>
      </c>
      <c r="D98" s="25"/>
      <c r="E98" s="22"/>
      <c r="F98" s="22" t="str">
        <f t="shared" si="11"/>
        <v/>
      </c>
    </row>
    <row r="99" ht="15.75" customHeight="1">
      <c r="A99" s="31"/>
      <c r="B99" s="22"/>
      <c r="C99" s="22" t="str">
        <f t="shared" si="10"/>
        <v/>
      </c>
      <c r="D99" s="25"/>
      <c r="E99" s="22"/>
      <c r="F99" s="22" t="str">
        <f t="shared" si="11"/>
        <v/>
      </c>
    </row>
    <row r="100" ht="15.75" customHeight="1">
      <c r="A100" s="31"/>
      <c r="B100" s="22"/>
      <c r="C100" s="22" t="str">
        <f t="shared" si="10"/>
        <v/>
      </c>
      <c r="D100" s="25"/>
      <c r="E100" s="22"/>
      <c r="F100" s="22" t="str">
        <f t="shared" si="11"/>
        <v/>
      </c>
    </row>
    <row r="101" ht="15.75" customHeight="1">
      <c r="A101" s="31"/>
      <c r="B101" s="22"/>
      <c r="C101" s="22" t="str">
        <f t="shared" si="10"/>
        <v/>
      </c>
      <c r="D101" s="25"/>
      <c r="E101" s="22"/>
      <c r="F101" s="22" t="str">
        <f t="shared" si="11"/>
        <v/>
      </c>
    </row>
    <row r="102" ht="15.75" customHeight="1">
      <c r="A102" s="31"/>
      <c r="B102" s="22"/>
      <c r="C102" s="22" t="str">
        <f t="shared" si="10"/>
        <v/>
      </c>
      <c r="D102" s="25"/>
      <c r="E102" s="22"/>
      <c r="F102" s="22" t="str">
        <f t="shared" si="11"/>
        <v/>
      </c>
    </row>
    <row r="103" ht="15.75" customHeight="1">
      <c r="A103" s="31"/>
      <c r="B103" s="22"/>
      <c r="C103" s="22" t="str">
        <f t="shared" si="10"/>
        <v/>
      </c>
      <c r="D103" s="25"/>
      <c r="E103" s="22"/>
      <c r="F103" s="22" t="str">
        <f t="shared" si="11"/>
        <v/>
      </c>
    </row>
    <row r="104" ht="15.75" customHeight="1">
      <c r="A104" s="31"/>
      <c r="B104" s="22"/>
      <c r="C104" s="22" t="str">
        <f t="shared" si="10"/>
        <v/>
      </c>
      <c r="D104" s="25"/>
      <c r="E104" s="22"/>
      <c r="F104" s="22" t="str">
        <f t="shared" si="11"/>
        <v/>
      </c>
    </row>
    <row r="105" ht="15.75" customHeight="1">
      <c r="A105" s="31"/>
      <c r="B105" s="22"/>
      <c r="C105" s="22" t="str">
        <f t="shared" si="10"/>
        <v/>
      </c>
      <c r="D105" s="25"/>
      <c r="E105" s="22"/>
      <c r="F105" s="22" t="str">
        <f t="shared" si="11"/>
        <v/>
      </c>
    </row>
    <row r="106" ht="15.75" customHeight="1">
      <c r="A106" s="31"/>
      <c r="B106" s="22"/>
      <c r="C106" s="22" t="str">
        <f t="shared" si="10"/>
        <v/>
      </c>
      <c r="D106" s="25"/>
      <c r="E106" s="22"/>
      <c r="F106" s="22" t="str">
        <f t="shared" si="11"/>
        <v/>
      </c>
    </row>
    <row r="107" ht="15.75" customHeight="1">
      <c r="A107" s="31"/>
      <c r="B107" s="22"/>
      <c r="C107" s="22" t="str">
        <f t="shared" si="10"/>
        <v/>
      </c>
      <c r="D107" s="25"/>
      <c r="E107" s="22"/>
      <c r="F107" s="22" t="str">
        <f t="shared" si="11"/>
        <v/>
      </c>
    </row>
    <row r="108" ht="15.75" customHeight="1">
      <c r="A108" s="31"/>
      <c r="B108" s="22"/>
      <c r="C108" s="22" t="str">
        <f t="shared" si="10"/>
        <v/>
      </c>
      <c r="D108" s="25"/>
      <c r="E108" s="22"/>
      <c r="F108" s="22" t="str">
        <f t="shared" si="11"/>
        <v/>
      </c>
    </row>
    <row r="109" ht="15.75" customHeight="1">
      <c r="A109" s="31"/>
      <c r="B109" s="22"/>
      <c r="C109" s="22" t="str">
        <f t="shared" si="10"/>
        <v/>
      </c>
      <c r="D109" s="25"/>
      <c r="E109" s="22"/>
      <c r="F109" s="22" t="str">
        <f t="shared" si="11"/>
        <v/>
      </c>
    </row>
    <row r="110" ht="15.75" customHeight="1">
      <c r="A110" s="31"/>
      <c r="B110" s="22"/>
      <c r="C110" s="22" t="str">
        <f t="shared" si="10"/>
        <v/>
      </c>
      <c r="D110" s="25"/>
      <c r="E110" s="22"/>
      <c r="F110" s="22" t="str">
        <f t="shared" si="11"/>
        <v/>
      </c>
    </row>
    <row r="111" ht="15.75" customHeight="1">
      <c r="A111" s="31"/>
      <c r="B111" s="22"/>
      <c r="C111" s="22" t="str">
        <f t="shared" si="10"/>
        <v/>
      </c>
      <c r="D111" s="25"/>
      <c r="E111" s="22"/>
      <c r="F111" s="22" t="str">
        <f t="shared" si="11"/>
        <v/>
      </c>
    </row>
    <row r="112" ht="15.75" customHeight="1">
      <c r="A112" s="31"/>
      <c r="B112" s="22"/>
      <c r="C112" s="22" t="str">
        <f t="shared" si="10"/>
        <v/>
      </c>
      <c r="D112" s="25"/>
      <c r="E112" s="22"/>
      <c r="F112" s="22" t="str">
        <f t="shared" si="11"/>
        <v/>
      </c>
    </row>
    <row r="113" ht="15.75" customHeight="1">
      <c r="A113" s="31"/>
      <c r="B113" s="22"/>
      <c r="C113" s="22" t="str">
        <f t="shared" si="10"/>
        <v/>
      </c>
      <c r="D113" s="25"/>
      <c r="E113" s="22"/>
      <c r="F113" s="22" t="str">
        <f t="shared" si="11"/>
        <v/>
      </c>
    </row>
    <row r="114" ht="15.75" customHeight="1">
      <c r="A114" s="31"/>
      <c r="B114" s="22"/>
      <c r="C114" s="22" t="str">
        <f t="shared" si="10"/>
        <v/>
      </c>
      <c r="D114" s="25"/>
      <c r="E114" s="22"/>
      <c r="F114" s="22" t="str">
        <f t="shared" si="11"/>
        <v/>
      </c>
    </row>
    <row r="115" ht="15.75" customHeight="1">
      <c r="A115" s="31"/>
      <c r="B115" s="22"/>
      <c r="C115" s="22" t="str">
        <f t="shared" si="10"/>
        <v/>
      </c>
      <c r="D115" s="25"/>
      <c r="E115" s="22"/>
      <c r="F115" s="22" t="str">
        <f t="shared" si="11"/>
        <v/>
      </c>
    </row>
    <row r="116" ht="15.75" customHeight="1">
      <c r="A116" s="31"/>
      <c r="B116" s="22"/>
      <c r="C116" s="22" t="str">
        <f t="shared" si="10"/>
        <v/>
      </c>
      <c r="D116" s="25"/>
      <c r="E116" s="22"/>
      <c r="F116" s="22" t="str">
        <f t="shared" si="11"/>
        <v/>
      </c>
    </row>
    <row r="117" ht="15.75" customHeight="1">
      <c r="A117" s="31"/>
      <c r="B117" s="22"/>
      <c r="C117" s="22" t="str">
        <f t="shared" si="10"/>
        <v/>
      </c>
      <c r="D117" s="25"/>
      <c r="E117" s="22"/>
      <c r="F117" s="22" t="str">
        <f t="shared" si="11"/>
        <v/>
      </c>
    </row>
    <row r="118" ht="15.75" customHeight="1">
      <c r="A118" s="31"/>
      <c r="B118" s="22"/>
      <c r="C118" s="22" t="str">
        <f t="shared" si="10"/>
        <v/>
      </c>
      <c r="D118" s="25"/>
      <c r="E118" s="22"/>
      <c r="F118" s="22" t="str">
        <f t="shared" si="11"/>
        <v/>
      </c>
    </row>
    <row r="119" ht="15.75" customHeight="1">
      <c r="A119" s="31"/>
      <c r="B119" s="22"/>
      <c r="C119" s="22" t="str">
        <f t="shared" si="10"/>
        <v/>
      </c>
      <c r="D119" s="25"/>
      <c r="E119" s="22"/>
      <c r="F119" s="22" t="str">
        <f t="shared" si="11"/>
        <v/>
      </c>
    </row>
    <row r="120" ht="15.75" customHeight="1">
      <c r="A120" s="31"/>
      <c r="B120" s="22"/>
      <c r="C120" s="22" t="str">
        <f t="shared" si="10"/>
        <v/>
      </c>
      <c r="D120" s="25"/>
      <c r="E120" s="22"/>
      <c r="F120" s="22" t="str">
        <f t="shared" si="11"/>
        <v/>
      </c>
    </row>
    <row r="121" ht="15.75" customHeight="1">
      <c r="A121" s="31"/>
      <c r="B121" s="22"/>
      <c r="C121" s="22" t="str">
        <f t="shared" si="10"/>
        <v/>
      </c>
      <c r="D121" s="25"/>
      <c r="E121" s="22"/>
      <c r="F121" s="22" t="str">
        <f t="shared" si="11"/>
        <v/>
      </c>
    </row>
    <row r="122" ht="15.75" customHeight="1">
      <c r="A122" s="31"/>
      <c r="B122" s="22"/>
      <c r="C122" s="22" t="str">
        <f t="shared" si="10"/>
        <v/>
      </c>
      <c r="D122" s="25"/>
      <c r="E122" s="22"/>
      <c r="F122" s="22" t="str">
        <f t="shared" si="11"/>
        <v/>
      </c>
    </row>
    <row r="123" ht="15.75" customHeight="1">
      <c r="A123" s="31"/>
      <c r="B123" s="22"/>
      <c r="C123" s="22" t="str">
        <f t="shared" si="10"/>
        <v/>
      </c>
      <c r="D123" s="25"/>
      <c r="E123" s="22"/>
      <c r="F123" s="22" t="str">
        <f t="shared" si="11"/>
        <v/>
      </c>
    </row>
    <row r="124" ht="15.75" customHeight="1">
      <c r="A124" s="31"/>
      <c r="B124" s="22"/>
      <c r="C124" s="22" t="str">
        <f t="shared" si="10"/>
        <v/>
      </c>
      <c r="D124" s="25"/>
      <c r="E124" s="22"/>
      <c r="F124" s="22" t="str">
        <f t="shared" si="11"/>
        <v/>
      </c>
    </row>
    <row r="125" ht="15.75" customHeight="1">
      <c r="A125" s="31"/>
      <c r="B125" s="22"/>
      <c r="C125" s="22" t="str">
        <f t="shared" si="10"/>
        <v/>
      </c>
      <c r="D125" s="25"/>
      <c r="E125" s="22"/>
      <c r="F125" s="22" t="str">
        <f t="shared" si="11"/>
        <v/>
      </c>
    </row>
    <row r="126" ht="15.75" customHeight="1">
      <c r="A126" s="31"/>
      <c r="B126" s="22"/>
      <c r="C126" s="22" t="str">
        <f t="shared" si="10"/>
        <v/>
      </c>
      <c r="D126" s="25"/>
      <c r="E126" s="22"/>
      <c r="F126" s="22" t="str">
        <f t="shared" si="11"/>
        <v/>
      </c>
    </row>
    <row r="127" ht="15.75" customHeight="1">
      <c r="A127" s="31"/>
      <c r="B127" s="22"/>
      <c r="C127" s="22" t="str">
        <f t="shared" si="10"/>
        <v/>
      </c>
      <c r="D127" s="25"/>
      <c r="E127" s="22"/>
      <c r="F127" s="22" t="str">
        <f t="shared" si="11"/>
        <v/>
      </c>
    </row>
    <row r="128" ht="15.75" customHeight="1">
      <c r="A128" s="31"/>
      <c r="B128" s="22"/>
      <c r="C128" s="22" t="str">
        <f t="shared" si="10"/>
        <v/>
      </c>
      <c r="D128" s="25"/>
      <c r="E128" s="22"/>
      <c r="F128" s="22" t="str">
        <f t="shared" si="11"/>
        <v/>
      </c>
    </row>
    <row r="129" ht="15.75" customHeight="1">
      <c r="A129" s="31"/>
      <c r="B129" s="22"/>
      <c r="C129" s="22" t="str">
        <f t="shared" si="10"/>
        <v/>
      </c>
      <c r="D129" s="25"/>
      <c r="E129" s="22"/>
      <c r="F129" s="22" t="str">
        <f t="shared" si="11"/>
        <v/>
      </c>
    </row>
    <row r="130" ht="15.75" customHeight="1">
      <c r="A130" s="31"/>
      <c r="B130" s="22"/>
      <c r="C130" s="22" t="str">
        <f t="shared" si="10"/>
        <v/>
      </c>
      <c r="D130" s="25"/>
      <c r="E130" s="22"/>
      <c r="F130" s="22" t="str">
        <f t="shared" si="11"/>
        <v/>
      </c>
    </row>
    <row r="131" ht="15.75" customHeight="1">
      <c r="A131" s="31"/>
      <c r="B131" s="22"/>
      <c r="C131" s="22" t="str">
        <f t="shared" si="10"/>
        <v/>
      </c>
      <c r="D131" s="25"/>
      <c r="E131" s="22"/>
      <c r="F131" s="22" t="str">
        <f t="shared" si="11"/>
        <v/>
      </c>
    </row>
    <row r="132" ht="15.75" customHeight="1">
      <c r="A132" s="31"/>
      <c r="B132" s="22"/>
      <c r="C132" s="22" t="str">
        <f t="shared" si="10"/>
        <v/>
      </c>
      <c r="D132" s="25"/>
      <c r="E132" s="22"/>
      <c r="F132" s="22" t="str">
        <f t="shared" si="11"/>
        <v/>
      </c>
    </row>
    <row r="133" ht="15.75" customHeight="1">
      <c r="A133" s="31"/>
      <c r="B133" s="22"/>
      <c r="C133" s="22" t="str">
        <f t="shared" si="10"/>
        <v/>
      </c>
      <c r="D133" s="25"/>
      <c r="E133" s="22"/>
      <c r="F133" s="22" t="str">
        <f t="shared" si="11"/>
        <v/>
      </c>
    </row>
    <row r="134" ht="15.75" customHeight="1">
      <c r="A134" s="31"/>
      <c r="B134" s="22"/>
      <c r="C134" s="22" t="str">
        <f t="shared" si="10"/>
        <v/>
      </c>
      <c r="D134" s="25"/>
      <c r="E134" s="22"/>
      <c r="F134" s="22" t="str">
        <f t="shared" si="11"/>
        <v/>
      </c>
    </row>
    <row r="135" ht="15.75" customHeight="1">
      <c r="A135" s="31"/>
      <c r="B135" s="22"/>
      <c r="C135" s="22" t="str">
        <f t="shared" si="10"/>
        <v/>
      </c>
      <c r="D135" s="25"/>
      <c r="E135" s="22"/>
      <c r="F135" s="22" t="str">
        <f t="shared" si="11"/>
        <v/>
      </c>
    </row>
    <row r="136" ht="15.75" customHeight="1">
      <c r="A136" s="31"/>
      <c r="B136" s="22"/>
      <c r="C136" s="22" t="str">
        <f t="shared" si="10"/>
        <v/>
      </c>
      <c r="D136" s="25"/>
      <c r="E136" s="22"/>
      <c r="F136" s="22" t="str">
        <f t="shared" si="11"/>
        <v/>
      </c>
    </row>
    <row r="137" ht="15.75" customHeight="1">
      <c r="A137" s="31"/>
      <c r="B137" s="22"/>
      <c r="C137" s="22" t="str">
        <f t="shared" si="10"/>
        <v/>
      </c>
      <c r="D137" s="25"/>
      <c r="E137" s="22"/>
      <c r="F137" s="22" t="str">
        <f t="shared" si="11"/>
        <v/>
      </c>
    </row>
    <row r="138" ht="15.75" customHeight="1">
      <c r="A138" s="31"/>
      <c r="B138" s="22"/>
      <c r="C138" s="22" t="str">
        <f t="shared" si="10"/>
        <v/>
      </c>
      <c r="D138" s="25"/>
      <c r="E138" s="22"/>
      <c r="F138" s="22" t="str">
        <f t="shared" si="11"/>
        <v/>
      </c>
    </row>
    <row r="139" ht="15.75" customHeight="1">
      <c r="A139" s="31"/>
      <c r="B139" s="22"/>
      <c r="C139" s="22" t="str">
        <f t="shared" si="10"/>
        <v/>
      </c>
      <c r="D139" s="25"/>
      <c r="E139" s="22"/>
      <c r="F139" s="22" t="str">
        <f t="shared" si="11"/>
        <v/>
      </c>
    </row>
    <row r="140" ht="15.75" customHeight="1">
      <c r="A140" s="31"/>
      <c r="B140" s="22"/>
      <c r="C140" s="22" t="str">
        <f t="shared" si="10"/>
        <v/>
      </c>
      <c r="D140" s="25"/>
      <c r="E140" s="22"/>
      <c r="F140" s="22" t="str">
        <f t="shared" si="11"/>
        <v/>
      </c>
    </row>
    <row r="141" ht="15.75" customHeight="1">
      <c r="A141" s="31"/>
      <c r="B141" s="22"/>
      <c r="C141" s="22" t="str">
        <f t="shared" si="10"/>
        <v/>
      </c>
      <c r="D141" s="25"/>
      <c r="E141" s="22"/>
      <c r="F141" s="22" t="str">
        <f t="shared" si="11"/>
        <v/>
      </c>
    </row>
    <row r="142" ht="15.75" customHeight="1">
      <c r="A142" s="31"/>
      <c r="B142" s="22"/>
      <c r="C142" s="22" t="str">
        <f t="shared" si="10"/>
        <v/>
      </c>
      <c r="D142" s="25"/>
      <c r="E142" s="22"/>
      <c r="F142" s="22" t="str">
        <f t="shared" si="11"/>
        <v/>
      </c>
    </row>
    <row r="143" ht="15.75" customHeight="1">
      <c r="A143" s="31"/>
      <c r="B143" s="22"/>
      <c r="C143" s="22" t="str">
        <f t="shared" si="10"/>
        <v/>
      </c>
      <c r="D143" s="25"/>
      <c r="E143" s="22"/>
      <c r="F143" s="22" t="str">
        <f t="shared" si="11"/>
        <v/>
      </c>
    </row>
    <row r="144" ht="15.75" customHeight="1">
      <c r="A144" s="31"/>
      <c r="B144" s="22"/>
      <c r="C144" s="22" t="str">
        <f t="shared" si="10"/>
        <v/>
      </c>
      <c r="D144" s="25"/>
      <c r="E144" s="22"/>
      <c r="F144" s="22" t="str">
        <f t="shared" si="11"/>
        <v/>
      </c>
    </row>
    <row r="145" ht="15.75" customHeight="1">
      <c r="A145" s="31"/>
      <c r="B145" s="22"/>
      <c r="C145" s="22" t="str">
        <f t="shared" si="10"/>
        <v/>
      </c>
      <c r="D145" s="25"/>
      <c r="E145" s="22"/>
      <c r="F145" s="22" t="str">
        <f t="shared" si="11"/>
        <v/>
      </c>
    </row>
    <row r="146" ht="15.75" customHeight="1">
      <c r="A146" s="31"/>
      <c r="B146" s="22"/>
      <c r="C146" s="22" t="str">
        <f t="shared" si="10"/>
        <v/>
      </c>
      <c r="D146" s="25"/>
      <c r="E146" s="22"/>
      <c r="F146" s="22" t="str">
        <f t="shared" si="11"/>
        <v/>
      </c>
    </row>
    <row r="147" ht="15.75" customHeight="1">
      <c r="A147" s="31"/>
      <c r="B147" s="22"/>
      <c r="C147" s="22" t="str">
        <f t="shared" si="10"/>
        <v/>
      </c>
      <c r="D147" s="25"/>
      <c r="E147" s="22"/>
      <c r="F147" s="22" t="str">
        <f t="shared" si="11"/>
        <v/>
      </c>
    </row>
    <row r="148" ht="15.75" customHeight="1">
      <c r="A148" s="31"/>
      <c r="B148" s="22"/>
      <c r="C148" s="22" t="str">
        <f t="shared" si="10"/>
        <v/>
      </c>
      <c r="D148" s="25"/>
      <c r="E148" s="22"/>
      <c r="F148" s="22" t="str">
        <f t="shared" si="11"/>
        <v/>
      </c>
    </row>
    <row r="149" ht="15.75" customHeight="1">
      <c r="A149" s="31"/>
      <c r="B149" s="22"/>
      <c r="C149" s="22" t="str">
        <f t="shared" si="10"/>
        <v/>
      </c>
      <c r="D149" s="25"/>
      <c r="E149" s="22"/>
      <c r="F149" s="22" t="str">
        <f t="shared" si="11"/>
        <v/>
      </c>
    </row>
    <row r="150" ht="15.75" customHeight="1">
      <c r="A150" s="31"/>
      <c r="B150" s="22"/>
      <c r="C150" s="22" t="str">
        <f t="shared" si="10"/>
        <v/>
      </c>
      <c r="D150" s="25"/>
      <c r="E150" s="22"/>
      <c r="F150" s="22" t="str">
        <f t="shared" si="11"/>
        <v/>
      </c>
    </row>
    <row r="151" ht="15.75" customHeight="1">
      <c r="A151" s="31"/>
      <c r="B151" s="22"/>
      <c r="C151" s="22" t="str">
        <f t="shared" si="10"/>
        <v/>
      </c>
      <c r="D151" s="25"/>
      <c r="E151" s="22"/>
      <c r="F151" s="22" t="str">
        <f t="shared" si="11"/>
        <v/>
      </c>
    </row>
    <row r="152" ht="15.75" customHeight="1">
      <c r="A152" s="31"/>
      <c r="B152" s="22"/>
      <c r="C152" s="22" t="str">
        <f t="shared" si="10"/>
        <v/>
      </c>
      <c r="D152" s="25"/>
      <c r="E152" s="22"/>
      <c r="F152" s="22" t="str">
        <f t="shared" si="11"/>
        <v/>
      </c>
    </row>
    <row r="153" ht="15.75" customHeight="1">
      <c r="A153" s="31"/>
      <c r="B153" s="22"/>
      <c r="C153" s="22" t="str">
        <f t="shared" si="10"/>
        <v/>
      </c>
      <c r="D153" s="25"/>
      <c r="E153" s="22"/>
      <c r="F153" s="22" t="str">
        <f t="shared" si="11"/>
        <v/>
      </c>
    </row>
    <row r="154" ht="15.75" customHeight="1">
      <c r="A154" s="31"/>
      <c r="B154" s="22"/>
      <c r="C154" s="22" t="str">
        <f t="shared" si="10"/>
        <v/>
      </c>
      <c r="D154" s="25"/>
      <c r="E154" s="22"/>
      <c r="F154" s="22" t="str">
        <f t="shared" si="11"/>
        <v/>
      </c>
    </row>
    <row r="155" ht="15.75" customHeight="1">
      <c r="A155" s="31"/>
      <c r="B155" s="22"/>
      <c r="C155" s="22" t="str">
        <f t="shared" si="10"/>
        <v/>
      </c>
      <c r="D155" s="25"/>
      <c r="E155" s="22"/>
      <c r="F155" s="22" t="str">
        <f t="shared" si="11"/>
        <v/>
      </c>
    </row>
    <row r="156" ht="15.75" customHeight="1">
      <c r="A156" s="31"/>
      <c r="B156" s="22"/>
      <c r="C156" s="22" t="str">
        <f t="shared" si="10"/>
        <v/>
      </c>
      <c r="D156" s="25"/>
      <c r="E156" s="22"/>
      <c r="F156" s="22" t="str">
        <f t="shared" si="11"/>
        <v/>
      </c>
    </row>
    <row r="157" ht="15.75" customHeight="1">
      <c r="A157" s="31"/>
      <c r="B157" s="22"/>
      <c r="C157" s="22" t="str">
        <f t="shared" si="10"/>
        <v/>
      </c>
      <c r="D157" s="25"/>
      <c r="E157" s="22"/>
      <c r="F157" s="22" t="str">
        <f t="shared" si="11"/>
        <v/>
      </c>
    </row>
    <row r="158" ht="15.75" customHeight="1">
      <c r="A158" s="31"/>
      <c r="B158" s="22"/>
      <c r="C158" s="22" t="str">
        <f t="shared" si="10"/>
        <v/>
      </c>
      <c r="D158" s="25"/>
      <c r="E158" s="22"/>
      <c r="F158" s="22" t="str">
        <f t="shared" si="11"/>
        <v/>
      </c>
    </row>
    <row r="159" ht="15.75" customHeight="1">
      <c r="A159" s="31"/>
      <c r="B159" s="22"/>
      <c r="C159" s="22" t="str">
        <f t="shared" si="10"/>
        <v/>
      </c>
      <c r="D159" s="25"/>
      <c r="E159" s="22"/>
      <c r="F159" s="22" t="str">
        <f t="shared" si="11"/>
        <v/>
      </c>
    </row>
    <row r="160" ht="15.75" customHeight="1">
      <c r="A160" s="31"/>
      <c r="B160" s="22"/>
      <c r="C160" s="22" t="str">
        <f t="shared" si="10"/>
        <v/>
      </c>
      <c r="D160" s="25"/>
      <c r="E160" s="22"/>
      <c r="F160" s="22" t="str">
        <f t="shared" si="11"/>
        <v/>
      </c>
    </row>
    <row r="161" ht="15.75" customHeight="1">
      <c r="A161" s="31"/>
      <c r="B161" s="22"/>
      <c r="C161" s="22" t="str">
        <f t="shared" si="10"/>
        <v/>
      </c>
      <c r="D161" s="25"/>
      <c r="E161" s="22"/>
      <c r="F161" s="22" t="str">
        <f t="shared" si="11"/>
        <v/>
      </c>
    </row>
    <row r="162" ht="15.75" customHeight="1">
      <c r="A162" s="31"/>
      <c r="B162" s="22"/>
      <c r="C162" s="22" t="str">
        <f t="shared" si="10"/>
        <v/>
      </c>
      <c r="D162" s="25"/>
      <c r="E162" s="22"/>
      <c r="F162" s="22" t="str">
        <f t="shared" si="11"/>
        <v/>
      </c>
      <c r="G162" s="22" t="str">
        <f t="shared" ref="G162:G1668" si="79">IF(ISBLANK(B162),"",100*(F162/F6-1))</f>
        <v/>
      </c>
    </row>
    <row r="163" ht="15.75" customHeight="1">
      <c r="A163" s="31"/>
      <c r="B163" s="22"/>
      <c r="C163" s="22" t="str">
        <f t="shared" si="10"/>
        <v/>
      </c>
      <c r="D163" s="25"/>
      <c r="E163" s="22"/>
      <c r="F163" s="22" t="str">
        <f t="shared" si="11"/>
        <v/>
      </c>
      <c r="G163" s="22" t="str">
        <f t="shared" si="79"/>
        <v/>
      </c>
    </row>
    <row r="164" ht="15.75" customHeight="1">
      <c r="A164" s="31"/>
      <c r="B164" s="22"/>
      <c r="C164" s="22" t="str">
        <f t="shared" si="10"/>
        <v/>
      </c>
      <c r="D164" s="25"/>
      <c r="E164" s="22"/>
      <c r="F164" s="22" t="str">
        <f t="shared" si="11"/>
        <v/>
      </c>
      <c r="G164" s="22" t="str">
        <f t="shared" si="79"/>
        <v/>
      </c>
    </row>
    <row r="165" ht="15.75" customHeight="1">
      <c r="A165" s="31"/>
      <c r="B165" s="22"/>
      <c r="C165" s="22" t="str">
        <f t="shared" si="10"/>
        <v/>
      </c>
      <c r="D165" s="25"/>
      <c r="E165" s="22"/>
      <c r="F165" s="22" t="str">
        <f t="shared" si="11"/>
        <v/>
      </c>
      <c r="G165" s="22" t="str">
        <f t="shared" si="79"/>
        <v/>
      </c>
    </row>
    <row r="166" ht="15.75" customHeight="1">
      <c r="A166" s="31"/>
      <c r="B166" s="22"/>
      <c r="C166" s="22" t="str">
        <f t="shared" si="10"/>
        <v/>
      </c>
      <c r="D166" s="25"/>
      <c r="E166" s="22"/>
      <c r="F166" s="22" t="str">
        <f t="shared" si="11"/>
        <v/>
      </c>
      <c r="G166" s="22" t="str">
        <f t="shared" si="79"/>
        <v/>
      </c>
    </row>
    <row r="167" ht="15.75" customHeight="1">
      <c r="A167" s="31"/>
      <c r="B167" s="22"/>
      <c r="C167" s="22" t="str">
        <f t="shared" si="10"/>
        <v/>
      </c>
      <c r="D167" s="25"/>
      <c r="E167" s="22"/>
      <c r="F167" s="22" t="str">
        <f t="shared" si="11"/>
        <v/>
      </c>
      <c r="G167" s="22" t="str">
        <f t="shared" si="79"/>
        <v/>
      </c>
    </row>
    <row r="168" ht="15.75" customHeight="1">
      <c r="A168" s="31"/>
      <c r="B168" s="22"/>
      <c r="C168" s="22" t="str">
        <f t="shared" si="10"/>
        <v/>
      </c>
      <c r="D168" s="25"/>
      <c r="E168" s="22"/>
      <c r="F168" s="22" t="str">
        <f t="shared" si="11"/>
        <v/>
      </c>
      <c r="G168" s="22" t="str">
        <f t="shared" si="79"/>
        <v/>
      </c>
    </row>
    <row r="169" ht="15.75" customHeight="1">
      <c r="A169" s="31"/>
      <c r="B169" s="22"/>
      <c r="C169" s="22" t="str">
        <f t="shared" si="10"/>
        <v/>
      </c>
      <c r="D169" s="25"/>
      <c r="E169" s="22"/>
      <c r="F169" s="22" t="str">
        <f t="shared" si="11"/>
        <v/>
      </c>
      <c r="G169" s="22" t="str">
        <f t="shared" si="79"/>
        <v/>
      </c>
    </row>
    <row r="170" ht="15.75" customHeight="1">
      <c r="A170" s="31"/>
      <c r="B170" s="22"/>
      <c r="C170" s="22" t="str">
        <f t="shared" si="10"/>
        <v/>
      </c>
      <c r="D170" s="25"/>
      <c r="E170" s="22"/>
      <c r="F170" s="22" t="str">
        <f t="shared" si="11"/>
        <v/>
      </c>
      <c r="G170" s="22" t="str">
        <f t="shared" si="79"/>
        <v/>
      </c>
    </row>
    <row r="171" ht="15.75" customHeight="1">
      <c r="A171" s="31"/>
      <c r="B171" s="22"/>
      <c r="C171" s="22" t="str">
        <f t="shared" si="10"/>
        <v/>
      </c>
      <c r="D171" s="25"/>
      <c r="E171" s="22"/>
      <c r="F171" s="22" t="str">
        <f t="shared" si="11"/>
        <v/>
      </c>
      <c r="G171" s="22" t="str">
        <f t="shared" si="79"/>
        <v/>
      </c>
    </row>
    <row r="172" ht="15.75" customHeight="1">
      <c r="A172" s="31"/>
      <c r="B172" s="22"/>
      <c r="C172" s="22" t="str">
        <f t="shared" si="10"/>
        <v/>
      </c>
      <c r="D172" s="25"/>
      <c r="E172" s="22"/>
      <c r="F172" s="22" t="str">
        <f t="shared" si="11"/>
        <v/>
      </c>
      <c r="G172" s="22" t="str">
        <f t="shared" si="79"/>
        <v/>
      </c>
    </row>
    <row r="173" ht="15.75" customHeight="1">
      <c r="A173" s="31"/>
      <c r="B173" s="22"/>
      <c r="C173" s="22" t="str">
        <f t="shared" si="10"/>
        <v/>
      </c>
      <c r="D173" s="25"/>
      <c r="E173" s="22"/>
      <c r="F173" s="22" t="str">
        <f t="shared" si="11"/>
        <v/>
      </c>
      <c r="G173" s="22" t="str">
        <f t="shared" si="79"/>
        <v/>
      </c>
    </row>
    <row r="174" ht="15.75" customHeight="1">
      <c r="A174" s="31"/>
      <c r="B174" s="22"/>
      <c r="C174" s="22" t="str">
        <f t="shared" si="10"/>
        <v/>
      </c>
      <c r="D174" s="25"/>
      <c r="E174" s="22"/>
      <c r="F174" s="22" t="str">
        <f t="shared" si="11"/>
        <v/>
      </c>
      <c r="G174" s="22" t="str">
        <f t="shared" si="79"/>
        <v/>
      </c>
    </row>
    <row r="175" ht="15.75" customHeight="1">
      <c r="A175" s="31"/>
      <c r="B175" s="22"/>
      <c r="C175" s="22" t="str">
        <f t="shared" si="10"/>
        <v/>
      </c>
      <c r="D175" s="25"/>
      <c r="E175" s="22"/>
      <c r="F175" s="22" t="str">
        <f t="shared" si="11"/>
        <v/>
      </c>
      <c r="G175" s="22" t="str">
        <f t="shared" si="79"/>
        <v/>
      </c>
    </row>
    <row r="176" ht="15.75" customHeight="1">
      <c r="A176" s="31"/>
      <c r="B176" s="22"/>
      <c r="C176" s="22" t="str">
        <f t="shared" si="10"/>
        <v/>
      </c>
      <c r="D176" s="25"/>
      <c r="E176" s="22"/>
      <c r="F176" s="22" t="str">
        <f t="shared" si="11"/>
        <v/>
      </c>
      <c r="G176" s="22" t="str">
        <f t="shared" si="79"/>
        <v/>
      </c>
    </row>
    <row r="177" ht="15.75" customHeight="1">
      <c r="A177" s="31"/>
      <c r="B177" s="22"/>
      <c r="C177" s="22" t="str">
        <f t="shared" si="10"/>
        <v/>
      </c>
      <c r="D177" s="25"/>
      <c r="E177" s="22"/>
      <c r="F177" s="22" t="str">
        <f t="shared" si="11"/>
        <v/>
      </c>
      <c r="G177" s="22" t="str">
        <f t="shared" si="79"/>
        <v/>
      </c>
    </row>
    <row r="178" ht="15.75" customHeight="1">
      <c r="A178" s="31"/>
      <c r="B178" s="22"/>
      <c r="C178" s="22" t="str">
        <f t="shared" si="10"/>
        <v/>
      </c>
      <c r="D178" s="25"/>
      <c r="E178" s="22"/>
      <c r="F178" s="22" t="str">
        <f t="shared" si="11"/>
        <v/>
      </c>
      <c r="G178" s="22" t="str">
        <f t="shared" si="79"/>
        <v/>
      </c>
    </row>
    <row r="179" ht="15.75" customHeight="1">
      <c r="A179" s="31"/>
      <c r="B179" s="22"/>
      <c r="C179" s="22" t="str">
        <f t="shared" si="10"/>
        <v/>
      </c>
      <c r="D179" s="25"/>
      <c r="E179" s="22"/>
      <c r="F179" s="22" t="str">
        <f t="shared" si="11"/>
        <v/>
      </c>
      <c r="G179" s="22" t="str">
        <f t="shared" si="79"/>
        <v/>
      </c>
    </row>
    <row r="180" ht="15.75" customHeight="1">
      <c r="A180" s="31"/>
      <c r="B180" s="22"/>
      <c r="C180" s="22" t="str">
        <f t="shared" si="10"/>
        <v/>
      </c>
      <c r="D180" s="25"/>
      <c r="E180" s="22"/>
      <c r="F180" s="22" t="str">
        <f t="shared" si="11"/>
        <v/>
      </c>
      <c r="G180" s="22" t="str">
        <f t="shared" si="79"/>
        <v/>
      </c>
    </row>
    <row r="181" ht="15.75" customHeight="1">
      <c r="A181" s="31"/>
      <c r="B181" s="22"/>
      <c r="C181" s="22" t="str">
        <f t="shared" si="10"/>
        <v/>
      </c>
      <c r="D181" s="25"/>
      <c r="E181" s="22"/>
      <c r="F181" s="22" t="str">
        <f t="shared" si="11"/>
        <v/>
      </c>
      <c r="G181" s="22" t="str">
        <f t="shared" si="79"/>
        <v/>
      </c>
    </row>
    <row r="182" ht="15.75" customHeight="1">
      <c r="A182" s="31"/>
      <c r="B182" s="22"/>
      <c r="C182" s="22" t="str">
        <f t="shared" si="10"/>
        <v/>
      </c>
      <c r="D182" s="25"/>
      <c r="E182" s="22"/>
      <c r="F182" s="22" t="str">
        <f t="shared" si="11"/>
        <v/>
      </c>
      <c r="G182" s="22" t="str">
        <f t="shared" si="79"/>
        <v/>
      </c>
    </row>
    <row r="183" ht="15.75" customHeight="1">
      <c r="A183" s="31"/>
      <c r="B183" s="22"/>
      <c r="C183" s="22" t="str">
        <f t="shared" si="10"/>
        <v/>
      </c>
      <c r="D183" s="25"/>
      <c r="E183" s="22"/>
      <c r="F183" s="22" t="str">
        <f t="shared" si="11"/>
        <v/>
      </c>
      <c r="G183" s="22" t="str">
        <f t="shared" si="79"/>
        <v/>
      </c>
    </row>
    <row r="184" ht="15.75" customHeight="1">
      <c r="A184" s="31"/>
      <c r="B184" s="22"/>
      <c r="C184" s="22" t="str">
        <f t="shared" si="10"/>
        <v/>
      </c>
      <c r="D184" s="25"/>
      <c r="E184" s="22"/>
      <c r="F184" s="22" t="str">
        <f t="shared" si="11"/>
        <v/>
      </c>
      <c r="G184" s="22" t="str">
        <f t="shared" si="79"/>
        <v/>
      </c>
    </row>
    <row r="185" ht="15.75" customHeight="1">
      <c r="A185" s="31"/>
      <c r="B185" s="22"/>
      <c r="C185" s="22" t="str">
        <f t="shared" si="10"/>
        <v/>
      </c>
      <c r="D185" s="25"/>
      <c r="E185" s="22"/>
      <c r="F185" s="22" t="str">
        <f t="shared" si="11"/>
        <v/>
      </c>
      <c r="G185" s="22" t="str">
        <f t="shared" si="79"/>
        <v/>
      </c>
    </row>
    <row r="186" ht="15.75" customHeight="1">
      <c r="A186" s="31"/>
      <c r="B186" s="22"/>
      <c r="C186" s="22" t="str">
        <f t="shared" si="10"/>
        <v/>
      </c>
      <c r="D186" s="25"/>
      <c r="E186" s="22"/>
      <c r="F186" s="22" t="str">
        <f t="shared" si="11"/>
        <v/>
      </c>
      <c r="G186" s="22" t="str">
        <f t="shared" si="79"/>
        <v/>
      </c>
    </row>
    <row r="187" ht="15.75" customHeight="1">
      <c r="A187" s="31"/>
      <c r="B187" s="22"/>
      <c r="C187" s="22" t="str">
        <f t="shared" si="10"/>
        <v/>
      </c>
      <c r="D187" s="25"/>
      <c r="E187" s="22"/>
      <c r="F187" s="22" t="str">
        <f t="shared" si="11"/>
        <v/>
      </c>
      <c r="G187" s="22" t="str">
        <f t="shared" si="79"/>
        <v/>
      </c>
    </row>
    <row r="188" ht="15.75" customHeight="1">
      <c r="A188" s="31"/>
      <c r="B188" s="22"/>
      <c r="C188" s="22" t="str">
        <f t="shared" si="10"/>
        <v/>
      </c>
      <c r="D188" s="25"/>
      <c r="E188" s="22"/>
      <c r="F188" s="22" t="str">
        <f t="shared" si="11"/>
        <v/>
      </c>
      <c r="G188" s="22" t="str">
        <f t="shared" si="79"/>
        <v/>
      </c>
    </row>
    <row r="189" ht="15.75" customHeight="1">
      <c r="A189" s="31"/>
      <c r="B189" s="22"/>
      <c r="C189" s="22" t="str">
        <f t="shared" si="10"/>
        <v/>
      </c>
      <c r="D189" s="25"/>
      <c r="E189" s="22"/>
      <c r="F189" s="22" t="str">
        <f t="shared" si="11"/>
        <v/>
      </c>
      <c r="G189" s="22" t="str">
        <f t="shared" si="79"/>
        <v/>
      </c>
    </row>
    <row r="190" ht="15.75" customHeight="1">
      <c r="A190" s="31"/>
      <c r="B190" s="22"/>
      <c r="C190" s="22" t="str">
        <f t="shared" si="10"/>
        <v/>
      </c>
      <c r="D190" s="25"/>
      <c r="E190" s="22"/>
      <c r="F190" s="22" t="str">
        <f t="shared" si="11"/>
        <v/>
      </c>
      <c r="G190" s="22" t="str">
        <f t="shared" si="79"/>
        <v/>
      </c>
    </row>
    <row r="191" ht="15.75" customHeight="1">
      <c r="A191" s="31"/>
      <c r="B191" s="22"/>
      <c r="C191" s="22" t="str">
        <f t="shared" si="10"/>
        <v/>
      </c>
      <c r="D191" s="25"/>
      <c r="E191" s="22"/>
      <c r="F191" s="22" t="str">
        <f t="shared" si="11"/>
        <v/>
      </c>
      <c r="G191" s="22" t="str">
        <f t="shared" si="79"/>
        <v/>
      </c>
    </row>
    <row r="192" ht="15.75" customHeight="1">
      <c r="A192" s="31"/>
      <c r="B192" s="22"/>
      <c r="C192" s="22" t="str">
        <f t="shared" si="10"/>
        <v/>
      </c>
      <c r="D192" s="25"/>
      <c r="E192" s="22"/>
      <c r="F192" s="22" t="str">
        <f t="shared" si="11"/>
        <v/>
      </c>
      <c r="G192" s="22" t="str">
        <f t="shared" si="79"/>
        <v/>
      </c>
    </row>
    <row r="193" ht="15.75" customHeight="1">
      <c r="A193" s="31"/>
      <c r="B193" s="22"/>
      <c r="C193" s="22" t="str">
        <f t="shared" si="10"/>
        <v/>
      </c>
      <c r="D193" s="25"/>
      <c r="E193" s="22"/>
      <c r="F193" s="22" t="str">
        <f t="shared" si="11"/>
        <v/>
      </c>
      <c r="G193" s="22" t="str">
        <f t="shared" si="79"/>
        <v/>
      </c>
    </row>
    <row r="194" ht="15.75" customHeight="1">
      <c r="A194" s="31"/>
      <c r="B194" s="22"/>
      <c r="C194" s="22" t="str">
        <f t="shared" si="10"/>
        <v/>
      </c>
      <c r="D194" s="25"/>
      <c r="E194" s="22"/>
      <c r="F194" s="22" t="str">
        <f t="shared" si="11"/>
        <v/>
      </c>
      <c r="G194" s="22" t="str">
        <f t="shared" si="79"/>
        <v/>
      </c>
    </row>
    <row r="195" ht="15.75" customHeight="1">
      <c r="A195" s="31"/>
      <c r="B195" s="22"/>
      <c r="C195" s="22" t="str">
        <f t="shared" si="10"/>
        <v/>
      </c>
      <c r="D195" s="25"/>
      <c r="E195" s="22"/>
      <c r="F195" s="22" t="str">
        <f t="shared" si="11"/>
        <v/>
      </c>
      <c r="G195" s="22" t="str">
        <f t="shared" si="79"/>
        <v/>
      </c>
    </row>
    <row r="196" ht="15.75" customHeight="1">
      <c r="A196" s="31"/>
      <c r="B196" s="22"/>
      <c r="C196" s="22" t="str">
        <f t="shared" si="10"/>
        <v/>
      </c>
      <c r="D196" s="25"/>
      <c r="E196" s="22"/>
      <c r="F196" s="22" t="str">
        <f t="shared" si="11"/>
        <v/>
      </c>
      <c r="G196" s="22" t="str">
        <f t="shared" si="79"/>
        <v/>
      </c>
    </row>
    <row r="197" ht="15.75" customHeight="1">
      <c r="A197" s="31"/>
      <c r="B197" s="22"/>
      <c r="C197" s="22" t="str">
        <f t="shared" si="10"/>
        <v/>
      </c>
      <c r="D197" s="25"/>
      <c r="E197" s="22"/>
      <c r="F197" s="22" t="str">
        <f t="shared" si="11"/>
        <v/>
      </c>
      <c r="G197" s="22" t="str">
        <f t="shared" si="79"/>
        <v/>
      </c>
    </row>
    <row r="198" ht="15.75" customHeight="1">
      <c r="A198" s="31"/>
      <c r="B198" s="22"/>
      <c r="C198" s="22" t="str">
        <f t="shared" si="10"/>
        <v/>
      </c>
      <c r="D198" s="25"/>
      <c r="E198" s="22"/>
      <c r="F198" s="22" t="str">
        <f t="shared" si="11"/>
        <v/>
      </c>
      <c r="G198" s="22" t="str">
        <f t="shared" si="79"/>
        <v/>
      </c>
    </row>
    <row r="199" ht="15.75" customHeight="1">
      <c r="A199" s="31"/>
      <c r="B199" s="22"/>
      <c r="C199" s="22" t="str">
        <f t="shared" si="10"/>
        <v/>
      </c>
      <c r="D199" s="25"/>
      <c r="E199" s="22"/>
      <c r="F199" s="22" t="str">
        <f t="shared" si="11"/>
        <v/>
      </c>
      <c r="G199" s="22" t="str">
        <f t="shared" si="79"/>
        <v/>
      </c>
    </row>
    <row r="200" ht="15.75" customHeight="1">
      <c r="A200" s="31"/>
      <c r="B200" s="22"/>
      <c r="C200" s="22" t="str">
        <f t="shared" si="10"/>
        <v/>
      </c>
      <c r="D200" s="25"/>
      <c r="E200" s="22"/>
      <c r="F200" s="22" t="str">
        <f t="shared" si="11"/>
        <v/>
      </c>
      <c r="G200" s="22" t="str">
        <f t="shared" si="79"/>
        <v/>
      </c>
    </row>
    <row r="201" ht="15.75" customHeight="1">
      <c r="A201" s="31"/>
      <c r="B201" s="22"/>
      <c r="C201" s="22" t="str">
        <f t="shared" si="10"/>
        <v/>
      </c>
      <c r="D201" s="25"/>
      <c r="E201" s="22"/>
      <c r="F201" s="22" t="str">
        <f t="shared" si="11"/>
        <v/>
      </c>
      <c r="G201" s="22" t="str">
        <f t="shared" si="79"/>
        <v/>
      </c>
    </row>
    <row r="202" ht="15.75" customHeight="1">
      <c r="A202" s="31"/>
      <c r="B202" s="22"/>
      <c r="C202" s="22" t="str">
        <f t="shared" si="10"/>
        <v/>
      </c>
      <c r="D202" s="25"/>
      <c r="E202" s="22"/>
      <c r="F202" s="22" t="str">
        <f t="shared" si="11"/>
        <v/>
      </c>
      <c r="G202" s="22" t="str">
        <f t="shared" si="79"/>
        <v/>
      </c>
    </row>
    <row r="203" ht="15.75" customHeight="1">
      <c r="A203" s="31"/>
      <c r="B203" s="22"/>
      <c r="C203" s="22" t="str">
        <f t="shared" si="10"/>
        <v/>
      </c>
      <c r="D203" s="25"/>
      <c r="E203" s="22"/>
      <c r="F203" s="22" t="str">
        <f t="shared" si="11"/>
        <v/>
      </c>
      <c r="G203" s="22" t="str">
        <f t="shared" si="79"/>
        <v/>
      </c>
    </row>
    <row r="204" ht="15.75" customHeight="1">
      <c r="A204" s="31"/>
      <c r="B204" s="22"/>
      <c r="C204" s="22" t="str">
        <f t="shared" si="10"/>
        <v/>
      </c>
      <c r="D204" s="25"/>
      <c r="E204" s="22"/>
      <c r="F204" s="22" t="str">
        <f t="shared" si="11"/>
        <v/>
      </c>
      <c r="G204" s="22" t="str">
        <f t="shared" si="79"/>
        <v/>
      </c>
    </row>
    <row r="205" ht="15.75" customHeight="1">
      <c r="A205" s="31"/>
      <c r="B205" s="22"/>
      <c r="C205" s="22" t="str">
        <f t="shared" si="10"/>
        <v/>
      </c>
      <c r="D205" s="25"/>
      <c r="E205" s="22"/>
      <c r="F205" s="22" t="str">
        <f t="shared" si="11"/>
        <v/>
      </c>
      <c r="G205" s="22" t="str">
        <f t="shared" si="79"/>
        <v/>
      </c>
    </row>
    <row r="206" ht="15.75" customHeight="1">
      <c r="A206" s="31"/>
      <c r="B206" s="22"/>
      <c r="C206" s="22" t="str">
        <f t="shared" si="10"/>
        <v/>
      </c>
      <c r="D206" s="25"/>
      <c r="E206" s="22"/>
      <c r="F206" s="22" t="str">
        <f t="shared" si="11"/>
        <v/>
      </c>
      <c r="G206" s="22" t="str">
        <f t="shared" si="79"/>
        <v/>
      </c>
    </row>
    <row r="207" ht="15.75" customHeight="1">
      <c r="A207" s="31"/>
      <c r="B207" s="22"/>
      <c r="C207" s="22" t="str">
        <f t="shared" si="10"/>
        <v/>
      </c>
      <c r="D207" s="25"/>
      <c r="E207" s="22"/>
      <c r="F207" s="22" t="str">
        <f t="shared" si="11"/>
        <v/>
      </c>
      <c r="G207" s="22" t="str">
        <f t="shared" si="79"/>
        <v/>
      </c>
    </row>
    <row r="208" ht="15.75" customHeight="1">
      <c r="A208" s="31"/>
      <c r="B208" s="22"/>
      <c r="C208" s="22" t="str">
        <f t="shared" si="10"/>
        <v/>
      </c>
      <c r="D208" s="25"/>
      <c r="E208" s="22"/>
      <c r="F208" s="22" t="str">
        <f t="shared" si="11"/>
        <v/>
      </c>
      <c r="G208" s="22" t="str">
        <f t="shared" si="79"/>
        <v/>
      </c>
    </row>
    <row r="209" ht="15.75" customHeight="1">
      <c r="A209" s="31"/>
      <c r="B209" s="22"/>
      <c r="C209" s="22" t="str">
        <f t="shared" si="10"/>
        <v/>
      </c>
      <c r="D209" s="25"/>
      <c r="E209" s="22"/>
      <c r="F209" s="22" t="str">
        <f t="shared" si="11"/>
        <v/>
      </c>
      <c r="G209" s="22" t="str">
        <f t="shared" si="79"/>
        <v/>
      </c>
    </row>
    <row r="210" ht="15.75" customHeight="1">
      <c r="A210" s="31"/>
      <c r="B210" s="22"/>
      <c r="C210" s="22" t="str">
        <f t="shared" si="10"/>
        <v/>
      </c>
      <c r="D210" s="25"/>
      <c r="E210" s="22"/>
      <c r="F210" s="22" t="str">
        <f t="shared" si="11"/>
        <v/>
      </c>
      <c r="G210" s="22" t="str">
        <f t="shared" si="79"/>
        <v/>
      </c>
    </row>
    <row r="211" ht="15.75" customHeight="1">
      <c r="A211" s="31"/>
      <c r="B211" s="22"/>
      <c r="C211" s="22" t="str">
        <f t="shared" si="10"/>
        <v/>
      </c>
      <c r="D211" s="25"/>
      <c r="E211" s="22"/>
      <c r="F211" s="22" t="str">
        <f t="shared" si="11"/>
        <v/>
      </c>
      <c r="G211" s="22" t="str">
        <f t="shared" si="79"/>
        <v/>
      </c>
    </row>
    <row r="212" ht="15.75" customHeight="1">
      <c r="A212" s="31"/>
      <c r="B212" s="22"/>
      <c r="C212" s="22" t="str">
        <f t="shared" si="10"/>
        <v/>
      </c>
      <c r="D212" s="25"/>
      <c r="E212" s="22"/>
      <c r="F212" s="22" t="str">
        <f t="shared" si="11"/>
        <v/>
      </c>
      <c r="G212" s="22" t="str">
        <f t="shared" si="79"/>
        <v/>
      </c>
    </row>
    <row r="213" ht="15.75" customHeight="1">
      <c r="A213" s="31"/>
      <c r="B213" s="22"/>
      <c r="C213" s="22" t="str">
        <f t="shared" si="10"/>
        <v/>
      </c>
      <c r="D213" s="25"/>
      <c r="E213" s="22"/>
      <c r="F213" s="22" t="str">
        <f t="shared" si="11"/>
        <v/>
      </c>
      <c r="G213" s="22" t="str">
        <f t="shared" si="79"/>
        <v/>
      </c>
    </row>
    <row r="214" ht="15.75" customHeight="1">
      <c r="A214" s="31"/>
      <c r="B214" s="22"/>
      <c r="C214" s="22" t="str">
        <f t="shared" si="10"/>
        <v/>
      </c>
      <c r="D214" s="25"/>
      <c r="E214" s="22"/>
      <c r="F214" s="22" t="str">
        <f t="shared" si="11"/>
        <v/>
      </c>
      <c r="G214" s="22" t="str">
        <f t="shared" si="79"/>
        <v/>
      </c>
    </row>
    <row r="215" ht="15.75" customHeight="1">
      <c r="A215" s="31"/>
      <c r="B215" s="22"/>
      <c r="C215" s="22" t="str">
        <f t="shared" si="10"/>
        <v/>
      </c>
      <c r="D215" s="25"/>
      <c r="E215" s="22"/>
      <c r="F215" s="22" t="str">
        <f t="shared" si="11"/>
        <v/>
      </c>
      <c r="G215" s="22" t="str">
        <f t="shared" si="79"/>
        <v/>
      </c>
    </row>
    <row r="216" ht="15.75" customHeight="1">
      <c r="A216" s="31"/>
      <c r="B216" s="22"/>
      <c r="C216" s="22" t="str">
        <f t="shared" si="10"/>
        <v/>
      </c>
      <c r="D216" s="25"/>
      <c r="E216" s="22"/>
      <c r="F216" s="22" t="str">
        <f t="shared" si="11"/>
        <v/>
      </c>
      <c r="G216" s="22" t="str">
        <f t="shared" si="79"/>
        <v/>
      </c>
    </row>
    <row r="217" ht="15.75" customHeight="1">
      <c r="A217" s="31"/>
      <c r="B217" s="22"/>
      <c r="C217" s="22" t="str">
        <f t="shared" si="10"/>
        <v/>
      </c>
      <c r="D217" s="25"/>
      <c r="E217" s="22"/>
      <c r="F217" s="22" t="str">
        <f t="shared" si="11"/>
        <v/>
      </c>
      <c r="G217" s="22" t="str">
        <f t="shared" si="79"/>
        <v/>
      </c>
    </row>
    <row r="218" ht="15.75" customHeight="1">
      <c r="A218" s="31"/>
      <c r="B218" s="22"/>
      <c r="C218" s="22" t="str">
        <f t="shared" si="10"/>
        <v/>
      </c>
      <c r="D218" s="25"/>
      <c r="E218" s="22"/>
      <c r="F218" s="22" t="str">
        <f t="shared" si="11"/>
        <v/>
      </c>
      <c r="G218" s="22" t="str">
        <f t="shared" si="79"/>
        <v/>
      </c>
    </row>
    <row r="219" ht="15.75" customHeight="1">
      <c r="A219" s="31"/>
      <c r="B219" s="22"/>
      <c r="C219" s="22" t="str">
        <f t="shared" si="10"/>
        <v/>
      </c>
      <c r="D219" s="25"/>
      <c r="E219" s="22"/>
      <c r="F219" s="22" t="str">
        <f t="shared" si="11"/>
        <v/>
      </c>
      <c r="G219" s="22" t="str">
        <f t="shared" si="79"/>
        <v/>
      </c>
    </row>
    <row r="220" ht="15.75" customHeight="1">
      <c r="A220" s="31"/>
      <c r="B220" s="22"/>
      <c r="C220" s="22" t="str">
        <f t="shared" si="10"/>
        <v/>
      </c>
      <c r="D220" s="25"/>
      <c r="E220" s="22"/>
      <c r="F220" s="22" t="str">
        <f t="shared" si="11"/>
        <v/>
      </c>
      <c r="G220" s="22" t="str">
        <f t="shared" si="79"/>
        <v/>
      </c>
    </row>
    <row r="221" ht="15.75" customHeight="1">
      <c r="A221" s="31"/>
      <c r="B221" s="22"/>
      <c r="C221" s="22" t="str">
        <f t="shared" si="10"/>
        <v/>
      </c>
      <c r="D221" s="25"/>
      <c r="E221" s="22"/>
      <c r="F221" s="22" t="str">
        <f t="shared" si="11"/>
        <v/>
      </c>
      <c r="G221" s="22" t="str">
        <f t="shared" si="79"/>
        <v/>
      </c>
    </row>
    <row r="222" ht="15.75" customHeight="1">
      <c r="A222" s="31"/>
      <c r="B222" s="22"/>
      <c r="C222" s="22" t="str">
        <f t="shared" si="10"/>
        <v/>
      </c>
      <c r="D222" s="25"/>
      <c r="E222" s="22"/>
      <c r="F222" s="22" t="str">
        <f t="shared" si="11"/>
        <v/>
      </c>
      <c r="G222" s="22" t="str">
        <f t="shared" si="79"/>
        <v/>
      </c>
    </row>
    <row r="223" ht="15.75" customHeight="1">
      <c r="A223" s="31"/>
      <c r="B223" s="22"/>
      <c r="C223" s="22" t="str">
        <f t="shared" si="10"/>
        <v/>
      </c>
      <c r="D223" s="25"/>
      <c r="E223" s="22"/>
      <c r="F223" s="22" t="str">
        <f t="shared" si="11"/>
        <v/>
      </c>
      <c r="G223" s="22" t="str">
        <f t="shared" si="79"/>
        <v/>
      </c>
    </row>
    <row r="224" ht="15.75" customHeight="1">
      <c r="A224" s="31"/>
      <c r="B224" s="22"/>
      <c r="C224" s="22" t="str">
        <f t="shared" si="10"/>
        <v/>
      </c>
      <c r="D224" s="25"/>
      <c r="E224" s="22"/>
      <c r="F224" s="22" t="str">
        <f t="shared" si="11"/>
        <v/>
      </c>
      <c r="G224" s="22" t="str">
        <f t="shared" si="79"/>
        <v/>
      </c>
    </row>
    <row r="225" ht="15.75" customHeight="1">
      <c r="A225" s="31"/>
      <c r="B225" s="22"/>
      <c r="C225" s="22" t="str">
        <f t="shared" si="10"/>
        <v/>
      </c>
      <c r="D225" s="25"/>
      <c r="E225" s="22"/>
      <c r="F225" s="22" t="str">
        <f t="shared" si="11"/>
        <v/>
      </c>
      <c r="G225" s="22" t="str">
        <f t="shared" si="79"/>
        <v/>
      </c>
    </row>
    <row r="226" ht="15.75" customHeight="1">
      <c r="A226" s="31"/>
      <c r="B226" s="22"/>
      <c r="C226" s="22" t="str">
        <f t="shared" si="10"/>
        <v/>
      </c>
      <c r="D226" s="25"/>
      <c r="E226" s="22"/>
      <c r="F226" s="22" t="str">
        <f t="shared" si="11"/>
        <v/>
      </c>
      <c r="G226" s="22" t="str">
        <f t="shared" si="79"/>
        <v/>
      </c>
    </row>
    <row r="227" ht="15.75" customHeight="1">
      <c r="A227" s="31"/>
      <c r="B227" s="22"/>
      <c r="C227" s="22" t="str">
        <f t="shared" si="10"/>
        <v/>
      </c>
      <c r="D227" s="25"/>
      <c r="E227" s="22"/>
      <c r="F227" s="22" t="str">
        <f t="shared" si="11"/>
        <v/>
      </c>
      <c r="G227" s="22" t="str">
        <f t="shared" si="79"/>
        <v/>
      </c>
    </row>
    <row r="228" ht="15.75" customHeight="1">
      <c r="A228" s="31"/>
      <c r="B228" s="22"/>
      <c r="C228" s="22" t="str">
        <f t="shared" si="10"/>
        <v/>
      </c>
      <c r="D228" s="25"/>
      <c r="E228" s="22"/>
      <c r="F228" s="22" t="str">
        <f t="shared" si="11"/>
        <v/>
      </c>
      <c r="G228" s="22" t="str">
        <f t="shared" si="79"/>
        <v/>
      </c>
    </row>
    <row r="229" ht="15.75" customHeight="1">
      <c r="A229" s="31"/>
      <c r="B229" s="22"/>
      <c r="C229" s="22" t="str">
        <f t="shared" si="10"/>
        <v/>
      </c>
      <c r="D229" s="25"/>
      <c r="E229" s="22"/>
      <c r="F229" s="22" t="str">
        <f t="shared" si="11"/>
        <v/>
      </c>
      <c r="G229" s="22" t="str">
        <f t="shared" si="79"/>
        <v/>
      </c>
    </row>
    <row r="230" ht="15.75" customHeight="1">
      <c r="A230" s="31"/>
      <c r="B230" s="22"/>
      <c r="C230" s="22" t="str">
        <f t="shared" si="10"/>
        <v/>
      </c>
      <c r="D230" s="25"/>
      <c r="E230" s="22"/>
      <c r="F230" s="22" t="str">
        <f t="shared" si="11"/>
        <v/>
      </c>
      <c r="G230" s="22" t="str">
        <f t="shared" si="79"/>
        <v/>
      </c>
    </row>
    <row r="231" ht="15.75" customHeight="1">
      <c r="A231" s="31"/>
      <c r="B231" s="22"/>
      <c r="C231" s="22" t="str">
        <f t="shared" si="10"/>
        <v/>
      </c>
      <c r="D231" s="25"/>
      <c r="E231" s="22"/>
      <c r="F231" s="22" t="str">
        <f t="shared" si="11"/>
        <v/>
      </c>
      <c r="G231" s="22" t="str">
        <f t="shared" si="79"/>
        <v/>
      </c>
    </row>
    <row r="232" ht="15.75" customHeight="1">
      <c r="A232" s="31"/>
      <c r="B232" s="22"/>
      <c r="C232" s="22" t="str">
        <f t="shared" si="10"/>
        <v/>
      </c>
      <c r="D232" s="25"/>
      <c r="E232" s="22"/>
      <c r="F232" s="22" t="str">
        <f t="shared" si="11"/>
        <v/>
      </c>
      <c r="G232" s="22" t="str">
        <f t="shared" si="79"/>
        <v/>
      </c>
    </row>
    <row r="233" ht="15.75" customHeight="1">
      <c r="A233" s="31"/>
      <c r="B233" s="22"/>
      <c r="C233" s="22" t="str">
        <f t="shared" si="10"/>
        <v/>
      </c>
      <c r="D233" s="25"/>
      <c r="E233" s="22"/>
      <c r="F233" s="22" t="str">
        <f t="shared" si="11"/>
        <v/>
      </c>
      <c r="G233" s="22" t="str">
        <f t="shared" si="79"/>
        <v/>
      </c>
    </row>
    <row r="234" ht="15.75" customHeight="1">
      <c r="A234" s="31"/>
      <c r="B234" s="22"/>
      <c r="C234" s="22" t="str">
        <f t="shared" si="10"/>
        <v/>
      </c>
      <c r="D234" s="25"/>
      <c r="E234" s="22"/>
      <c r="F234" s="22" t="str">
        <f t="shared" si="11"/>
        <v/>
      </c>
      <c r="G234" s="22" t="str">
        <f t="shared" si="79"/>
        <v/>
      </c>
    </row>
    <row r="235" ht="15.75" customHeight="1">
      <c r="A235" s="31"/>
      <c r="B235" s="22"/>
      <c r="C235" s="22" t="str">
        <f t="shared" si="10"/>
        <v/>
      </c>
      <c r="D235" s="25"/>
      <c r="E235" s="22"/>
      <c r="F235" s="22" t="str">
        <f t="shared" si="11"/>
        <v/>
      </c>
      <c r="G235" s="22" t="str">
        <f t="shared" si="79"/>
        <v/>
      </c>
    </row>
    <row r="236" ht="15.75" customHeight="1">
      <c r="A236" s="31"/>
      <c r="B236" s="22"/>
      <c r="C236" s="22" t="str">
        <f t="shared" si="10"/>
        <v/>
      </c>
      <c r="D236" s="25"/>
      <c r="E236" s="22"/>
      <c r="F236" s="22" t="str">
        <f t="shared" si="11"/>
        <v/>
      </c>
      <c r="G236" s="22" t="str">
        <f t="shared" si="79"/>
        <v/>
      </c>
    </row>
    <row r="237" ht="15.75" customHeight="1">
      <c r="A237" s="31"/>
      <c r="B237" s="22"/>
      <c r="C237" s="22" t="str">
        <f t="shared" si="10"/>
        <v/>
      </c>
      <c r="D237" s="25"/>
      <c r="E237" s="22"/>
      <c r="F237" s="22" t="str">
        <f t="shared" si="11"/>
        <v/>
      </c>
      <c r="G237" s="22" t="str">
        <f t="shared" si="79"/>
        <v/>
      </c>
    </row>
    <row r="238" ht="15.75" customHeight="1">
      <c r="A238" s="31"/>
      <c r="B238" s="22"/>
      <c r="C238" s="22" t="str">
        <f t="shared" si="10"/>
        <v/>
      </c>
      <c r="D238" s="25"/>
      <c r="E238" s="22"/>
      <c r="F238" s="22" t="str">
        <f t="shared" si="11"/>
        <v/>
      </c>
      <c r="G238" s="22" t="str">
        <f t="shared" si="79"/>
        <v/>
      </c>
    </row>
    <row r="239" ht="15.75" customHeight="1">
      <c r="A239" s="31"/>
      <c r="B239" s="22"/>
      <c r="C239" s="22" t="str">
        <f t="shared" si="10"/>
        <v/>
      </c>
      <c r="D239" s="25"/>
      <c r="E239" s="22"/>
      <c r="F239" s="22" t="str">
        <f t="shared" si="11"/>
        <v/>
      </c>
      <c r="G239" s="22" t="str">
        <f t="shared" si="79"/>
        <v/>
      </c>
    </row>
    <row r="240" ht="15.75" customHeight="1">
      <c r="A240" s="31"/>
      <c r="B240" s="22"/>
      <c r="C240" s="22" t="str">
        <f t="shared" si="10"/>
        <v/>
      </c>
      <c r="D240" s="25"/>
      <c r="E240" s="22"/>
      <c r="F240" s="22" t="str">
        <f t="shared" si="11"/>
        <v/>
      </c>
      <c r="G240" s="22" t="str">
        <f t="shared" si="79"/>
        <v/>
      </c>
    </row>
    <row r="241" ht="15.75" customHeight="1">
      <c r="A241" s="31"/>
      <c r="B241" s="22"/>
      <c r="C241" s="22" t="str">
        <f t="shared" si="10"/>
        <v/>
      </c>
      <c r="D241" s="25"/>
      <c r="E241" s="22"/>
      <c r="F241" s="22" t="str">
        <f t="shared" si="11"/>
        <v/>
      </c>
      <c r="G241" s="22" t="str">
        <f t="shared" si="79"/>
        <v/>
      </c>
    </row>
    <row r="242" ht="15.75" customHeight="1">
      <c r="A242" s="31"/>
      <c r="B242" s="22"/>
      <c r="C242" s="22" t="str">
        <f t="shared" si="10"/>
        <v/>
      </c>
      <c r="D242" s="25"/>
      <c r="E242" s="22"/>
      <c r="F242" s="22" t="str">
        <f t="shared" si="11"/>
        <v/>
      </c>
      <c r="G242" s="22" t="str">
        <f t="shared" si="79"/>
        <v/>
      </c>
    </row>
    <row r="243" ht="15.75" customHeight="1">
      <c r="A243" s="31"/>
      <c r="B243" s="22"/>
      <c r="C243" s="22" t="str">
        <f t="shared" si="10"/>
        <v/>
      </c>
      <c r="D243" s="25"/>
      <c r="E243" s="22"/>
      <c r="F243" s="22" t="str">
        <f t="shared" si="11"/>
        <v/>
      </c>
      <c r="G243" s="22" t="str">
        <f t="shared" si="79"/>
        <v/>
      </c>
    </row>
    <row r="244" ht="15.75" customHeight="1">
      <c r="A244" s="31"/>
      <c r="B244" s="22"/>
      <c r="C244" s="22" t="str">
        <f t="shared" si="10"/>
        <v/>
      </c>
      <c r="D244" s="25"/>
      <c r="E244" s="22"/>
      <c r="F244" s="22" t="str">
        <f t="shared" si="11"/>
        <v/>
      </c>
      <c r="G244" s="22" t="str">
        <f t="shared" si="79"/>
        <v/>
      </c>
    </row>
    <row r="245" ht="15.75" customHeight="1">
      <c r="A245" s="31"/>
      <c r="B245" s="22"/>
      <c r="C245" s="22" t="str">
        <f t="shared" si="10"/>
        <v/>
      </c>
      <c r="D245" s="25"/>
      <c r="E245" s="22"/>
      <c r="F245" s="22" t="str">
        <f t="shared" si="11"/>
        <v/>
      </c>
      <c r="G245" s="22" t="str">
        <f t="shared" si="79"/>
        <v/>
      </c>
    </row>
    <row r="246" ht="15.75" customHeight="1">
      <c r="A246" s="31"/>
      <c r="B246" s="22"/>
      <c r="C246" s="22" t="str">
        <f t="shared" si="10"/>
        <v/>
      </c>
      <c r="D246" s="25"/>
      <c r="E246" s="22"/>
      <c r="F246" s="22" t="str">
        <f t="shared" si="11"/>
        <v/>
      </c>
      <c r="G246" s="22" t="str">
        <f t="shared" si="79"/>
        <v/>
      </c>
    </row>
    <row r="247" ht="15.75" customHeight="1">
      <c r="A247" s="31"/>
      <c r="B247" s="22"/>
      <c r="C247" s="22" t="str">
        <f t="shared" si="10"/>
        <v/>
      </c>
      <c r="D247" s="25"/>
      <c r="E247" s="22"/>
      <c r="F247" s="22" t="str">
        <f t="shared" si="11"/>
        <v/>
      </c>
      <c r="G247" s="22" t="str">
        <f t="shared" si="79"/>
        <v/>
      </c>
    </row>
    <row r="248" ht="15.75" customHeight="1">
      <c r="A248" s="31"/>
      <c r="B248" s="22"/>
      <c r="C248" s="22" t="str">
        <f t="shared" si="10"/>
        <v/>
      </c>
      <c r="D248" s="25"/>
      <c r="E248" s="22"/>
      <c r="F248" s="22" t="str">
        <f t="shared" si="11"/>
        <v/>
      </c>
      <c r="G248" s="22" t="str">
        <f t="shared" si="79"/>
        <v/>
      </c>
    </row>
    <row r="249" ht="15.75" customHeight="1">
      <c r="A249" s="31"/>
      <c r="B249" s="22"/>
      <c r="C249" s="22" t="str">
        <f t="shared" si="10"/>
        <v/>
      </c>
      <c r="D249" s="25"/>
      <c r="E249" s="22"/>
      <c r="F249" s="22" t="str">
        <f t="shared" si="11"/>
        <v/>
      </c>
      <c r="G249" s="22" t="str">
        <f t="shared" si="79"/>
        <v/>
      </c>
    </row>
    <row r="250" ht="15.75" customHeight="1">
      <c r="A250" s="31"/>
      <c r="B250" s="22"/>
      <c r="C250" s="22" t="str">
        <f t="shared" si="10"/>
        <v/>
      </c>
      <c r="D250" s="25"/>
      <c r="E250" s="22"/>
      <c r="F250" s="22" t="str">
        <f t="shared" si="11"/>
        <v/>
      </c>
      <c r="G250" s="22" t="str">
        <f t="shared" si="79"/>
        <v/>
      </c>
    </row>
    <row r="251" ht="15.75" customHeight="1">
      <c r="A251" s="31"/>
      <c r="B251" s="22"/>
      <c r="C251" s="22" t="str">
        <f t="shared" si="10"/>
        <v/>
      </c>
      <c r="D251" s="25"/>
      <c r="E251" s="22"/>
      <c r="F251" s="22" t="str">
        <f t="shared" si="11"/>
        <v/>
      </c>
      <c r="G251" s="22" t="str">
        <f t="shared" si="79"/>
        <v/>
      </c>
    </row>
    <row r="252" ht="15.75" customHeight="1">
      <c r="A252" s="31"/>
      <c r="B252" s="22"/>
      <c r="C252" s="22" t="str">
        <f t="shared" si="10"/>
        <v/>
      </c>
      <c r="D252" s="25"/>
      <c r="E252" s="22"/>
      <c r="F252" s="22" t="str">
        <f t="shared" si="11"/>
        <v/>
      </c>
      <c r="G252" s="22" t="str">
        <f t="shared" si="79"/>
        <v/>
      </c>
    </row>
    <row r="253" ht="15.75" customHeight="1">
      <c r="A253" s="31"/>
      <c r="B253" s="22"/>
      <c r="C253" s="22" t="str">
        <f t="shared" si="10"/>
        <v/>
      </c>
      <c r="D253" s="25"/>
      <c r="E253" s="22"/>
      <c r="F253" s="22" t="str">
        <f t="shared" si="11"/>
        <v/>
      </c>
      <c r="G253" s="22" t="str">
        <f t="shared" si="79"/>
        <v/>
      </c>
    </row>
    <row r="254" ht="15.75" customHeight="1">
      <c r="A254" s="31"/>
      <c r="B254" s="22"/>
      <c r="C254" s="22" t="str">
        <f t="shared" si="10"/>
        <v/>
      </c>
      <c r="D254" s="25"/>
      <c r="E254" s="22"/>
      <c r="F254" s="22" t="str">
        <f t="shared" si="11"/>
        <v/>
      </c>
      <c r="G254" s="22" t="str">
        <f t="shared" si="79"/>
        <v/>
      </c>
    </row>
    <row r="255" ht="15.75" customHeight="1">
      <c r="A255" s="31"/>
      <c r="B255" s="22"/>
      <c r="C255" s="22" t="str">
        <f t="shared" si="10"/>
        <v/>
      </c>
      <c r="D255" s="25"/>
      <c r="E255" s="22"/>
      <c r="F255" s="22" t="str">
        <f t="shared" si="11"/>
        <v/>
      </c>
      <c r="G255" s="22" t="str">
        <f t="shared" si="79"/>
        <v/>
      </c>
    </row>
    <row r="256" ht="15.75" customHeight="1">
      <c r="A256" s="31"/>
      <c r="B256" s="22"/>
      <c r="C256" s="22" t="str">
        <f t="shared" si="10"/>
        <v/>
      </c>
      <c r="D256" s="25"/>
      <c r="E256" s="22"/>
      <c r="F256" s="22" t="str">
        <f t="shared" si="11"/>
        <v/>
      </c>
      <c r="G256" s="22" t="str">
        <f t="shared" si="79"/>
        <v/>
      </c>
    </row>
    <row r="257" ht="15.75" customHeight="1">
      <c r="A257" s="31"/>
      <c r="B257" s="22"/>
      <c r="C257" s="22" t="str">
        <f t="shared" si="10"/>
        <v/>
      </c>
      <c r="D257" s="25"/>
      <c r="E257" s="22"/>
      <c r="F257" s="22" t="str">
        <f t="shared" si="11"/>
        <v/>
      </c>
      <c r="G257" s="22" t="str">
        <f t="shared" si="79"/>
        <v/>
      </c>
    </row>
    <row r="258" ht="15.75" customHeight="1">
      <c r="A258" s="31"/>
      <c r="B258" s="22"/>
      <c r="C258" s="22" t="str">
        <f t="shared" si="10"/>
        <v/>
      </c>
      <c r="D258" s="25"/>
      <c r="E258" s="22"/>
      <c r="F258" s="22" t="str">
        <f t="shared" si="11"/>
        <v/>
      </c>
      <c r="G258" s="22" t="str">
        <f t="shared" si="79"/>
        <v/>
      </c>
    </row>
    <row r="259" ht="15.75" customHeight="1">
      <c r="A259" s="31"/>
      <c r="B259" s="22"/>
      <c r="C259" s="22" t="str">
        <f t="shared" si="10"/>
        <v/>
      </c>
      <c r="D259" s="25"/>
      <c r="E259" s="22"/>
      <c r="F259" s="22" t="str">
        <f t="shared" si="11"/>
        <v/>
      </c>
      <c r="G259" s="22" t="str">
        <f t="shared" si="79"/>
        <v/>
      </c>
    </row>
    <row r="260" ht="15.75" customHeight="1">
      <c r="A260" s="31"/>
      <c r="B260" s="22"/>
      <c r="C260" s="22" t="str">
        <f t="shared" si="10"/>
        <v/>
      </c>
      <c r="D260" s="25"/>
      <c r="E260" s="22"/>
      <c r="F260" s="22" t="str">
        <f t="shared" si="11"/>
        <v/>
      </c>
      <c r="G260" s="22" t="str">
        <f t="shared" si="79"/>
        <v/>
      </c>
    </row>
    <row r="261" ht="15.75" customHeight="1">
      <c r="A261" s="31"/>
      <c r="B261" s="22"/>
      <c r="C261" s="22" t="str">
        <f t="shared" si="10"/>
        <v/>
      </c>
      <c r="D261" s="25"/>
      <c r="E261" s="22"/>
      <c r="F261" s="22" t="str">
        <f t="shared" si="11"/>
        <v/>
      </c>
      <c r="G261" s="22" t="str">
        <f t="shared" si="79"/>
        <v/>
      </c>
    </row>
    <row r="262" ht="15.75" customHeight="1">
      <c r="A262" s="31"/>
      <c r="B262" s="22"/>
      <c r="C262" s="22" t="str">
        <f t="shared" si="10"/>
        <v/>
      </c>
      <c r="D262" s="25"/>
      <c r="E262" s="22"/>
      <c r="F262" s="22" t="str">
        <f t="shared" si="11"/>
        <v/>
      </c>
      <c r="G262" s="22" t="str">
        <f t="shared" si="79"/>
        <v/>
      </c>
    </row>
    <row r="263" ht="15.75" customHeight="1">
      <c r="A263" s="31"/>
      <c r="B263" s="22"/>
      <c r="C263" s="22" t="str">
        <f t="shared" si="10"/>
        <v/>
      </c>
      <c r="D263" s="25"/>
      <c r="E263" s="22"/>
      <c r="F263" s="22" t="str">
        <f t="shared" si="11"/>
        <v/>
      </c>
      <c r="G263" s="22" t="str">
        <f t="shared" si="79"/>
        <v/>
      </c>
    </row>
    <row r="264" ht="15.75" customHeight="1">
      <c r="A264" s="31"/>
      <c r="B264" s="22"/>
      <c r="C264" s="22" t="str">
        <f t="shared" si="10"/>
        <v/>
      </c>
      <c r="D264" s="25"/>
      <c r="E264" s="22"/>
      <c r="F264" s="22" t="str">
        <f t="shared" si="11"/>
        <v/>
      </c>
      <c r="G264" s="22" t="str">
        <f t="shared" si="79"/>
        <v/>
      </c>
    </row>
    <row r="265" ht="15.75" customHeight="1">
      <c r="A265" s="31"/>
      <c r="B265" s="22"/>
      <c r="C265" s="22" t="str">
        <f t="shared" si="10"/>
        <v/>
      </c>
      <c r="D265" s="25"/>
      <c r="E265" s="22"/>
      <c r="F265" s="22" t="str">
        <f t="shared" si="11"/>
        <v/>
      </c>
      <c r="G265" s="22" t="str">
        <f t="shared" si="79"/>
        <v/>
      </c>
    </row>
    <row r="266" ht="15.75" customHeight="1">
      <c r="A266" s="31"/>
      <c r="B266" s="22"/>
      <c r="C266" s="22" t="str">
        <f t="shared" si="10"/>
        <v/>
      </c>
      <c r="D266" s="25"/>
      <c r="E266" s="22"/>
      <c r="F266" s="22" t="str">
        <f t="shared" si="11"/>
        <v/>
      </c>
      <c r="G266" s="22" t="str">
        <f t="shared" si="79"/>
        <v/>
      </c>
      <c r="H266" s="22" t="str">
        <f t="shared" ref="H266:H2117" si="80">IF(ISBLANK(B266),"",100*($F266/$F6-1))</f>
        <v/>
      </c>
    </row>
    <row r="267" ht="15.75" customHeight="1">
      <c r="A267" s="31"/>
      <c r="B267" s="22"/>
      <c r="C267" s="22" t="str">
        <f t="shared" si="10"/>
        <v/>
      </c>
      <c r="D267" s="25"/>
      <c r="E267" s="22"/>
      <c r="F267" s="22" t="str">
        <f t="shared" si="11"/>
        <v/>
      </c>
      <c r="G267" s="22" t="str">
        <f t="shared" si="79"/>
        <v/>
      </c>
      <c r="H267" s="22" t="str">
        <f t="shared" si="80"/>
        <v/>
      </c>
    </row>
    <row r="268" ht="15.75" customHeight="1">
      <c r="A268" s="31"/>
      <c r="B268" s="22"/>
      <c r="C268" s="22" t="str">
        <f t="shared" si="10"/>
        <v/>
      </c>
      <c r="D268" s="25"/>
      <c r="E268" s="22"/>
      <c r="F268" s="22" t="str">
        <f t="shared" si="11"/>
        <v/>
      </c>
      <c r="G268" s="22" t="str">
        <f t="shared" si="79"/>
        <v/>
      </c>
      <c r="H268" s="22" t="str">
        <f t="shared" si="80"/>
        <v/>
      </c>
    </row>
    <row r="269" ht="15.75" customHeight="1">
      <c r="A269" s="31"/>
      <c r="B269" s="22"/>
      <c r="C269" s="22" t="str">
        <f t="shared" si="10"/>
        <v/>
      </c>
      <c r="D269" s="25"/>
      <c r="E269" s="22"/>
      <c r="F269" s="22" t="str">
        <f t="shared" si="11"/>
        <v/>
      </c>
      <c r="G269" s="22" t="str">
        <f t="shared" si="79"/>
        <v/>
      </c>
      <c r="H269" s="22" t="str">
        <f t="shared" si="80"/>
        <v/>
      </c>
    </row>
    <row r="270" ht="15.75" customHeight="1">
      <c r="A270" s="31"/>
      <c r="B270" s="22"/>
      <c r="C270" s="22" t="str">
        <f t="shared" si="10"/>
        <v/>
      </c>
      <c r="D270" s="25"/>
      <c r="E270" s="22"/>
      <c r="F270" s="22" t="str">
        <f t="shared" si="11"/>
        <v/>
      </c>
      <c r="G270" s="22" t="str">
        <f t="shared" si="79"/>
        <v/>
      </c>
      <c r="H270" s="22" t="str">
        <f t="shared" si="80"/>
        <v/>
      </c>
    </row>
    <row r="271" ht="15.75" customHeight="1">
      <c r="A271" s="31"/>
      <c r="B271" s="22"/>
      <c r="C271" s="22" t="str">
        <f t="shared" si="10"/>
        <v/>
      </c>
      <c r="D271" s="25"/>
      <c r="E271" s="22"/>
      <c r="F271" s="22" t="str">
        <f t="shared" si="11"/>
        <v/>
      </c>
      <c r="G271" s="22" t="str">
        <f t="shared" si="79"/>
        <v/>
      </c>
      <c r="H271" s="22" t="str">
        <f t="shared" si="80"/>
        <v/>
      </c>
    </row>
    <row r="272" ht="15.75" customHeight="1">
      <c r="A272" s="31"/>
      <c r="B272" s="22"/>
      <c r="C272" s="22" t="str">
        <f t="shared" si="10"/>
        <v/>
      </c>
      <c r="D272" s="25"/>
      <c r="E272" s="22"/>
      <c r="F272" s="22" t="str">
        <f t="shared" si="11"/>
        <v/>
      </c>
      <c r="G272" s="22" t="str">
        <f t="shared" si="79"/>
        <v/>
      </c>
      <c r="H272" s="22" t="str">
        <f t="shared" si="80"/>
        <v/>
      </c>
    </row>
    <row r="273" ht="15.75" customHeight="1">
      <c r="A273" s="31"/>
      <c r="B273" s="22"/>
      <c r="C273" s="22" t="str">
        <f t="shared" si="10"/>
        <v/>
      </c>
      <c r="D273" s="25"/>
      <c r="E273" s="22"/>
      <c r="F273" s="22" t="str">
        <f t="shared" si="11"/>
        <v/>
      </c>
      <c r="G273" s="22" t="str">
        <f t="shared" si="79"/>
        <v/>
      </c>
      <c r="H273" s="22" t="str">
        <f t="shared" si="80"/>
        <v/>
      </c>
    </row>
    <row r="274" ht="15.75" customHeight="1">
      <c r="A274" s="31"/>
      <c r="B274" s="22"/>
      <c r="C274" s="22" t="str">
        <f t="shared" si="10"/>
        <v/>
      </c>
      <c r="D274" s="25"/>
      <c r="E274" s="22"/>
      <c r="F274" s="22" t="str">
        <f t="shared" si="11"/>
        <v/>
      </c>
      <c r="G274" s="22" t="str">
        <f t="shared" si="79"/>
        <v/>
      </c>
      <c r="H274" s="22" t="str">
        <f t="shared" si="80"/>
        <v/>
      </c>
    </row>
    <row r="275" ht="15.75" customHeight="1">
      <c r="A275" s="31"/>
      <c r="B275" s="22"/>
      <c r="C275" s="22" t="str">
        <f t="shared" si="10"/>
        <v/>
      </c>
      <c r="D275" s="25"/>
      <c r="E275" s="22"/>
      <c r="F275" s="22" t="str">
        <f t="shared" si="11"/>
        <v/>
      </c>
      <c r="G275" s="22" t="str">
        <f t="shared" si="79"/>
        <v/>
      </c>
      <c r="H275" s="22" t="str">
        <f t="shared" si="80"/>
        <v/>
      </c>
    </row>
    <row r="276" ht="15.75" customHeight="1">
      <c r="A276" s="31"/>
      <c r="B276" s="22"/>
      <c r="C276" s="22" t="str">
        <f t="shared" si="10"/>
        <v/>
      </c>
      <c r="D276" s="25"/>
      <c r="E276" s="22"/>
      <c r="F276" s="22" t="str">
        <f t="shared" si="11"/>
        <v/>
      </c>
      <c r="G276" s="22" t="str">
        <f t="shared" si="79"/>
        <v/>
      </c>
      <c r="H276" s="22" t="str">
        <f t="shared" si="80"/>
        <v/>
      </c>
    </row>
    <row r="277" ht="15.75" customHeight="1">
      <c r="A277" s="31"/>
      <c r="B277" s="22"/>
      <c r="C277" s="22" t="str">
        <f t="shared" si="10"/>
        <v/>
      </c>
      <c r="D277" s="25"/>
      <c r="E277" s="22"/>
      <c r="F277" s="22" t="str">
        <f t="shared" si="11"/>
        <v/>
      </c>
      <c r="G277" s="22" t="str">
        <f t="shared" si="79"/>
        <v/>
      </c>
      <c r="H277" s="22" t="str">
        <f t="shared" si="80"/>
        <v/>
      </c>
    </row>
    <row r="278" ht="15.75" customHeight="1">
      <c r="A278" s="31"/>
      <c r="B278" s="22"/>
      <c r="C278" s="22" t="str">
        <f t="shared" si="10"/>
        <v/>
      </c>
      <c r="D278" s="25"/>
      <c r="E278" s="22"/>
      <c r="F278" s="22" t="str">
        <f t="shared" si="11"/>
        <v/>
      </c>
      <c r="G278" s="22" t="str">
        <f t="shared" si="79"/>
        <v/>
      </c>
      <c r="H278" s="22" t="str">
        <f t="shared" si="80"/>
        <v/>
      </c>
    </row>
    <row r="279" ht="15.75" customHeight="1">
      <c r="A279" s="31"/>
      <c r="B279" s="22"/>
      <c r="C279" s="22" t="str">
        <f t="shared" si="10"/>
        <v/>
      </c>
      <c r="D279" s="25"/>
      <c r="E279" s="22"/>
      <c r="F279" s="22" t="str">
        <f t="shared" si="11"/>
        <v/>
      </c>
      <c r="G279" s="22" t="str">
        <f t="shared" si="79"/>
        <v/>
      </c>
      <c r="H279" s="22" t="str">
        <f t="shared" si="80"/>
        <v/>
      </c>
    </row>
    <row r="280" ht="15.75" customHeight="1">
      <c r="A280" s="31"/>
      <c r="B280" s="22"/>
      <c r="C280" s="22" t="str">
        <f t="shared" si="10"/>
        <v/>
      </c>
      <c r="D280" s="25"/>
      <c r="E280" s="22"/>
      <c r="F280" s="22" t="str">
        <f t="shared" si="11"/>
        <v/>
      </c>
      <c r="G280" s="22" t="str">
        <f t="shared" si="79"/>
        <v/>
      </c>
      <c r="H280" s="22" t="str">
        <f t="shared" si="80"/>
        <v/>
      </c>
    </row>
    <row r="281" ht="15.75" customHeight="1">
      <c r="A281" s="31"/>
      <c r="B281" s="22"/>
      <c r="C281" s="22" t="str">
        <f t="shared" si="10"/>
        <v/>
      </c>
      <c r="D281" s="25"/>
      <c r="E281" s="22"/>
      <c r="F281" s="22" t="str">
        <f t="shared" si="11"/>
        <v/>
      </c>
      <c r="G281" s="22" t="str">
        <f t="shared" si="79"/>
        <v/>
      </c>
      <c r="H281" s="22" t="str">
        <f t="shared" si="80"/>
        <v/>
      </c>
    </row>
    <row r="282" ht="15.75" customHeight="1">
      <c r="A282" s="31"/>
      <c r="B282" s="22"/>
      <c r="C282" s="22" t="str">
        <f t="shared" si="10"/>
        <v/>
      </c>
      <c r="D282" s="25"/>
      <c r="E282" s="22"/>
      <c r="F282" s="22" t="str">
        <f t="shared" si="11"/>
        <v/>
      </c>
      <c r="G282" s="22" t="str">
        <f t="shared" si="79"/>
        <v/>
      </c>
      <c r="H282" s="22" t="str">
        <f t="shared" si="80"/>
        <v/>
      </c>
    </row>
    <row r="283" ht="15.75" customHeight="1">
      <c r="A283" s="31"/>
      <c r="B283" s="22"/>
      <c r="C283" s="22" t="str">
        <f t="shared" si="10"/>
        <v/>
      </c>
      <c r="D283" s="25"/>
      <c r="E283" s="22"/>
      <c r="F283" s="22" t="str">
        <f t="shared" si="11"/>
        <v/>
      </c>
      <c r="G283" s="22" t="str">
        <f t="shared" si="79"/>
        <v/>
      </c>
      <c r="H283" s="22" t="str">
        <f t="shared" si="80"/>
        <v/>
      </c>
    </row>
    <row r="284" ht="15.75" customHeight="1">
      <c r="A284" s="31"/>
      <c r="B284" s="22"/>
      <c r="C284" s="22" t="str">
        <f t="shared" si="10"/>
        <v/>
      </c>
      <c r="D284" s="25"/>
      <c r="E284" s="22"/>
      <c r="F284" s="22" t="str">
        <f t="shared" si="11"/>
        <v/>
      </c>
      <c r="G284" s="22" t="str">
        <f t="shared" si="79"/>
        <v/>
      </c>
      <c r="H284" s="22" t="str">
        <f t="shared" si="80"/>
        <v/>
      </c>
    </row>
    <row r="285" ht="15.75" customHeight="1">
      <c r="A285" s="31"/>
      <c r="B285" s="22"/>
      <c r="C285" s="22" t="str">
        <f t="shared" si="10"/>
        <v/>
      </c>
      <c r="D285" s="25"/>
      <c r="E285" s="22"/>
      <c r="F285" s="22" t="str">
        <f t="shared" si="11"/>
        <v/>
      </c>
      <c r="G285" s="22" t="str">
        <f t="shared" si="79"/>
        <v/>
      </c>
      <c r="H285" s="22" t="str">
        <f t="shared" si="80"/>
        <v/>
      </c>
    </row>
    <row r="286" ht="15.75" customHeight="1">
      <c r="A286" s="31"/>
      <c r="B286" s="22"/>
      <c r="C286" s="22" t="str">
        <f t="shared" si="10"/>
        <v/>
      </c>
      <c r="D286" s="25"/>
      <c r="E286" s="22"/>
      <c r="F286" s="22" t="str">
        <f t="shared" si="11"/>
        <v/>
      </c>
      <c r="G286" s="22" t="str">
        <f t="shared" si="79"/>
        <v/>
      </c>
      <c r="H286" s="22" t="str">
        <f t="shared" si="80"/>
        <v/>
      </c>
    </row>
    <row r="287" ht="15.75" customHeight="1">
      <c r="A287" s="31"/>
      <c r="B287" s="22"/>
      <c r="C287" s="22" t="str">
        <f t="shared" si="10"/>
        <v/>
      </c>
      <c r="D287" s="25"/>
      <c r="E287" s="22"/>
      <c r="F287" s="22" t="str">
        <f t="shared" si="11"/>
        <v/>
      </c>
      <c r="G287" s="22" t="str">
        <f t="shared" si="79"/>
        <v/>
      </c>
      <c r="H287" s="22" t="str">
        <f t="shared" si="80"/>
        <v/>
      </c>
    </row>
    <row r="288" ht="15.75" customHeight="1">
      <c r="A288" s="31"/>
      <c r="B288" s="22"/>
      <c r="C288" s="22" t="str">
        <f t="shared" si="10"/>
        <v/>
      </c>
      <c r="D288" s="25"/>
      <c r="E288" s="22"/>
      <c r="F288" s="22" t="str">
        <f t="shared" si="11"/>
        <v/>
      </c>
      <c r="G288" s="22" t="str">
        <f t="shared" si="79"/>
        <v/>
      </c>
      <c r="H288" s="22" t="str">
        <f t="shared" si="80"/>
        <v/>
      </c>
    </row>
    <row r="289" ht="15.75" customHeight="1">
      <c r="A289" s="31"/>
      <c r="B289" s="22"/>
      <c r="C289" s="22" t="str">
        <f t="shared" si="10"/>
        <v/>
      </c>
      <c r="D289" s="25"/>
      <c r="E289" s="22"/>
      <c r="F289" s="22" t="str">
        <f t="shared" si="11"/>
        <v/>
      </c>
      <c r="G289" s="22" t="str">
        <f t="shared" si="79"/>
        <v/>
      </c>
      <c r="H289" s="22" t="str">
        <f t="shared" si="80"/>
        <v/>
      </c>
    </row>
    <row r="290" ht="15.75" customHeight="1">
      <c r="A290" s="31"/>
      <c r="B290" s="22"/>
      <c r="C290" s="22" t="str">
        <f t="shared" si="10"/>
        <v/>
      </c>
      <c r="D290" s="25"/>
      <c r="E290" s="22"/>
      <c r="F290" s="22" t="str">
        <f t="shared" si="11"/>
        <v/>
      </c>
      <c r="G290" s="22" t="str">
        <f t="shared" si="79"/>
        <v/>
      </c>
      <c r="H290" s="22" t="str">
        <f t="shared" si="80"/>
        <v/>
      </c>
    </row>
    <row r="291" ht="15.75" customHeight="1">
      <c r="A291" s="31"/>
      <c r="B291" s="22"/>
      <c r="C291" s="22" t="str">
        <f t="shared" si="10"/>
        <v/>
      </c>
      <c r="D291" s="25"/>
      <c r="E291" s="22"/>
      <c r="F291" s="22" t="str">
        <f t="shared" si="11"/>
        <v/>
      </c>
      <c r="G291" s="22" t="str">
        <f t="shared" si="79"/>
        <v/>
      </c>
      <c r="H291" s="22" t="str">
        <f t="shared" si="80"/>
        <v/>
      </c>
    </row>
    <row r="292" ht="15.75" customHeight="1">
      <c r="A292" s="31"/>
      <c r="B292" s="22"/>
      <c r="C292" s="22" t="str">
        <f t="shared" si="10"/>
        <v/>
      </c>
      <c r="D292" s="25"/>
      <c r="E292" s="22"/>
      <c r="F292" s="22" t="str">
        <f t="shared" si="11"/>
        <v/>
      </c>
      <c r="G292" s="22" t="str">
        <f t="shared" si="79"/>
        <v/>
      </c>
      <c r="H292" s="22" t="str">
        <f t="shared" si="80"/>
        <v/>
      </c>
    </row>
    <row r="293" ht="15.75" customHeight="1">
      <c r="A293" s="31"/>
      <c r="B293" s="22"/>
      <c r="C293" s="22" t="str">
        <f t="shared" si="10"/>
        <v/>
      </c>
      <c r="D293" s="25"/>
      <c r="E293" s="22"/>
      <c r="F293" s="22" t="str">
        <f t="shared" si="11"/>
        <v/>
      </c>
      <c r="G293" s="22" t="str">
        <f t="shared" si="79"/>
        <v/>
      </c>
      <c r="H293" s="22" t="str">
        <f t="shared" si="80"/>
        <v/>
      </c>
    </row>
    <row r="294" ht="15.75" customHeight="1">
      <c r="A294" s="31"/>
      <c r="B294" s="22"/>
      <c r="C294" s="22" t="str">
        <f t="shared" si="10"/>
        <v/>
      </c>
      <c r="D294" s="25"/>
      <c r="E294" s="22"/>
      <c r="F294" s="22" t="str">
        <f t="shared" si="11"/>
        <v/>
      </c>
      <c r="G294" s="22" t="str">
        <f t="shared" si="79"/>
        <v/>
      </c>
      <c r="H294" s="22" t="str">
        <f t="shared" si="80"/>
        <v/>
      </c>
    </row>
    <row r="295" ht="15.75" customHeight="1">
      <c r="A295" s="31"/>
      <c r="B295" s="22"/>
      <c r="C295" s="22" t="str">
        <f t="shared" si="10"/>
        <v/>
      </c>
      <c r="D295" s="25"/>
      <c r="E295" s="22"/>
      <c r="F295" s="22" t="str">
        <f t="shared" si="11"/>
        <v/>
      </c>
      <c r="G295" s="22" t="str">
        <f t="shared" si="79"/>
        <v/>
      </c>
      <c r="H295" s="22" t="str">
        <f t="shared" si="80"/>
        <v/>
      </c>
    </row>
    <row r="296" ht="15.75" customHeight="1">
      <c r="A296" s="31"/>
      <c r="B296" s="22"/>
      <c r="C296" s="22" t="str">
        <f t="shared" si="10"/>
        <v/>
      </c>
      <c r="D296" s="25"/>
      <c r="E296" s="22"/>
      <c r="F296" s="22" t="str">
        <f t="shared" si="11"/>
        <v/>
      </c>
      <c r="G296" s="22" t="str">
        <f t="shared" si="79"/>
        <v/>
      </c>
      <c r="H296" s="22" t="str">
        <f t="shared" si="80"/>
        <v/>
      </c>
    </row>
    <row r="297" ht="15.75" customHeight="1">
      <c r="A297" s="31"/>
      <c r="B297" s="22"/>
      <c r="C297" s="22" t="str">
        <f t="shared" si="10"/>
        <v/>
      </c>
      <c r="D297" s="25"/>
      <c r="E297" s="22"/>
      <c r="F297" s="22" t="str">
        <f t="shared" si="11"/>
        <v/>
      </c>
      <c r="G297" s="22" t="str">
        <f t="shared" si="79"/>
        <v/>
      </c>
      <c r="H297" s="22" t="str">
        <f t="shared" si="80"/>
        <v/>
      </c>
    </row>
    <row r="298" ht="15.75" customHeight="1">
      <c r="A298" s="31"/>
      <c r="B298" s="22"/>
      <c r="C298" s="22" t="str">
        <f t="shared" si="10"/>
        <v/>
      </c>
      <c r="D298" s="25"/>
      <c r="E298" s="22"/>
      <c r="F298" s="22" t="str">
        <f t="shared" si="11"/>
        <v/>
      </c>
      <c r="G298" s="22" t="str">
        <f t="shared" si="79"/>
        <v/>
      </c>
      <c r="H298" s="22" t="str">
        <f t="shared" si="80"/>
        <v/>
      </c>
    </row>
    <row r="299" ht="15.75" customHeight="1">
      <c r="A299" s="31"/>
      <c r="B299" s="22"/>
      <c r="C299" s="22" t="str">
        <f t="shared" si="10"/>
        <v/>
      </c>
      <c r="D299" s="25"/>
      <c r="E299" s="22"/>
      <c r="F299" s="22" t="str">
        <f t="shared" si="11"/>
        <v/>
      </c>
      <c r="G299" s="22" t="str">
        <f t="shared" si="79"/>
        <v/>
      </c>
      <c r="H299" s="22" t="str">
        <f t="shared" si="80"/>
        <v/>
      </c>
    </row>
    <row r="300" ht="15.75" customHeight="1">
      <c r="A300" s="31"/>
      <c r="B300" s="22"/>
      <c r="C300" s="22" t="str">
        <f t="shared" si="10"/>
        <v/>
      </c>
      <c r="D300" s="25"/>
      <c r="E300" s="22"/>
      <c r="F300" s="22" t="str">
        <f t="shared" si="11"/>
        <v/>
      </c>
      <c r="G300" s="22" t="str">
        <f t="shared" si="79"/>
        <v/>
      </c>
      <c r="H300" s="22" t="str">
        <f t="shared" si="80"/>
        <v/>
      </c>
    </row>
    <row r="301" ht="15.75" customHeight="1">
      <c r="A301" s="31"/>
      <c r="B301" s="22"/>
      <c r="C301" s="22" t="str">
        <f t="shared" si="10"/>
        <v/>
      </c>
      <c r="D301" s="25"/>
      <c r="E301" s="22"/>
      <c r="F301" s="22" t="str">
        <f t="shared" si="11"/>
        <v/>
      </c>
      <c r="G301" s="22" t="str">
        <f t="shared" si="79"/>
        <v/>
      </c>
      <c r="H301" s="22" t="str">
        <f t="shared" si="80"/>
        <v/>
      </c>
    </row>
    <row r="302" ht="15.75" customHeight="1">
      <c r="A302" s="31"/>
      <c r="B302" s="22"/>
      <c r="C302" s="22" t="str">
        <f t="shared" si="10"/>
        <v/>
      </c>
      <c r="D302" s="25"/>
      <c r="E302" s="22"/>
      <c r="F302" s="22" t="str">
        <f t="shared" si="11"/>
        <v/>
      </c>
      <c r="G302" s="22" t="str">
        <f t="shared" si="79"/>
        <v/>
      </c>
      <c r="H302" s="22" t="str">
        <f t="shared" si="80"/>
        <v/>
      </c>
    </row>
    <row r="303" ht="15.75" customHeight="1">
      <c r="A303" s="31"/>
      <c r="B303" s="22"/>
      <c r="C303" s="22" t="str">
        <f t="shared" si="10"/>
        <v/>
      </c>
      <c r="D303" s="25"/>
      <c r="E303" s="22"/>
      <c r="F303" s="22" t="str">
        <f t="shared" si="11"/>
        <v/>
      </c>
      <c r="G303" s="22" t="str">
        <f t="shared" si="79"/>
        <v/>
      </c>
      <c r="H303" s="22" t="str">
        <f t="shared" si="80"/>
        <v/>
      </c>
    </row>
    <row r="304" ht="15.75" customHeight="1">
      <c r="A304" s="31"/>
      <c r="B304" s="22"/>
      <c r="C304" s="22" t="str">
        <f t="shared" si="10"/>
        <v/>
      </c>
      <c r="D304" s="25"/>
      <c r="E304" s="22"/>
      <c r="F304" s="22" t="str">
        <f t="shared" si="11"/>
        <v/>
      </c>
      <c r="G304" s="22" t="str">
        <f t="shared" si="79"/>
        <v/>
      </c>
      <c r="H304" s="22" t="str">
        <f t="shared" si="80"/>
        <v/>
      </c>
    </row>
    <row r="305" ht="15.75" customHeight="1">
      <c r="A305" s="31"/>
      <c r="B305" s="22"/>
      <c r="C305" s="22" t="str">
        <f t="shared" si="10"/>
        <v/>
      </c>
      <c r="D305" s="25"/>
      <c r="E305" s="22"/>
      <c r="F305" s="22" t="str">
        <f t="shared" si="11"/>
        <v/>
      </c>
      <c r="G305" s="22" t="str">
        <f t="shared" si="79"/>
        <v/>
      </c>
      <c r="H305" s="22" t="str">
        <f t="shared" si="80"/>
        <v/>
      </c>
    </row>
    <row r="306" ht="15.75" customHeight="1">
      <c r="A306" s="31"/>
      <c r="B306" s="22"/>
      <c r="C306" s="22" t="str">
        <f t="shared" si="10"/>
        <v/>
      </c>
      <c r="D306" s="25"/>
      <c r="E306" s="22"/>
      <c r="F306" s="22" t="str">
        <f t="shared" si="11"/>
        <v/>
      </c>
      <c r="G306" s="22" t="str">
        <f t="shared" si="79"/>
        <v/>
      </c>
      <c r="H306" s="22" t="str">
        <f t="shared" si="80"/>
        <v/>
      </c>
    </row>
    <row r="307" ht="15.75" customHeight="1">
      <c r="A307" s="31"/>
      <c r="B307" s="22"/>
      <c r="C307" s="22" t="str">
        <f t="shared" si="10"/>
        <v/>
      </c>
      <c r="D307" s="25"/>
      <c r="E307" s="22"/>
      <c r="F307" s="22" t="str">
        <f t="shared" si="11"/>
        <v/>
      </c>
      <c r="G307" s="22" t="str">
        <f t="shared" si="79"/>
        <v/>
      </c>
      <c r="H307" s="22" t="str">
        <f t="shared" si="80"/>
        <v/>
      </c>
    </row>
    <row r="308" ht="15.75" customHeight="1">
      <c r="A308" s="31"/>
      <c r="B308" s="22"/>
      <c r="C308" s="22" t="str">
        <f t="shared" si="10"/>
        <v/>
      </c>
      <c r="D308" s="25"/>
      <c r="E308" s="22"/>
      <c r="F308" s="22" t="str">
        <f t="shared" si="11"/>
        <v/>
      </c>
      <c r="G308" s="22" t="str">
        <f t="shared" si="79"/>
        <v/>
      </c>
      <c r="H308" s="22" t="str">
        <f t="shared" si="80"/>
        <v/>
      </c>
    </row>
    <row r="309" ht="15.75" customHeight="1">
      <c r="A309" s="31"/>
      <c r="B309" s="22"/>
      <c r="C309" s="22" t="str">
        <f t="shared" si="10"/>
        <v/>
      </c>
      <c r="D309" s="25"/>
      <c r="E309" s="22"/>
      <c r="F309" s="22" t="str">
        <f t="shared" si="11"/>
        <v/>
      </c>
      <c r="G309" s="22" t="str">
        <f t="shared" si="79"/>
        <v/>
      </c>
      <c r="H309" s="22" t="str">
        <f t="shared" si="80"/>
        <v/>
      </c>
    </row>
    <row r="310" ht="15.75" customHeight="1">
      <c r="A310" s="31"/>
      <c r="B310" s="22"/>
      <c r="C310" s="22" t="str">
        <f t="shared" si="10"/>
        <v/>
      </c>
      <c r="D310" s="25"/>
      <c r="E310" s="22"/>
      <c r="F310" s="22" t="str">
        <f t="shared" si="11"/>
        <v/>
      </c>
      <c r="G310" s="22" t="str">
        <f t="shared" si="79"/>
        <v/>
      </c>
      <c r="H310" s="22" t="str">
        <f t="shared" si="80"/>
        <v/>
      </c>
    </row>
    <row r="311" ht="15.75" customHeight="1">
      <c r="A311" s="31"/>
      <c r="B311" s="22"/>
      <c r="C311" s="22" t="str">
        <f t="shared" si="10"/>
        <v/>
      </c>
      <c r="D311" s="25"/>
      <c r="E311" s="22"/>
      <c r="F311" s="22" t="str">
        <f t="shared" si="11"/>
        <v/>
      </c>
      <c r="G311" s="22" t="str">
        <f t="shared" si="79"/>
        <v/>
      </c>
      <c r="H311" s="22" t="str">
        <f t="shared" si="80"/>
        <v/>
      </c>
    </row>
    <row r="312" ht="15.75" customHeight="1">
      <c r="A312" s="31"/>
      <c r="B312" s="22"/>
      <c r="C312" s="22" t="str">
        <f t="shared" si="10"/>
        <v/>
      </c>
      <c r="D312" s="25"/>
      <c r="E312" s="22"/>
      <c r="F312" s="22" t="str">
        <f t="shared" si="11"/>
        <v/>
      </c>
      <c r="G312" s="22" t="str">
        <f t="shared" si="79"/>
        <v/>
      </c>
      <c r="H312" s="22" t="str">
        <f t="shared" si="80"/>
        <v/>
      </c>
    </row>
    <row r="313" ht="15.75" customHeight="1">
      <c r="A313" s="31"/>
      <c r="B313" s="22"/>
      <c r="C313" s="22" t="str">
        <f t="shared" si="10"/>
        <v/>
      </c>
      <c r="D313" s="25"/>
      <c r="E313" s="22"/>
      <c r="F313" s="22" t="str">
        <f t="shared" si="11"/>
        <v/>
      </c>
      <c r="G313" s="22" t="str">
        <f t="shared" si="79"/>
        <v/>
      </c>
      <c r="H313" s="22" t="str">
        <f t="shared" si="80"/>
        <v/>
      </c>
    </row>
    <row r="314" ht="15.75" customHeight="1">
      <c r="A314" s="31"/>
      <c r="B314" s="22"/>
      <c r="C314" s="22" t="str">
        <f t="shared" si="10"/>
        <v/>
      </c>
      <c r="D314" s="25"/>
      <c r="E314" s="22"/>
      <c r="F314" s="22" t="str">
        <f t="shared" si="11"/>
        <v/>
      </c>
      <c r="G314" s="22" t="str">
        <f t="shared" si="79"/>
        <v/>
      </c>
      <c r="H314" s="22" t="str">
        <f t="shared" si="80"/>
        <v/>
      </c>
    </row>
    <row r="315" ht="15.75" customHeight="1">
      <c r="A315" s="31"/>
      <c r="B315" s="22"/>
      <c r="C315" s="22" t="str">
        <f t="shared" si="10"/>
        <v/>
      </c>
      <c r="D315" s="25"/>
      <c r="E315" s="22"/>
      <c r="F315" s="22" t="str">
        <f t="shared" si="11"/>
        <v/>
      </c>
      <c r="G315" s="22" t="str">
        <f t="shared" si="79"/>
        <v/>
      </c>
      <c r="H315" s="22" t="str">
        <f t="shared" si="80"/>
        <v/>
      </c>
    </row>
    <row r="316" ht="15.75" customHeight="1">
      <c r="A316" s="31"/>
      <c r="B316" s="22"/>
      <c r="C316" s="22" t="str">
        <f t="shared" si="10"/>
        <v/>
      </c>
      <c r="D316" s="25"/>
      <c r="E316" s="22"/>
      <c r="F316" s="22" t="str">
        <f t="shared" si="11"/>
        <v/>
      </c>
      <c r="G316" s="22" t="str">
        <f t="shared" si="79"/>
        <v/>
      </c>
      <c r="H316" s="22" t="str">
        <f t="shared" si="80"/>
        <v/>
      </c>
    </row>
    <row r="317" ht="15.75" customHeight="1">
      <c r="A317" s="31"/>
      <c r="B317" s="22"/>
      <c r="C317" s="22" t="str">
        <f t="shared" si="10"/>
        <v/>
      </c>
      <c r="D317" s="25"/>
      <c r="E317" s="22"/>
      <c r="F317" s="22" t="str">
        <f t="shared" si="11"/>
        <v/>
      </c>
      <c r="G317" s="22" t="str">
        <f t="shared" si="79"/>
        <v/>
      </c>
      <c r="H317" s="22" t="str">
        <f t="shared" si="80"/>
        <v/>
      </c>
    </row>
    <row r="318" ht="15.75" customHeight="1">
      <c r="A318" s="31"/>
      <c r="B318" s="22"/>
      <c r="C318" s="22" t="str">
        <f t="shared" si="10"/>
        <v/>
      </c>
      <c r="D318" s="25"/>
      <c r="E318" s="22"/>
      <c r="F318" s="22" t="str">
        <f t="shared" si="11"/>
        <v/>
      </c>
      <c r="G318" s="22" t="str">
        <f t="shared" si="79"/>
        <v/>
      </c>
      <c r="H318" s="22" t="str">
        <f t="shared" si="80"/>
        <v/>
      </c>
    </row>
    <row r="319" ht="15.75" customHeight="1">
      <c r="A319" s="31"/>
      <c r="B319" s="22"/>
      <c r="C319" s="22" t="str">
        <f t="shared" si="10"/>
        <v/>
      </c>
      <c r="D319" s="25"/>
      <c r="E319" s="22"/>
      <c r="F319" s="22" t="str">
        <f t="shared" si="11"/>
        <v/>
      </c>
      <c r="G319" s="22" t="str">
        <f t="shared" si="79"/>
        <v/>
      </c>
      <c r="H319" s="22" t="str">
        <f t="shared" si="80"/>
        <v/>
      </c>
    </row>
    <row r="320" ht="15.75" customHeight="1">
      <c r="A320" s="31"/>
      <c r="B320" s="22"/>
      <c r="C320" s="22" t="str">
        <f t="shared" si="10"/>
        <v/>
      </c>
      <c r="D320" s="25"/>
      <c r="E320" s="22"/>
      <c r="F320" s="22" t="str">
        <f t="shared" si="11"/>
        <v/>
      </c>
      <c r="G320" s="22" t="str">
        <f t="shared" si="79"/>
        <v/>
      </c>
      <c r="H320" s="22" t="str">
        <f t="shared" si="80"/>
        <v/>
      </c>
    </row>
    <row r="321" ht="15.75" customHeight="1">
      <c r="A321" s="31"/>
      <c r="B321" s="22"/>
      <c r="C321" s="22" t="str">
        <f t="shared" si="10"/>
        <v/>
      </c>
      <c r="D321" s="25"/>
      <c r="E321" s="22"/>
      <c r="F321" s="22" t="str">
        <f t="shared" si="11"/>
        <v/>
      </c>
      <c r="G321" s="22" t="str">
        <f t="shared" si="79"/>
        <v/>
      </c>
      <c r="H321" s="22" t="str">
        <f t="shared" si="80"/>
        <v/>
      </c>
    </row>
    <row r="322" ht="15.75" customHeight="1">
      <c r="A322" s="31"/>
      <c r="B322" s="22"/>
      <c r="C322" s="22" t="str">
        <f t="shared" si="10"/>
        <v/>
      </c>
      <c r="D322" s="25"/>
      <c r="E322" s="22"/>
      <c r="F322" s="22" t="str">
        <f t="shared" si="11"/>
        <v/>
      </c>
      <c r="G322" s="22" t="str">
        <f t="shared" si="79"/>
        <v/>
      </c>
      <c r="H322" s="22" t="str">
        <f t="shared" si="80"/>
        <v/>
      </c>
    </row>
    <row r="323" ht="15.75" customHeight="1">
      <c r="A323" s="31"/>
      <c r="B323" s="22"/>
      <c r="C323" s="22" t="str">
        <f t="shared" si="10"/>
        <v/>
      </c>
      <c r="D323" s="25"/>
      <c r="E323" s="22"/>
      <c r="F323" s="22" t="str">
        <f t="shared" si="11"/>
        <v/>
      </c>
      <c r="G323" s="22" t="str">
        <f t="shared" si="79"/>
        <v/>
      </c>
      <c r="H323" s="22" t="str">
        <f t="shared" si="80"/>
        <v/>
      </c>
    </row>
    <row r="324" ht="15.75" customHeight="1">
      <c r="A324" s="31"/>
      <c r="B324" s="22"/>
      <c r="C324" s="22" t="str">
        <f t="shared" si="10"/>
        <v/>
      </c>
      <c r="D324" s="25"/>
      <c r="E324" s="22"/>
      <c r="F324" s="22" t="str">
        <f t="shared" si="11"/>
        <v/>
      </c>
      <c r="G324" s="22" t="str">
        <f t="shared" si="79"/>
        <v/>
      </c>
      <c r="H324" s="22" t="str">
        <f t="shared" si="80"/>
        <v/>
      </c>
    </row>
    <row r="325" ht="15.75" customHeight="1">
      <c r="A325" s="31"/>
      <c r="B325" s="22"/>
      <c r="C325" s="22" t="str">
        <f t="shared" si="10"/>
        <v/>
      </c>
      <c r="D325" s="25"/>
      <c r="E325" s="22"/>
      <c r="F325" s="22" t="str">
        <f t="shared" si="11"/>
        <v/>
      </c>
      <c r="G325" s="22" t="str">
        <f t="shared" si="79"/>
        <v/>
      </c>
      <c r="H325" s="22" t="str">
        <f t="shared" si="80"/>
        <v/>
      </c>
    </row>
    <row r="326" ht="15.75" customHeight="1">
      <c r="A326" s="31"/>
      <c r="B326" s="22"/>
      <c r="C326" s="22" t="str">
        <f t="shared" si="10"/>
        <v/>
      </c>
      <c r="D326" s="25"/>
      <c r="E326" s="22"/>
      <c r="F326" s="22" t="str">
        <f t="shared" si="11"/>
        <v/>
      </c>
      <c r="G326" s="22" t="str">
        <f t="shared" si="79"/>
        <v/>
      </c>
      <c r="H326" s="22" t="str">
        <f t="shared" si="80"/>
        <v/>
      </c>
    </row>
    <row r="327" ht="15.75" customHeight="1">
      <c r="A327" s="31"/>
      <c r="B327" s="22"/>
      <c r="C327" s="22" t="str">
        <f t="shared" si="10"/>
        <v/>
      </c>
      <c r="D327" s="25"/>
      <c r="E327" s="22"/>
      <c r="F327" s="22" t="str">
        <f t="shared" si="11"/>
        <v/>
      </c>
      <c r="G327" s="22" t="str">
        <f t="shared" si="79"/>
        <v/>
      </c>
      <c r="H327" s="22" t="str">
        <f t="shared" si="80"/>
        <v/>
      </c>
    </row>
    <row r="328" ht="15.75" customHeight="1">
      <c r="A328" s="31"/>
      <c r="B328" s="22"/>
      <c r="C328" s="22" t="str">
        <f t="shared" si="10"/>
        <v/>
      </c>
      <c r="D328" s="25"/>
      <c r="E328" s="22"/>
      <c r="F328" s="22" t="str">
        <f t="shared" si="11"/>
        <v/>
      </c>
      <c r="G328" s="22" t="str">
        <f t="shared" si="79"/>
        <v/>
      </c>
      <c r="H328" s="22" t="str">
        <f t="shared" si="80"/>
        <v/>
      </c>
    </row>
    <row r="329" ht="15.75" customHeight="1">
      <c r="A329" s="31"/>
      <c r="B329" s="22"/>
      <c r="C329" s="22" t="str">
        <f t="shared" si="10"/>
        <v/>
      </c>
      <c r="D329" s="25"/>
      <c r="E329" s="22"/>
      <c r="F329" s="22" t="str">
        <f t="shared" si="11"/>
        <v/>
      </c>
      <c r="G329" s="22" t="str">
        <f t="shared" si="79"/>
        <v/>
      </c>
      <c r="H329" s="22" t="str">
        <f t="shared" si="80"/>
        <v/>
      </c>
    </row>
    <row r="330" ht="15.75" customHeight="1">
      <c r="A330" s="31"/>
      <c r="B330" s="22"/>
      <c r="C330" s="22" t="str">
        <f t="shared" si="10"/>
        <v/>
      </c>
      <c r="D330" s="25"/>
      <c r="E330" s="22"/>
      <c r="F330" s="22" t="str">
        <f t="shared" si="11"/>
        <v/>
      </c>
      <c r="G330" s="22" t="str">
        <f t="shared" si="79"/>
        <v/>
      </c>
      <c r="H330" s="22" t="str">
        <f t="shared" si="80"/>
        <v/>
      </c>
    </row>
    <row r="331" ht="15.75" customHeight="1">
      <c r="A331" s="31"/>
      <c r="B331" s="22"/>
      <c r="C331" s="22" t="str">
        <f t="shared" si="10"/>
        <v/>
      </c>
      <c r="D331" s="25"/>
      <c r="E331" s="22"/>
      <c r="F331" s="22" t="str">
        <f t="shared" si="11"/>
        <v/>
      </c>
      <c r="G331" s="22" t="str">
        <f t="shared" si="79"/>
        <v/>
      </c>
      <c r="H331" s="22" t="str">
        <f t="shared" si="80"/>
        <v/>
      </c>
    </row>
    <row r="332" ht="15.75" customHeight="1">
      <c r="A332" s="31"/>
      <c r="B332" s="22"/>
      <c r="C332" s="22" t="str">
        <f t="shared" si="10"/>
        <v/>
      </c>
      <c r="D332" s="25"/>
      <c r="E332" s="22"/>
      <c r="F332" s="22" t="str">
        <f t="shared" si="11"/>
        <v/>
      </c>
      <c r="G332" s="22" t="str">
        <f t="shared" si="79"/>
        <v/>
      </c>
      <c r="H332" s="22" t="str">
        <f t="shared" si="80"/>
        <v/>
      </c>
    </row>
    <row r="333" ht="15.75" customHeight="1">
      <c r="A333" s="31"/>
      <c r="B333" s="22"/>
      <c r="C333" s="22" t="str">
        <f t="shared" si="10"/>
        <v/>
      </c>
      <c r="D333" s="25"/>
      <c r="E333" s="22"/>
      <c r="F333" s="22" t="str">
        <f t="shared" si="11"/>
        <v/>
      </c>
      <c r="G333" s="22" t="str">
        <f t="shared" si="79"/>
        <v/>
      </c>
      <c r="H333" s="22" t="str">
        <f t="shared" si="80"/>
        <v/>
      </c>
    </row>
    <row r="334" ht="15.75" customHeight="1">
      <c r="A334" s="31"/>
      <c r="B334" s="22"/>
      <c r="C334" s="22" t="str">
        <f t="shared" si="10"/>
        <v/>
      </c>
      <c r="D334" s="25"/>
      <c r="E334" s="22"/>
      <c r="F334" s="22" t="str">
        <f t="shared" si="11"/>
        <v/>
      </c>
      <c r="G334" s="22" t="str">
        <f t="shared" si="79"/>
        <v/>
      </c>
      <c r="H334" s="22" t="str">
        <f t="shared" si="80"/>
        <v/>
      </c>
    </row>
    <row r="335" ht="15.75" customHeight="1">
      <c r="A335" s="31"/>
      <c r="B335" s="22"/>
      <c r="C335" s="22" t="str">
        <f t="shared" si="10"/>
        <v/>
      </c>
      <c r="D335" s="25"/>
      <c r="E335" s="22"/>
      <c r="F335" s="22" t="str">
        <f t="shared" si="11"/>
        <v/>
      </c>
      <c r="G335" s="22" t="str">
        <f t="shared" si="79"/>
        <v/>
      </c>
      <c r="H335" s="22" t="str">
        <f t="shared" si="80"/>
        <v/>
      </c>
    </row>
    <row r="336" ht="15.75" customHeight="1">
      <c r="A336" s="31"/>
      <c r="B336" s="22"/>
      <c r="C336" s="22" t="str">
        <f t="shared" si="10"/>
        <v/>
      </c>
      <c r="D336" s="25"/>
      <c r="E336" s="22"/>
      <c r="F336" s="22" t="str">
        <f t="shared" si="11"/>
        <v/>
      </c>
      <c r="G336" s="22" t="str">
        <f t="shared" si="79"/>
        <v/>
      </c>
      <c r="H336" s="22" t="str">
        <f t="shared" si="80"/>
        <v/>
      </c>
    </row>
    <row r="337" ht="15.75" customHeight="1">
      <c r="A337" s="31"/>
      <c r="B337" s="22"/>
      <c r="C337" s="22" t="str">
        <f t="shared" si="10"/>
        <v/>
      </c>
      <c r="D337" s="25"/>
      <c r="E337" s="22"/>
      <c r="F337" s="22" t="str">
        <f t="shared" si="11"/>
        <v/>
      </c>
      <c r="G337" s="22" t="str">
        <f t="shared" si="79"/>
        <v/>
      </c>
      <c r="H337" s="22" t="str">
        <f t="shared" si="80"/>
        <v/>
      </c>
    </row>
    <row r="338" ht="15.75" customHeight="1">
      <c r="A338" s="31"/>
      <c r="B338" s="22"/>
      <c r="C338" s="22" t="str">
        <f t="shared" si="10"/>
        <v/>
      </c>
      <c r="D338" s="25"/>
      <c r="E338" s="22"/>
      <c r="F338" s="22" t="str">
        <f t="shared" si="11"/>
        <v/>
      </c>
      <c r="G338" s="22" t="str">
        <f t="shared" si="79"/>
        <v/>
      </c>
      <c r="H338" s="22" t="str">
        <f t="shared" si="80"/>
        <v/>
      </c>
    </row>
    <row r="339" ht="15.75" customHeight="1">
      <c r="A339" s="31"/>
      <c r="B339" s="22"/>
      <c r="C339" s="22" t="str">
        <f t="shared" si="10"/>
        <v/>
      </c>
      <c r="D339" s="25"/>
      <c r="E339" s="22"/>
      <c r="F339" s="22" t="str">
        <f t="shared" si="11"/>
        <v/>
      </c>
      <c r="G339" s="22" t="str">
        <f t="shared" si="79"/>
        <v/>
      </c>
      <c r="H339" s="22" t="str">
        <f t="shared" si="80"/>
        <v/>
      </c>
    </row>
    <row r="340" ht="15.75" customHeight="1">
      <c r="A340" s="31"/>
      <c r="B340" s="22"/>
      <c r="C340" s="22" t="str">
        <f t="shared" si="10"/>
        <v/>
      </c>
      <c r="D340" s="25"/>
      <c r="E340" s="22"/>
      <c r="F340" s="22" t="str">
        <f t="shared" si="11"/>
        <v/>
      </c>
      <c r="G340" s="22" t="str">
        <f t="shared" si="79"/>
        <v/>
      </c>
      <c r="H340" s="22" t="str">
        <f t="shared" si="80"/>
        <v/>
      </c>
    </row>
    <row r="341" ht="15.75" customHeight="1">
      <c r="A341" s="31"/>
      <c r="B341" s="22"/>
      <c r="C341" s="22" t="str">
        <f t="shared" si="10"/>
        <v/>
      </c>
      <c r="D341" s="25"/>
      <c r="E341" s="22"/>
      <c r="F341" s="22" t="str">
        <f t="shared" si="11"/>
        <v/>
      </c>
      <c r="G341" s="22" t="str">
        <f t="shared" si="79"/>
        <v/>
      </c>
      <c r="H341" s="22" t="str">
        <f t="shared" si="80"/>
        <v/>
      </c>
    </row>
    <row r="342" ht="15.75" customHeight="1">
      <c r="A342" s="31"/>
      <c r="B342" s="22"/>
      <c r="C342" s="22" t="str">
        <f t="shared" si="10"/>
        <v/>
      </c>
      <c r="D342" s="25"/>
      <c r="E342" s="22"/>
      <c r="F342" s="22" t="str">
        <f t="shared" si="11"/>
        <v/>
      </c>
      <c r="G342" s="22" t="str">
        <f t="shared" si="79"/>
        <v/>
      </c>
      <c r="H342" s="22" t="str">
        <f t="shared" si="80"/>
        <v/>
      </c>
    </row>
    <row r="343" ht="15.75" customHeight="1">
      <c r="A343" s="31"/>
      <c r="B343" s="22"/>
      <c r="C343" s="22" t="str">
        <f t="shared" si="10"/>
        <v/>
      </c>
      <c r="D343" s="25"/>
      <c r="E343" s="22"/>
      <c r="F343" s="22" t="str">
        <f t="shared" si="11"/>
        <v/>
      </c>
      <c r="G343" s="22" t="str">
        <f t="shared" si="79"/>
        <v/>
      </c>
      <c r="H343" s="22" t="str">
        <f t="shared" si="80"/>
        <v/>
      </c>
    </row>
    <row r="344" ht="15.75" customHeight="1">
      <c r="A344" s="31"/>
      <c r="B344" s="22"/>
      <c r="C344" s="22" t="str">
        <f t="shared" si="10"/>
        <v/>
      </c>
      <c r="D344" s="25"/>
      <c r="E344" s="22"/>
      <c r="F344" s="22" t="str">
        <f t="shared" si="11"/>
        <v/>
      </c>
      <c r="G344" s="22" t="str">
        <f t="shared" si="79"/>
        <v/>
      </c>
      <c r="H344" s="22" t="str">
        <f t="shared" si="80"/>
        <v/>
      </c>
    </row>
    <row r="345" ht="15.75" customHeight="1">
      <c r="A345" s="31"/>
      <c r="B345" s="22"/>
      <c r="C345" s="22" t="str">
        <f t="shared" si="10"/>
        <v/>
      </c>
      <c r="D345" s="25"/>
      <c r="E345" s="22"/>
      <c r="F345" s="22" t="str">
        <f t="shared" si="11"/>
        <v/>
      </c>
      <c r="G345" s="22" t="str">
        <f t="shared" si="79"/>
        <v/>
      </c>
      <c r="H345" s="22" t="str">
        <f t="shared" si="80"/>
        <v/>
      </c>
    </row>
    <row r="346" ht="15.75" customHeight="1">
      <c r="A346" s="31"/>
      <c r="B346" s="22"/>
      <c r="C346" s="22" t="str">
        <f t="shared" si="10"/>
        <v/>
      </c>
      <c r="D346" s="25"/>
      <c r="E346" s="22"/>
      <c r="F346" s="22" t="str">
        <f t="shared" si="11"/>
        <v/>
      </c>
      <c r="G346" s="22" t="str">
        <f t="shared" si="79"/>
        <v/>
      </c>
      <c r="H346" s="22" t="str">
        <f t="shared" si="80"/>
        <v/>
      </c>
    </row>
    <row r="347" ht="15.75" customHeight="1">
      <c r="A347" s="31"/>
      <c r="B347" s="22"/>
      <c r="C347" s="22" t="str">
        <f t="shared" si="10"/>
        <v/>
      </c>
      <c r="D347" s="25"/>
      <c r="E347" s="22"/>
      <c r="F347" s="22" t="str">
        <f t="shared" si="11"/>
        <v/>
      </c>
      <c r="G347" s="22" t="str">
        <f t="shared" si="79"/>
        <v/>
      </c>
      <c r="H347" s="22" t="str">
        <f t="shared" si="80"/>
        <v/>
      </c>
    </row>
    <row r="348" ht="15.75" customHeight="1">
      <c r="A348" s="31"/>
      <c r="B348" s="22"/>
      <c r="C348" s="22" t="str">
        <f t="shared" si="10"/>
        <v/>
      </c>
      <c r="D348" s="25"/>
      <c r="E348" s="22"/>
      <c r="F348" s="22" t="str">
        <f t="shared" si="11"/>
        <v/>
      </c>
      <c r="G348" s="22" t="str">
        <f t="shared" si="79"/>
        <v/>
      </c>
      <c r="H348" s="22" t="str">
        <f t="shared" si="80"/>
        <v/>
      </c>
    </row>
    <row r="349" ht="15.75" customHeight="1">
      <c r="A349" s="31"/>
      <c r="B349" s="22"/>
      <c r="C349" s="22" t="str">
        <f t="shared" si="10"/>
        <v/>
      </c>
      <c r="D349" s="25"/>
      <c r="E349" s="22"/>
      <c r="F349" s="22" t="str">
        <f t="shared" si="11"/>
        <v/>
      </c>
      <c r="G349" s="22" t="str">
        <f t="shared" si="79"/>
        <v/>
      </c>
      <c r="H349" s="22" t="str">
        <f t="shared" si="80"/>
        <v/>
      </c>
    </row>
    <row r="350" ht="15.75" customHeight="1">
      <c r="A350" s="31"/>
      <c r="B350" s="22"/>
      <c r="C350" s="22" t="str">
        <f t="shared" si="10"/>
        <v/>
      </c>
      <c r="D350" s="25"/>
      <c r="E350" s="22"/>
      <c r="F350" s="22" t="str">
        <f t="shared" si="11"/>
        <v/>
      </c>
      <c r="G350" s="22" t="str">
        <f t="shared" si="79"/>
        <v/>
      </c>
      <c r="H350" s="22" t="str">
        <f t="shared" si="80"/>
        <v/>
      </c>
    </row>
    <row r="351" ht="15.75" customHeight="1">
      <c r="A351" s="31"/>
      <c r="B351" s="22"/>
      <c r="C351" s="22" t="str">
        <f t="shared" si="10"/>
        <v/>
      </c>
      <c r="D351" s="25"/>
      <c r="E351" s="22"/>
      <c r="F351" s="22" t="str">
        <f t="shared" si="11"/>
        <v/>
      </c>
      <c r="G351" s="22" t="str">
        <f t="shared" si="79"/>
        <v/>
      </c>
      <c r="H351" s="22" t="str">
        <f t="shared" si="80"/>
        <v/>
      </c>
    </row>
    <row r="352" ht="15.75" customHeight="1">
      <c r="A352" s="31"/>
      <c r="B352" s="22"/>
      <c r="C352" s="22" t="str">
        <f t="shared" si="10"/>
        <v/>
      </c>
      <c r="D352" s="25"/>
      <c r="E352" s="22"/>
      <c r="F352" s="22" t="str">
        <f t="shared" si="11"/>
        <v/>
      </c>
      <c r="G352" s="22" t="str">
        <f t="shared" si="79"/>
        <v/>
      </c>
      <c r="H352" s="22" t="str">
        <f t="shared" si="80"/>
        <v/>
      </c>
    </row>
    <row r="353" ht="15.75" customHeight="1">
      <c r="A353" s="31"/>
      <c r="B353" s="22"/>
      <c r="C353" s="22" t="str">
        <f t="shared" si="10"/>
        <v/>
      </c>
      <c r="D353" s="25"/>
      <c r="E353" s="22"/>
      <c r="F353" s="22" t="str">
        <f t="shared" si="11"/>
        <v/>
      </c>
      <c r="G353" s="22" t="str">
        <f t="shared" si="79"/>
        <v/>
      </c>
      <c r="H353" s="22" t="str">
        <f t="shared" si="80"/>
        <v/>
      </c>
    </row>
    <row r="354" ht="15.75" customHeight="1">
      <c r="A354" s="31"/>
      <c r="B354" s="22"/>
      <c r="C354" s="22" t="str">
        <f t="shared" si="10"/>
        <v/>
      </c>
      <c r="D354" s="25"/>
      <c r="E354" s="22"/>
      <c r="F354" s="22" t="str">
        <f t="shared" si="11"/>
        <v/>
      </c>
      <c r="G354" s="22" t="str">
        <f t="shared" si="79"/>
        <v/>
      </c>
      <c r="H354" s="22" t="str">
        <f t="shared" si="80"/>
        <v/>
      </c>
    </row>
    <row r="355" ht="15.75" customHeight="1">
      <c r="A355" s="31"/>
      <c r="B355" s="22"/>
      <c r="C355" s="22" t="str">
        <f t="shared" si="10"/>
        <v/>
      </c>
      <c r="D355" s="25"/>
      <c r="E355" s="22"/>
      <c r="F355" s="22" t="str">
        <f t="shared" si="11"/>
        <v/>
      </c>
      <c r="G355" s="22" t="str">
        <f t="shared" si="79"/>
        <v/>
      </c>
      <c r="H355" s="22" t="str">
        <f t="shared" si="80"/>
        <v/>
      </c>
    </row>
    <row r="356" ht="15.75" customHeight="1">
      <c r="A356" s="31"/>
      <c r="B356" s="22"/>
      <c r="C356" s="22" t="str">
        <f t="shared" si="10"/>
        <v/>
      </c>
      <c r="D356" s="25"/>
      <c r="E356" s="22"/>
      <c r="F356" s="22" t="str">
        <f t="shared" si="11"/>
        <v/>
      </c>
      <c r="G356" s="22" t="str">
        <f t="shared" si="79"/>
        <v/>
      </c>
      <c r="H356" s="22" t="str">
        <f t="shared" si="80"/>
        <v/>
      </c>
    </row>
    <row r="357" ht="15.75" customHeight="1">
      <c r="A357" s="31"/>
      <c r="B357" s="22"/>
      <c r="C357" s="22" t="str">
        <f t="shared" si="10"/>
        <v/>
      </c>
      <c r="D357" s="25"/>
      <c r="E357" s="22"/>
      <c r="F357" s="22" t="str">
        <f t="shared" si="11"/>
        <v/>
      </c>
      <c r="G357" s="22" t="str">
        <f t="shared" si="79"/>
        <v/>
      </c>
      <c r="H357" s="22" t="str">
        <f t="shared" si="80"/>
        <v/>
      </c>
    </row>
    <row r="358" ht="15.75" customHeight="1">
      <c r="A358" s="31"/>
      <c r="B358" s="22"/>
      <c r="C358" s="22" t="str">
        <f t="shared" si="10"/>
        <v/>
      </c>
      <c r="D358" s="25"/>
      <c r="E358" s="22"/>
      <c r="F358" s="22" t="str">
        <f t="shared" si="11"/>
        <v/>
      </c>
      <c r="G358" s="22" t="str">
        <f t="shared" si="79"/>
        <v/>
      </c>
      <c r="H358" s="22" t="str">
        <f t="shared" si="80"/>
        <v/>
      </c>
    </row>
    <row r="359" ht="15.75" customHeight="1">
      <c r="A359" s="31"/>
      <c r="B359" s="22"/>
      <c r="C359" s="22" t="str">
        <f t="shared" si="10"/>
        <v/>
      </c>
      <c r="D359" s="25"/>
      <c r="E359" s="22"/>
      <c r="F359" s="22" t="str">
        <f t="shared" si="11"/>
        <v/>
      </c>
      <c r="G359" s="22" t="str">
        <f t="shared" si="79"/>
        <v/>
      </c>
      <c r="H359" s="22" t="str">
        <f t="shared" si="80"/>
        <v/>
      </c>
    </row>
    <row r="360" ht="15.75" customHeight="1">
      <c r="A360" s="31"/>
      <c r="B360" s="22"/>
      <c r="C360" s="22" t="str">
        <f t="shared" si="10"/>
        <v/>
      </c>
      <c r="D360" s="25"/>
      <c r="E360" s="22"/>
      <c r="F360" s="22" t="str">
        <f t="shared" si="11"/>
        <v/>
      </c>
      <c r="G360" s="22" t="str">
        <f t="shared" si="79"/>
        <v/>
      </c>
      <c r="H360" s="22" t="str">
        <f t="shared" si="80"/>
        <v/>
      </c>
    </row>
    <row r="361" ht="15.75" customHeight="1">
      <c r="A361" s="31"/>
      <c r="B361" s="22"/>
      <c r="C361" s="22" t="str">
        <f t="shared" si="10"/>
        <v/>
      </c>
      <c r="D361" s="25"/>
      <c r="E361" s="22"/>
      <c r="F361" s="22" t="str">
        <f t="shared" si="11"/>
        <v/>
      </c>
      <c r="G361" s="22" t="str">
        <f t="shared" si="79"/>
        <v/>
      </c>
      <c r="H361" s="22" t="str">
        <f t="shared" si="80"/>
        <v/>
      </c>
    </row>
    <row r="362" ht="15.75" customHeight="1">
      <c r="A362" s="31"/>
      <c r="B362" s="22"/>
      <c r="C362" s="22" t="str">
        <f t="shared" si="10"/>
        <v/>
      </c>
      <c r="D362" s="25"/>
      <c r="E362" s="22"/>
      <c r="F362" s="22" t="str">
        <f t="shared" si="11"/>
        <v/>
      </c>
      <c r="G362" s="22" t="str">
        <f t="shared" si="79"/>
        <v/>
      </c>
      <c r="H362" s="22" t="str">
        <f t="shared" si="80"/>
        <v/>
      </c>
    </row>
    <row r="363" ht="15.75" customHeight="1">
      <c r="A363" s="31"/>
      <c r="B363" s="22"/>
      <c r="C363" s="22" t="str">
        <f t="shared" si="10"/>
        <v/>
      </c>
      <c r="D363" s="25"/>
      <c r="E363" s="22"/>
      <c r="F363" s="22" t="str">
        <f t="shared" si="11"/>
        <v/>
      </c>
      <c r="G363" s="22" t="str">
        <f t="shared" si="79"/>
        <v/>
      </c>
      <c r="H363" s="22" t="str">
        <f t="shared" si="80"/>
        <v/>
      </c>
    </row>
    <row r="364" ht="15.75" customHeight="1">
      <c r="A364" s="31"/>
      <c r="B364" s="22"/>
      <c r="C364" s="22" t="str">
        <f t="shared" si="10"/>
        <v/>
      </c>
      <c r="D364" s="25"/>
      <c r="E364" s="22"/>
      <c r="F364" s="22" t="str">
        <f t="shared" si="11"/>
        <v/>
      </c>
      <c r="G364" s="22" t="str">
        <f t="shared" si="79"/>
        <v/>
      </c>
      <c r="H364" s="22" t="str">
        <f t="shared" si="80"/>
        <v/>
      </c>
    </row>
    <row r="365" ht="15.75" customHeight="1">
      <c r="A365" s="31"/>
      <c r="B365" s="22"/>
      <c r="C365" s="22" t="str">
        <f t="shared" si="10"/>
        <v/>
      </c>
      <c r="D365" s="25"/>
      <c r="E365" s="22"/>
      <c r="F365" s="22" t="str">
        <f t="shared" si="11"/>
        <v/>
      </c>
      <c r="G365" s="22" t="str">
        <f t="shared" si="79"/>
        <v/>
      </c>
      <c r="H365" s="22" t="str">
        <f t="shared" si="80"/>
        <v/>
      </c>
    </row>
    <row r="366" ht="15.75" customHeight="1">
      <c r="A366" s="31"/>
      <c r="B366" s="22"/>
      <c r="C366" s="22" t="str">
        <f t="shared" si="10"/>
        <v/>
      </c>
      <c r="D366" s="25"/>
      <c r="E366" s="22"/>
      <c r="F366" s="22" t="str">
        <f t="shared" si="11"/>
        <v/>
      </c>
      <c r="G366" s="22" t="str">
        <f t="shared" si="79"/>
        <v/>
      </c>
      <c r="H366" s="22" t="str">
        <f t="shared" si="80"/>
        <v/>
      </c>
    </row>
    <row r="367" ht="15.75" customHeight="1">
      <c r="A367" s="31"/>
      <c r="B367" s="22"/>
      <c r="C367" s="22" t="str">
        <f t="shared" si="10"/>
        <v/>
      </c>
      <c r="D367" s="25"/>
      <c r="E367" s="22"/>
      <c r="F367" s="22" t="str">
        <f t="shared" si="11"/>
        <v/>
      </c>
      <c r="G367" s="22" t="str">
        <f t="shared" si="79"/>
        <v/>
      </c>
      <c r="H367" s="22" t="str">
        <f t="shared" si="80"/>
        <v/>
      </c>
    </row>
    <row r="368" ht="15.75" customHeight="1">
      <c r="A368" s="31"/>
      <c r="B368" s="22"/>
      <c r="C368" s="22" t="str">
        <f t="shared" si="10"/>
        <v/>
      </c>
      <c r="D368" s="25"/>
      <c r="E368" s="22"/>
      <c r="F368" s="22" t="str">
        <f t="shared" si="11"/>
        <v/>
      </c>
      <c r="G368" s="22" t="str">
        <f t="shared" si="79"/>
        <v/>
      </c>
      <c r="H368" s="22" t="str">
        <f t="shared" si="80"/>
        <v/>
      </c>
    </row>
    <row r="369" ht="15.75" customHeight="1">
      <c r="A369" s="31"/>
      <c r="B369" s="22"/>
      <c r="C369" s="22" t="str">
        <f t="shared" si="10"/>
        <v/>
      </c>
      <c r="D369" s="25"/>
      <c r="E369" s="22"/>
      <c r="F369" s="22" t="str">
        <f t="shared" si="11"/>
        <v/>
      </c>
      <c r="G369" s="22" t="str">
        <f t="shared" si="79"/>
        <v/>
      </c>
      <c r="H369" s="22" t="str">
        <f t="shared" si="80"/>
        <v/>
      </c>
    </row>
    <row r="370" ht="15.75" customHeight="1">
      <c r="A370" s="31"/>
      <c r="B370" s="22"/>
      <c r="C370" s="22" t="str">
        <f t="shared" si="10"/>
        <v/>
      </c>
      <c r="D370" s="25"/>
      <c r="E370" s="22"/>
      <c r="F370" s="22" t="str">
        <f t="shared" si="11"/>
        <v/>
      </c>
      <c r="G370" s="22" t="str">
        <f t="shared" si="79"/>
        <v/>
      </c>
      <c r="H370" s="22" t="str">
        <f t="shared" si="80"/>
        <v/>
      </c>
    </row>
    <row r="371" ht="15.75" customHeight="1">
      <c r="A371" s="31"/>
      <c r="B371" s="22"/>
      <c r="C371" s="22" t="str">
        <f t="shared" si="10"/>
        <v/>
      </c>
      <c r="D371" s="25"/>
      <c r="E371" s="22"/>
      <c r="F371" s="22" t="str">
        <f t="shared" si="11"/>
        <v/>
      </c>
      <c r="G371" s="22" t="str">
        <f t="shared" si="79"/>
        <v/>
      </c>
      <c r="H371" s="22" t="str">
        <f t="shared" si="80"/>
        <v/>
      </c>
    </row>
    <row r="372" ht="15.75" customHeight="1">
      <c r="A372" s="31"/>
      <c r="B372" s="22"/>
      <c r="C372" s="22" t="str">
        <f t="shared" si="10"/>
        <v/>
      </c>
      <c r="D372" s="25"/>
      <c r="E372" s="22"/>
      <c r="F372" s="22" t="str">
        <f t="shared" si="11"/>
        <v/>
      </c>
      <c r="G372" s="22" t="str">
        <f t="shared" si="79"/>
        <v/>
      </c>
      <c r="H372" s="22" t="str">
        <f t="shared" si="80"/>
        <v/>
      </c>
    </row>
    <row r="373" ht="15.75" customHeight="1">
      <c r="A373" s="31"/>
      <c r="B373" s="22"/>
      <c r="C373" s="22" t="str">
        <f t="shared" si="10"/>
        <v/>
      </c>
      <c r="D373" s="25"/>
      <c r="E373" s="22"/>
      <c r="F373" s="22" t="str">
        <f t="shared" si="11"/>
        <v/>
      </c>
      <c r="G373" s="22" t="str">
        <f t="shared" si="79"/>
        <v/>
      </c>
      <c r="H373" s="22" t="str">
        <f t="shared" si="80"/>
        <v/>
      </c>
    </row>
    <row r="374" ht="15.75" customHeight="1">
      <c r="A374" s="31"/>
      <c r="B374" s="22"/>
      <c r="C374" s="22" t="str">
        <f t="shared" si="10"/>
        <v/>
      </c>
      <c r="D374" s="25"/>
      <c r="E374" s="22"/>
      <c r="F374" s="22" t="str">
        <f t="shared" si="11"/>
        <v/>
      </c>
      <c r="G374" s="22" t="str">
        <f t="shared" si="79"/>
        <v/>
      </c>
      <c r="H374" s="22" t="str">
        <f t="shared" si="80"/>
        <v/>
      </c>
    </row>
    <row r="375" ht="15.75" customHeight="1">
      <c r="A375" s="31"/>
      <c r="B375" s="22"/>
      <c r="C375" s="22" t="str">
        <f t="shared" si="10"/>
        <v/>
      </c>
      <c r="D375" s="25"/>
      <c r="E375" s="22"/>
      <c r="F375" s="22" t="str">
        <f t="shared" si="11"/>
        <v/>
      </c>
      <c r="G375" s="22" t="str">
        <f t="shared" si="79"/>
        <v/>
      </c>
      <c r="H375" s="22" t="str">
        <f t="shared" si="80"/>
        <v/>
      </c>
    </row>
    <row r="376" ht="15.75" customHeight="1">
      <c r="A376" s="31"/>
      <c r="B376" s="22"/>
      <c r="C376" s="22" t="str">
        <f t="shared" si="10"/>
        <v/>
      </c>
      <c r="D376" s="25"/>
      <c r="E376" s="22"/>
      <c r="F376" s="22" t="str">
        <f t="shared" si="11"/>
        <v/>
      </c>
      <c r="G376" s="22" t="str">
        <f t="shared" si="79"/>
        <v/>
      </c>
      <c r="H376" s="22" t="str">
        <f t="shared" si="80"/>
        <v/>
      </c>
    </row>
    <row r="377" ht="15.75" customHeight="1">
      <c r="A377" s="31"/>
      <c r="B377" s="22"/>
      <c r="C377" s="22" t="str">
        <f t="shared" si="10"/>
        <v/>
      </c>
      <c r="D377" s="25"/>
      <c r="E377" s="22"/>
      <c r="F377" s="22" t="str">
        <f t="shared" si="11"/>
        <v/>
      </c>
      <c r="G377" s="22" t="str">
        <f t="shared" si="79"/>
        <v/>
      </c>
      <c r="H377" s="22" t="str">
        <f t="shared" si="80"/>
        <v/>
      </c>
    </row>
    <row r="378" ht="15.75" customHeight="1">
      <c r="A378" s="31"/>
      <c r="B378" s="22"/>
      <c r="C378" s="22" t="str">
        <f t="shared" si="10"/>
        <v/>
      </c>
      <c r="D378" s="25"/>
      <c r="E378" s="22"/>
      <c r="F378" s="22" t="str">
        <f t="shared" si="11"/>
        <v/>
      </c>
      <c r="G378" s="22" t="str">
        <f t="shared" si="79"/>
        <v/>
      </c>
      <c r="H378" s="22" t="str">
        <f t="shared" si="80"/>
        <v/>
      </c>
    </row>
    <row r="379" ht="15.75" customHeight="1">
      <c r="A379" s="31"/>
      <c r="B379" s="22"/>
      <c r="C379" s="22" t="str">
        <f t="shared" si="10"/>
        <v/>
      </c>
      <c r="D379" s="25"/>
      <c r="E379" s="22"/>
      <c r="F379" s="22" t="str">
        <f t="shared" si="11"/>
        <v/>
      </c>
      <c r="G379" s="22" t="str">
        <f t="shared" si="79"/>
        <v/>
      </c>
      <c r="H379" s="22" t="str">
        <f t="shared" si="80"/>
        <v/>
      </c>
    </row>
    <row r="380" ht="15.75" customHeight="1">
      <c r="A380" s="31"/>
      <c r="B380" s="22"/>
      <c r="C380" s="22" t="str">
        <f t="shared" si="10"/>
        <v/>
      </c>
      <c r="D380" s="25"/>
      <c r="E380" s="22"/>
      <c r="F380" s="22" t="str">
        <f t="shared" si="11"/>
        <v/>
      </c>
      <c r="G380" s="22" t="str">
        <f t="shared" si="79"/>
        <v/>
      </c>
      <c r="H380" s="22" t="str">
        <f t="shared" si="80"/>
        <v/>
      </c>
    </row>
    <row r="381" ht="15.75" customHeight="1">
      <c r="A381" s="31"/>
      <c r="B381" s="22"/>
      <c r="C381" s="22" t="str">
        <f t="shared" si="10"/>
        <v/>
      </c>
      <c r="D381" s="25"/>
      <c r="E381" s="22"/>
      <c r="F381" s="22" t="str">
        <f t="shared" si="11"/>
        <v/>
      </c>
      <c r="G381" s="22" t="str">
        <f t="shared" si="79"/>
        <v/>
      </c>
      <c r="H381" s="22" t="str">
        <f t="shared" si="80"/>
        <v/>
      </c>
    </row>
    <row r="382" ht="15.75" customHeight="1">
      <c r="A382" s="31"/>
      <c r="B382" s="22"/>
      <c r="C382" s="22" t="str">
        <f t="shared" si="10"/>
        <v/>
      </c>
      <c r="D382" s="25"/>
      <c r="E382" s="22"/>
      <c r="F382" s="22" t="str">
        <f t="shared" si="11"/>
        <v/>
      </c>
      <c r="G382" s="22" t="str">
        <f t="shared" si="79"/>
        <v/>
      </c>
      <c r="H382" s="22" t="str">
        <f t="shared" si="80"/>
        <v/>
      </c>
    </row>
    <row r="383" ht="15.75" customHeight="1">
      <c r="A383" s="31"/>
      <c r="B383" s="22"/>
      <c r="C383" s="22" t="str">
        <f t="shared" si="10"/>
        <v/>
      </c>
      <c r="D383" s="25"/>
      <c r="E383" s="22"/>
      <c r="F383" s="22" t="str">
        <f t="shared" si="11"/>
        <v/>
      </c>
      <c r="G383" s="22" t="str">
        <f t="shared" si="79"/>
        <v/>
      </c>
      <c r="H383" s="22" t="str">
        <f t="shared" si="80"/>
        <v/>
      </c>
    </row>
    <row r="384" ht="15.75" customHeight="1">
      <c r="A384" s="31"/>
      <c r="B384" s="22"/>
      <c r="C384" s="22" t="str">
        <f t="shared" si="10"/>
        <v/>
      </c>
      <c r="D384" s="25"/>
      <c r="E384" s="22"/>
      <c r="F384" s="22" t="str">
        <f t="shared" si="11"/>
        <v/>
      </c>
      <c r="G384" s="22" t="str">
        <f t="shared" si="79"/>
        <v/>
      </c>
      <c r="H384" s="22" t="str">
        <f t="shared" si="80"/>
        <v/>
      </c>
    </row>
    <row r="385" ht="15.75" customHeight="1">
      <c r="A385" s="31"/>
      <c r="B385" s="22"/>
      <c r="C385" s="22" t="str">
        <f t="shared" si="10"/>
        <v/>
      </c>
      <c r="D385" s="25"/>
      <c r="E385" s="22"/>
      <c r="F385" s="22" t="str">
        <f t="shared" si="11"/>
        <v/>
      </c>
      <c r="G385" s="22" t="str">
        <f t="shared" si="79"/>
        <v/>
      </c>
      <c r="H385" s="22" t="str">
        <f t="shared" si="80"/>
        <v/>
      </c>
    </row>
    <row r="386" ht="15.75" customHeight="1">
      <c r="A386" s="31"/>
      <c r="B386" s="22"/>
      <c r="C386" s="22" t="str">
        <f t="shared" si="10"/>
        <v/>
      </c>
      <c r="D386" s="25"/>
      <c r="E386" s="22"/>
      <c r="F386" s="22" t="str">
        <f t="shared" si="11"/>
        <v/>
      </c>
      <c r="G386" s="22" t="str">
        <f t="shared" si="79"/>
        <v/>
      </c>
      <c r="H386" s="22" t="str">
        <f t="shared" si="80"/>
        <v/>
      </c>
    </row>
    <row r="387" ht="15.75" customHeight="1">
      <c r="A387" s="31"/>
      <c r="B387" s="22"/>
      <c r="C387" s="22" t="str">
        <f t="shared" si="10"/>
        <v/>
      </c>
      <c r="D387" s="25"/>
      <c r="E387" s="22"/>
      <c r="F387" s="22" t="str">
        <f t="shared" si="11"/>
        <v/>
      </c>
      <c r="G387" s="22" t="str">
        <f t="shared" si="79"/>
        <v/>
      </c>
      <c r="H387" s="22" t="str">
        <f t="shared" si="80"/>
        <v/>
      </c>
    </row>
    <row r="388" ht="15.75" customHeight="1">
      <c r="A388" s="31"/>
      <c r="B388" s="22"/>
      <c r="C388" s="22" t="str">
        <f t="shared" si="10"/>
        <v/>
      </c>
      <c r="D388" s="25"/>
      <c r="E388" s="22"/>
      <c r="F388" s="22" t="str">
        <f t="shared" si="11"/>
        <v/>
      </c>
      <c r="G388" s="22" t="str">
        <f t="shared" si="79"/>
        <v/>
      </c>
      <c r="H388" s="22" t="str">
        <f t="shared" si="80"/>
        <v/>
      </c>
    </row>
    <row r="389" ht="15.75" customHeight="1">
      <c r="A389" s="31"/>
      <c r="B389" s="22"/>
      <c r="C389" s="22" t="str">
        <f t="shared" si="10"/>
        <v/>
      </c>
      <c r="D389" s="25"/>
      <c r="E389" s="22"/>
      <c r="F389" s="22" t="str">
        <f t="shared" si="11"/>
        <v/>
      </c>
      <c r="G389" s="22" t="str">
        <f t="shared" si="79"/>
        <v/>
      </c>
      <c r="H389" s="22" t="str">
        <f t="shared" si="80"/>
        <v/>
      </c>
    </row>
    <row r="390" ht="15.75" customHeight="1">
      <c r="A390" s="31"/>
      <c r="B390" s="22"/>
      <c r="C390" s="22" t="str">
        <f t="shared" si="10"/>
        <v/>
      </c>
      <c r="D390" s="25"/>
      <c r="E390" s="22"/>
      <c r="F390" s="22" t="str">
        <f t="shared" si="11"/>
        <v/>
      </c>
      <c r="G390" s="22" t="str">
        <f t="shared" si="79"/>
        <v/>
      </c>
      <c r="H390" s="22" t="str">
        <f t="shared" si="80"/>
        <v/>
      </c>
    </row>
    <row r="391" ht="15.75" customHeight="1">
      <c r="A391" s="31"/>
      <c r="B391" s="22"/>
      <c r="C391" s="22" t="str">
        <f t="shared" si="10"/>
        <v/>
      </c>
      <c r="D391" s="25"/>
      <c r="E391" s="22"/>
      <c r="F391" s="22" t="str">
        <f t="shared" si="11"/>
        <v/>
      </c>
      <c r="G391" s="22" t="str">
        <f t="shared" si="79"/>
        <v/>
      </c>
      <c r="H391" s="22" t="str">
        <f t="shared" si="80"/>
        <v/>
      </c>
    </row>
    <row r="392" ht="15.75" customHeight="1">
      <c r="A392" s="31"/>
      <c r="B392" s="22"/>
      <c r="C392" s="22" t="str">
        <f t="shared" si="10"/>
        <v/>
      </c>
      <c r="D392" s="25"/>
      <c r="E392" s="22"/>
      <c r="F392" s="22" t="str">
        <f t="shared" si="11"/>
        <v/>
      </c>
      <c r="G392" s="22" t="str">
        <f t="shared" si="79"/>
        <v/>
      </c>
      <c r="H392" s="22" t="str">
        <f t="shared" si="80"/>
        <v/>
      </c>
    </row>
    <row r="393" ht="15.75" customHeight="1">
      <c r="A393" s="31"/>
      <c r="B393" s="22"/>
      <c r="C393" s="22" t="str">
        <f t="shared" si="10"/>
        <v/>
      </c>
      <c r="D393" s="25"/>
      <c r="E393" s="22"/>
      <c r="F393" s="22" t="str">
        <f t="shared" si="11"/>
        <v/>
      </c>
      <c r="G393" s="22" t="str">
        <f t="shared" si="79"/>
        <v/>
      </c>
      <c r="H393" s="22" t="str">
        <f t="shared" si="80"/>
        <v/>
      </c>
    </row>
    <row r="394" ht="15.75" customHeight="1">
      <c r="A394" s="31"/>
      <c r="B394" s="22"/>
      <c r="C394" s="22" t="str">
        <f t="shared" si="10"/>
        <v/>
      </c>
      <c r="D394" s="25"/>
      <c r="E394" s="22"/>
      <c r="F394" s="22" t="str">
        <f t="shared" si="11"/>
        <v/>
      </c>
      <c r="G394" s="22" t="str">
        <f t="shared" si="79"/>
        <v/>
      </c>
      <c r="H394" s="22" t="str">
        <f t="shared" si="80"/>
        <v/>
      </c>
    </row>
    <row r="395" ht="15.75" customHeight="1">
      <c r="A395" s="31"/>
      <c r="B395" s="22"/>
      <c r="C395" s="22" t="str">
        <f t="shared" si="10"/>
        <v/>
      </c>
      <c r="D395" s="25"/>
      <c r="E395" s="22"/>
      <c r="F395" s="22" t="str">
        <f t="shared" si="11"/>
        <v/>
      </c>
      <c r="G395" s="22" t="str">
        <f t="shared" si="79"/>
        <v/>
      </c>
      <c r="H395" s="22" t="str">
        <f t="shared" si="80"/>
        <v/>
      </c>
    </row>
    <row r="396" ht="15.75" customHeight="1">
      <c r="A396" s="31"/>
      <c r="B396" s="22"/>
      <c r="C396" s="22" t="str">
        <f t="shared" si="10"/>
        <v/>
      </c>
      <c r="D396" s="25"/>
      <c r="E396" s="22"/>
      <c r="F396" s="22" t="str">
        <f t="shared" si="11"/>
        <v/>
      </c>
      <c r="G396" s="22" t="str">
        <f t="shared" si="79"/>
        <v/>
      </c>
      <c r="H396" s="22" t="str">
        <f t="shared" si="80"/>
        <v/>
      </c>
    </row>
    <row r="397" ht="15.75" customHeight="1">
      <c r="A397" s="31"/>
      <c r="B397" s="22"/>
      <c r="C397" s="22" t="str">
        <f t="shared" si="10"/>
        <v/>
      </c>
      <c r="D397" s="25"/>
      <c r="E397" s="22"/>
      <c r="F397" s="22" t="str">
        <f t="shared" si="11"/>
        <v/>
      </c>
      <c r="G397" s="22" t="str">
        <f t="shared" si="79"/>
        <v/>
      </c>
      <c r="H397" s="22" t="str">
        <f t="shared" si="80"/>
        <v/>
      </c>
    </row>
    <row r="398" ht="15.75" customHeight="1">
      <c r="A398" s="31"/>
      <c r="B398" s="22"/>
      <c r="C398" s="22" t="str">
        <f t="shared" si="10"/>
        <v/>
      </c>
      <c r="D398" s="25"/>
      <c r="E398" s="22"/>
      <c r="F398" s="22" t="str">
        <f t="shared" si="11"/>
        <v/>
      </c>
      <c r="G398" s="22" t="str">
        <f t="shared" si="79"/>
        <v/>
      </c>
      <c r="H398" s="22" t="str">
        <f t="shared" si="80"/>
        <v/>
      </c>
    </row>
    <row r="399" ht="15.75" customHeight="1">
      <c r="A399" s="31"/>
      <c r="B399" s="22"/>
      <c r="C399" s="22" t="str">
        <f t="shared" si="10"/>
        <v/>
      </c>
      <c r="D399" s="25"/>
      <c r="E399" s="22"/>
      <c r="F399" s="22" t="str">
        <f t="shared" si="11"/>
        <v/>
      </c>
      <c r="G399" s="22" t="str">
        <f t="shared" si="79"/>
        <v/>
      </c>
      <c r="H399" s="22" t="str">
        <f t="shared" si="80"/>
        <v/>
      </c>
    </row>
    <row r="400" ht="15.75" customHeight="1">
      <c r="A400" s="31"/>
      <c r="B400" s="22"/>
      <c r="C400" s="22" t="str">
        <f t="shared" si="10"/>
        <v/>
      </c>
      <c r="D400" s="25"/>
      <c r="E400" s="22"/>
      <c r="F400" s="22" t="str">
        <f t="shared" si="11"/>
        <v/>
      </c>
      <c r="G400" s="22" t="str">
        <f t="shared" si="79"/>
        <v/>
      </c>
      <c r="H400" s="22" t="str">
        <f t="shared" si="80"/>
        <v/>
      </c>
    </row>
    <row r="401" ht="15.75" customHeight="1">
      <c r="A401" s="31"/>
      <c r="B401" s="22"/>
      <c r="C401" s="22" t="str">
        <f t="shared" si="10"/>
        <v/>
      </c>
      <c r="D401" s="25"/>
      <c r="E401" s="22"/>
      <c r="F401" s="22" t="str">
        <f t="shared" si="11"/>
        <v/>
      </c>
      <c r="G401" s="22" t="str">
        <f t="shared" si="79"/>
        <v/>
      </c>
      <c r="H401" s="22" t="str">
        <f t="shared" si="80"/>
        <v/>
      </c>
    </row>
    <row r="402" ht="15.75" customHeight="1">
      <c r="A402" s="31"/>
      <c r="B402" s="22"/>
      <c r="C402" s="22" t="str">
        <f t="shared" si="10"/>
        <v/>
      </c>
      <c r="D402" s="25"/>
      <c r="E402" s="22"/>
      <c r="F402" s="22" t="str">
        <f t="shared" si="11"/>
        <v/>
      </c>
      <c r="G402" s="22" t="str">
        <f t="shared" si="79"/>
        <v/>
      </c>
      <c r="H402" s="22" t="str">
        <f t="shared" si="80"/>
        <v/>
      </c>
    </row>
    <row r="403" ht="15.75" customHeight="1">
      <c r="A403" s="31"/>
      <c r="B403" s="22"/>
      <c r="C403" s="22" t="str">
        <f t="shared" si="10"/>
        <v/>
      </c>
      <c r="D403" s="25"/>
      <c r="E403" s="22"/>
      <c r="F403" s="22" t="str">
        <f t="shared" si="11"/>
        <v/>
      </c>
      <c r="G403" s="22" t="str">
        <f t="shared" si="79"/>
        <v/>
      </c>
      <c r="H403" s="22" t="str">
        <f t="shared" si="80"/>
        <v/>
      </c>
    </row>
    <row r="404" ht="15.75" customHeight="1">
      <c r="A404" s="31"/>
      <c r="B404" s="22"/>
      <c r="C404" s="22" t="str">
        <f t="shared" si="10"/>
        <v/>
      </c>
      <c r="D404" s="25"/>
      <c r="E404" s="22"/>
      <c r="F404" s="22" t="str">
        <f t="shared" si="11"/>
        <v/>
      </c>
      <c r="G404" s="22" t="str">
        <f t="shared" si="79"/>
        <v/>
      </c>
      <c r="H404" s="22" t="str">
        <f t="shared" si="80"/>
        <v/>
      </c>
    </row>
    <row r="405" ht="15.75" customHeight="1">
      <c r="A405" s="31"/>
      <c r="B405" s="22"/>
      <c r="C405" s="22" t="str">
        <f t="shared" si="10"/>
        <v/>
      </c>
      <c r="D405" s="25"/>
      <c r="E405" s="22"/>
      <c r="F405" s="22" t="str">
        <f t="shared" si="11"/>
        <v/>
      </c>
      <c r="G405" s="22" t="str">
        <f t="shared" si="79"/>
        <v/>
      </c>
      <c r="H405" s="22" t="str">
        <f t="shared" si="80"/>
        <v/>
      </c>
    </row>
    <row r="406" ht="15.75" customHeight="1">
      <c r="A406" s="31"/>
      <c r="B406" s="22"/>
      <c r="C406" s="22" t="str">
        <f t="shared" si="10"/>
        <v/>
      </c>
      <c r="D406" s="25"/>
      <c r="E406" s="22"/>
      <c r="F406" s="22" t="str">
        <f t="shared" si="11"/>
        <v/>
      </c>
      <c r="G406" s="22" t="str">
        <f t="shared" si="79"/>
        <v/>
      </c>
      <c r="H406" s="22" t="str">
        <f t="shared" si="80"/>
        <v/>
      </c>
    </row>
    <row r="407" ht="15.75" customHeight="1">
      <c r="A407" s="31"/>
      <c r="B407" s="22"/>
      <c r="C407" s="22" t="str">
        <f t="shared" si="10"/>
        <v/>
      </c>
      <c r="D407" s="25"/>
      <c r="E407" s="22"/>
      <c r="F407" s="22" t="str">
        <f t="shared" si="11"/>
        <v/>
      </c>
      <c r="G407" s="22" t="str">
        <f t="shared" si="79"/>
        <v/>
      </c>
      <c r="H407" s="22" t="str">
        <f t="shared" si="80"/>
        <v/>
      </c>
    </row>
    <row r="408" ht="15.75" customHeight="1">
      <c r="A408" s="31"/>
      <c r="B408" s="22"/>
      <c r="C408" s="22" t="str">
        <f t="shared" si="10"/>
        <v/>
      </c>
      <c r="D408" s="25"/>
      <c r="E408" s="22"/>
      <c r="F408" s="22" t="str">
        <f t="shared" si="11"/>
        <v/>
      </c>
      <c r="G408" s="22" t="str">
        <f t="shared" si="79"/>
        <v/>
      </c>
      <c r="H408" s="22" t="str">
        <f t="shared" si="80"/>
        <v/>
      </c>
    </row>
    <row r="409" ht="15.75" customHeight="1">
      <c r="A409" s="31"/>
      <c r="B409" s="22"/>
      <c r="C409" s="22" t="str">
        <f t="shared" si="10"/>
        <v/>
      </c>
      <c r="D409" s="25"/>
      <c r="E409" s="22"/>
      <c r="F409" s="22" t="str">
        <f t="shared" si="11"/>
        <v/>
      </c>
      <c r="G409" s="22" t="str">
        <f t="shared" si="79"/>
        <v/>
      </c>
      <c r="H409" s="22" t="str">
        <f t="shared" si="80"/>
        <v/>
      </c>
    </row>
    <row r="410" ht="15.75" customHeight="1">
      <c r="A410" s="31"/>
      <c r="B410" s="22"/>
      <c r="C410" s="22" t="str">
        <f t="shared" si="10"/>
        <v/>
      </c>
      <c r="D410" s="25"/>
      <c r="E410" s="22"/>
      <c r="F410" s="22" t="str">
        <f t="shared" si="11"/>
        <v/>
      </c>
      <c r="G410" s="22" t="str">
        <f t="shared" si="79"/>
        <v/>
      </c>
      <c r="H410" s="22" t="str">
        <f t="shared" si="80"/>
        <v/>
      </c>
    </row>
    <row r="411" ht="15.75" customHeight="1">
      <c r="A411" s="31"/>
      <c r="B411" s="22"/>
      <c r="C411" s="22" t="str">
        <f t="shared" si="10"/>
        <v/>
      </c>
      <c r="D411" s="25"/>
      <c r="E411" s="22"/>
      <c r="F411" s="22" t="str">
        <f t="shared" si="11"/>
        <v/>
      </c>
      <c r="G411" s="22" t="str">
        <f t="shared" si="79"/>
        <v/>
      </c>
      <c r="H411" s="22" t="str">
        <f t="shared" si="80"/>
        <v/>
      </c>
    </row>
    <row r="412" ht="15.75" customHeight="1">
      <c r="A412" s="31"/>
      <c r="B412" s="22"/>
      <c r="C412" s="22" t="str">
        <f t="shared" si="10"/>
        <v/>
      </c>
      <c r="D412" s="25"/>
      <c r="E412" s="22"/>
      <c r="F412" s="22" t="str">
        <f t="shared" si="11"/>
        <v/>
      </c>
      <c r="G412" s="22" t="str">
        <f t="shared" si="79"/>
        <v/>
      </c>
      <c r="H412" s="22" t="str">
        <f t="shared" si="80"/>
        <v/>
      </c>
    </row>
    <row r="413" ht="15.75" customHeight="1">
      <c r="A413" s="31"/>
      <c r="B413" s="22"/>
      <c r="C413" s="22" t="str">
        <f t="shared" si="10"/>
        <v/>
      </c>
      <c r="D413" s="25"/>
      <c r="E413" s="22"/>
      <c r="F413" s="22" t="str">
        <f t="shared" si="11"/>
        <v/>
      </c>
      <c r="G413" s="22" t="str">
        <f t="shared" si="79"/>
        <v/>
      </c>
      <c r="H413" s="22" t="str">
        <f t="shared" si="80"/>
        <v/>
      </c>
    </row>
    <row r="414" ht="15.75" customHeight="1">
      <c r="A414" s="31"/>
      <c r="B414" s="22"/>
      <c r="C414" s="22" t="str">
        <f t="shared" si="10"/>
        <v/>
      </c>
      <c r="D414" s="25"/>
      <c r="E414" s="22"/>
      <c r="F414" s="22" t="str">
        <f t="shared" si="11"/>
        <v/>
      </c>
      <c r="G414" s="22" t="str">
        <f t="shared" si="79"/>
        <v/>
      </c>
      <c r="H414" s="22" t="str">
        <f t="shared" si="80"/>
        <v/>
      </c>
    </row>
    <row r="415" ht="15.75" customHeight="1">
      <c r="A415" s="31"/>
      <c r="B415" s="22"/>
      <c r="C415" s="22" t="str">
        <f t="shared" si="10"/>
        <v/>
      </c>
      <c r="D415" s="25"/>
      <c r="E415" s="22"/>
      <c r="F415" s="22" t="str">
        <f t="shared" si="11"/>
        <v/>
      </c>
      <c r="G415" s="22" t="str">
        <f t="shared" si="79"/>
        <v/>
      </c>
      <c r="H415" s="22" t="str">
        <f t="shared" si="80"/>
        <v/>
      </c>
    </row>
    <row r="416" ht="15.75" customHeight="1">
      <c r="A416" s="31"/>
      <c r="B416" s="22"/>
      <c r="C416" s="22" t="str">
        <f t="shared" si="10"/>
        <v/>
      </c>
      <c r="D416" s="25"/>
      <c r="E416" s="22"/>
      <c r="F416" s="22" t="str">
        <f t="shared" si="11"/>
        <v/>
      </c>
      <c r="G416" s="22" t="str">
        <f t="shared" si="79"/>
        <v/>
      </c>
      <c r="H416" s="22" t="str">
        <f t="shared" si="80"/>
        <v/>
      </c>
    </row>
    <row r="417" ht="15.75" customHeight="1">
      <c r="A417" s="31"/>
      <c r="B417" s="22"/>
      <c r="C417" s="22" t="str">
        <f t="shared" si="10"/>
        <v/>
      </c>
      <c r="D417" s="25"/>
      <c r="E417" s="22"/>
      <c r="F417" s="22" t="str">
        <f t="shared" si="11"/>
        <v/>
      </c>
      <c r="G417" s="22" t="str">
        <f t="shared" si="79"/>
        <v/>
      </c>
      <c r="H417" s="22" t="str">
        <f t="shared" si="80"/>
        <v/>
      </c>
    </row>
    <row r="418" ht="15.75" customHeight="1">
      <c r="A418" s="31"/>
      <c r="B418" s="22"/>
      <c r="C418" s="22" t="str">
        <f t="shared" si="10"/>
        <v/>
      </c>
      <c r="D418" s="25"/>
      <c r="E418" s="22"/>
      <c r="F418" s="22" t="str">
        <f t="shared" si="11"/>
        <v/>
      </c>
      <c r="G418" s="22" t="str">
        <f t="shared" si="79"/>
        <v/>
      </c>
      <c r="H418" s="22" t="str">
        <f t="shared" si="80"/>
        <v/>
      </c>
    </row>
    <row r="419" ht="15.75" customHeight="1">
      <c r="A419" s="31"/>
      <c r="B419" s="22"/>
      <c r="C419" s="22" t="str">
        <f t="shared" si="10"/>
        <v/>
      </c>
      <c r="D419" s="25"/>
      <c r="E419" s="22"/>
      <c r="F419" s="22" t="str">
        <f t="shared" si="11"/>
        <v/>
      </c>
      <c r="G419" s="22" t="str">
        <f t="shared" si="79"/>
        <v/>
      </c>
      <c r="H419" s="22" t="str">
        <f t="shared" si="80"/>
        <v/>
      </c>
    </row>
    <row r="420" ht="15.75" customHeight="1">
      <c r="A420" s="31"/>
      <c r="B420" s="22"/>
      <c r="C420" s="22" t="str">
        <f t="shared" si="10"/>
        <v/>
      </c>
      <c r="D420" s="25"/>
      <c r="E420" s="22"/>
      <c r="F420" s="22" t="str">
        <f t="shared" si="11"/>
        <v/>
      </c>
      <c r="G420" s="22" t="str">
        <f t="shared" si="79"/>
        <v/>
      </c>
      <c r="H420" s="22" t="str">
        <f t="shared" si="80"/>
        <v/>
      </c>
    </row>
    <row r="421" ht="15.75" customHeight="1">
      <c r="A421" s="31"/>
      <c r="B421" s="22"/>
      <c r="C421" s="22" t="str">
        <f t="shared" si="10"/>
        <v/>
      </c>
      <c r="D421" s="25"/>
      <c r="E421" s="22"/>
      <c r="F421" s="22" t="str">
        <f t="shared" si="11"/>
        <v/>
      </c>
      <c r="G421" s="22" t="str">
        <f t="shared" si="79"/>
        <v/>
      </c>
      <c r="H421" s="22" t="str">
        <f t="shared" si="80"/>
        <v/>
      </c>
    </row>
    <row r="422" ht="15.75" customHeight="1">
      <c r="A422" s="31"/>
      <c r="B422" s="22"/>
      <c r="C422" s="22" t="str">
        <f t="shared" si="10"/>
        <v/>
      </c>
      <c r="D422" s="25"/>
      <c r="E422" s="22"/>
      <c r="F422" s="22" t="str">
        <f t="shared" si="11"/>
        <v/>
      </c>
      <c r="G422" s="22" t="str">
        <f t="shared" si="79"/>
        <v/>
      </c>
      <c r="H422" s="22" t="str">
        <f t="shared" si="80"/>
        <v/>
      </c>
    </row>
    <row r="423" ht="15.75" customHeight="1">
      <c r="A423" s="31"/>
      <c r="B423" s="22"/>
      <c r="C423" s="22" t="str">
        <f t="shared" si="10"/>
        <v/>
      </c>
      <c r="D423" s="25"/>
      <c r="E423" s="22"/>
      <c r="F423" s="22" t="str">
        <f t="shared" si="11"/>
        <v/>
      </c>
      <c r="G423" s="22" t="str">
        <f t="shared" si="79"/>
        <v/>
      </c>
      <c r="H423" s="22" t="str">
        <f t="shared" si="80"/>
        <v/>
      </c>
    </row>
    <row r="424" ht="15.75" customHeight="1">
      <c r="A424" s="31"/>
      <c r="B424" s="22"/>
      <c r="C424" s="22" t="str">
        <f t="shared" si="10"/>
        <v/>
      </c>
      <c r="D424" s="25"/>
      <c r="E424" s="22"/>
      <c r="F424" s="22" t="str">
        <f t="shared" si="11"/>
        <v/>
      </c>
      <c r="G424" s="22" t="str">
        <f t="shared" si="79"/>
        <v/>
      </c>
      <c r="H424" s="22" t="str">
        <f t="shared" si="80"/>
        <v/>
      </c>
    </row>
    <row r="425" ht="15.75" customHeight="1">
      <c r="A425" s="31"/>
      <c r="B425" s="22"/>
      <c r="C425" s="22" t="str">
        <f t="shared" si="10"/>
        <v/>
      </c>
      <c r="D425" s="25"/>
      <c r="E425" s="22"/>
      <c r="F425" s="22" t="str">
        <f t="shared" si="11"/>
        <v/>
      </c>
      <c r="G425" s="22" t="str">
        <f t="shared" si="79"/>
        <v/>
      </c>
      <c r="H425" s="22" t="str">
        <f t="shared" si="80"/>
        <v/>
      </c>
    </row>
    <row r="426" ht="15.75" customHeight="1">
      <c r="A426" s="31"/>
      <c r="B426" s="22"/>
      <c r="C426" s="22" t="str">
        <f t="shared" si="10"/>
        <v/>
      </c>
      <c r="D426" s="25"/>
      <c r="E426" s="22"/>
      <c r="F426" s="22" t="str">
        <f t="shared" si="11"/>
        <v/>
      </c>
      <c r="G426" s="22" t="str">
        <f t="shared" si="79"/>
        <v/>
      </c>
      <c r="H426" s="22" t="str">
        <f t="shared" si="80"/>
        <v/>
      </c>
    </row>
    <row r="427" ht="15.75" customHeight="1">
      <c r="A427" s="31"/>
      <c r="B427" s="22"/>
      <c r="C427" s="22" t="str">
        <f t="shared" si="10"/>
        <v/>
      </c>
      <c r="D427" s="25"/>
      <c r="E427" s="22"/>
      <c r="F427" s="22" t="str">
        <f t="shared" si="11"/>
        <v/>
      </c>
      <c r="G427" s="22" t="str">
        <f t="shared" si="79"/>
        <v/>
      </c>
      <c r="H427" s="22" t="str">
        <f t="shared" si="80"/>
        <v/>
      </c>
    </row>
    <row r="428" ht="15.75" customHeight="1">
      <c r="A428" s="31"/>
      <c r="B428" s="22"/>
      <c r="C428" s="22" t="str">
        <f t="shared" si="10"/>
        <v/>
      </c>
      <c r="D428" s="25"/>
      <c r="E428" s="22"/>
      <c r="F428" s="22" t="str">
        <f t="shared" si="11"/>
        <v/>
      </c>
      <c r="G428" s="22" t="str">
        <f t="shared" si="79"/>
        <v/>
      </c>
      <c r="H428" s="22" t="str">
        <f t="shared" si="80"/>
        <v/>
      </c>
    </row>
    <row r="429" ht="15.75" customHeight="1">
      <c r="A429" s="31"/>
      <c r="B429" s="22"/>
      <c r="C429" s="22" t="str">
        <f t="shared" si="10"/>
        <v/>
      </c>
      <c r="D429" s="25"/>
      <c r="E429" s="22"/>
      <c r="F429" s="22" t="str">
        <f t="shared" si="11"/>
        <v/>
      </c>
      <c r="G429" s="22" t="str">
        <f t="shared" si="79"/>
        <v/>
      </c>
      <c r="H429" s="22" t="str">
        <f t="shared" si="80"/>
        <v/>
      </c>
    </row>
    <row r="430" ht="15.75" customHeight="1">
      <c r="A430" s="31"/>
      <c r="B430" s="22"/>
      <c r="C430" s="22" t="str">
        <f t="shared" si="10"/>
        <v/>
      </c>
      <c r="D430" s="25"/>
      <c r="E430" s="22"/>
      <c r="F430" s="22" t="str">
        <f t="shared" si="11"/>
        <v/>
      </c>
      <c r="G430" s="22" t="str">
        <f t="shared" si="79"/>
        <v/>
      </c>
      <c r="H430" s="22" t="str">
        <f t="shared" si="80"/>
        <v/>
      </c>
    </row>
    <row r="431" ht="15.75" customHeight="1">
      <c r="A431" s="31"/>
      <c r="B431" s="22"/>
      <c r="C431" s="22" t="str">
        <f t="shared" si="10"/>
        <v/>
      </c>
      <c r="D431" s="25"/>
      <c r="E431" s="22"/>
      <c r="F431" s="22" t="str">
        <f t="shared" si="11"/>
        <v/>
      </c>
      <c r="G431" s="22" t="str">
        <f t="shared" si="79"/>
        <v/>
      </c>
      <c r="H431" s="22" t="str">
        <f t="shared" si="80"/>
        <v/>
      </c>
    </row>
    <row r="432" ht="15.75" customHeight="1">
      <c r="A432" s="31"/>
      <c r="B432" s="22"/>
      <c r="C432" s="22" t="str">
        <f t="shared" si="10"/>
        <v/>
      </c>
      <c r="D432" s="25"/>
      <c r="E432" s="22"/>
      <c r="F432" s="22" t="str">
        <f t="shared" si="11"/>
        <v/>
      </c>
      <c r="G432" s="22" t="str">
        <f t="shared" si="79"/>
        <v/>
      </c>
      <c r="H432" s="22" t="str">
        <f t="shared" si="80"/>
        <v/>
      </c>
    </row>
    <row r="433" ht="15.75" customHeight="1">
      <c r="A433" s="31"/>
      <c r="B433" s="22"/>
      <c r="C433" s="22" t="str">
        <f t="shared" si="10"/>
        <v/>
      </c>
      <c r="D433" s="25"/>
      <c r="E433" s="22"/>
      <c r="F433" s="22" t="str">
        <f t="shared" si="11"/>
        <v/>
      </c>
      <c r="G433" s="22" t="str">
        <f t="shared" si="79"/>
        <v/>
      </c>
      <c r="H433" s="22" t="str">
        <f t="shared" si="80"/>
        <v/>
      </c>
    </row>
    <row r="434" ht="15.75" customHeight="1">
      <c r="A434" s="31"/>
      <c r="B434" s="22"/>
      <c r="C434" s="22" t="str">
        <f t="shared" si="10"/>
        <v/>
      </c>
      <c r="D434" s="25"/>
      <c r="E434" s="22"/>
      <c r="F434" s="22" t="str">
        <f t="shared" si="11"/>
        <v/>
      </c>
      <c r="G434" s="22" t="str">
        <f t="shared" si="79"/>
        <v/>
      </c>
      <c r="H434" s="22" t="str">
        <f t="shared" si="80"/>
        <v/>
      </c>
    </row>
    <row r="435" ht="15.75" customHeight="1">
      <c r="A435" s="31"/>
      <c r="B435" s="22"/>
      <c r="C435" s="22" t="str">
        <f t="shared" si="10"/>
        <v/>
      </c>
      <c r="D435" s="25"/>
      <c r="E435" s="22"/>
      <c r="F435" s="22" t="str">
        <f t="shared" si="11"/>
        <v/>
      </c>
      <c r="G435" s="22" t="str">
        <f t="shared" si="79"/>
        <v/>
      </c>
      <c r="H435" s="22" t="str">
        <f t="shared" si="80"/>
        <v/>
      </c>
    </row>
    <row r="436" ht="15.75" customHeight="1">
      <c r="A436" s="31"/>
      <c r="B436" s="22"/>
      <c r="C436" s="22" t="str">
        <f t="shared" si="10"/>
        <v/>
      </c>
      <c r="D436" s="25"/>
      <c r="E436" s="22"/>
      <c r="F436" s="22" t="str">
        <f t="shared" si="11"/>
        <v/>
      </c>
      <c r="G436" s="22" t="str">
        <f t="shared" si="79"/>
        <v/>
      </c>
      <c r="H436" s="22" t="str">
        <f t="shared" si="80"/>
        <v/>
      </c>
    </row>
    <row r="437" ht="15.75" customHeight="1">
      <c r="A437" s="31"/>
      <c r="B437" s="22"/>
      <c r="C437" s="22" t="str">
        <f t="shared" si="10"/>
        <v/>
      </c>
      <c r="D437" s="25"/>
      <c r="E437" s="22"/>
      <c r="F437" s="22" t="str">
        <f t="shared" si="11"/>
        <v/>
      </c>
      <c r="G437" s="22" t="str">
        <f t="shared" si="79"/>
        <v/>
      </c>
      <c r="H437" s="22" t="str">
        <f t="shared" si="80"/>
        <v/>
      </c>
    </row>
    <row r="438" ht="15.75" customHeight="1">
      <c r="A438" s="31"/>
      <c r="B438" s="22"/>
      <c r="C438" s="22" t="str">
        <f t="shared" si="10"/>
        <v/>
      </c>
      <c r="D438" s="25"/>
      <c r="E438" s="22"/>
      <c r="F438" s="22" t="str">
        <f t="shared" si="11"/>
        <v/>
      </c>
      <c r="G438" s="22" t="str">
        <f t="shared" si="79"/>
        <v/>
      </c>
      <c r="H438" s="22" t="str">
        <f t="shared" si="80"/>
        <v/>
      </c>
    </row>
    <row r="439" ht="15.75" customHeight="1">
      <c r="A439" s="31"/>
      <c r="B439" s="22"/>
      <c r="C439" s="22" t="str">
        <f t="shared" si="10"/>
        <v/>
      </c>
      <c r="D439" s="25"/>
      <c r="E439" s="22"/>
      <c r="F439" s="22" t="str">
        <f t="shared" si="11"/>
        <v/>
      </c>
      <c r="G439" s="22" t="str">
        <f t="shared" si="79"/>
        <v/>
      </c>
      <c r="H439" s="22" t="str">
        <f t="shared" si="80"/>
        <v/>
      </c>
    </row>
    <row r="440" ht="15.75" customHeight="1">
      <c r="A440" s="31"/>
      <c r="B440" s="22"/>
      <c r="C440" s="22" t="str">
        <f t="shared" si="10"/>
        <v/>
      </c>
      <c r="D440" s="25"/>
      <c r="E440" s="22"/>
      <c r="F440" s="22" t="str">
        <f t="shared" si="11"/>
        <v/>
      </c>
      <c r="G440" s="22" t="str">
        <f t="shared" si="79"/>
        <v/>
      </c>
      <c r="H440" s="22" t="str">
        <f t="shared" si="80"/>
        <v/>
      </c>
    </row>
    <row r="441" ht="15.75" customHeight="1">
      <c r="A441" s="31"/>
      <c r="B441" s="22"/>
      <c r="C441" s="22" t="str">
        <f t="shared" si="10"/>
        <v/>
      </c>
      <c r="D441" s="25"/>
      <c r="E441" s="22"/>
      <c r="F441" s="22" t="str">
        <f t="shared" si="11"/>
        <v/>
      </c>
      <c r="G441" s="22" t="str">
        <f t="shared" si="79"/>
        <v/>
      </c>
      <c r="H441" s="22" t="str">
        <f t="shared" si="80"/>
        <v/>
      </c>
    </row>
    <row r="442" ht="15.75" customHeight="1">
      <c r="A442" s="31"/>
      <c r="B442" s="22"/>
      <c r="C442" s="22" t="str">
        <f t="shared" si="10"/>
        <v/>
      </c>
      <c r="D442" s="25"/>
      <c r="E442" s="22"/>
      <c r="F442" s="22" t="str">
        <f t="shared" si="11"/>
        <v/>
      </c>
      <c r="G442" s="22" t="str">
        <f t="shared" si="79"/>
        <v/>
      </c>
      <c r="H442" s="22" t="str">
        <f t="shared" si="80"/>
        <v/>
      </c>
    </row>
    <row r="443" ht="15.75" customHeight="1">
      <c r="A443" s="31"/>
      <c r="B443" s="22"/>
      <c r="C443" s="22" t="str">
        <f t="shared" si="10"/>
        <v/>
      </c>
      <c r="D443" s="25"/>
      <c r="E443" s="22"/>
      <c r="F443" s="22" t="str">
        <f t="shared" si="11"/>
        <v/>
      </c>
      <c r="G443" s="22" t="str">
        <f t="shared" si="79"/>
        <v/>
      </c>
      <c r="H443" s="22" t="str">
        <f t="shared" si="80"/>
        <v/>
      </c>
    </row>
    <row r="444" ht="15.75" customHeight="1">
      <c r="A444" s="31"/>
      <c r="B444" s="22"/>
      <c r="C444" s="22" t="str">
        <f t="shared" si="10"/>
        <v/>
      </c>
      <c r="D444" s="25"/>
      <c r="E444" s="22"/>
      <c r="F444" s="22" t="str">
        <f t="shared" si="11"/>
        <v/>
      </c>
      <c r="G444" s="22" t="str">
        <f t="shared" si="79"/>
        <v/>
      </c>
      <c r="H444" s="22" t="str">
        <f t="shared" si="80"/>
        <v/>
      </c>
    </row>
    <row r="445" ht="15.75" customHeight="1">
      <c r="A445" s="31"/>
      <c r="B445" s="22"/>
      <c r="C445" s="22" t="str">
        <f t="shared" si="10"/>
        <v/>
      </c>
      <c r="D445" s="25"/>
      <c r="E445" s="22"/>
      <c r="F445" s="22" t="str">
        <f t="shared" si="11"/>
        <v/>
      </c>
      <c r="G445" s="22" t="str">
        <f t="shared" si="79"/>
        <v/>
      </c>
      <c r="H445" s="22" t="str">
        <f t="shared" si="80"/>
        <v/>
      </c>
    </row>
    <row r="446" ht="15.75" customHeight="1">
      <c r="A446" s="31"/>
      <c r="B446" s="22"/>
      <c r="C446" s="22" t="str">
        <f t="shared" si="10"/>
        <v/>
      </c>
      <c r="D446" s="25"/>
      <c r="E446" s="22"/>
      <c r="F446" s="22" t="str">
        <f t="shared" si="11"/>
        <v/>
      </c>
      <c r="G446" s="22" t="str">
        <f t="shared" si="79"/>
        <v/>
      </c>
      <c r="H446" s="22" t="str">
        <f t="shared" si="80"/>
        <v/>
      </c>
    </row>
    <row r="447" ht="15.75" customHeight="1">
      <c r="A447" s="31"/>
      <c r="B447" s="22"/>
      <c r="C447" s="22" t="str">
        <f t="shared" si="10"/>
        <v/>
      </c>
      <c r="D447" s="25"/>
      <c r="E447" s="22"/>
      <c r="F447" s="22" t="str">
        <f t="shared" si="11"/>
        <v/>
      </c>
      <c r="G447" s="22" t="str">
        <f t="shared" si="79"/>
        <v/>
      </c>
      <c r="H447" s="22" t="str">
        <f t="shared" si="80"/>
        <v/>
      </c>
    </row>
    <row r="448" ht="15.75" customHeight="1">
      <c r="A448" s="31"/>
      <c r="B448" s="22"/>
      <c r="C448" s="22" t="str">
        <f t="shared" si="10"/>
        <v/>
      </c>
      <c r="D448" s="25"/>
      <c r="E448" s="22"/>
      <c r="F448" s="22" t="str">
        <f t="shared" si="11"/>
        <v/>
      </c>
      <c r="G448" s="22" t="str">
        <f t="shared" si="79"/>
        <v/>
      </c>
      <c r="H448" s="22" t="str">
        <f t="shared" si="80"/>
        <v/>
      </c>
    </row>
    <row r="449" ht="15.75" customHeight="1">
      <c r="A449" s="31"/>
      <c r="B449" s="22"/>
      <c r="C449" s="22" t="str">
        <f t="shared" si="10"/>
        <v/>
      </c>
      <c r="D449" s="25"/>
      <c r="E449" s="22"/>
      <c r="F449" s="22" t="str">
        <f t="shared" si="11"/>
        <v/>
      </c>
      <c r="G449" s="22" t="str">
        <f t="shared" si="79"/>
        <v/>
      </c>
      <c r="H449" s="22" t="str">
        <f t="shared" si="80"/>
        <v/>
      </c>
    </row>
    <row r="450" ht="15.75" customHeight="1">
      <c r="A450" s="31"/>
      <c r="B450" s="22"/>
      <c r="C450" s="22" t="str">
        <f t="shared" si="10"/>
        <v/>
      </c>
      <c r="D450" s="25"/>
      <c r="E450" s="22"/>
      <c r="F450" s="22" t="str">
        <f t="shared" si="11"/>
        <v/>
      </c>
      <c r="G450" s="22" t="str">
        <f t="shared" si="79"/>
        <v/>
      </c>
      <c r="H450" s="22" t="str">
        <f t="shared" si="80"/>
        <v/>
      </c>
    </row>
    <row r="451" ht="15.75" customHeight="1">
      <c r="A451" s="31"/>
      <c r="B451" s="22"/>
      <c r="C451" s="22" t="str">
        <f t="shared" si="10"/>
        <v/>
      </c>
      <c r="D451" s="25"/>
      <c r="E451" s="22"/>
      <c r="F451" s="22" t="str">
        <f t="shared" si="11"/>
        <v/>
      </c>
      <c r="G451" s="22" t="str">
        <f t="shared" si="79"/>
        <v/>
      </c>
      <c r="H451" s="22" t="str">
        <f t="shared" si="80"/>
        <v/>
      </c>
    </row>
    <row r="452" ht="15.75" customHeight="1">
      <c r="A452" s="31"/>
      <c r="B452" s="22"/>
      <c r="C452" s="22" t="str">
        <f t="shared" si="10"/>
        <v/>
      </c>
      <c r="D452" s="25"/>
      <c r="E452" s="22"/>
      <c r="F452" s="22" t="str">
        <f t="shared" si="11"/>
        <v/>
      </c>
      <c r="G452" s="22" t="str">
        <f t="shared" si="79"/>
        <v/>
      </c>
      <c r="H452" s="22" t="str">
        <f t="shared" si="80"/>
        <v/>
      </c>
    </row>
    <row r="453" ht="15.75" customHeight="1">
      <c r="A453" s="31"/>
      <c r="B453" s="22"/>
      <c r="C453" s="22" t="str">
        <f t="shared" si="10"/>
        <v/>
      </c>
      <c r="D453" s="25"/>
      <c r="E453" s="22"/>
      <c r="F453" s="22" t="str">
        <f t="shared" si="11"/>
        <v/>
      </c>
      <c r="G453" s="22" t="str">
        <f t="shared" si="79"/>
        <v/>
      </c>
      <c r="H453" s="22" t="str">
        <f t="shared" si="80"/>
        <v/>
      </c>
    </row>
    <row r="454" ht="15.75" customHeight="1">
      <c r="A454" s="31"/>
      <c r="B454" s="22"/>
      <c r="C454" s="22" t="str">
        <f t="shared" si="10"/>
        <v/>
      </c>
      <c r="D454" s="25"/>
      <c r="E454" s="22"/>
      <c r="F454" s="22" t="str">
        <f t="shared" si="11"/>
        <v/>
      </c>
      <c r="G454" s="22" t="str">
        <f t="shared" si="79"/>
        <v/>
      </c>
      <c r="H454" s="22" t="str">
        <f t="shared" si="80"/>
        <v/>
      </c>
    </row>
    <row r="455" ht="15.75" customHeight="1">
      <c r="A455" s="31"/>
      <c r="B455" s="22"/>
      <c r="C455" s="22" t="str">
        <f t="shared" si="10"/>
        <v/>
      </c>
      <c r="D455" s="25"/>
      <c r="E455" s="22"/>
      <c r="F455" s="22" t="str">
        <f t="shared" si="11"/>
        <v/>
      </c>
      <c r="G455" s="22" t="str">
        <f t="shared" si="79"/>
        <v/>
      </c>
      <c r="H455" s="22" t="str">
        <f t="shared" si="80"/>
        <v/>
      </c>
    </row>
    <row r="456" ht="15.75" customHeight="1">
      <c r="A456" s="31"/>
      <c r="B456" s="22"/>
      <c r="C456" s="22" t="str">
        <f t="shared" si="10"/>
        <v/>
      </c>
      <c r="D456" s="25"/>
      <c r="E456" s="22"/>
      <c r="F456" s="22" t="str">
        <f t="shared" si="11"/>
        <v/>
      </c>
      <c r="G456" s="22" t="str">
        <f t="shared" si="79"/>
        <v/>
      </c>
      <c r="H456" s="22" t="str">
        <f t="shared" si="80"/>
        <v/>
      </c>
    </row>
    <row r="457" ht="15.75" customHeight="1">
      <c r="A457" s="31"/>
      <c r="B457" s="22"/>
      <c r="C457" s="22" t="str">
        <f t="shared" si="10"/>
        <v/>
      </c>
      <c r="D457" s="25"/>
      <c r="E457" s="22"/>
      <c r="F457" s="22" t="str">
        <f t="shared" si="11"/>
        <v/>
      </c>
      <c r="G457" s="22" t="str">
        <f t="shared" si="79"/>
        <v/>
      </c>
      <c r="H457" s="22" t="str">
        <f t="shared" si="80"/>
        <v/>
      </c>
    </row>
    <row r="458" ht="15.75" customHeight="1">
      <c r="A458" s="31"/>
      <c r="B458" s="22"/>
      <c r="C458" s="22" t="str">
        <f t="shared" si="10"/>
        <v/>
      </c>
      <c r="D458" s="25"/>
      <c r="E458" s="22"/>
      <c r="F458" s="22" t="str">
        <f t="shared" si="11"/>
        <v/>
      </c>
      <c r="G458" s="22" t="str">
        <f t="shared" si="79"/>
        <v/>
      </c>
      <c r="H458" s="22" t="str">
        <f t="shared" si="80"/>
        <v/>
      </c>
    </row>
    <row r="459" ht="15.75" customHeight="1">
      <c r="A459" s="31"/>
      <c r="B459" s="22"/>
      <c r="C459" s="22" t="str">
        <f t="shared" si="10"/>
        <v/>
      </c>
      <c r="D459" s="25"/>
      <c r="E459" s="22"/>
      <c r="F459" s="22" t="str">
        <f t="shared" si="11"/>
        <v/>
      </c>
      <c r="G459" s="22" t="str">
        <f t="shared" si="79"/>
        <v/>
      </c>
      <c r="H459" s="22" t="str">
        <f t="shared" si="80"/>
        <v/>
      </c>
    </row>
    <row r="460" ht="15.75" customHeight="1">
      <c r="A460" s="31"/>
      <c r="B460" s="22"/>
      <c r="C460" s="22" t="str">
        <f t="shared" si="10"/>
        <v/>
      </c>
      <c r="D460" s="25"/>
      <c r="E460" s="22"/>
      <c r="F460" s="22" t="str">
        <f t="shared" si="11"/>
        <v/>
      </c>
      <c r="G460" s="22" t="str">
        <f t="shared" si="79"/>
        <v/>
      </c>
      <c r="H460" s="22" t="str">
        <f t="shared" si="80"/>
        <v/>
      </c>
    </row>
    <row r="461" ht="15.75" customHeight="1">
      <c r="A461" s="31"/>
      <c r="B461" s="22"/>
      <c r="C461" s="22" t="str">
        <f t="shared" si="10"/>
        <v/>
      </c>
      <c r="D461" s="25"/>
      <c r="E461" s="22"/>
      <c r="F461" s="22" t="str">
        <f t="shared" si="11"/>
        <v/>
      </c>
      <c r="G461" s="22" t="str">
        <f t="shared" si="79"/>
        <v/>
      </c>
      <c r="H461" s="22" t="str">
        <f t="shared" si="80"/>
        <v/>
      </c>
    </row>
    <row r="462" ht="15.75" customHeight="1">
      <c r="A462" s="31"/>
      <c r="B462" s="22"/>
      <c r="C462" s="22" t="str">
        <f t="shared" si="10"/>
        <v/>
      </c>
      <c r="D462" s="25"/>
      <c r="E462" s="22"/>
      <c r="F462" s="22" t="str">
        <f t="shared" si="11"/>
        <v/>
      </c>
      <c r="G462" s="22" t="str">
        <f t="shared" si="79"/>
        <v/>
      </c>
      <c r="H462" s="22" t="str">
        <f t="shared" si="80"/>
        <v/>
      </c>
    </row>
    <row r="463" ht="15.75" customHeight="1">
      <c r="A463" s="31"/>
      <c r="B463" s="22"/>
      <c r="C463" s="22" t="str">
        <f t="shared" si="10"/>
        <v/>
      </c>
      <c r="D463" s="25"/>
      <c r="E463" s="22"/>
      <c r="F463" s="22" t="str">
        <f t="shared" si="11"/>
        <v/>
      </c>
      <c r="G463" s="22" t="str">
        <f t="shared" si="79"/>
        <v/>
      </c>
      <c r="H463" s="22" t="str">
        <f t="shared" si="80"/>
        <v/>
      </c>
    </row>
    <row r="464" ht="15.75" customHeight="1">
      <c r="A464" s="31"/>
      <c r="B464" s="22"/>
      <c r="C464" s="22" t="str">
        <f t="shared" si="10"/>
        <v/>
      </c>
      <c r="D464" s="25"/>
      <c r="E464" s="22"/>
      <c r="F464" s="22" t="str">
        <f t="shared" si="11"/>
        <v/>
      </c>
      <c r="G464" s="22" t="str">
        <f t="shared" si="79"/>
        <v/>
      </c>
      <c r="H464" s="22" t="str">
        <f t="shared" si="80"/>
        <v/>
      </c>
    </row>
    <row r="465" ht="15.75" customHeight="1">
      <c r="A465" s="31"/>
      <c r="B465" s="22"/>
      <c r="C465" s="22" t="str">
        <f t="shared" si="10"/>
        <v/>
      </c>
      <c r="D465" s="25"/>
      <c r="E465" s="22"/>
      <c r="F465" s="22" t="str">
        <f t="shared" si="11"/>
        <v/>
      </c>
      <c r="G465" s="22" t="str">
        <f t="shared" si="79"/>
        <v/>
      </c>
      <c r="H465" s="22" t="str">
        <f t="shared" si="80"/>
        <v/>
      </c>
    </row>
    <row r="466" ht="15.75" customHeight="1">
      <c r="A466" s="31"/>
      <c r="B466" s="22"/>
      <c r="C466" s="22" t="str">
        <f t="shared" si="10"/>
        <v/>
      </c>
      <c r="D466" s="25"/>
      <c r="E466" s="22"/>
      <c r="F466" s="22" t="str">
        <f t="shared" si="11"/>
        <v/>
      </c>
      <c r="G466" s="22" t="str">
        <f t="shared" si="79"/>
        <v/>
      </c>
      <c r="H466" s="22" t="str">
        <f t="shared" si="80"/>
        <v/>
      </c>
    </row>
    <row r="467" ht="15.75" customHeight="1">
      <c r="A467" s="31"/>
      <c r="B467" s="22"/>
      <c r="C467" s="22" t="str">
        <f t="shared" si="10"/>
        <v/>
      </c>
      <c r="D467" s="25"/>
      <c r="E467" s="22"/>
      <c r="F467" s="22" t="str">
        <f t="shared" si="11"/>
        <v/>
      </c>
      <c r="G467" s="22" t="str">
        <f t="shared" si="79"/>
        <v/>
      </c>
      <c r="H467" s="22" t="str">
        <f t="shared" si="80"/>
        <v/>
      </c>
    </row>
    <row r="468" ht="15.75" customHeight="1">
      <c r="A468" s="31"/>
      <c r="B468" s="22"/>
      <c r="C468" s="22" t="str">
        <f t="shared" si="10"/>
        <v/>
      </c>
      <c r="D468" s="25"/>
      <c r="E468" s="22"/>
      <c r="F468" s="22" t="str">
        <f t="shared" si="11"/>
        <v/>
      </c>
      <c r="G468" s="22" t="str">
        <f t="shared" si="79"/>
        <v/>
      </c>
      <c r="H468" s="22" t="str">
        <f t="shared" si="80"/>
        <v/>
      </c>
    </row>
    <row r="469" ht="15.75" customHeight="1">
      <c r="A469" s="31"/>
      <c r="B469" s="22"/>
      <c r="C469" s="22" t="str">
        <f t="shared" si="10"/>
        <v/>
      </c>
      <c r="D469" s="25"/>
      <c r="E469" s="22"/>
      <c r="F469" s="22" t="str">
        <f t="shared" si="11"/>
        <v/>
      </c>
      <c r="G469" s="22" t="str">
        <f t="shared" si="79"/>
        <v/>
      </c>
      <c r="H469" s="22" t="str">
        <f t="shared" si="80"/>
        <v/>
      </c>
    </row>
    <row r="470" ht="15.75" customHeight="1">
      <c r="A470" s="31"/>
      <c r="B470" s="22"/>
      <c r="C470" s="22" t="str">
        <f t="shared" si="10"/>
        <v/>
      </c>
      <c r="D470" s="25"/>
      <c r="E470" s="22"/>
      <c r="F470" s="22" t="str">
        <f t="shared" si="11"/>
        <v/>
      </c>
      <c r="G470" s="22" t="str">
        <f t="shared" si="79"/>
        <v/>
      </c>
      <c r="H470" s="22" t="str">
        <f t="shared" si="80"/>
        <v/>
      </c>
    </row>
    <row r="471" ht="15.75" customHeight="1">
      <c r="A471" s="31"/>
      <c r="B471" s="22"/>
      <c r="C471" s="22" t="str">
        <f t="shared" si="10"/>
        <v/>
      </c>
      <c r="D471" s="25"/>
      <c r="E471" s="22"/>
      <c r="F471" s="22" t="str">
        <f t="shared" si="11"/>
        <v/>
      </c>
      <c r="G471" s="22" t="str">
        <f t="shared" si="79"/>
        <v/>
      </c>
      <c r="H471" s="22" t="str">
        <f t="shared" si="80"/>
        <v/>
      </c>
    </row>
    <row r="472" ht="15.75" customHeight="1">
      <c r="A472" s="31"/>
      <c r="B472" s="22"/>
      <c r="C472" s="22" t="str">
        <f t="shared" si="10"/>
        <v/>
      </c>
      <c r="D472" s="25"/>
      <c r="E472" s="22"/>
      <c r="F472" s="22" t="str">
        <f t="shared" si="11"/>
        <v/>
      </c>
      <c r="G472" s="22" t="str">
        <f t="shared" si="79"/>
        <v/>
      </c>
      <c r="H472" s="22" t="str">
        <f t="shared" si="80"/>
        <v/>
      </c>
    </row>
    <row r="473" ht="15.75" customHeight="1">
      <c r="A473" s="31"/>
      <c r="B473" s="22"/>
      <c r="C473" s="22" t="str">
        <f t="shared" si="10"/>
        <v/>
      </c>
      <c r="D473" s="25"/>
      <c r="E473" s="22"/>
      <c r="F473" s="22" t="str">
        <f t="shared" si="11"/>
        <v/>
      </c>
      <c r="G473" s="22" t="str">
        <f t="shared" si="79"/>
        <v/>
      </c>
      <c r="H473" s="22" t="str">
        <f t="shared" si="80"/>
        <v/>
      </c>
    </row>
    <row r="474" ht="15.75" customHeight="1">
      <c r="A474" s="31"/>
      <c r="B474" s="22"/>
      <c r="C474" s="22" t="str">
        <f t="shared" si="10"/>
        <v/>
      </c>
      <c r="D474" s="25"/>
      <c r="E474" s="22"/>
      <c r="F474" s="22" t="str">
        <f t="shared" si="11"/>
        <v/>
      </c>
      <c r="G474" s="22" t="str">
        <f t="shared" si="79"/>
        <v/>
      </c>
      <c r="H474" s="22" t="str">
        <f t="shared" si="80"/>
        <v/>
      </c>
    </row>
    <row r="475" ht="15.75" customHeight="1">
      <c r="A475" s="31"/>
      <c r="B475" s="22"/>
      <c r="C475" s="22" t="str">
        <f t="shared" si="10"/>
        <v/>
      </c>
      <c r="D475" s="25"/>
      <c r="E475" s="22"/>
      <c r="F475" s="22" t="str">
        <f t="shared" si="11"/>
        <v/>
      </c>
      <c r="G475" s="22" t="str">
        <f t="shared" si="79"/>
        <v/>
      </c>
      <c r="H475" s="22" t="str">
        <f t="shared" si="80"/>
        <v/>
      </c>
    </row>
    <row r="476" ht="15.75" customHeight="1">
      <c r="A476" s="31"/>
      <c r="B476" s="22"/>
      <c r="C476" s="22" t="str">
        <f t="shared" si="10"/>
        <v/>
      </c>
      <c r="D476" s="25"/>
      <c r="E476" s="22"/>
      <c r="F476" s="22" t="str">
        <f t="shared" si="11"/>
        <v/>
      </c>
      <c r="G476" s="22" t="str">
        <f t="shared" si="79"/>
        <v/>
      </c>
      <c r="H476" s="22" t="str">
        <f t="shared" si="80"/>
        <v/>
      </c>
    </row>
    <row r="477" ht="15.75" customHeight="1">
      <c r="A477" s="31"/>
      <c r="B477" s="22"/>
      <c r="C477" s="22" t="str">
        <f t="shared" si="10"/>
        <v/>
      </c>
      <c r="D477" s="25"/>
      <c r="E477" s="22"/>
      <c r="F477" s="22" t="str">
        <f t="shared" si="11"/>
        <v/>
      </c>
      <c r="G477" s="22" t="str">
        <f t="shared" si="79"/>
        <v/>
      </c>
      <c r="H477" s="22" t="str">
        <f t="shared" si="80"/>
        <v/>
      </c>
    </row>
    <row r="478" ht="15.75" customHeight="1">
      <c r="A478" s="31"/>
      <c r="B478" s="22"/>
      <c r="C478" s="22" t="str">
        <f t="shared" si="10"/>
        <v/>
      </c>
      <c r="D478" s="25"/>
      <c r="E478" s="22"/>
      <c r="F478" s="22" t="str">
        <f t="shared" si="11"/>
        <v/>
      </c>
      <c r="G478" s="22" t="str">
        <f t="shared" si="79"/>
        <v/>
      </c>
      <c r="H478" s="22" t="str">
        <f t="shared" si="80"/>
        <v/>
      </c>
    </row>
    <row r="479" ht="15.75" customHeight="1">
      <c r="A479" s="31"/>
      <c r="B479" s="22"/>
      <c r="C479" s="22" t="str">
        <f t="shared" si="10"/>
        <v/>
      </c>
      <c r="D479" s="25"/>
      <c r="E479" s="22"/>
      <c r="F479" s="22" t="str">
        <f t="shared" si="11"/>
        <v/>
      </c>
      <c r="G479" s="22" t="str">
        <f t="shared" si="79"/>
        <v/>
      </c>
      <c r="H479" s="22" t="str">
        <f t="shared" si="80"/>
        <v/>
      </c>
    </row>
    <row r="480" ht="15.75" customHeight="1">
      <c r="A480" s="31"/>
      <c r="B480" s="22"/>
      <c r="C480" s="22" t="str">
        <f t="shared" si="10"/>
        <v/>
      </c>
      <c r="D480" s="25"/>
      <c r="E480" s="22"/>
      <c r="F480" s="22" t="str">
        <f t="shared" si="11"/>
        <v/>
      </c>
      <c r="G480" s="22" t="str">
        <f t="shared" si="79"/>
        <v/>
      </c>
      <c r="H480" s="22" t="str">
        <f t="shared" si="80"/>
        <v/>
      </c>
    </row>
    <row r="481" ht="15.75" customHeight="1">
      <c r="A481" s="31"/>
      <c r="B481" s="22"/>
      <c r="C481" s="22" t="str">
        <f t="shared" si="10"/>
        <v/>
      </c>
      <c r="D481" s="25"/>
      <c r="E481" s="22"/>
      <c r="F481" s="22" t="str">
        <f t="shared" si="11"/>
        <v/>
      </c>
      <c r="G481" s="22" t="str">
        <f t="shared" si="79"/>
        <v/>
      </c>
      <c r="H481" s="22" t="str">
        <f t="shared" si="80"/>
        <v/>
      </c>
    </row>
    <row r="482" ht="15.75" customHeight="1">
      <c r="A482" s="31"/>
      <c r="B482" s="22"/>
      <c r="C482" s="22" t="str">
        <f t="shared" si="10"/>
        <v/>
      </c>
      <c r="D482" s="25"/>
      <c r="E482" s="22"/>
      <c r="F482" s="22" t="str">
        <f t="shared" si="11"/>
        <v/>
      </c>
      <c r="G482" s="22" t="str">
        <f t="shared" si="79"/>
        <v/>
      </c>
      <c r="H482" s="22" t="str">
        <f t="shared" si="80"/>
        <v/>
      </c>
    </row>
    <row r="483" ht="15.75" customHeight="1">
      <c r="A483" s="31"/>
      <c r="B483" s="22"/>
      <c r="C483" s="22" t="str">
        <f t="shared" si="10"/>
        <v/>
      </c>
      <c r="D483" s="25"/>
      <c r="E483" s="22"/>
      <c r="F483" s="22" t="str">
        <f t="shared" si="11"/>
        <v/>
      </c>
      <c r="G483" s="22" t="str">
        <f t="shared" si="79"/>
        <v/>
      </c>
      <c r="H483" s="22" t="str">
        <f t="shared" si="80"/>
        <v/>
      </c>
    </row>
    <row r="484" ht="15.75" customHeight="1">
      <c r="A484" s="31"/>
      <c r="B484" s="22"/>
      <c r="C484" s="22" t="str">
        <f t="shared" si="10"/>
        <v/>
      </c>
      <c r="D484" s="25"/>
      <c r="E484" s="22"/>
      <c r="F484" s="22" t="str">
        <f t="shared" si="11"/>
        <v/>
      </c>
      <c r="G484" s="22" t="str">
        <f t="shared" si="79"/>
        <v/>
      </c>
      <c r="H484" s="22" t="str">
        <f t="shared" si="80"/>
        <v/>
      </c>
    </row>
    <row r="485" ht="15.75" customHeight="1">
      <c r="A485" s="31"/>
      <c r="B485" s="22"/>
      <c r="C485" s="22" t="str">
        <f t="shared" si="10"/>
        <v/>
      </c>
      <c r="D485" s="25"/>
      <c r="E485" s="22"/>
      <c r="F485" s="22" t="str">
        <f t="shared" si="11"/>
        <v/>
      </c>
      <c r="G485" s="22" t="str">
        <f t="shared" si="79"/>
        <v/>
      </c>
      <c r="H485" s="22" t="str">
        <f t="shared" si="80"/>
        <v/>
      </c>
    </row>
    <row r="486" ht="15.75" customHeight="1">
      <c r="A486" s="31"/>
      <c r="B486" s="22"/>
      <c r="C486" s="22" t="str">
        <f t="shared" si="10"/>
        <v/>
      </c>
      <c r="D486" s="25"/>
      <c r="E486" s="22"/>
      <c r="F486" s="22" t="str">
        <f t="shared" si="11"/>
        <v/>
      </c>
      <c r="G486" s="22" t="str">
        <f t="shared" si="79"/>
        <v/>
      </c>
      <c r="H486" s="22" t="str">
        <f t="shared" si="80"/>
        <v/>
      </c>
    </row>
    <row r="487" ht="15.75" customHeight="1">
      <c r="A487" s="31"/>
      <c r="B487" s="22"/>
      <c r="C487" s="22" t="str">
        <f t="shared" si="10"/>
        <v/>
      </c>
      <c r="D487" s="25"/>
      <c r="E487" s="22"/>
      <c r="F487" s="22" t="str">
        <f t="shared" si="11"/>
        <v/>
      </c>
      <c r="G487" s="22" t="str">
        <f t="shared" si="79"/>
        <v/>
      </c>
      <c r="H487" s="22" t="str">
        <f t="shared" si="80"/>
        <v/>
      </c>
    </row>
    <row r="488" ht="15.75" customHeight="1">
      <c r="A488" s="31"/>
      <c r="B488" s="22"/>
      <c r="C488" s="22" t="str">
        <f t="shared" si="10"/>
        <v/>
      </c>
      <c r="D488" s="25"/>
      <c r="E488" s="22"/>
      <c r="F488" s="22" t="str">
        <f t="shared" si="11"/>
        <v/>
      </c>
      <c r="G488" s="22" t="str">
        <f t="shared" si="79"/>
        <v/>
      </c>
      <c r="H488" s="22" t="str">
        <f t="shared" si="80"/>
        <v/>
      </c>
    </row>
    <row r="489" ht="15.75" customHeight="1">
      <c r="A489" s="31"/>
      <c r="B489" s="22"/>
      <c r="C489" s="22" t="str">
        <f t="shared" si="10"/>
        <v/>
      </c>
      <c r="D489" s="25"/>
      <c r="E489" s="22"/>
      <c r="F489" s="22" t="str">
        <f t="shared" si="11"/>
        <v/>
      </c>
      <c r="G489" s="22" t="str">
        <f t="shared" si="79"/>
        <v/>
      </c>
      <c r="H489" s="22" t="str">
        <f t="shared" si="80"/>
        <v/>
      </c>
    </row>
    <row r="490" ht="15.75" customHeight="1">
      <c r="A490" s="31"/>
      <c r="B490" s="22"/>
      <c r="C490" s="22" t="str">
        <f t="shared" si="10"/>
        <v/>
      </c>
      <c r="D490" s="25"/>
      <c r="E490" s="22"/>
      <c r="F490" s="22" t="str">
        <f t="shared" si="11"/>
        <v/>
      </c>
      <c r="G490" s="22" t="str">
        <f t="shared" si="79"/>
        <v/>
      </c>
      <c r="H490" s="22" t="str">
        <f t="shared" si="80"/>
        <v/>
      </c>
    </row>
    <row r="491" ht="15.75" customHeight="1">
      <c r="A491" s="31"/>
      <c r="B491" s="22"/>
      <c r="C491" s="22" t="str">
        <f t="shared" si="10"/>
        <v/>
      </c>
      <c r="D491" s="25"/>
      <c r="E491" s="22"/>
      <c r="F491" s="22" t="str">
        <f t="shared" si="11"/>
        <v/>
      </c>
      <c r="G491" s="22" t="str">
        <f t="shared" si="79"/>
        <v/>
      </c>
      <c r="H491" s="22" t="str">
        <f t="shared" si="80"/>
        <v/>
      </c>
    </row>
    <row r="492" ht="15.75" customHeight="1">
      <c r="A492" s="31"/>
      <c r="B492" s="22"/>
      <c r="C492" s="22" t="str">
        <f t="shared" si="10"/>
        <v/>
      </c>
      <c r="D492" s="25"/>
      <c r="E492" s="22"/>
      <c r="F492" s="22" t="str">
        <f t="shared" si="11"/>
        <v/>
      </c>
      <c r="G492" s="22" t="str">
        <f t="shared" si="79"/>
        <v/>
      </c>
      <c r="H492" s="22" t="str">
        <f t="shared" si="80"/>
        <v/>
      </c>
    </row>
    <row r="493" ht="15.75" customHeight="1">
      <c r="A493" s="31"/>
      <c r="B493" s="22"/>
      <c r="C493" s="22" t="str">
        <f t="shared" si="10"/>
        <v/>
      </c>
      <c r="D493" s="25"/>
      <c r="E493" s="22"/>
      <c r="F493" s="22" t="str">
        <f t="shared" si="11"/>
        <v/>
      </c>
      <c r="G493" s="22" t="str">
        <f t="shared" si="79"/>
        <v/>
      </c>
      <c r="H493" s="22" t="str">
        <f t="shared" si="80"/>
        <v/>
      </c>
    </row>
    <row r="494" ht="15.75" customHeight="1">
      <c r="A494" s="31"/>
      <c r="B494" s="22"/>
      <c r="C494" s="22" t="str">
        <f t="shared" si="10"/>
        <v/>
      </c>
      <c r="D494" s="25"/>
      <c r="E494" s="22"/>
      <c r="F494" s="22" t="str">
        <f t="shared" si="11"/>
        <v/>
      </c>
      <c r="G494" s="22" t="str">
        <f t="shared" si="79"/>
        <v/>
      </c>
      <c r="H494" s="22" t="str">
        <f t="shared" si="80"/>
        <v/>
      </c>
    </row>
    <row r="495" ht="15.75" customHeight="1">
      <c r="A495" s="31"/>
      <c r="B495" s="22"/>
      <c r="C495" s="22" t="str">
        <f t="shared" si="10"/>
        <v/>
      </c>
      <c r="D495" s="25"/>
      <c r="E495" s="22"/>
      <c r="F495" s="22" t="str">
        <f t="shared" si="11"/>
        <v/>
      </c>
      <c r="G495" s="22" t="str">
        <f t="shared" si="79"/>
        <v/>
      </c>
      <c r="H495" s="22" t="str">
        <f t="shared" si="80"/>
        <v/>
      </c>
    </row>
    <row r="496" ht="15.75" customHeight="1">
      <c r="A496" s="31"/>
      <c r="B496" s="22"/>
      <c r="C496" s="22" t="str">
        <f t="shared" si="10"/>
        <v/>
      </c>
      <c r="D496" s="25"/>
      <c r="E496" s="22"/>
      <c r="F496" s="22" t="str">
        <f t="shared" si="11"/>
        <v/>
      </c>
      <c r="G496" s="22" t="str">
        <f t="shared" si="79"/>
        <v/>
      </c>
      <c r="H496" s="22" t="str">
        <f t="shared" si="80"/>
        <v/>
      </c>
    </row>
    <row r="497" ht="15.75" customHeight="1">
      <c r="A497" s="31"/>
      <c r="B497" s="22"/>
      <c r="C497" s="22" t="str">
        <f t="shared" si="10"/>
        <v/>
      </c>
      <c r="D497" s="25"/>
      <c r="E497" s="22"/>
      <c r="F497" s="22" t="str">
        <f t="shared" si="11"/>
        <v/>
      </c>
      <c r="G497" s="22" t="str">
        <f t="shared" si="79"/>
        <v/>
      </c>
      <c r="H497" s="22" t="str">
        <f t="shared" si="80"/>
        <v/>
      </c>
    </row>
    <row r="498" ht="15.75" customHeight="1">
      <c r="A498" s="31"/>
      <c r="B498" s="22"/>
      <c r="C498" s="22" t="str">
        <f t="shared" si="10"/>
        <v/>
      </c>
      <c r="D498" s="25"/>
      <c r="E498" s="22"/>
      <c r="F498" s="22" t="str">
        <f t="shared" si="11"/>
        <v/>
      </c>
      <c r="G498" s="22" t="str">
        <f t="shared" si="79"/>
        <v/>
      </c>
      <c r="H498" s="22" t="str">
        <f t="shared" si="80"/>
        <v/>
      </c>
    </row>
    <row r="499" ht="15.75" customHeight="1">
      <c r="A499" s="31"/>
      <c r="B499" s="22"/>
      <c r="C499" s="22" t="str">
        <f t="shared" si="10"/>
        <v/>
      </c>
      <c r="D499" s="25"/>
      <c r="E499" s="22"/>
      <c r="F499" s="22" t="str">
        <f t="shared" si="11"/>
        <v/>
      </c>
      <c r="G499" s="22" t="str">
        <f t="shared" si="79"/>
        <v/>
      </c>
      <c r="H499" s="22" t="str">
        <f t="shared" si="80"/>
        <v/>
      </c>
    </row>
    <row r="500" ht="15.75" customHeight="1">
      <c r="A500" s="31"/>
      <c r="B500" s="22"/>
      <c r="C500" s="22" t="str">
        <f t="shared" si="10"/>
        <v/>
      </c>
      <c r="D500" s="25"/>
      <c r="E500" s="22"/>
      <c r="F500" s="22" t="str">
        <f t="shared" si="11"/>
        <v/>
      </c>
      <c r="G500" s="22" t="str">
        <f t="shared" si="79"/>
        <v/>
      </c>
      <c r="H500" s="22" t="str">
        <f t="shared" si="80"/>
        <v/>
      </c>
    </row>
    <row r="501" ht="15.75" customHeight="1">
      <c r="A501" s="31"/>
      <c r="B501" s="22"/>
      <c r="C501" s="22" t="str">
        <f t="shared" si="10"/>
        <v/>
      </c>
      <c r="D501" s="25"/>
      <c r="E501" s="22"/>
      <c r="F501" s="22" t="str">
        <f t="shared" si="11"/>
        <v/>
      </c>
      <c r="G501" s="22" t="str">
        <f t="shared" si="79"/>
        <v/>
      </c>
      <c r="H501" s="22" t="str">
        <f t="shared" si="80"/>
        <v/>
      </c>
    </row>
    <row r="502" ht="15.75" customHeight="1">
      <c r="A502" s="31"/>
      <c r="B502" s="22"/>
      <c r="C502" s="22" t="str">
        <f t="shared" si="10"/>
        <v/>
      </c>
      <c r="D502" s="25"/>
      <c r="E502" s="22"/>
      <c r="F502" s="22" t="str">
        <f t="shared" si="11"/>
        <v/>
      </c>
      <c r="G502" s="22" t="str">
        <f t="shared" si="79"/>
        <v/>
      </c>
      <c r="H502" s="22" t="str">
        <f t="shared" si="80"/>
        <v/>
      </c>
    </row>
    <row r="503" ht="15.75" customHeight="1">
      <c r="A503" s="31"/>
      <c r="B503" s="22"/>
      <c r="C503" s="22" t="str">
        <f t="shared" si="10"/>
        <v/>
      </c>
      <c r="D503" s="25"/>
      <c r="E503" s="22"/>
      <c r="F503" s="22" t="str">
        <f t="shared" si="11"/>
        <v/>
      </c>
      <c r="G503" s="22" t="str">
        <f t="shared" si="79"/>
        <v/>
      </c>
      <c r="H503" s="22" t="str">
        <f t="shared" si="80"/>
        <v/>
      </c>
    </row>
    <row r="504" ht="15.75" customHeight="1">
      <c r="A504" s="31"/>
      <c r="B504" s="22"/>
      <c r="C504" s="22" t="str">
        <f t="shared" si="10"/>
        <v/>
      </c>
      <c r="D504" s="25"/>
      <c r="E504" s="22"/>
      <c r="F504" s="22" t="str">
        <f t="shared" si="11"/>
        <v/>
      </c>
      <c r="G504" s="22" t="str">
        <f t="shared" si="79"/>
        <v/>
      </c>
      <c r="H504" s="22" t="str">
        <f t="shared" si="80"/>
        <v/>
      </c>
    </row>
    <row r="505" ht="15.75" customHeight="1">
      <c r="A505" s="31"/>
      <c r="B505" s="22"/>
      <c r="C505" s="22" t="str">
        <f t="shared" si="10"/>
        <v/>
      </c>
      <c r="D505" s="25"/>
      <c r="E505" s="22"/>
      <c r="F505" s="22" t="str">
        <f t="shared" si="11"/>
        <v/>
      </c>
      <c r="G505" s="22" t="str">
        <f t="shared" si="79"/>
        <v/>
      </c>
      <c r="H505" s="22" t="str">
        <f t="shared" si="80"/>
        <v/>
      </c>
    </row>
    <row r="506" ht="15.75" customHeight="1">
      <c r="A506" s="31"/>
      <c r="B506" s="22"/>
      <c r="C506" s="22" t="str">
        <f t="shared" si="10"/>
        <v/>
      </c>
      <c r="D506" s="25"/>
      <c r="E506" s="22"/>
      <c r="F506" s="22" t="str">
        <f t="shared" si="11"/>
        <v/>
      </c>
      <c r="G506" s="22" t="str">
        <f t="shared" si="79"/>
        <v/>
      </c>
      <c r="H506" s="22" t="str">
        <f t="shared" si="80"/>
        <v/>
      </c>
    </row>
    <row r="507" ht="15.75" customHeight="1">
      <c r="A507" s="31"/>
      <c r="B507" s="22"/>
      <c r="C507" s="22" t="str">
        <f t="shared" si="10"/>
        <v/>
      </c>
      <c r="D507" s="25"/>
      <c r="E507" s="22"/>
      <c r="F507" s="22" t="str">
        <f t="shared" si="11"/>
        <v/>
      </c>
      <c r="G507" s="22" t="str">
        <f t="shared" si="79"/>
        <v/>
      </c>
      <c r="H507" s="22" t="str">
        <f t="shared" si="80"/>
        <v/>
      </c>
    </row>
    <row r="508" ht="15.75" customHeight="1">
      <c r="A508" s="31"/>
      <c r="B508" s="22"/>
      <c r="C508" s="22" t="str">
        <f t="shared" si="10"/>
        <v/>
      </c>
      <c r="D508" s="25"/>
      <c r="E508" s="22"/>
      <c r="F508" s="22" t="str">
        <f t="shared" si="11"/>
        <v/>
      </c>
      <c r="G508" s="22" t="str">
        <f t="shared" si="79"/>
        <v/>
      </c>
      <c r="H508" s="22" t="str">
        <f t="shared" si="80"/>
        <v/>
      </c>
    </row>
    <row r="509" ht="15.75" customHeight="1">
      <c r="A509" s="31"/>
      <c r="B509" s="22"/>
      <c r="C509" s="22" t="str">
        <f t="shared" si="10"/>
        <v/>
      </c>
      <c r="D509" s="25"/>
      <c r="E509" s="22"/>
      <c r="F509" s="22" t="str">
        <f t="shared" si="11"/>
        <v/>
      </c>
      <c r="G509" s="22" t="str">
        <f t="shared" si="79"/>
        <v/>
      </c>
      <c r="H509" s="22" t="str">
        <f t="shared" si="80"/>
        <v/>
      </c>
    </row>
    <row r="510" ht="15.75" customHeight="1">
      <c r="A510" s="31"/>
      <c r="B510" s="22"/>
      <c r="C510" s="22" t="str">
        <f t="shared" si="10"/>
        <v/>
      </c>
      <c r="D510" s="25"/>
      <c r="E510" s="22"/>
      <c r="F510" s="22" t="str">
        <f t="shared" si="11"/>
        <v/>
      </c>
      <c r="G510" s="22" t="str">
        <f t="shared" si="79"/>
        <v/>
      </c>
      <c r="H510" s="22" t="str">
        <f t="shared" si="80"/>
        <v/>
      </c>
    </row>
    <row r="511" ht="15.75" customHeight="1">
      <c r="A511" s="31"/>
      <c r="B511" s="22"/>
      <c r="C511" s="22" t="str">
        <f t="shared" si="10"/>
        <v/>
      </c>
      <c r="D511" s="25"/>
      <c r="E511" s="22"/>
      <c r="F511" s="22" t="str">
        <f t="shared" si="11"/>
        <v/>
      </c>
      <c r="G511" s="22" t="str">
        <f t="shared" si="79"/>
        <v/>
      </c>
      <c r="H511" s="22" t="str">
        <f t="shared" si="80"/>
        <v/>
      </c>
    </row>
    <row r="512" ht="15.75" customHeight="1">
      <c r="A512" s="31"/>
      <c r="B512" s="22"/>
      <c r="C512" s="22" t="str">
        <f t="shared" si="10"/>
        <v/>
      </c>
      <c r="D512" s="25"/>
      <c r="E512" s="22"/>
      <c r="F512" s="22" t="str">
        <f t="shared" si="11"/>
        <v/>
      </c>
      <c r="G512" s="22" t="str">
        <f t="shared" si="79"/>
        <v/>
      </c>
      <c r="H512" s="22" t="str">
        <f t="shared" si="80"/>
        <v/>
      </c>
    </row>
    <row r="513" ht="15.75" customHeight="1">
      <c r="A513" s="31"/>
      <c r="B513" s="22"/>
      <c r="C513" s="22" t="str">
        <f t="shared" si="10"/>
        <v/>
      </c>
      <c r="D513" s="25"/>
      <c r="E513" s="22"/>
      <c r="F513" s="22" t="str">
        <f t="shared" si="11"/>
        <v/>
      </c>
      <c r="G513" s="22" t="str">
        <f t="shared" si="79"/>
        <v/>
      </c>
      <c r="H513" s="22" t="str">
        <f t="shared" si="80"/>
        <v/>
      </c>
    </row>
    <row r="514" ht="15.75" customHeight="1">
      <c r="A514" s="31"/>
      <c r="B514" s="22"/>
      <c r="C514" s="22" t="str">
        <f t="shared" si="10"/>
        <v/>
      </c>
      <c r="D514" s="25"/>
      <c r="E514" s="22"/>
      <c r="F514" s="22" t="str">
        <f t="shared" si="11"/>
        <v/>
      </c>
      <c r="G514" s="22" t="str">
        <f t="shared" si="79"/>
        <v/>
      </c>
      <c r="H514" s="22" t="str">
        <f t="shared" si="80"/>
        <v/>
      </c>
    </row>
    <row r="515" ht="15.75" customHeight="1">
      <c r="A515" s="31"/>
      <c r="B515" s="22"/>
      <c r="C515" s="22" t="str">
        <f t="shared" si="10"/>
        <v/>
      </c>
      <c r="D515" s="25"/>
      <c r="E515" s="22"/>
      <c r="F515" s="22" t="str">
        <f t="shared" si="11"/>
        <v/>
      </c>
      <c r="G515" s="22" t="str">
        <f t="shared" si="79"/>
        <v/>
      </c>
      <c r="H515" s="22" t="str">
        <f t="shared" si="80"/>
        <v/>
      </c>
    </row>
    <row r="516" ht="15.75" customHeight="1">
      <c r="A516" s="31"/>
      <c r="B516" s="22"/>
      <c r="C516" s="22" t="str">
        <f t="shared" si="10"/>
        <v/>
      </c>
      <c r="D516" s="25"/>
      <c r="E516" s="22"/>
      <c r="F516" s="22" t="str">
        <f t="shared" si="11"/>
        <v/>
      </c>
      <c r="G516" s="22" t="str">
        <f t="shared" si="79"/>
        <v/>
      </c>
      <c r="H516" s="22" t="str">
        <f t="shared" si="80"/>
        <v/>
      </c>
    </row>
    <row r="517" ht="15.75" customHeight="1">
      <c r="A517" s="31"/>
      <c r="B517" s="22"/>
      <c r="C517" s="22" t="str">
        <f t="shared" si="10"/>
        <v/>
      </c>
      <c r="D517" s="25"/>
      <c r="E517" s="22"/>
      <c r="F517" s="22" t="str">
        <f t="shared" si="11"/>
        <v/>
      </c>
      <c r="G517" s="22" t="str">
        <f t="shared" si="79"/>
        <v/>
      </c>
      <c r="H517" s="22" t="str">
        <f t="shared" si="80"/>
        <v/>
      </c>
    </row>
    <row r="518" ht="15.75" customHeight="1">
      <c r="A518" s="31"/>
      <c r="B518" s="22"/>
      <c r="C518" s="22" t="str">
        <f t="shared" si="10"/>
        <v/>
      </c>
      <c r="D518" s="25"/>
      <c r="E518" s="22"/>
      <c r="F518" s="22" t="str">
        <f t="shared" si="11"/>
        <v/>
      </c>
      <c r="G518" s="22" t="str">
        <f t="shared" si="79"/>
        <v/>
      </c>
      <c r="H518" s="22" t="str">
        <f t="shared" si="80"/>
        <v/>
      </c>
    </row>
    <row r="519" ht="15.75" customHeight="1">
      <c r="A519" s="31"/>
      <c r="B519" s="22"/>
      <c r="C519" s="22" t="str">
        <f t="shared" si="10"/>
        <v/>
      </c>
      <c r="D519" s="25"/>
      <c r="E519" s="22"/>
      <c r="F519" s="22" t="str">
        <f t="shared" si="11"/>
        <v/>
      </c>
      <c r="G519" s="22" t="str">
        <f t="shared" si="79"/>
        <v/>
      </c>
      <c r="H519" s="22" t="str">
        <f t="shared" si="80"/>
        <v/>
      </c>
    </row>
    <row r="520" ht="15.75" customHeight="1">
      <c r="A520" s="31"/>
      <c r="B520" s="22"/>
      <c r="C520" s="22" t="str">
        <f t="shared" si="10"/>
        <v/>
      </c>
      <c r="D520" s="25"/>
      <c r="E520" s="22"/>
      <c r="F520" s="22" t="str">
        <f t="shared" si="11"/>
        <v/>
      </c>
      <c r="G520" s="22" t="str">
        <f t="shared" si="79"/>
        <v/>
      </c>
      <c r="H520" s="22" t="str">
        <f t="shared" si="80"/>
        <v/>
      </c>
    </row>
    <row r="521" ht="15.75" customHeight="1">
      <c r="A521" s="31"/>
      <c r="B521" s="22"/>
      <c r="C521" s="22" t="str">
        <f t="shared" si="10"/>
        <v/>
      </c>
      <c r="D521" s="25"/>
      <c r="E521" s="22"/>
      <c r="F521" s="22" t="str">
        <f t="shared" si="11"/>
        <v/>
      </c>
      <c r="G521" s="22" t="str">
        <f t="shared" si="79"/>
        <v/>
      </c>
      <c r="H521" s="22" t="str">
        <f t="shared" si="80"/>
        <v/>
      </c>
    </row>
    <row r="522" ht="15.75" customHeight="1">
      <c r="A522" s="31"/>
      <c r="B522" s="22"/>
      <c r="C522" s="22" t="str">
        <f t="shared" si="10"/>
        <v/>
      </c>
      <c r="D522" s="25"/>
      <c r="E522" s="22"/>
      <c r="F522" s="22" t="str">
        <f t="shared" si="11"/>
        <v/>
      </c>
      <c r="G522" s="22" t="str">
        <f t="shared" si="79"/>
        <v/>
      </c>
      <c r="H522" s="22" t="str">
        <f t="shared" si="80"/>
        <v/>
      </c>
    </row>
    <row r="523" ht="15.75" customHeight="1">
      <c r="A523" s="31"/>
      <c r="B523" s="22"/>
      <c r="C523" s="22" t="str">
        <f t="shared" si="10"/>
        <v/>
      </c>
      <c r="D523" s="25"/>
      <c r="E523" s="22"/>
      <c r="F523" s="22" t="str">
        <f t="shared" si="11"/>
        <v/>
      </c>
      <c r="G523" s="22" t="str">
        <f t="shared" si="79"/>
        <v/>
      </c>
      <c r="H523" s="22" t="str">
        <f t="shared" si="80"/>
        <v/>
      </c>
    </row>
    <row r="524" ht="15.75" customHeight="1">
      <c r="A524" s="31"/>
      <c r="B524" s="22"/>
      <c r="C524" s="22" t="str">
        <f t="shared" si="10"/>
        <v/>
      </c>
      <c r="D524" s="25"/>
      <c r="E524" s="22"/>
      <c r="F524" s="22" t="str">
        <f t="shared" si="11"/>
        <v/>
      </c>
      <c r="G524" s="22" t="str">
        <f t="shared" si="79"/>
        <v/>
      </c>
      <c r="H524" s="22" t="str">
        <f t="shared" si="80"/>
        <v/>
      </c>
    </row>
    <row r="525" ht="15.75" customHeight="1">
      <c r="A525" s="31"/>
      <c r="B525" s="22"/>
      <c r="C525" s="22" t="str">
        <f t="shared" si="10"/>
        <v/>
      </c>
      <c r="D525" s="25"/>
      <c r="E525" s="22"/>
      <c r="F525" s="22" t="str">
        <f t="shared" si="11"/>
        <v/>
      </c>
      <c r="G525" s="22" t="str">
        <f t="shared" si="79"/>
        <v/>
      </c>
      <c r="H525" s="22" t="str">
        <f t="shared" si="80"/>
        <v/>
      </c>
    </row>
    <row r="526" ht="15.75" customHeight="1">
      <c r="A526" s="31"/>
      <c r="B526" s="22"/>
      <c r="C526" s="22" t="str">
        <f t="shared" si="10"/>
        <v/>
      </c>
      <c r="D526" s="25"/>
      <c r="E526" s="22"/>
      <c r="F526" s="22" t="str">
        <f t="shared" si="11"/>
        <v/>
      </c>
      <c r="G526" s="22" t="str">
        <f t="shared" si="79"/>
        <v/>
      </c>
      <c r="H526" s="22" t="str">
        <f t="shared" si="80"/>
        <v/>
      </c>
    </row>
    <row r="527" ht="15.75" customHeight="1">
      <c r="A527" s="31"/>
      <c r="B527" s="22"/>
      <c r="C527" s="22" t="str">
        <f t="shared" si="10"/>
        <v/>
      </c>
      <c r="D527" s="25"/>
      <c r="E527" s="22"/>
      <c r="F527" s="22" t="str">
        <f t="shared" si="11"/>
        <v/>
      </c>
      <c r="G527" s="22" t="str">
        <f t="shared" si="79"/>
        <v/>
      </c>
      <c r="H527" s="22" t="str">
        <f t="shared" si="80"/>
        <v/>
      </c>
    </row>
    <row r="528" ht="15.75" customHeight="1">
      <c r="A528" s="31"/>
      <c r="B528" s="22"/>
      <c r="C528" s="22" t="str">
        <f t="shared" si="10"/>
        <v/>
      </c>
      <c r="D528" s="25"/>
      <c r="E528" s="22"/>
      <c r="F528" s="22" t="str">
        <f t="shared" si="11"/>
        <v/>
      </c>
      <c r="G528" s="22" t="str">
        <f t="shared" si="79"/>
        <v/>
      </c>
      <c r="H528" s="22" t="str">
        <f t="shared" si="80"/>
        <v/>
      </c>
    </row>
    <row r="529" ht="15.75" customHeight="1">
      <c r="A529" s="31"/>
      <c r="B529" s="22"/>
      <c r="C529" s="22" t="str">
        <f t="shared" si="10"/>
        <v/>
      </c>
      <c r="D529" s="25"/>
      <c r="E529" s="22"/>
      <c r="F529" s="22" t="str">
        <f t="shared" si="11"/>
        <v/>
      </c>
      <c r="G529" s="22" t="str">
        <f t="shared" si="79"/>
        <v/>
      </c>
      <c r="H529" s="22" t="str">
        <f t="shared" si="80"/>
        <v/>
      </c>
    </row>
    <row r="530" ht="15.75" customHeight="1">
      <c r="A530" s="31"/>
      <c r="B530" s="22"/>
      <c r="C530" s="22" t="str">
        <f t="shared" si="10"/>
        <v/>
      </c>
      <c r="D530" s="25"/>
      <c r="E530" s="22"/>
      <c r="F530" s="22" t="str">
        <f t="shared" si="11"/>
        <v/>
      </c>
      <c r="G530" s="22" t="str">
        <f t="shared" si="79"/>
        <v/>
      </c>
      <c r="H530" s="22" t="str">
        <f t="shared" si="80"/>
        <v/>
      </c>
    </row>
    <row r="531" ht="15.75" customHeight="1">
      <c r="A531" s="31"/>
      <c r="B531" s="22"/>
      <c r="C531" s="22" t="str">
        <f t="shared" si="10"/>
        <v/>
      </c>
      <c r="D531" s="25"/>
      <c r="E531" s="22"/>
      <c r="F531" s="22" t="str">
        <f t="shared" si="11"/>
        <v/>
      </c>
      <c r="G531" s="22" t="str">
        <f t="shared" si="79"/>
        <v/>
      </c>
      <c r="H531" s="22" t="str">
        <f t="shared" si="80"/>
        <v/>
      </c>
    </row>
    <row r="532" ht="15.75" customHeight="1">
      <c r="A532" s="31"/>
      <c r="B532" s="22"/>
      <c r="C532" s="22" t="str">
        <f t="shared" si="10"/>
        <v/>
      </c>
      <c r="D532" s="25"/>
      <c r="E532" s="22"/>
      <c r="F532" s="22" t="str">
        <f t="shared" si="11"/>
        <v/>
      </c>
      <c r="G532" s="22" t="str">
        <f t="shared" si="79"/>
        <v/>
      </c>
      <c r="H532" s="22" t="str">
        <f t="shared" si="80"/>
        <v/>
      </c>
    </row>
    <row r="533" ht="15.75" customHeight="1">
      <c r="A533" s="31"/>
      <c r="B533" s="22"/>
      <c r="C533" s="22" t="str">
        <f t="shared" si="10"/>
        <v/>
      </c>
      <c r="D533" s="25"/>
      <c r="E533" s="22"/>
      <c r="F533" s="22" t="str">
        <f t="shared" si="11"/>
        <v/>
      </c>
      <c r="G533" s="22" t="str">
        <f t="shared" si="79"/>
        <v/>
      </c>
      <c r="H533" s="22" t="str">
        <f t="shared" si="80"/>
        <v/>
      </c>
    </row>
    <row r="534" ht="15.75" customHeight="1">
      <c r="A534" s="31"/>
      <c r="B534" s="22"/>
      <c r="C534" s="22" t="str">
        <f t="shared" si="10"/>
        <v/>
      </c>
      <c r="D534" s="25"/>
      <c r="E534" s="22"/>
      <c r="F534" s="22" t="str">
        <f t="shared" si="11"/>
        <v/>
      </c>
      <c r="G534" s="22" t="str">
        <f t="shared" si="79"/>
        <v/>
      </c>
      <c r="H534" s="22" t="str">
        <f t="shared" si="80"/>
        <v/>
      </c>
    </row>
    <row r="535" ht="15.75" customHeight="1">
      <c r="A535" s="31"/>
      <c r="B535" s="22"/>
      <c r="C535" s="22" t="str">
        <f t="shared" si="10"/>
        <v/>
      </c>
      <c r="D535" s="25"/>
      <c r="E535" s="22"/>
      <c r="F535" s="22" t="str">
        <f t="shared" si="11"/>
        <v/>
      </c>
      <c r="G535" s="22" t="str">
        <f t="shared" si="79"/>
        <v/>
      </c>
      <c r="H535" s="22" t="str">
        <f t="shared" si="80"/>
        <v/>
      </c>
    </row>
    <row r="536" ht="15.75" customHeight="1">
      <c r="A536" s="31"/>
      <c r="B536" s="22"/>
      <c r="C536" s="22" t="str">
        <f t="shared" si="10"/>
        <v/>
      </c>
      <c r="D536" s="25"/>
      <c r="E536" s="22"/>
      <c r="F536" s="22" t="str">
        <f t="shared" si="11"/>
        <v/>
      </c>
      <c r="G536" s="22" t="str">
        <f t="shared" si="79"/>
        <v/>
      </c>
      <c r="H536" s="22" t="str">
        <f t="shared" si="80"/>
        <v/>
      </c>
    </row>
    <row r="537" ht="15.75" customHeight="1">
      <c r="A537" s="31"/>
      <c r="B537" s="22"/>
      <c r="C537" s="22" t="str">
        <f t="shared" si="10"/>
        <v/>
      </c>
      <c r="D537" s="25"/>
      <c r="E537" s="22"/>
      <c r="F537" s="22" t="str">
        <f t="shared" si="11"/>
        <v/>
      </c>
      <c r="G537" s="22" t="str">
        <f t="shared" si="79"/>
        <v/>
      </c>
      <c r="H537" s="22" t="str">
        <f t="shared" si="80"/>
        <v/>
      </c>
    </row>
    <row r="538" ht="15.75" customHeight="1">
      <c r="A538" s="31"/>
      <c r="B538" s="22"/>
      <c r="C538" s="22" t="str">
        <f t="shared" si="10"/>
        <v/>
      </c>
      <c r="D538" s="25"/>
      <c r="E538" s="22"/>
      <c r="F538" s="22" t="str">
        <f t="shared" si="11"/>
        <v/>
      </c>
      <c r="G538" s="22" t="str">
        <f t="shared" si="79"/>
        <v/>
      </c>
      <c r="H538" s="22" t="str">
        <f t="shared" si="80"/>
        <v/>
      </c>
    </row>
    <row r="539" ht="15.75" customHeight="1">
      <c r="A539" s="31"/>
      <c r="B539" s="22"/>
      <c r="C539" s="22" t="str">
        <f t="shared" si="10"/>
        <v/>
      </c>
      <c r="D539" s="25"/>
      <c r="E539" s="22"/>
      <c r="F539" s="22" t="str">
        <f t="shared" si="11"/>
        <v/>
      </c>
      <c r="G539" s="22" t="str">
        <f t="shared" si="79"/>
        <v/>
      </c>
      <c r="H539" s="22" t="str">
        <f t="shared" si="80"/>
        <v/>
      </c>
    </row>
    <row r="540" ht="15.75" customHeight="1">
      <c r="A540" s="31"/>
      <c r="B540" s="22"/>
      <c r="C540" s="22" t="str">
        <f t="shared" si="10"/>
        <v/>
      </c>
      <c r="D540" s="25"/>
      <c r="E540" s="22"/>
      <c r="F540" s="22" t="str">
        <f t="shared" si="11"/>
        <v/>
      </c>
      <c r="G540" s="22" t="str">
        <f t="shared" si="79"/>
        <v/>
      </c>
      <c r="H540" s="22" t="str">
        <f t="shared" si="80"/>
        <v/>
      </c>
    </row>
    <row r="541" ht="15.75" customHeight="1">
      <c r="A541" s="31"/>
      <c r="B541" s="22"/>
      <c r="C541" s="22" t="str">
        <f t="shared" si="10"/>
        <v/>
      </c>
      <c r="D541" s="25"/>
      <c r="E541" s="22"/>
      <c r="F541" s="22" t="str">
        <f t="shared" si="11"/>
        <v/>
      </c>
      <c r="G541" s="22" t="str">
        <f t="shared" si="79"/>
        <v/>
      </c>
      <c r="H541" s="22" t="str">
        <f t="shared" si="80"/>
        <v/>
      </c>
    </row>
    <row r="542" ht="15.75" customHeight="1">
      <c r="A542" s="31"/>
      <c r="B542" s="22"/>
      <c r="C542" s="22" t="str">
        <f t="shared" si="10"/>
        <v/>
      </c>
      <c r="D542" s="25"/>
      <c r="E542" s="22"/>
      <c r="F542" s="22" t="str">
        <f t="shared" si="11"/>
        <v/>
      </c>
      <c r="G542" s="22" t="str">
        <f t="shared" si="79"/>
        <v/>
      </c>
      <c r="H542" s="22" t="str">
        <f t="shared" si="80"/>
        <v/>
      </c>
    </row>
    <row r="543" ht="15.75" customHeight="1">
      <c r="A543" s="31"/>
      <c r="B543" s="22"/>
      <c r="C543" s="22" t="str">
        <f t="shared" si="10"/>
        <v/>
      </c>
      <c r="D543" s="25"/>
      <c r="E543" s="22"/>
      <c r="F543" s="22" t="str">
        <f t="shared" si="11"/>
        <v/>
      </c>
      <c r="G543" s="22" t="str">
        <f t="shared" si="79"/>
        <v/>
      </c>
      <c r="H543" s="22" t="str">
        <f t="shared" si="80"/>
        <v/>
      </c>
    </row>
    <row r="544" ht="15.75" customHeight="1">
      <c r="A544" s="31"/>
      <c r="B544" s="22"/>
      <c r="C544" s="22" t="str">
        <f t="shared" si="10"/>
        <v/>
      </c>
      <c r="D544" s="25"/>
      <c r="E544" s="22"/>
      <c r="F544" s="22" t="str">
        <f t="shared" si="11"/>
        <v/>
      </c>
      <c r="G544" s="22" t="str">
        <f t="shared" si="79"/>
        <v/>
      </c>
      <c r="H544" s="22" t="str">
        <f t="shared" si="80"/>
        <v/>
      </c>
    </row>
    <row r="545" ht="15.75" customHeight="1">
      <c r="A545" s="31"/>
      <c r="B545" s="22"/>
      <c r="C545" s="22" t="str">
        <f t="shared" si="10"/>
        <v/>
      </c>
      <c r="D545" s="25"/>
      <c r="E545" s="22"/>
      <c r="F545" s="22" t="str">
        <f t="shared" si="11"/>
        <v/>
      </c>
      <c r="G545" s="22" t="str">
        <f t="shared" si="79"/>
        <v/>
      </c>
      <c r="H545" s="22" t="str">
        <f t="shared" si="80"/>
        <v/>
      </c>
    </row>
    <row r="546" ht="15.75" customHeight="1">
      <c r="A546" s="31"/>
      <c r="B546" s="22"/>
      <c r="C546" s="22" t="str">
        <f t="shared" si="10"/>
        <v/>
      </c>
      <c r="D546" s="25"/>
      <c r="E546" s="22"/>
      <c r="F546" s="22" t="str">
        <f t="shared" si="11"/>
        <v/>
      </c>
      <c r="G546" s="22" t="str">
        <f t="shared" si="79"/>
        <v/>
      </c>
      <c r="H546" s="22" t="str">
        <f t="shared" si="80"/>
        <v/>
      </c>
    </row>
    <row r="547" ht="15.75" customHeight="1">
      <c r="A547" s="31"/>
      <c r="B547" s="22"/>
      <c r="C547" s="22" t="str">
        <f t="shared" si="10"/>
        <v/>
      </c>
      <c r="D547" s="25"/>
      <c r="E547" s="22"/>
      <c r="F547" s="22" t="str">
        <f t="shared" si="11"/>
        <v/>
      </c>
      <c r="G547" s="22" t="str">
        <f t="shared" si="79"/>
        <v/>
      </c>
      <c r="H547" s="22" t="str">
        <f t="shared" si="80"/>
        <v/>
      </c>
    </row>
    <row r="548" ht="15.75" customHeight="1">
      <c r="A548" s="31"/>
      <c r="B548" s="22"/>
      <c r="C548" s="22" t="str">
        <f t="shared" si="10"/>
        <v/>
      </c>
      <c r="D548" s="25"/>
      <c r="E548" s="22"/>
      <c r="F548" s="22" t="str">
        <f t="shared" si="11"/>
        <v/>
      </c>
      <c r="G548" s="22" t="str">
        <f t="shared" si="79"/>
        <v/>
      </c>
      <c r="H548" s="22" t="str">
        <f t="shared" si="80"/>
        <v/>
      </c>
    </row>
    <row r="549" ht="15.75" customHeight="1">
      <c r="A549" s="31"/>
      <c r="B549" s="22"/>
      <c r="C549" s="22" t="str">
        <f t="shared" si="10"/>
        <v/>
      </c>
      <c r="D549" s="25"/>
      <c r="E549" s="22"/>
      <c r="F549" s="22" t="str">
        <f t="shared" si="11"/>
        <v/>
      </c>
      <c r="G549" s="22" t="str">
        <f t="shared" si="79"/>
        <v/>
      </c>
      <c r="H549" s="22" t="str">
        <f t="shared" si="80"/>
        <v/>
      </c>
    </row>
    <row r="550" ht="15.75" customHeight="1">
      <c r="A550" s="31"/>
      <c r="B550" s="22"/>
      <c r="C550" s="22" t="str">
        <f t="shared" si="10"/>
        <v/>
      </c>
      <c r="D550" s="25"/>
      <c r="E550" s="22"/>
      <c r="F550" s="22" t="str">
        <f t="shared" si="11"/>
        <v/>
      </c>
      <c r="G550" s="22" t="str">
        <f t="shared" si="79"/>
        <v/>
      </c>
      <c r="H550" s="22" t="str">
        <f t="shared" si="80"/>
        <v/>
      </c>
    </row>
    <row r="551" ht="15.75" customHeight="1">
      <c r="A551" s="31"/>
      <c r="B551" s="22"/>
      <c r="C551" s="22" t="str">
        <f t="shared" si="10"/>
        <v/>
      </c>
      <c r="D551" s="25"/>
      <c r="E551" s="22"/>
      <c r="F551" s="22" t="str">
        <f t="shared" si="11"/>
        <v/>
      </c>
      <c r="G551" s="22" t="str">
        <f t="shared" si="79"/>
        <v/>
      </c>
      <c r="H551" s="22" t="str">
        <f t="shared" si="80"/>
        <v/>
      </c>
    </row>
    <row r="552" ht="15.75" customHeight="1">
      <c r="A552" s="31"/>
      <c r="B552" s="22"/>
      <c r="C552" s="22" t="str">
        <f t="shared" si="10"/>
        <v/>
      </c>
      <c r="D552" s="25"/>
      <c r="E552" s="22"/>
      <c r="F552" s="22" t="str">
        <f t="shared" si="11"/>
        <v/>
      </c>
      <c r="G552" s="22" t="str">
        <f t="shared" si="79"/>
        <v/>
      </c>
      <c r="H552" s="22" t="str">
        <f t="shared" si="80"/>
        <v/>
      </c>
    </row>
    <row r="553" ht="15.75" customHeight="1">
      <c r="A553" s="31"/>
      <c r="B553" s="22"/>
      <c r="C553" s="22" t="str">
        <f t="shared" si="10"/>
        <v/>
      </c>
      <c r="D553" s="25"/>
      <c r="E553" s="22"/>
      <c r="F553" s="22" t="str">
        <f t="shared" si="11"/>
        <v/>
      </c>
      <c r="G553" s="22" t="str">
        <f t="shared" si="79"/>
        <v/>
      </c>
      <c r="H553" s="22" t="str">
        <f t="shared" si="80"/>
        <v/>
      </c>
    </row>
    <row r="554" ht="15.75" customHeight="1">
      <c r="A554" s="31"/>
      <c r="B554" s="22"/>
      <c r="C554" s="22" t="str">
        <f t="shared" si="10"/>
        <v/>
      </c>
      <c r="D554" s="25"/>
      <c r="E554" s="22"/>
      <c r="F554" s="22" t="str">
        <f t="shared" si="11"/>
        <v/>
      </c>
      <c r="G554" s="22" t="str">
        <f t="shared" si="79"/>
        <v/>
      </c>
      <c r="H554" s="22" t="str">
        <f t="shared" si="80"/>
        <v/>
      </c>
    </row>
    <row r="555" ht="15.75" customHeight="1">
      <c r="A555" s="31"/>
      <c r="B555" s="22"/>
      <c r="C555" s="22" t="str">
        <f t="shared" si="10"/>
        <v/>
      </c>
      <c r="D555" s="25"/>
      <c r="E555" s="22"/>
      <c r="F555" s="22" t="str">
        <f t="shared" si="11"/>
        <v/>
      </c>
      <c r="G555" s="22" t="str">
        <f t="shared" si="79"/>
        <v/>
      </c>
      <c r="H555" s="22" t="str">
        <f t="shared" si="80"/>
        <v/>
      </c>
    </row>
    <row r="556" ht="15.75" customHeight="1">
      <c r="A556" s="31"/>
      <c r="B556" s="22"/>
      <c r="C556" s="22" t="str">
        <f t="shared" si="10"/>
        <v/>
      </c>
      <c r="D556" s="25"/>
      <c r="E556" s="22"/>
      <c r="F556" s="22" t="str">
        <f t="shared" si="11"/>
        <v/>
      </c>
      <c r="G556" s="22" t="str">
        <f t="shared" si="79"/>
        <v/>
      </c>
      <c r="H556" s="22" t="str">
        <f t="shared" si="80"/>
        <v/>
      </c>
    </row>
    <row r="557" ht="15.75" customHeight="1">
      <c r="A557" s="31"/>
      <c r="B557" s="22"/>
      <c r="C557" s="22" t="str">
        <f t="shared" si="10"/>
        <v/>
      </c>
      <c r="D557" s="25"/>
      <c r="E557" s="22"/>
      <c r="F557" s="22" t="str">
        <f t="shared" si="11"/>
        <v/>
      </c>
      <c r="G557" s="22" t="str">
        <f t="shared" si="79"/>
        <v/>
      </c>
      <c r="H557" s="22" t="str">
        <f t="shared" si="80"/>
        <v/>
      </c>
    </row>
    <row r="558" ht="15.75" customHeight="1">
      <c r="A558" s="31"/>
      <c r="B558" s="22"/>
      <c r="C558" s="22" t="str">
        <f t="shared" si="10"/>
        <v/>
      </c>
      <c r="D558" s="25"/>
      <c r="E558" s="22"/>
      <c r="F558" s="22" t="str">
        <f t="shared" si="11"/>
        <v/>
      </c>
      <c r="G558" s="22" t="str">
        <f t="shared" si="79"/>
        <v/>
      </c>
      <c r="H558" s="22" t="str">
        <f t="shared" si="80"/>
        <v/>
      </c>
    </row>
    <row r="559" ht="15.75" customHeight="1">
      <c r="A559" s="31"/>
      <c r="B559" s="22"/>
      <c r="C559" s="22" t="str">
        <f t="shared" si="10"/>
        <v/>
      </c>
      <c r="D559" s="25"/>
      <c r="E559" s="22"/>
      <c r="F559" s="22" t="str">
        <f t="shared" si="11"/>
        <v/>
      </c>
      <c r="G559" s="22" t="str">
        <f t="shared" si="79"/>
        <v/>
      </c>
      <c r="H559" s="22" t="str">
        <f t="shared" si="80"/>
        <v/>
      </c>
    </row>
    <row r="560" ht="15.75" customHeight="1">
      <c r="A560" s="31"/>
      <c r="B560" s="22"/>
      <c r="C560" s="22" t="str">
        <f t="shared" si="10"/>
        <v/>
      </c>
      <c r="D560" s="25"/>
      <c r="E560" s="22"/>
      <c r="F560" s="22" t="str">
        <f t="shared" si="11"/>
        <v/>
      </c>
      <c r="G560" s="22" t="str">
        <f t="shared" si="79"/>
        <v/>
      </c>
      <c r="H560" s="22" t="str">
        <f t="shared" si="80"/>
        <v/>
      </c>
    </row>
    <row r="561" ht="15.75" customHeight="1">
      <c r="A561" s="31"/>
      <c r="B561" s="22"/>
      <c r="C561" s="22" t="str">
        <f t="shared" si="10"/>
        <v/>
      </c>
      <c r="D561" s="25"/>
      <c r="E561" s="22"/>
      <c r="F561" s="22" t="str">
        <f t="shared" si="11"/>
        <v/>
      </c>
      <c r="G561" s="22" t="str">
        <f t="shared" si="79"/>
        <v/>
      </c>
      <c r="H561" s="22" t="str">
        <f t="shared" si="80"/>
        <v/>
      </c>
    </row>
    <row r="562" ht="15.75" customHeight="1">
      <c r="A562" s="31"/>
      <c r="B562" s="22"/>
      <c r="C562" s="22" t="str">
        <f t="shared" si="10"/>
        <v/>
      </c>
      <c r="D562" s="25"/>
      <c r="E562" s="22"/>
      <c r="F562" s="22" t="str">
        <f t="shared" si="11"/>
        <v/>
      </c>
      <c r="G562" s="22" t="str">
        <f t="shared" si="79"/>
        <v/>
      </c>
      <c r="H562" s="22" t="str">
        <f t="shared" si="80"/>
        <v/>
      </c>
    </row>
    <row r="563" ht="15.75" customHeight="1">
      <c r="A563" s="31"/>
      <c r="B563" s="22"/>
      <c r="C563" s="22" t="str">
        <f t="shared" si="10"/>
        <v/>
      </c>
      <c r="D563" s="25"/>
      <c r="E563" s="22"/>
      <c r="F563" s="22" t="str">
        <f t="shared" si="11"/>
        <v/>
      </c>
      <c r="G563" s="22" t="str">
        <f t="shared" si="79"/>
        <v/>
      </c>
      <c r="H563" s="22" t="str">
        <f t="shared" si="80"/>
        <v/>
      </c>
    </row>
    <row r="564" ht="15.75" customHeight="1">
      <c r="A564" s="31"/>
      <c r="B564" s="22"/>
      <c r="C564" s="22" t="str">
        <f t="shared" si="10"/>
        <v/>
      </c>
      <c r="D564" s="25"/>
      <c r="E564" s="22"/>
      <c r="F564" s="22" t="str">
        <f t="shared" si="11"/>
        <v/>
      </c>
      <c r="G564" s="22" t="str">
        <f t="shared" si="79"/>
        <v/>
      </c>
      <c r="H564" s="22" t="str">
        <f t="shared" si="80"/>
        <v/>
      </c>
    </row>
    <row r="565" ht="15.75" customHeight="1">
      <c r="A565" s="31"/>
      <c r="B565" s="22"/>
      <c r="C565" s="22" t="str">
        <f t="shared" si="10"/>
        <v/>
      </c>
      <c r="D565" s="25"/>
      <c r="E565" s="22"/>
      <c r="F565" s="22" t="str">
        <f t="shared" si="11"/>
        <v/>
      </c>
      <c r="G565" s="22" t="str">
        <f t="shared" si="79"/>
        <v/>
      </c>
      <c r="H565" s="22" t="str">
        <f t="shared" si="80"/>
        <v/>
      </c>
    </row>
    <row r="566" ht="15.75" customHeight="1">
      <c r="A566" s="31"/>
      <c r="B566" s="22"/>
      <c r="C566" s="22" t="str">
        <f t="shared" si="10"/>
        <v/>
      </c>
      <c r="D566" s="25"/>
      <c r="E566" s="22"/>
      <c r="F566" s="22" t="str">
        <f t="shared" si="11"/>
        <v/>
      </c>
      <c r="G566" s="22" t="str">
        <f t="shared" si="79"/>
        <v/>
      </c>
      <c r="H566" s="22" t="str">
        <f t="shared" si="80"/>
        <v/>
      </c>
    </row>
    <row r="567" ht="15.75" customHeight="1">
      <c r="A567" s="31"/>
      <c r="B567" s="22"/>
      <c r="C567" s="22" t="str">
        <f t="shared" si="10"/>
        <v/>
      </c>
      <c r="D567" s="25"/>
      <c r="E567" s="22"/>
      <c r="F567" s="22" t="str">
        <f t="shared" si="11"/>
        <v/>
      </c>
      <c r="G567" s="22" t="str">
        <f t="shared" si="79"/>
        <v/>
      </c>
      <c r="H567" s="22" t="str">
        <f t="shared" si="80"/>
        <v/>
      </c>
    </row>
    <row r="568" ht="15.75" customHeight="1">
      <c r="A568" s="31"/>
      <c r="B568" s="22"/>
      <c r="C568" s="22" t="str">
        <f t="shared" si="10"/>
        <v/>
      </c>
      <c r="D568" s="25"/>
      <c r="E568" s="22"/>
      <c r="F568" s="22" t="str">
        <f t="shared" si="11"/>
        <v/>
      </c>
      <c r="G568" s="22" t="str">
        <f t="shared" si="79"/>
        <v/>
      </c>
      <c r="H568" s="22" t="str">
        <f t="shared" si="80"/>
        <v/>
      </c>
    </row>
    <row r="569" ht="15.75" customHeight="1">
      <c r="A569" s="31"/>
      <c r="B569" s="22"/>
      <c r="C569" s="22" t="str">
        <f t="shared" si="10"/>
        <v/>
      </c>
      <c r="D569" s="25"/>
      <c r="E569" s="22"/>
      <c r="F569" s="22" t="str">
        <f t="shared" si="11"/>
        <v/>
      </c>
      <c r="G569" s="22" t="str">
        <f t="shared" si="79"/>
        <v/>
      </c>
      <c r="H569" s="22" t="str">
        <f t="shared" si="80"/>
        <v/>
      </c>
    </row>
    <row r="570" ht="15.75" customHeight="1">
      <c r="A570" s="31"/>
      <c r="B570" s="22"/>
      <c r="C570" s="22" t="str">
        <f t="shared" si="10"/>
        <v/>
      </c>
      <c r="D570" s="25"/>
      <c r="E570" s="22"/>
      <c r="F570" s="22" t="str">
        <f t="shared" si="11"/>
        <v/>
      </c>
      <c r="G570" s="22" t="str">
        <f t="shared" si="79"/>
        <v/>
      </c>
      <c r="H570" s="22" t="str">
        <f t="shared" si="80"/>
        <v/>
      </c>
    </row>
    <row r="571" ht="15.75" customHeight="1">
      <c r="A571" s="31"/>
      <c r="B571" s="22"/>
      <c r="C571" s="22" t="str">
        <f t="shared" si="10"/>
        <v/>
      </c>
      <c r="D571" s="25"/>
      <c r="E571" s="22"/>
      <c r="F571" s="22" t="str">
        <f t="shared" si="11"/>
        <v/>
      </c>
      <c r="G571" s="22" t="str">
        <f t="shared" si="79"/>
        <v/>
      </c>
      <c r="H571" s="22" t="str">
        <f t="shared" si="80"/>
        <v/>
      </c>
    </row>
    <row r="572" ht="15.75" customHeight="1">
      <c r="A572" s="31"/>
      <c r="B572" s="22"/>
      <c r="C572" s="22" t="str">
        <f t="shared" si="10"/>
        <v/>
      </c>
      <c r="D572" s="25"/>
      <c r="E572" s="22"/>
      <c r="F572" s="22" t="str">
        <f t="shared" si="11"/>
        <v/>
      </c>
      <c r="G572" s="22" t="str">
        <f t="shared" si="79"/>
        <v/>
      </c>
      <c r="H572" s="22" t="str">
        <f t="shared" si="80"/>
        <v/>
      </c>
    </row>
    <row r="573" ht="15.75" customHeight="1">
      <c r="A573" s="31"/>
      <c r="B573" s="22"/>
      <c r="C573" s="22" t="str">
        <f t="shared" si="10"/>
        <v/>
      </c>
      <c r="D573" s="25"/>
      <c r="E573" s="22"/>
      <c r="F573" s="22" t="str">
        <f t="shared" si="11"/>
        <v/>
      </c>
      <c r="G573" s="22" t="str">
        <f t="shared" si="79"/>
        <v/>
      </c>
      <c r="H573" s="22" t="str">
        <f t="shared" si="80"/>
        <v/>
      </c>
    </row>
    <row r="574" ht="15.75" customHeight="1">
      <c r="A574" s="31"/>
      <c r="B574" s="22"/>
      <c r="C574" s="22" t="str">
        <f t="shared" si="10"/>
        <v/>
      </c>
      <c r="D574" s="25"/>
      <c r="E574" s="22"/>
      <c r="F574" s="22" t="str">
        <f t="shared" si="11"/>
        <v/>
      </c>
      <c r="G574" s="22" t="str">
        <f t="shared" si="79"/>
        <v/>
      </c>
      <c r="H574" s="22" t="str">
        <f t="shared" si="80"/>
        <v/>
      </c>
    </row>
    <row r="575" ht="15.75" customHeight="1">
      <c r="A575" s="31"/>
      <c r="B575" s="22"/>
      <c r="C575" s="22" t="str">
        <f t="shared" si="10"/>
        <v/>
      </c>
      <c r="D575" s="25"/>
      <c r="E575" s="22"/>
      <c r="F575" s="22" t="str">
        <f t="shared" si="11"/>
        <v/>
      </c>
      <c r="G575" s="22" t="str">
        <f t="shared" si="79"/>
        <v/>
      </c>
      <c r="H575" s="22" t="str">
        <f t="shared" si="80"/>
        <v/>
      </c>
    </row>
    <row r="576" ht="15.75" customHeight="1">
      <c r="A576" s="31"/>
      <c r="B576" s="22"/>
      <c r="C576" s="22" t="str">
        <f t="shared" si="10"/>
        <v/>
      </c>
      <c r="D576" s="25"/>
      <c r="E576" s="22"/>
      <c r="F576" s="22" t="str">
        <f t="shared" si="11"/>
        <v/>
      </c>
      <c r="G576" s="22" t="str">
        <f t="shared" si="79"/>
        <v/>
      </c>
      <c r="H576" s="22" t="str">
        <f t="shared" si="80"/>
        <v/>
      </c>
    </row>
    <row r="577" ht="15.75" customHeight="1">
      <c r="A577" s="31"/>
      <c r="B577" s="22"/>
      <c r="C577" s="22" t="str">
        <f t="shared" si="10"/>
        <v/>
      </c>
      <c r="D577" s="25"/>
      <c r="E577" s="22"/>
      <c r="F577" s="22" t="str">
        <f t="shared" si="11"/>
        <v/>
      </c>
      <c r="G577" s="22" t="str">
        <f t="shared" si="79"/>
        <v/>
      </c>
      <c r="H577" s="22" t="str">
        <f t="shared" si="80"/>
        <v/>
      </c>
    </row>
    <row r="578" ht="15.75" customHeight="1">
      <c r="A578" s="31"/>
      <c r="B578" s="22"/>
      <c r="C578" s="22" t="str">
        <f t="shared" si="10"/>
        <v/>
      </c>
      <c r="D578" s="25"/>
      <c r="E578" s="22"/>
      <c r="F578" s="22" t="str">
        <f t="shared" si="11"/>
        <v/>
      </c>
      <c r="G578" s="22" t="str">
        <f t="shared" si="79"/>
        <v/>
      </c>
      <c r="H578" s="22" t="str">
        <f t="shared" si="80"/>
        <v/>
      </c>
    </row>
    <row r="579" ht="15.75" customHeight="1">
      <c r="A579" s="31"/>
      <c r="B579" s="22"/>
      <c r="C579" s="22" t="str">
        <f t="shared" si="10"/>
        <v/>
      </c>
      <c r="D579" s="25"/>
      <c r="E579" s="22"/>
      <c r="F579" s="22" t="str">
        <f t="shared" si="11"/>
        <v/>
      </c>
      <c r="G579" s="22" t="str">
        <f t="shared" si="79"/>
        <v/>
      </c>
      <c r="H579" s="22" t="str">
        <f t="shared" si="80"/>
        <v/>
      </c>
    </row>
    <row r="580" ht="15.75" customHeight="1">
      <c r="A580" s="31"/>
      <c r="B580" s="22"/>
      <c r="C580" s="22" t="str">
        <f t="shared" si="10"/>
        <v/>
      </c>
      <c r="D580" s="25"/>
      <c r="E580" s="22"/>
      <c r="F580" s="22" t="str">
        <f t="shared" si="11"/>
        <v/>
      </c>
      <c r="G580" s="22" t="str">
        <f t="shared" si="79"/>
        <v/>
      </c>
      <c r="H580" s="22" t="str">
        <f t="shared" si="80"/>
        <v/>
      </c>
    </row>
    <row r="581" ht="15.75" customHeight="1">
      <c r="A581" s="31"/>
      <c r="B581" s="22"/>
      <c r="C581" s="22" t="str">
        <f t="shared" si="10"/>
        <v/>
      </c>
      <c r="D581" s="25"/>
      <c r="E581" s="22"/>
      <c r="F581" s="22" t="str">
        <f t="shared" si="11"/>
        <v/>
      </c>
      <c r="G581" s="22" t="str">
        <f t="shared" si="79"/>
        <v/>
      </c>
      <c r="H581" s="22" t="str">
        <f t="shared" si="80"/>
        <v/>
      </c>
    </row>
    <row r="582" ht="15.75" customHeight="1">
      <c r="A582" s="31"/>
      <c r="B582" s="22"/>
      <c r="C582" s="22" t="str">
        <f t="shared" si="10"/>
        <v/>
      </c>
      <c r="D582" s="25"/>
      <c r="E582" s="22"/>
      <c r="F582" s="22" t="str">
        <f t="shared" si="11"/>
        <v/>
      </c>
      <c r="G582" s="22" t="str">
        <f t="shared" si="79"/>
        <v/>
      </c>
      <c r="H582" s="22" t="str">
        <f t="shared" si="80"/>
        <v/>
      </c>
    </row>
    <row r="583" ht="15.75" customHeight="1">
      <c r="A583" s="31"/>
      <c r="B583" s="22"/>
      <c r="C583" s="22" t="str">
        <f t="shared" si="10"/>
        <v/>
      </c>
      <c r="D583" s="25"/>
      <c r="E583" s="22"/>
      <c r="F583" s="22" t="str">
        <f t="shared" si="11"/>
        <v/>
      </c>
      <c r="G583" s="22" t="str">
        <f t="shared" si="79"/>
        <v/>
      </c>
      <c r="H583" s="22" t="str">
        <f t="shared" si="80"/>
        <v/>
      </c>
    </row>
    <row r="584" ht="15.75" customHeight="1">
      <c r="A584" s="31"/>
      <c r="B584" s="22"/>
      <c r="C584" s="22" t="str">
        <f t="shared" si="10"/>
        <v/>
      </c>
      <c r="D584" s="25"/>
      <c r="E584" s="22"/>
      <c r="F584" s="22" t="str">
        <f t="shared" si="11"/>
        <v/>
      </c>
      <c r="G584" s="22" t="str">
        <f t="shared" si="79"/>
        <v/>
      </c>
      <c r="H584" s="22" t="str">
        <f t="shared" si="80"/>
        <v/>
      </c>
    </row>
    <row r="585" ht="15.75" customHeight="1">
      <c r="A585" s="31"/>
      <c r="B585" s="22"/>
      <c r="C585" s="22" t="str">
        <f t="shared" si="10"/>
        <v/>
      </c>
      <c r="D585" s="25"/>
      <c r="E585" s="22"/>
      <c r="F585" s="22" t="str">
        <f t="shared" si="11"/>
        <v/>
      </c>
      <c r="G585" s="22" t="str">
        <f t="shared" si="79"/>
        <v/>
      </c>
      <c r="H585" s="22" t="str">
        <f t="shared" si="80"/>
        <v/>
      </c>
    </row>
    <row r="586" ht="15.75" customHeight="1">
      <c r="A586" s="31"/>
      <c r="B586" s="22"/>
      <c r="C586" s="22" t="str">
        <f t="shared" si="10"/>
        <v/>
      </c>
      <c r="D586" s="25"/>
      <c r="E586" s="22"/>
      <c r="F586" s="22" t="str">
        <f t="shared" si="11"/>
        <v/>
      </c>
      <c r="G586" s="22" t="str">
        <f t="shared" si="79"/>
        <v/>
      </c>
      <c r="H586" s="22" t="str">
        <f t="shared" si="80"/>
        <v/>
      </c>
    </row>
    <row r="587" ht="15.75" customHeight="1">
      <c r="A587" s="31"/>
      <c r="B587" s="22"/>
      <c r="C587" s="22" t="str">
        <f t="shared" si="10"/>
        <v/>
      </c>
      <c r="D587" s="25"/>
      <c r="E587" s="22"/>
      <c r="F587" s="22" t="str">
        <f t="shared" si="11"/>
        <v/>
      </c>
      <c r="G587" s="22" t="str">
        <f t="shared" si="79"/>
        <v/>
      </c>
      <c r="H587" s="22" t="str">
        <f t="shared" si="80"/>
        <v/>
      </c>
    </row>
    <row r="588" ht="15.75" customHeight="1">
      <c r="A588" s="31"/>
      <c r="B588" s="22"/>
      <c r="C588" s="22" t="str">
        <f t="shared" si="10"/>
        <v/>
      </c>
      <c r="D588" s="25"/>
      <c r="E588" s="22"/>
      <c r="F588" s="22" t="str">
        <f t="shared" si="11"/>
        <v/>
      </c>
      <c r="G588" s="22" t="str">
        <f t="shared" si="79"/>
        <v/>
      </c>
      <c r="H588" s="22" t="str">
        <f t="shared" si="80"/>
        <v/>
      </c>
    </row>
    <row r="589" ht="15.75" customHeight="1">
      <c r="A589" s="31"/>
      <c r="B589" s="22"/>
      <c r="C589" s="22" t="str">
        <f t="shared" si="10"/>
        <v/>
      </c>
      <c r="D589" s="25"/>
      <c r="E589" s="22"/>
      <c r="F589" s="22" t="str">
        <f t="shared" si="11"/>
        <v/>
      </c>
      <c r="G589" s="22" t="str">
        <f t="shared" si="79"/>
        <v/>
      </c>
      <c r="H589" s="22" t="str">
        <f t="shared" si="80"/>
        <v/>
      </c>
    </row>
    <row r="590" ht="15.75" customHeight="1">
      <c r="A590" s="31"/>
      <c r="B590" s="22"/>
      <c r="C590" s="22" t="str">
        <f t="shared" si="10"/>
        <v/>
      </c>
      <c r="D590" s="25"/>
      <c r="E590" s="22"/>
      <c r="F590" s="22" t="str">
        <f t="shared" si="11"/>
        <v/>
      </c>
      <c r="G590" s="22" t="str">
        <f t="shared" si="79"/>
        <v/>
      </c>
      <c r="H590" s="22" t="str">
        <f t="shared" si="80"/>
        <v/>
      </c>
    </row>
    <row r="591" ht="15.75" customHeight="1">
      <c r="A591" s="31"/>
      <c r="B591" s="22"/>
      <c r="C591" s="22" t="str">
        <f t="shared" si="10"/>
        <v/>
      </c>
      <c r="D591" s="25"/>
      <c r="E591" s="22"/>
      <c r="F591" s="22" t="str">
        <f t="shared" si="11"/>
        <v/>
      </c>
      <c r="G591" s="22" t="str">
        <f t="shared" si="79"/>
        <v/>
      </c>
      <c r="H591" s="22" t="str">
        <f t="shared" si="80"/>
        <v/>
      </c>
    </row>
    <row r="592" ht="15.75" customHeight="1">
      <c r="A592" s="31"/>
      <c r="B592" s="22"/>
      <c r="C592" s="22" t="str">
        <f t="shared" si="10"/>
        <v/>
      </c>
      <c r="D592" s="25"/>
      <c r="E592" s="22"/>
      <c r="F592" s="22" t="str">
        <f t="shared" si="11"/>
        <v/>
      </c>
      <c r="G592" s="22" t="str">
        <f t="shared" si="79"/>
        <v/>
      </c>
      <c r="H592" s="22" t="str">
        <f t="shared" si="80"/>
        <v/>
      </c>
    </row>
    <row r="593" ht="15.75" customHeight="1">
      <c r="A593" s="31"/>
      <c r="B593" s="22"/>
      <c r="C593" s="22" t="str">
        <f t="shared" si="10"/>
        <v/>
      </c>
      <c r="D593" s="25"/>
      <c r="E593" s="22"/>
      <c r="F593" s="22" t="str">
        <f t="shared" si="11"/>
        <v/>
      </c>
      <c r="G593" s="22" t="str">
        <f t="shared" si="79"/>
        <v/>
      </c>
      <c r="H593" s="22" t="str">
        <f t="shared" si="80"/>
        <v/>
      </c>
    </row>
    <row r="594" ht="15.75" customHeight="1">
      <c r="A594" s="31"/>
      <c r="B594" s="22"/>
      <c r="C594" s="22" t="str">
        <f t="shared" si="10"/>
        <v/>
      </c>
      <c r="D594" s="25"/>
      <c r="E594" s="22"/>
      <c r="F594" s="22" t="str">
        <f t="shared" si="11"/>
        <v/>
      </c>
      <c r="G594" s="22" t="str">
        <f t="shared" si="79"/>
        <v/>
      </c>
      <c r="H594" s="22" t="str">
        <f t="shared" si="80"/>
        <v/>
      </c>
    </row>
    <row r="595" ht="15.75" customHeight="1">
      <c r="A595" s="31"/>
      <c r="B595" s="22"/>
      <c r="C595" s="22" t="str">
        <f t="shared" si="10"/>
        <v/>
      </c>
      <c r="D595" s="25"/>
      <c r="E595" s="22"/>
      <c r="F595" s="22" t="str">
        <f t="shared" si="11"/>
        <v/>
      </c>
      <c r="G595" s="22" t="str">
        <f t="shared" si="79"/>
        <v/>
      </c>
      <c r="H595" s="22" t="str">
        <f t="shared" si="80"/>
        <v/>
      </c>
    </row>
    <row r="596" ht="15.75" customHeight="1">
      <c r="A596" s="31"/>
      <c r="B596" s="22"/>
      <c r="C596" s="22" t="str">
        <f t="shared" si="10"/>
        <v/>
      </c>
      <c r="D596" s="25"/>
      <c r="E596" s="22"/>
      <c r="F596" s="22" t="str">
        <f t="shared" si="11"/>
        <v/>
      </c>
      <c r="G596" s="22" t="str">
        <f t="shared" si="79"/>
        <v/>
      </c>
      <c r="H596" s="22" t="str">
        <f t="shared" si="80"/>
        <v/>
      </c>
    </row>
    <row r="597" ht="15.75" customHeight="1">
      <c r="A597" s="31"/>
      <c r="B597" s="22"/>
      <c r="C597" s="22" t="str">
        <f t="shared" si="10"/>
        <v/>
      </c>
      <c r="D597" s="25"/>
      <c r="E597" s="22"/>
      <c r="F597" s="22" t="str">
        <f t="shared" si="11"/>
        <v/>
      </c>
      <c r="G597" s="22" t="str">
        <f t="shared" si="79"/>
        <v/>
      </c>
      <c r="H597" s="22" t="str">
        <f t="shared" si="80"/>
        <v/>
      </c>
    </row>
    <row r="598" ht="15.75" customHeight="1">
      <c r="A598" s="31"/>
      <c r="B598" s="22"/>
      <c r="C598" s="22" t="str">
        <f t="shared" si="10"/>
        <v/>
      </c>
      <c r="D598" s="25"/>
      <c r="E598" s="22"/>
      <c r="F598" s="22" t="str">
        <f t="shared" si="11"/>
        <v/>
      </c>
      <c r="G598" s="22" t="str">
        <f t="shared" si="79"/>
        <v/>
      </c>
      <c r="H598" s="22" t="str">
        <f t="shared" si="80"/>
        <v/>
      </c>
    </row>
    <row r="599" ht="15.75" customHeight="1">
      <c r="A599" s="31"/>
      <c r="B599" s="22"/>
      <c r="C599" s="22" t="str">
        <f t="shared" si="10"/>
        <v/>
      </c>
      <c r="D599" s="25"/>
      <c r="E599" s="22"/>
      <c r="F599" s="22" t="str">
        <f t="shared" si="11"/>
        <v/>
      </c>
      <c r="G599" s="22" t="str">
        <f t="shared" si="79"/>
        <v/>
      </c>
      <c r="H599" s="22" t="str">
        <f t="shared" si="80"/>
        <v/>
      </c>
    </row>
    <row r="600" ht="15.75" customHeight="1">
      <c r="A600" s="31"/>
      <c r="B600" s="22"/>
      <c r="C600" s="22" t="str">
        <f t="shared" si="10"/>
        <v/>
      </c>
      <c r="D600" s="25"/>
      <c r="E600" s="22"/>
      <c r="F600" s="22" t="str">
        <f t="shared" si="11"/>
        <v/>
      </c>
      <c r="G600" s="22" t="str">
        <f t="shared" si="79"/>
        <v/>
      </c>
      <c r="H600" s="22" t="str">
        <f t="shared" si="80"/>
        <v/>
      </c>
    </row>
    <row r="601" ht="15.75" customHeight="1">
      <c r="A601" s="31"/>
      <c r="B601" s="22"/>
      <c r="C601" s="22" t="str">
        <f t="shared" si="10"/>
        <v/>
      </c>
      <c r="D601" s="25"/>
      <c r="E601" s="22"/>
      <c r="F601" s="22" t="str">
        <f t="shared" si="11"/>
        <v/>
      </c>
      <c r="G601" s="22" t="str">
        <f t="shared" si="79"/>
        <v/>
      </c>
      <c r="H601" s="22" t="str">
        <f t="shared" si="80"/>
        <v/>
      </c>
    </row>
    <row r="602" ht="15.75" customHeight="1">
      <c r="A602" s="31"/>
      <c r="B602" s="22"/>
      <c r="C602" s="22" t="str">
        <f t="shared" si="10"/>
        <v/>
      </c>
      <c r="D602" s="25"/>
      <c r="E602" s="22"/>
      <c r="F602" s="22" t="str">
        <f t="shared" si="11"/>
        <v/>
      </c>
      <c r="G602" s="22" t="str">
        <f t="shared" si="79"/>
        <v/>
      </c>
      <c r="H602" s="22" t="str">
        <f t="shared" si="80"/>
        <v/>
      </c>
    </row>
    <row r="603" ht="15.75" customHeight="1">
      <c r="A603" s="31"/>
      <c r="B603" s="22"/>
      <c r="C603" s="22" t="str">
        <f t="shared" si="10"/>
        <v/>
      </c>
      <c r="D603" s="25"/>
      <c r="E603" s="22"/>
      <c r="F603" s="22" t="str">
        <f t="shared" si="11"/>
        <v/>
      </c>
      <c r="G603" s="22" t="str">
        <f t="shared" si="79"/>
        <v/>
      </c>
      <c r="H603" s="22" t="str">
        <f t="shared" si="80"/>
        <v/>
      </c>
    </row>
    <row r="604" ht="15.75" customHeight="1">
      <c r="A604" s="31"/>
      <c r="B604" s="22"/>
      <c r="C604" s="22" t="str">
        <f t="shared" si="10"/>
        <v/>
      </c>
      <c r="D604" s="25"/>
      <c r="E604" s="22"/>
      <c r="F604" s="22" t="str">
        <f t="shared" si="11"/>
        <v/>
      </c>
      <c r="G604" s="22" t="str">
        <f t="shared" si="79"/>
        <v/>
      </c>
      <c r="H604" s="22" t="str">
        <f t="shared" si="80"/>
        <v/>
      </c>
    </row>
    <row r="605" ht="15.75" customHeight="1">
      <c r="A605" s="31"/>
      <c r="B605" s="22"/>
      <c r="C605" s="22" t="str">
        <f t="shared" si="10"/>
        <v/>
      </c>
      <c r="D605" s="25"/>
      <c r="E605" s="22"/>
      <c r="F605" s="22" t="str">
        <f t="shared" si="11"/>
        <v/>
      </c>
      <c r="G605" s="22" t="str">
        <f t="shared" si="79"/>
        <v/>
      </c>
      <c r="H605" s="22" t="str">
        <f t="shared" si="80"/>
        <v/>
      </c>
    </row>
    <row r="606" ht="15.75" customHeight="1">
      <c r="A606" s="31"/>
      <c r="B606" s="22"/>
      <c r="C606" s="22" t="str">
        <f t="shared" si="10"/>
        <v/>
      </c>
      <c r="D606" s="25"/>
      <c r="E606" s="22"/>
      <c r="F606" s="22" t="str">
        <f t="shared" si="11"/>
        <v/>
      </c>
      <c r="G606" s="22" t="str">
        <f t="shared" si="79"/>
        <v/>
      </c>
      <c r="H606" s="22" t="str">
        <f t="shared" si="80"/>
        <v/>
      </c>
    </row>
    <row r="607" ht="15.75" customHeight="1">
      <c r="A607" s="31"/>
      <c r="B607" s="22"/>
      <c r="C607" s="22" t="str">
        <f t="shared" si="10"/>
        <v/>
      </c>
      <c r="D607" s="25"/>
      <c r="E607" s="22"/>
      <c r="F607" s="22" t="str">
        <f t="shared" si="11"/>
        <v/>
      </c>
      <c r="G607" s="22" t="str">
        <f t="shared" si="79"/>
        <v/>
      </c>
      <c r="H607" s="22" t="str">
        <f t="shared" si="80"/>
        <v/>
      </c>
    </row>
    <row r="608" ht="15.75" customHeight="1">
      <c r="A608" s="31"/>
      <c r="B608" s="22"/>
      <c r="C608" s="22" t="str">
        <f t="shared" si="10"/>
        <v/>
      </c>
      <c r="D608" s="25"/>
      <c r="E608" s="22"/>
      <c r="F608" s="22" t="str">
        <f t="shared" si="11"/>
        <v/>
      </c>
      <c r="G608" s="22" t="str">
        <f t="shared" si="79"/>
        <v/>
      </c>
      <c r="H608" s="22" t="str">
        <f t="shared" si="80"/>
        <v/>
      </c>
    </row>
    <row r="609" ht="15.75" customHeight="1">
      <c r="A609" s="31"/>
      <c r="B609" s="22"/>
      <c r="C609" s="22" t="str">
        <f t="shared" si="10"/>
        <v/>
      </c>
      <c r="D609" s="25"/>
      <c r="E609" s="22"/>
      <c r="F609" s="22" t="str">
        <f t="shared" si="11"/>
        <v/>
      </c>
      <c r="G609" s="22" t="str">
        <f t="shared" si="79"/>
        <v/>
      </c>
      <c r="H609" s="22" t="str">
        <f t="shared" si="80"/>
        <v/>
      </c>
    </row>
    <row r="610" ht="15.75" customHeight="1">
      <c r="A610" s="31"/>
      <c r="B610" s="22"/>
      <c r="C610" s="22" t="str">
        <f t="shared" si="10"/>
        <v/>
      </c>
      <c r="D610" s="25"/>
      <c r="E610" s="22"/>
      <c r="F610" s="22" t="str">
        <f t="shared" si="11"/>
        <v/>
      </c>
      <c r="G610" s="22" t="str">
        <f t="shared" si="79"/>
        <v/>
      </c>
      <c r="H610" s="22" t="str">
        <f t="shared" si="80"/>
        <v/>
      </c>
    </row>
    <row r="611" ht="15.75" customHeight="1">
      <c r="A611" s="31"/>
      <c r="B611" s="22"/>
      <c r="C611" s="22" t="str">
        <f t="shared" si="10"/>
        <v/>
      </c>
      <c r="D611" s="25"/>
      <c r="E611" s="22"/>
      <c r="F611" s="22" t="str">
        <f t="shared" si="11"/>
        <v/>
      </c>
      <c r="G611" s="22" t="str">
        <f t="shared" si="79"/>
        <v/>
      </c>
      <c r="H611" s="22" t="str">
        <f t="shared" si="80"/>
        <v/>
      </c>
    </row>
    <row r="612" ht="15.75" customHeight="1">
      <c r="A612" s="31"/>
      <c r="B612" s="22"/>
      <c r="C612" s="22" t="str">
        <f t="shared" si="10"/>
        <v/>
      </c>
      <c r="D612" s="25"/>
      <c r="E612" s="22"/>
      <c r="F612" s="22" t="str">
        <f t="shared" si="11"/>
        <v/>
      </c>
      <c r="G612" s="22" t="str">
        <f t="shared" si="79"/>
        <v/>
      </c>
      <c r="H612" s="22" t="str">
        <f t="shared" si="80"/>
        <v/>
      </c>
    </row>
    <row r="613" ht="15.75" customHeight="1">
      <c r="A613" s="31"/>
      <c r="B613" s="22"/>
      <c r="C613" s="22" t="str">
        <f t="shared" si="10"/>
        <v/>
      </c>
      <c r="D613" s="25"/>
      <c r="E613" s="22"/>
      <c r="F613" s="22" t="str">
        <f t="shared" si="11"/>
        <v/>
      </c>
      <c r="G613" s="22" t="str">
        <f t="shared" si="79"/>
        <v/>
      </c>
      <c r="H613" s="22" t="str">
        <f t="shared" si="80"/>
        <v/>
      </c>
    </row>
    <row r="614" ht="15.75" customHeight="1">
      <c r="A614" s="31"/>
      <c r="B614" s="22"/>
      <c r="C614" s="22" t="str">
        <f t="shared" si="10"/>
        <v/>
      </c>
      <c r="D614" s="25"/>
      <c r="E614" s="22"/>
      <c r="F614" s="22" t="str">
        <f t="shared" si="11"/>
        <v/>
      </c>
      <c r="G614" s="22" t="str">
        <f t="shared" si="79"/>
        <v/>
      </c>
      <c r="H614" s="22" t="str">
        <f t="shared" si="80"/>
        <v/>
      </c>
    </row>
    <row r="615" ht="15.75" customHeight="1">
      <c r="A615" s="31"/>
      <c r="B615" s="22"/>
      <c r="C615" s="22" t="str">
        <f t="shared" si="10"/>
        <v/>
      </c>
      <c r="D615" s="25"/>
      <c r="E615" s="22"/>
      <c r="F615" s="22" t="str">
        <f t="shared" si="11"/>
        <v/>
      </c>
      <c r="G615" s="22" t="str">
        <f t="shared" si="79"/>
        <v/>
      </c>
      <c r="H615" s="22" t="str">
        <f t="shared" si="80"/>
        <v/>
      </c>
    </row>
    <row r="616" ht="15.75" customHeight="1">
      <c r="A616" s="31"/>
      <c r="B616" s="22"/>
      <c r="C616" s="22" t="str">
        <f t="shared" si="10"/>
        <v/>
      </c>
      <c r="D616" s="25"/>
      <c r="E616" s="22"/>
      <c r="F616" s="22" t="str">
        <f t="shared" si="11"/>
        <v/>
      </c>
      <c r="G616" s="22" t="str">
        <f t="shared" si="79"/>
        <v/>
      </c>
      <c r="H616" s="22" t="str">
        <f t="shared" si="80"/>
        <v/>
      </c>
    </row>
    <row r="617" ht="15.75" customHeight="1">
      <c r="A617" s="31"/>
      <c r="B617" s="22"/>
      <c r="C617" s="22" t="str">
        <f t="shared" si="10"/>
        <v/>
      </c>
      <c r="D617" s="25"/>
      <c r="E617" s="22"/>
      <c r="F617" s="22" t="str">
        <f t="shared" si="11"/>
        <v/>
      </c>
      <c r="G617" s="22" t="str">
        <f t="shared" si="79"/>
        <v/>
      </c>
      <c r="H617" s="22" t="str">
        <f t="shared" si="80"/>
        <v/>
      </c>
    </row>
    <row r="618" ht="15.75" customHeight="1">
      <c r="A618" s="31"/>
      <c r="B618" s="22"/>
      <c r="C618" s="22" t="str">
        <f t="shared" si="10"/>
        <v/>
      </c>
      <c r="D618" s="25"/>
      <c r="E618" s="22"/>
      <c r="F618" s="22" t="str">
        <f t="shared" si="11"/>
        <v/>
      </c>
      <c r="G618" s="22" t="str">
        <f t="shared" si="79"/>
        <v/>
      </c>
      <c r="H618" s="22" t="str">
        <f t="shared" si="80"/>
        <v/>
      </c>
    </row>
    <row r="619" ht="15.75" customHeight="1">
      <c r="A619" s="31"/>
      <c r="B619" s="22"/>
      <c r="C619" s="22" t="str">
        <f t="shared" si="10"/>
        <v/>
      </c>
      <c r="D619" s="25"/>
      <c r="E619" s="22"/>
      <c r="F619" s="22" t="str">
        <f t="shared" si="11"/>
        <v/>
      </c>
      <c r="G619" s="22" t="str">
        <f t="shared" si="79"/>
        <v/>
      </c>
      <c r="H619" s="22" t="str">
        <f t="shared" si="80"/>
        <v/>
      </c>
    </row>
    <row r="620" ht="15.75" customHeight="1">
      <c r="A620" s="31"/>
      <c r="B620" s="22"/>
      <c r="C620" s="22" t="str">
        <f t="shared" si="10"/>
        <v/>
      </c>
      <c r="D620" s="25"/>
      <c r="E620" s="22"/>
      <c r="F620" s="22" t="str">
        <f t="shared" si="11"/>
        <v/>
      </c>
      <c r="G620" s="22" t="str">
        <f t="shared" si="79"/>
        <v/>
      </c>
      <c r="H620" s="22" t="str">
        <f t="shared" si="80"/>
        <v/>
      </c>
    </row>
    <row r="621" ht="15.75" customHeight="1">
      <c r="A621" s="31"/>
      <c r="B621" s="22"/>
      <c r="C621" s="22" t="str">
        <f t="shared" si="10"/>
        <v/>
      </c>
      <c r="D621" s="25"/>
      <c r="E621" s="22"/>
      <c r="F621" s="22" t="str">
        <f t="shared" si="11"/>
        <v/>
      </c>
      <c r="G621" s="22" t="str">
        <f t="shared" si="79"/>
        <v/>
      </c>
      <c r="H621" s="22" t="str">
        <f t="shared" si="80"/>
        <v/>
      </c>
    </row>
    <row r="622" ht="15.75" customHeight="1">
      <c r="A622" s="31"/>
      <c r="B622" s="22"/>
      <c r="C622" s="22" t="str">
        <f t="shared" si="10"/>
        <v/>
      </c>
      <c r="D622" s="25"/>
      <c r="E622" s="22"/>
      <c r="F622" s="22" t="str">
        <f t="shared" si="11"/>
        <v/>
      </c>
      <c r="G622" s="22" t="str">
        <f t="shared" si="79"/>
        <v/>
      </c>
      <c r="H622" s="22" t="str">
        <f t="shared" si="80"/>
        <v/>
      </c>
    </row>
    <row r="623" ht="15.75" customHeight="1">
      <c r="A623" s="31"/>
      <c r="B623" s="22"/>
      <c r="C623" s="22" t="str">
        <f t="shared" si="10"/>
        <v/>
      </c>
      <c r="D623" s="25"/>
      <c r="E623" s="22"/>
      <c r="F623" s="22" t="str">
        <f t="shared" si="11"/>
        <v/>
      </c>
      <c r="G623" s="22" t="str">
        <f t="shared" si="79"/>
        <v/>
      </c>
      <c r="H623" s="22" t="str">
        <f t="shared" si="80"/>
        <v/>
      </c>
    </row>
    <row r="624" ht="15.75" customHeight="1">
      <c r="A624" s="31"/>
      <c r="B624" s="22"/>
      <c r="C624" s="22" t="str">
        <f t="shared" si="10"/>
        <v/>
      </c>
      <c r="D624" s="25"/>
      <c r="E624" s="22"/>
      <c r="F624" s="22" t="str">
        <f t="shared" si="11"/>
        <v/>
      </c>
      <c r="G624" s="22" t="str">
        <f t="shared" si="79"/>
        <v/>
      </c>
      <c r="H624" s="22" t="str">
        <f t="shared" si="80"/>
        <v/>
      </c>
    </row>
    <row r="625" ht="15.75" customHeight="1">
      <c r="A625" s="31"/>
      <c r="B625" s="22"/>
      <c r="C625" s="22" t="str">
        <f t="shared" si="10"/>
        <v/>
      </c>
      <c r="D625" s="25"/>
      <c r="E625" s="22"/>
      <c r="F625" s="22" t="str">
        <f t="shared" si="11"/>
        <v/>
      </c>
      <c r="G625" s="22" t="str">
        <f t="shared" si="79"/>
        <v/>
      </c>
      <c r="H625" s="22" t="str">
        <f t="shared" si="80"/>
        <v/>
      </c>
    </row>
    <row r="626" ht="15.75" customHeight="1">
      <c r="A626" s="31"/>
      <c r="B626" s="22"/>
      <c r="C626" s="22" t="str">
        <f t="shared" si="10"/>
        <v/>
      </c>
      <c r="D626" s="25"/>
      <c r="E626" s="22"/>
      <c r="F626" s="22" t="str">
        <f t="shared" si="11"/>
        <v/>
      </c>
      <c r="G626" s="22" t="str">
        <f t="shared" si="79"/>
        <v/>
      </c>
      <c r="H626" s="22" t="str">
        <f t="shared" si="80"/>
        <v/>
      </c>
    </row>
    <row r="627" ht="15.75" customHeight="1">
      <c r="A627" s="31"/>
      <c r="B627" s="22"/>
      <c r="C627" s="22" t="str">
        <f t="shared" si="10"/>
        <v/>
      </c>
      <c r="D627" s="25"/>
      <c r="E627" s="22"/>
      <c r="F627" s="22" t="str">
        <f t="shared" si="11"/>
        <v/>
      </c>
      <c r="G627" s="22" t="str">
        <f t="shared" si="79"/>
        <v/>
      </c>
      <c r="H627" s="22" t="str">
        <f t="shared" si="80"/>
        <v/>
      </c>
    </row>
    <row r="628" ht="15.75" customHeight="1">
      <c r="A628" s="31"/>
      <c r="B628" s="22"/>
      <c r="C628" s="22" t="str">
        <f t="shared" si="10"/>
        <v/>
      </c>
      <c r="D628" s="25"/>
      <c r="E628" s="22"/>
      <c r="F628" s="22" t="str">
        <f t="shared" si="11"/>
        <v/>
      </c>
      <c r="G628" s="22" t="str">
        <f t="shared" si="79"/>
        <v/>
      </c>
      <c r="H628" s="22" t="str">
        <f t="shared" si="80"/>
        <v/>
      </c>
    </row>
    <row r="629" ht="15.75" customHeight="1">
      <c r="A629" s="31"/>
      <c r="B629" s="22"/>
      <c r="C629" s="22" t="str">
        <f t="shared" si="10"/>
        <v/>
      </c>
      <c r="D629" s="25"/>
      <c r="E629" s="22"/>
      <c r="F629" s="22" t="str">
        <f t="shared" si="11"/>
        <v/>
      </c>
      <c r="G629" s="22" t="str">
        <f t="shared" si="79"/>
        <v/>
      </c>
      <c r="H629" s="22" t="str">
        <f t="shared" si="80"/>
        <v/>
      </c>
    </row>
    <row r="630" ht="15.75" customHeight="1">
      <c r="A630" s="31"/>
      <c r="B630" s="22"/>
      <c r="C630" s="22" t="str">
        <f t="shared" si="10"/>
        <v/>
      </c>
      <c r="D630" s="25"/>
      <c r="E630" s="22"/>
      <c r="F630" s="22" t="str">
        <f t="shared" si="11"/>
        <v/>
      </c>
      <c r="G630" s="22" t="str">
        <f t="shared" si="79"/>
        <v/>
      </c>
      <c r="H630" s="22" t="str">
        <f t="shared" si="80"/>
        <v/>
      </c>
    </row>
    <row r="631" ht="15.75" customHeight="1">
      <c r="A631" s="31"/>
      <c r="B631" s="22"/>
      <c r="C631" s="22" t="str">
        <f t="shared" si="10"/>
        <v/>
      </c>
      <c r="D631" s="25"/>
      <c r="E631" s="22"/>
      <c r="F631" s="22" t="str">
        <f t="shared" si="11"/>
        <v/>
      </c>
      <c r="G631" s="22" t="str">
        <f t="shared" si="79"/>
        <v/>
      </c>
      <c r="H631" s="22" t="str">
        <f t="shared" si="80"/>
        <v/>
      </c>
    </row>
    <row r="632" ht="15.75" customHeight="1">
      <c r="A632" s="31"/>
      <c r="B632" s="22"/>
      <c r="C632" s="22" t="str">
        <f t="shared" si="10"/>
        <v/>
      </c>
      <c r="D632" s="25"/>
      <c r="E632" s="22"/>
      <c r="F632" s="22" t="str">
        <f t="shared" si="11"/>
        <v/>
      </c>
      <c r="G632" s="22" t="str">
        <f t="shared" si="79"/>
        <v/>
      </c>
      <c r="H632" s="22" t="str">
        <f t="shared" si="80"/>
        <v/>
      </c>
    </row>
    <row r="633" ht="15.75" customHeight="1">
      <c r="A633" s="31"/>
      <c r="B633" s="22"/>
      <c r="C633" s="22" t="str">
        <f t="shared" si="10"/>
        <v/>
      </c>
      <c r="D633" s="25"/>
      <c r="E633" s="22"/>
      <c r="F633" s="22" t="str">
        <f t="shared" si="11"/>
        <v/>
      </c>
      <c r="G633" s="22" t="str">
        <f t="shared" si="79"/>
        <v/>
      </c>
      <c r="H633" s="22" t="str">
        <f t="shared" si="80"/>
        <v/>
      </c>
    </row>
    <row r="634" ht="15.75" customHeight="1">
      <c r="A634" s="31"/>
      <c r="B634" s="22"/>
      <c r="C634" s="22" t="str">
        <f t="shared" si="10"/>
        <v/>
      </c>
      <c r="D634" s="25"/>
      <c r="E634" s="22"/>
      <c r="F634" s="22" t="str">
        <f t="shared" si="11"/>
        <v/>
      </c>
      <c r="G634" s="22" t="str">
        <f t="shared" si="79"/>
        <v/>
      </c>
      <c r="H634" s="22" t="str">
        <f t="shared" si="80"/>
        <v/>
      </c>
    </row>
    <row r="635" ht="15.75" customHeight="1">
      <c r="A635" s="31"/>
      <c r="B635" s="22"/>
      <c r="C635" s="22" t="str">
        <f t="shared" si="10"/>
        <v/>
      </c>
      <c r="D635" s="25"/>
      <c r="E635" s="22"/>
      <c r="F635" s="22" t="str">
        <f t="shared" si="11"/>
        <v/>
      </c>
      <c r="G635" s="22" t="str">
        <f t="shared" si="79"/>
        <v/>
      </c>
      <c r="H635" s="22" t="str">
        <f t="shared" si="80"/>
        <v/>
      </c>
    </row>
    <row r="636" ht="15.75" customHeight="1">
      <c r="A636" s="31"/>
      <c r="B636" s="22"/>
      <c r="C636" s="22" t="str">
        <f t="shared" si="10"/>
        <v/>
      </c>
      <c r="D636" s="25"/>
      <c r="E636" s="22"/>
      <c r="F636" s="22" t="str">
        <f t="shared" si="11"/>
        <v/>
      </c>
      <c r="G636" s="22" t="str">
        <f t="shared" si="79"/>
        <v/>
      </c>
      <c r="H636" s="22" t="str">
        <f t="shared" si="80"/>
        <v/>
      </c>
    </row>
    <row r="637" ht="15.75" customHeight="1">
      <c r="A637" s="31"/>
      <c r="B637" s="22"/>
      <c r="C637" s="22" t="str">
        <f t="shared" si="10"/>
        <v/>
      </c>
      <c r="D637" s="25"/>
      <c r="E637" s="22"/>
      <c r="F637" s="22" t="str">
        <f t="shared" si="11"/>
        <v/>
      </c>
      <c r="G637" s="22" t="str">
        <f t="shared" si="79"/>
        <v/>
      </c>
      <c r="H637" s="22" t="str">
        <f t="shared" si="80"/>
        <v/>
      </c>
    </row>
    <row r="638" ht="15.75" customHeight="1">
      <c r="A638" s="31"/>
      <c r="B638" s="22"/>
      <c r="C638" s="22" t="str">
        <f t="shared" si="10"/>
        <v/>
      </c>
      <c r="D638" s="25"/>
      <c r="E638" s="22"/>
      <c r="F638" s="22" t="str">
        <f t="shared" si="11"/>
        <v/>
      </c>
      <c r="G638" s="22" t="str">
        <f t="shared" si="79"/>
        <v/>
      </c>
      <c r="H638" s="22" t="str">
        <f t="shared" si="80"/>
        <v/>
      </c>
    </row>
    <row r="639" ht="15.75" customHeight="1">
      <c r="A639" s="31"/>
      <c r="B639" s="22"/>
      <c r="C639" s="22" t="str">
        <f t="shared" si="10"/>
        <v/>
      </c>
      <c r="D639" s="25"/>
      <c r="E639" s="22"/>
      <c r="F639" s="22" t="str">
        <f t="shared" si="11"/>
        <v/>
      </c>
      <c r="G639" s="22" t="str">
        <f t="shared" si="79"/>
        <v/>
      </c>
      <c r="H639" s="22" t="str">
        <f t="shared" si="80"/>
        <v/>
      </c>
    </row>
    <row r="640" ht="15.75" customHeight="1">
      <c r="A640" s="31"/>
      <c r="B640" s="22"/>
      <c r="C640" s="22" t="str">
        <f t="shared" si="10"/>
        <v/>
      </c>
      <c r="D640" s="25"/>
      <c r="E640" s="22"/>
      <c r="F640" s="22" t="str">
        <f t="shared" si="11"/>
        <v/>
      </c>
      <c r="G640" s="22" t="str">
        <f t="shared" si="79"/>
        <v/>
      </c>
      <c r="H640" s="22" t="str">
        <f t="shared" si="80"/>
        <v/>
      </c>
    </row>
    <row r="641" ht="15.75" customHeight="1">
      <c r="A641" s="31"/>
      <c r="B641" s="22"/>
      <c r="C641" s="22" t="str">
        <f t="shared" si="10"/>
        <v/>
      </c>
      <c r="D641" s="25"/>
      <c r="E641" s="22"/>
      <c r="F641" s="22" t="str">
        <f t="shared" si="11"/>
        <v/>
      </c>
      <c r="G641" s="22" t="str">
        <f t="shared" si="79"/>
        <v/>
      </c>
      <c r="H641" s="22" t="str">
        <f t="shared" si="80"/>
        <v/>
      </c>
    </row>
    <row r="642" ht="15.75" customHeight="1">
      <c r="A642" s="31"/>
      <c r="B642" s="22"/>
      <c r="C642" s="22" t="str">
        <f t="shared" si="10"/>
        <v/>
      </c>
      <c r="D642" s="25"/>
      <c r="E642" s="22"/>
      <c r="F642" s="22" t="str">
        <f t="shared" si="11"/>
        <v/>
      </c>
      <c r="G642" s="22" t="str">
        <f t="shared" si="79"/>
        <v/>
      </c>
      <c r="H642" s="22" t="str">
        <f t="shared" si="80"/>
        <v/>
      </c>
    </row>
    <row r="643" ht="15.75" customHeight="1">
      <c r="A643" s="31"/>
      <c r="B643" s="22"/>
      <c r="C643" s="22" t="str">
        <f t="shared" si="10"/>
        <v/>
      </c>
      <c r="D643" s="25"/>
      <c r="E643" s="22"/>
      <c r="F643" s="22" t="str">
        <f t="shared" si="11"/>
        <v/>
      </c>
      <c r="G643" s="22" t="str">
        <f t="shared" si="79"/>
        <v/>
      </c>
      <c r="H643" s="22" t="str">
        <f t="shared" si="80"/>
        <v/>
      </c>
    </row>
    <row r="644" ht="15.75" customHeight="1">
      <c r="A644" s="31"/>
      <c r="B644" s="22"/>
      <c r="C644" s="22" t="str">
        <f t="shared" si="10"/>
        <v/>
      </c>
      <c r="D644" s="25"/>
      <c r="E644" s="22"/>
      <c r="F644" s="22" t="str">
        <f t="shared" si="11"/>
        <v/>
      </c>
      <c r="G644" s="22" t="str">
        <f t="shared" si="79"/>
        <v/>
      </c>
      <c r="H644" s="22" t="str">
        <f t="shared" si="80"/>
        <v/>
      </c>
    </row>
    <row r="645" ht="15.75" customHeight="1">
      <c r="A645" s="31"/>
      <c r="B645" s="22"/>
      <c r="C645" s="22" t="str">
        <f t="shared" si="10"/>
        <v/>
      </c>
      <c r="D645" s="25"/>
      <c r="E645" s="22"/>
      <c r="F645" s="22" t="str">
        <f t="shared" si="11"/>
        <v/>
      </c>
      <c r="G645" s="22" t="str">
        <f t="shared" si="79"/>
        <v/>
      </c>
      <c r="H645" s="22" t="str">
        <f t="shared" si="80"/>
        <v/>
      </c>
    </row>
    <row r="646" ht="15.75" customHeight="1">
      <c r="A646" s="31"/>
      <c r="B646" s="22"/>
      <c r="C646" s="22" t="str">
        <f t="shared" si="10"/>
        <v/>
      </c>
      <c r="D646" s="25"/>
      <c r="E646" s="22"/>
      <c r="F646" s="22" t="str">
        <f t="shared" si="11"/>
        <v/>
      </c>
      <c r="G646" s="22" t="str">
        <f t="shared" si="79"/>
        <v/>
      </c>
      <c r="H646" s="22" t="str">
        <f t="shared" si="80"/>
        <v/>
      </c>
    </row>
    <row r="647" ht="15.75" customHeight="1">
      <c r="A647" s="31"/>
      <c r="B647" s="22"/>
      <c r="C647" s="22" t="str">
        <f t="shared" si="10"/>
        <v/>
      </c>
      <c r="D647" s="25"/>
      <c r="E647" s="22"/>
      <c r="F647" s="22" t="str">
        <f t="shared" si="11"/>
        <v/>
      </c>
      <c r="G647" s="22" t="str">
        <f t="shared" si="79"/>
        <v/>
      </c>
      <c r="H647" s="22" t="str">
        <f t="shared" si="80"/>
        <v/>
      </c>
    </row>
    <row r="648" ht="15.75" customHeight="1">
      <c r="A648" s="31"/>
      <c r="B648" s="22"/>
      <c r="C648" s="22" t="str">
        <f t="shared" si="10"/>
        <v/>
      </c>
      <c r="D648" s="25"/>
      <c r="E648" s="22"/>
      <c r="F648" s="22" t="str">
        <f t="shared" si="11"/>
        <v/>
      </c>
      <c r="G648" s="22" t="str">
        <f t="shared" si="79"/>
        <v/>
      </c>
      <c r="H648" s="22" t="str">
        <f t="shared" si="80"/>
        <v/>
      </c>
    </row>
    <row r="649" ht="15.75" customHeight="1">
      <c r="A649" s="31"/>
      <c r="B649" s="22"/>
      <c r="C649" s="22" t="str">
        <f t="shared" si="10"/>
        <v/>
      </c>
      <c r="D649" s="25"/>
      <c r="E649" s="22"/>
      <c r="F649" s="22" t="str">
        <f t="shared" si="11"/>
        <v/>
      </c>
      <c r="G649" s="22" t="str">
        <f t="shared" si="79"/>
        <v/>
      </c>
      <c r="H649" s="22" t="str">
        <f t="shared" si="80"/>
        <v/>
      </c>
    </row>
    <row r="650" ht="15.75" customHeight="1">
      <c r="A650" s="31"/>
      <c r="B650" s="22"/>
      <c r="C650" s="22" t="str">
        <f t="shared" si="10"/>
        <v/>
      </c>
      <c r="D650" s="25"/>
      <c r="E650" s="22"/>
      <c r="F650" s="22" t="str">
        <f t="shared" si="11"/>
        <v/>
      </c>
      <c r="G650" s="22" t="str">
        <f t="shared" si="79"/>
        <v/>
      </c>
      <c r="H650" s="22" t="str">
        <f t="shared" si="80"/>
        <v/>
      </c>
    </row>
    <row r="651" ht="15.75" customHeight="1">
      <c r="A651" s="31"/>
      <c r="B651" s="22"/>
      <c r="C651" s="22" t="str">
        <f t="shared" si="10"/>
        <v/>
      </c>
      <c r="D651" s="25"/>
      <c r="E651" s="22"/>
      <c r="F651" s="22" t="str">
        <f t="shared" si="11"/>
        <v/>
      </c>
      <c r="G651" s="22" t="str">
        <f t="shared" si="79"/>
        <v/>
      </c>
      <c r="H651" s="22" t="str">
        <f t="shared" si="80"/>
        <v/>
      </c>
    </row>
    <row r="652" ht="15.75" customHeight="1">
      <c r="A652" s="31"/>
      <c r="B652" s="22"/>
      <c r="C652" s="22" t="str">
        <f t="shared" si="10"/>
        <v/>
      </c>
      <c r="D652" s="25"/>
      <c r="E652" s="22"/>
      <c r="F652" s="22" t="str">
        <f t="shared" si="11"/>
        <v/>
      </c>
      <c r="G652" s="22" t="str">
        <f t="shared" si="79"/>
        <v/>
      </c>
      <c r="H652" s="22" t="str">
        <f t="shared" si="80"/>
        <v/>
      </c>
    </row>
    <row r="653" ht="15.75" customHeight="1">
      <c r="A653" s="31"/>
      <c r="B653" s="22"/>
      <c r="C653" s="22" t="str">
        <f t="shared" si="10"/>
        <v/>
      </c>
      <c r="D653" s="25"/>
      <c r="E653" s="22"/>
      <c r="F653" s="22" t="str">
        <f t="shared" si="11"/>
        <v/>
      </c>
      <c r="G653" s="22" t="str">
        <f t="shared" si="79"/>
        <v/>
      </c>
      <c r="H653" s="22" t="str">
        <f t="shared" si="80"/>
        <v/>
      </c>
    </row>
    <row r="654" ht="15.75" customHeight="1">
      <c r="A654" s="31"/>
      <c r="B654" s="22"/>
      <c r="C654" s="22" t="str">
        <f t="shared" si="10"/>
        <v/>
      </c>
      <c r="D654" s="25"/>
      <c r="E654" s="22"/>
      <c r="F654" s="22" t="str">
        <f t="shared" si="11"/>
        <v/>
      </c>
      <c r="G654" s="22" t="str">
        <f t="shared" si="79"/>
        <v/>
      </c>
      <c r="H654" s="22" t="str">
        <f t="shared" si="80"/>
        <v/>
      </c>
    </row>
    <row r="655" ht="15.75" customHeight="1">
      <c r="A655" s="31"/>
      <c r="B655" s="22"/>
      <c r="C655" s="22" t="str">
        <f t="shared" si="10"/>
        <v/>
      </c>
      <c r="D655" s="25"/>
      <c r="E655" s="22"/>
      <c r="F655" s="22" t="str">
        <f t="shared" si="11"/>
        <v/>
      </c>
      <c r="G655" s="22" t="str">
        <f t="shared" si="79"/>
        <v/>
      </c>
      <c r="H655" s="22" t="str">
        <f t="shared" si="80"/>
        <v/>
      </c>
    </row>
    <row r="656" ht="15.75" customHeight="1">
      <c r="A656" s="31"/>
      <c r="B656" s="22"/>
      <c r="C656" s="22" t="str">
        <f t="shared" si="10"/>
        <v/>
      </c>
      <c r="D656" s="25"/>
      <c r="E656" s="22"/>
      <c r="F656" s="22" t="str">
        <f t="shared" si="11"/>
        <v/>
      </c>
      <c r="G656" s="22" t="str">
        <f t="shared" si="79"/>
        <v/>
      </c>
      <c r="H656" s="22" t="str">
        <f t="shared" si="80"/>
        <v/>
      </c>
    </row>
    <row r="657" ht="15.75" customHeight="1">
      <c r="A657" s="31"/>
      <c r="B657" s="22"/>
      <c r="C657" s="22" t="str">
        <f t="shared" si="10"/>
        <v/>
      </c>
      <c r="D657" s="25"/>
      <c r="E657" s="22"/>
      <c r="F657" s="22" t="str">
        <f t="shared" si="11"/>
        <v/>
      </c>
      <c r="G657" s="22" t="str">
        <f t="shared" si="79"/>
        <v/>
      </c>
      <c r="H657" s="22" t="str">
        <f t="shared" si="80"/>
        <v/>
      </c>
    </row>
    <row r="658" ht="15.75" customHeight="1">
      <c r="A658" s="31"/>
      <c r="B658" s="22"/>
      <c r="C658" s="22" t="str">
        <f t="shared" si="10"/>
        <v/>
      </c>
      <c r="D658" s="25"/>
      <c r="E658" s="22"/>
      <c r="F658" s="22" t="str">
        <f t="shared" si="11"/>
        <v/>
      </c>
      <c r="G658" s="22" t="str">
        <f t="shared" si="79"/>
        <v/>
      </c>
      <c r="H658" s="22" t="str">
        <f t="shared" si="80"/>
        <v/>
      </c>
    </row>
    <row r="659" ht="15.75" customHeight="1">
      <c r="A659" s="31"/>
      <c r="B659" s="22"/>
      <c r="C659" s="22" t="str">
        <f t="shared" si="10"/>
        <v/>
      </c>
      <c r="D659" s="25"/>
      <c r="E659" s="22"/>
      <c r="F659" s="22" t="str">
        <f t="shared" si="11"/>
        <v/>
      </c>
      <c r="G659" s="22" t="str">
        <f t="shared" si="79"/>
        <v/>
      </c>
      <c r="H659" s="22" t="str">
        <f t="shared" si="80"/>
        <v/>
      </c>
    </row>
    <row r="660" ht="15.75" customHeight="1">
      <c r="A660" s="31"/>
      <c r="B660" s="22"/>
      <c r="C660" s="22" t="str">
        <f t="shared" si="10"/>
        <v/>
      </c>
      <c r="D660" s="25"/>
      <c r="E660" s="22"/>
      <c r="F660" s="22" t="str">
        <f t="shared" si="11"/>
        <v/>
      </c>
      <c r="G660" s="22" t="str">
        <f t="shared" si="79"/>
        <v/>
      </c>
      <c r="H660" s="22" t="str">
        <f t="shared" si="80"/>
        <v/>
      </c>
    </row>
    <row r="661" ht="15.75" customHeight="1">
      <c r="A661" s="31"/>
      <c r="B661" s="22"/>
      <c r="C661" s="22" t="str">
        <f t="shared" si="10"/>
        <v/>
      </c>
      <c r="D661" s="25"/>
      <c r="E661" s="22"/>
      <c r="F661" s="22" t="str">
        <f t="shared" si="11"/>
        <v/>
      </c>
      <c r="G661" s="22" t="str">
        <f t="shared" si="79"/>
        <v/>
      </c>
      <c r="H661" s="22" t="str">
        <f t="shared" si="80"/>
        <v/>
      </c>
    </row>
    <row r="662" ht="15.75" customHeight="1">
      <c r="A662" s="31"/>
      <c r="B662" s="22"/>
      <c r="C662" s="22" t="str">
        <f t="shared" si="10"/>
        <v/>
      </c>
      <c r="D662" s="25"/>
      <c r="E662" s="22"/>
      <c r="F662" s="22" t="str">
        <f t="shared" si="11"/>
        <v/>
      </c>
      <c r="G662" s="22" t="str">
        <f t="shared" si="79"/>
        <v/>
      </c>
      <c r="H662" s="22" t="str">
        <f t="shared" si="80"/>
        <v/>
      </c>
    </row>
    <row r="663" ht="15.75" customHeight="1">
      <c r="A663" s="31"/>
      <c r="B663" s="22"/>
      <c r="C663" s="22" t="str">
        <f t="shared" si="10"/>
        <v/>
      </c>
      <c r="D663" s="25"/>
      <c r="E663" s="22"/>
      <c r="F663" s="22" t="str">
        <f t="shared" si="11"/>
        <v/>
      </c>
      <c r="G663" s="22" t="str">
        <f t="shared" si="79"/>
        <v/>
      </c>
      <c r="H663" s="22" t="str">
        <f t="shared" si="80"/>
        <v/>
      </c>
    </row>
    <row r="664" ht="15.75" customHeight="1">
      <c r="A664" s="31"/>
      <c r="B664" s="22"/>
      <c r="C664" s="22" t="str">
        <f t="shared" si="10"/>
        <v/>
      </c>
      <c r="D664" s="25"/>
      <c r="E664" s="22"/>
      <c r="F664" s="22" t="str">
        <f t="shared" si="11"/>
        <v/>
      </c>
      <c r="G664" s="22" t="str">
        <f t="shared" si="79"/>
        <v/>
      </c>
      <c r="H664" s="22" t="str">
        <f t="shared" si="80"/>
        <v/>
      </c>
    </row>
    <row r="665" ht="15.75" customHeight="1">
      <c r="A665" s="31"/>
      <c r="B665" s="22"/>
      <c r="C665" s="22" t="str">
        <f t="shared" si="10"/>
        <v/>
      </c>
      <c r="D665" s="25"/>
      <c r="E665" s="22"/>
      <c r="F665" s="22" t="str">
        <f t="shared" si="11"/>
        <v/>
      </c>
      <c r="G665" s="22" t="str">
        <f t="shared" si="79"/>
        <v/>
      </c>
      <c r="H665" s="22" t="str">
        <f t="shared" si="80"/>
        <v/>
      </c>
    </row>
    <row r="666" ht="15.75" customHeight="1">
      <c r="A666" s="31"/>
      <c r="B666" s="22"/>
      <c r="C666" s="22" t="str">
        <f t="shared" si="10"/>
        <v/>
      </c>
      <c r="D666" s="25"/>
      <c r="E666" s="22"/>
      <c r="F666" s="22" t="str">
        <f t="shared" si="11"/>
        <v/>
      </c>
      <c r="G666" s="22" t="str">
        <f t="shared" si="79"/>
        <v/>
      </c>
      <c r="H666" s="22" t="str">
        <f t="shared" si="80"/>
        <v/>
      </c>
    </row>
    <row r="667" ht="15.75" customHeight="1">
      <c r="A667" s="31"/>
      <c r="B667" s="22"/>
      <c r="C667" s="22" t="str">
        <f t="shared" si="10"/>
        <v/>
      </c>
      <c r="D667" s="25"/>
      <c r="E667" s="22"/>
      <c r="F667" s="22" t="str">
        <f t="shared" si="11"/>
        <v/>
      </c>
      <c r="G667" s="22" t="str">
        <f t="shared" si="79"/>
        <v/>
      </c>
      <c r="H667" s="22" t="str">
        <f t="shared" si="80"/>
        <v/>
      </c>
    </row>
    <row r="668" ht="15.75" customHeight="1">
      <c r="A668" s="31"/>
      <c r="B668" s="22"/>
      <c r="C668" s="22" t="str">
        <f t="shared" si="10"/>
        <v/>
      </c>
      <c r="D668" s="25"/>
      <c r="E668" s="22"/>
      <c r="F668" s="22" t="str">
        <f t="shared" si="11"/>
        <v/>
      </c>
      <c r="G668" s="22" t="str">
        <f t="shared" si="79"/>
        <v/>
      </c>
      <c r="H668" s="22" t="str">
        <f t="shared" si="80"/>
        <v/>
      </c>
    </row>
    <row r="669" ht="15.75" customHeight="1">
      <c r="A669" s="31"/>
      <c r="B669" s="22"/>
      <c r="C669" s="22" t="str">
        <f t="shared" si="10"/>
        <v/>
      </c>
      <c r="D669" s="25"/>
      <c r="E669" s="22"/>
      <c r="F669" s="22" t="str">
        <f t="shared" si="11"/>
        <v/>
      </c>
      <c r="G669" s="22" t="str">
        <f t="shared" si="79"/>
        <v/>
      </c>
      <c r="H669" s="22" t="str">
        <f t="shared" si="80"/>
        <v/>
      </c>
    </row>
    <row r="670" ht="15.75" customHeight="1">
      <c r="A670" s="31"/>
      <c r="B670" s="22"/>
      <c r="C670" s="22" t="str">
        <f t="shared" si="10"/>
        <v/>
      </c>
      <c r="D670" s="25"/>
      <c r="E670" s="22"/>
      <c r="F670" s="22" t="str">
        <f t="shared" si="11"/>
        <v/>
      </c>
      <c r="G670" s="22" t="str">
        <f t="shared" si="79"/>
        <v/>
      </c>
      <c r="H670" s="22" t="str">
        <f t="shared" si="80"/>
        <v/>
      </c>
    </row>
    <row r="671" ht="15.75" customHeight="1">
      <c r="A671" s="31"/>
      <c r="B671" s="22"/>
      <c r="C671" s="22" t="str">
        <f t="shared" si="10"/>
        <v/>
      </c>
      <c r="D671" s="25"/>
      <c r="E671" s="22"/>
      <c r="F671" s="22" t="str">
        <f t="shared" si="11"/>
        <v/>
      </c>
      <c r="G671" s="22" t="str">
        <f t="shared" si="79"/>
        <v/>
      </c>
      <c r="H671" s="22" t="str">
        <f t="shared" si="80"/>
        <v/>
      </c>
    </row>
    <row r="672" ht="15.75" customHeight="1">
      <c r="A672" s="31"/>
      <c r="B672" s="22"/>
      <c r="C672" s="22" t="str">
        <f t="shared" si="10"/>
        <v/>
      </c>
      <c r="D672" s="25"/>
      <c r="E672" s="22"/>
      <c r="F672" s="22" t="str">
        <f t="shared" si="11"/>
        <v/>
      </c>
      <c r="G672" s="22" t="str">
        <f t="shared" si="79"/>
        <v/>
      </c>
      <c r="H672" s="22" t="str">
        <f t="shared" si="80"/>
        <v/>
      </c>
    </row>
    <row r="673" ht="15.75" customHeight="1">
      <c r="A673" s="31"/>
      <c r="B673" s="22"/>
      <c r="C673" s="22" t="str">
        <f t="shared" si="10"/>
        <v/>
      </c>
      <c r="D673" s="25"/>
      <c r="E673" s="22"/>
      <c r="F673" s="22" t="str">
        <f t="shared" si="11"/>
        <v/>
      </c>
      <c r="G673" s="22" t="str">
        <f t="shared" si="79"/>
        <v/>
      </c>
      <c r="H673" s="22" t="str">
        <f t="shared" si="80"/>
        <v/>
      </c>
    </row>
    <row r="674" ht="15.75" customHeight="1">
      <c r="A674" s="31"/>
      <c r="B674" s="22"/>
      <c r="C674" s="22" t="str">
        <f t="shared" si="10"/>
        <v/>
      </c>
      <c r="D674" s="25"/>
      <c r="E674" s="22"/>
      <c r="F674" s="22" t="str">
        <f t="shared" si="11"/>
        <v/>
      </c>
      <c r="G674" s="22" t="str">
        <f t="shared" si="79"/>
        <v/>
      </c>
      <c r="H674" s="22" t="str">
        <f t="shared" si="80"/>
        <v/>
      </c>
    </row>
    <row r="675" ht="15.75" customHeight="1">
      <c r="A675" s="31"/>
      <c r="B675" s="22"/>
      <c r="C675" s="22" t="str">
        <f t="shared" si="10"/>
        <v/>
      </c>
      <c r="D675" s="25"/>
      <c r="E675" s="22"/>
      <c r="F675" s="22" t="str">
        <f t="shared" si="11"/>
        <v/>
      </c>
      <c r="G675" s="22" t="str">
        <f t="shared" si="79"/>
        <v/>
      </c>
      <c r="H675" s="22" t="str">
        <f t="shared" si="80"/>
        <v/>
      </c>
    </row>
    <row r="676" ht="15.75" customHeight="1">
      <c r="A676" s="31"/>
      <c r="B676" s="22"/>
      <c r="C676" s="22" t="str">
        <f t="shared" si="10"/>
        <v/>
      </c>
      <c r="D676" s="25"/>
      <c r="E676" s="22"/>
      <c r="F676" s="22" t="str">
        <f t="shared" si="11"/>
        <v/>
      </c>
      <c r="G676" s="22" t="str">
        <f t="shared" si="79"/>
        <v/>
      </c>
      <c r="H676" s="22" t="str">
        <f t="shared" si="80"/>
        <v/>
      </c>
    </row>
    <row r="677" ht="15.75" customHeight="1">
      <c r="A677" s="31"/>
      <c r="B677" s="22"/>
      <c r="C677" s="22" t="str">
        <f t="shared" si="10"/>
        <v/>
      </c>
      <c r="D677" s="25"/>
      <c r="E677" s="22"/>
      <c r="F677" s="22" t="str">
        <f t="shared" si="11"/>
        <v/>
      </c>
      <c r="G677" s="22" t="str">
        <f t="shared" si="79"/>
        <v/>
      </c>
      <c r="H677" s="22" t="str">
        <f t="shared" si="80"/>
        <v/>
      </c>
    </row>
    <row r="678" ht="15.75" customHeight="1">
      <c r="A678" s="31"/>
      <c r="B678" s="22"/>
      <c r="C678" s="22" t="str">
        <f t="shared" si="10"/>
        <v/>
      </c>
      <c r="D678" s="25"/>
      <c r="E678" s="22"/>
      <c r="F678" s="22" t="str">
        <f t="shared" si="11"/>
        <v/>
      </c>
      <c r="G678" s="22" t="str">
        <f t="shared" si="79"/>
        <v/>
      </c>
      <c r="H678" s="22" t="str">
        <f t="shared" si="80"/>
        <v/>
      </c>
    </row>
    <row r="679" ht="15.75" customHeight="1">
      <c r="A679" s="31"/>
      <c r="B679" s="22"/>
      <c r="C679" s="22" t="str">
        <f t="shared" si="10"/>
        <v/>
      </c>
      <c r="D679" s="25"/>
      <c r="E679" s="22"/>
      <c r="F679" s="22" t="str">
        <f t="shared" si="11"/>
        <v/>
      </c>
      <c r="G679" s="22" t="str">
        <f t="shared" si="79"/>
        <v/>
      </c>
      <c r="H679" s="22" t="str">
        <f t="shared" si="80"/>
        <v/>
      </c>
    </row>
    <row r="680" ht="15.75" customHeight="1">
      <c r="A680" s="31"/>
      <c r="B680" s="22"/>
      <c r="C680" s="22" t="str">
        <f t="shared" si="10"/>
        <v/>
      </c>
      <c r="D680" s="25"/>
      <c r="E680" s="22"/>
      <c r="F680" s="22" t="str">
        <f t="shared" si="11"/>
        <v/>
      </c>
      <c r="G680" s="22" t="str">
        <f t="shared" si="79"/>
        <v/>
      </c>
      <c r="H680" s="22" t="str">
        <f t="shared" si="80"/>
        <v/>
      </c>
    </row>
    <row r="681" ht="15.75" customHeight="1">
      <c r="A681" s="31"/>
      <c r="B681" s="22"/>
      <c r="C681" s="22" t="str">
        <f t="shared" si="10"/>
        <v/>
      </c>
      <c r="D681" s="25"/>
      <c r="E681" s="22"/>
      <c r="F681" s="22" t="str">
        <f t="shared" si="11"/>
        <v/>
      </c>
      <c r="G681" s="22" t="str">
        <f t="shared" si="79"/>
        <v/>
      </c>
      <c r="H681" s="22" t="str">
        <f t="shared" si="80"/>
        <v/>
      </c>
    </row>
    <row r="682" ht="15.75" customHeight="1">
      <c r="A682" s="31"/>
      <c r="B682" s="22"/>
      <c r="C682" s="22" t="str">
        <f t="shared" si="10"/>
        <v/>
      </c>
      <c r="D682" s="25"/>
      <c r="E682" s="22"/>
      <c r="F682" s="22" t="str">
        <f t="shared" si="11"/>
        <v/>
      </c>
      <c r="G682" s="22" t="str">
        <f t="shared" si="79"/>
        <v/>
      </c>
      <c r="H682" s="22" t="str">
        <f t="shared" si="80"/>
        <v/>
      </c>
    </row>
    <row r="683" ht="15.75" customHeight="1">
      <c r="A683" s="31"/>
      <c r="B683" s="22"/>
      <c r="C683" s="22" t="str">
        <f t="shared" si="10"/>
        <v/>
      </c>
      <c r="D683" s="25"/>
      <c r="E683" s="22"/>
      <c r="F683" s="22" t="str">
        <f t="shared" si="11"/>
        <v/>
      </c>
      <c r="G683" s="22" t="str">
        <f t="shared" si="79"/>
        <v/>
      </c>
      <c r="H683" s="22" t="str">
        <f t="shared" si="80"/>
        <v/>
      </c>
    </row>
    <row r="684" ht="15.75" customHeight="1">
      <c r="A684" s="31"/>
      <c r="B684" s="22"/>
      <c r="C684" s="22" t="str">
        <f t="shared" si="10"/>
        <v/>
      </c>
      <c r="D684" s="25"/>
      <c r="E684" s="22"/>
      <c r="F684" s="22" t="str">
        <f t="shared" si="11"/>
        <v/>
      </c>
      <c r="G684" s="22" t="str">
        <f t="shared" si="79"/>
        <v/>
      </c>
      <c r="H684" s="22" t="str">
        <f t="shared" si="80"/>
        <v/>
      </c>
    </row>
    <row r="685" ht="15.75" customHeight="1">
      <c r="A685" s="31"/>
      <c r="B685" s="22"/>
      <c r="C685" s="22" t="str">
        <f t="shared" si="10"/>
        <v/>
      </c>
      <c r="D685" s="25"/>
      <c r="E685" s="22"/>
      <c r="F685" s="22" t="str">
        <f t="shared" si="11"/>
        <v/>
      </c>
      <c r="G685" s="22" t="str">
        <f t="shared" si="79"/>
        <v/>
      </c>
      <c r="H685" s="22" t="str">
        <f t="shared" si="80"/>
        <v/>
      </c>
    </row>
    <row r="686" ht="15.75" customHeight="1">
      <c r="A686" s="31"/>
      <c r="B686" s="22"/>
      <c r="C686" s="22" t="str">
        <f t="shared" si="10"/>
        <v/>
      </c>
      <c r="D686" s="25"/>
      <c r="E686" s="22"/>
      <c r="F686" s="22" t="str">
        <f t="shared" si="11"/>
        <v/>
      </c>
      <c r="G686" s="22" t="str">
        <f t="shared" si="79"/>
        <v/>
      </c>
      <c r="H686" s="22" t="str">
        <f t="shared" si="80"/>
        <v/>
      </c>
    </row>
    <row r="687" ht="15.75" customHeight="1">
      <c r="A687" s="31"/>
      <c r="B687" s="22"/>
      <c r="C687" s="22" t="str">
        <f t="shared" si="10"/>
        <v/>
      </c>
      <c r="D687" s="25"/>
      <c r="E687" s="22"/>
      <c r="F687" s="22" t="str">
        <f t="shared" si="11"/>
        <v/>
      </c>
      <c r="G687" s="22" t="str">
        <f t="shared" si="79"/>
        <v/>
      </c>
      <c r="H687" s="22" t="str">
        <f t="shared" si="80"/>
        <v/>
      </c>
    </row>
    <row r="688" ht="15.75" customHeight="1">
      <c r="A688" s="31"/>
      <c r="B688" s="22"/>
      <c r="C688" s="22" t="str">
        <f t="shared" si="10"/>
        <v/>
      </c>
      <c r="D688" s="25"/>
      <c r="E688" s="22"/>
      <c r="F688" s="22" t="str">
        <f t="shared" si="11"/>
        <v/>
      </c>
      <c r="G688" s="22" t="str">
        <f t="shared" si="79"/>
        <v/>
      </c>
      <c r="H688" s="22" t="str">
        <f t="shared" si="80"/>
        <v/>
      </c>
    </row>
    <row r="689" ht="15.75" customHeight="1">
      <c r="A689" s="31"/>
      <c r="B689" s="22"/>
      <c r="C689" s="22" t="str">
        <f t="shared" si="10"/>
        <v/>
      </c>
      <c r="D689" s="25"/>
      <c r="E689" s="22"/>
      <c r="F689" s="22" t="str">
        <f t="shared" si="11"/>
        <v/>
      </c>
      <c r="G689" s="22" t="str">
        <f t="shared" si="79"/>
        <v/>
      </c>
      <c r="H689" s="22" t="str">
        <f t="shared" si="80"/>
        <v/>
      </c>
    </row>
    <row r="690" ht="15.75" customHeight="1">
      <c r="A690" s="31"/>
      <c r="B690" s="22"/>
      <c r="C690" s="22" t="str">
        <f t="shared" si="10"/>
        <v/>
      </c>
      <c r="D690" s="25"/>
      <c r="E690" s="22"/>
      <c r="F690" s="22" t="str">
        <f t="shared" si="11"/>
        <v/>
      </c>
      <c r="G690" s="22" t="str">
        <f t="shared" si="79"/>
        <v/>
      </c>
      <c r="H690" s="22" t="str">
        <f t="shared" si="80"/>
        <v/>
      </c>
    </row>
    <row r="691" ht="15.75" customHeight="1">
      <c r="A691" s="31"/>
      <c r="B691" s="22"/>
      <c r="C691" s="22" t="str">
        <f t="shared" si="10"/>
        <v/>
      </c>
      <c r="D691" s="25"/>
      <c r="E691" s="22"/>
      <c r="F691" s="22" t="str">
        <f t="shared" si="11"/>
        <v/>
      </c>
      <c r="G691" s="22" t="str">
        <f t="shared" si="79"/>
        <v/>
      </c>
      <c r="H691" s="22" t="str">
        <f t="shared" si="80"/>
        <v/>
      </c>
    </row>
    <row r="692" ht="15.75" customHeight="1">
      <c r="A692" s="31"/>
      <c r="B692" s="22"/>
      <c r="C692" s="22" t="str">
        <f t="shared" si="10"/>
        <v/>
      </c>
      <c r="D692" s="25"/>
      <c r="E692" s="22"/>
      <c r="F692" s="22" t="str">
        <f t="shared" si="11"/>
        <v/>
      </c>
      <c r="G692" s="22" t="str">
        <f t="shared" si="79"/>
        <v/>
      </c>
      <c r="H692" s="22" t="str">
        <f t="shared" si="80"/>
        <v/>
      </c>
    </row>
    <row r="693" ht="15.75" customHeight="1">
      <c r="A693" s="31"/>
      <c r="B693" s="22"/>
      <c r="C693" s="22" t="str">
        <f t="shared" si="10"/>
        <v/>
      </c>
      <c r="D693" s="25"/>
      <c r="E693" s="22"/>
      <c r="F693" s="22" t="str">
        <f t="shared" si="11"/>
        <v/>
      </c>
      <c r="G693" s="22" t="str">
        <f t="shared" si="79"/>
        <v/>
      </c>
      <c r="H693" s="22" t="str">
        <f t="shared" si="80"/>
        <v/>
      </c>
    </row>
    <row r="694" ht="15.75" customHeight="1">
      <c r="A694" s="31"/>
      <c r="B694" s="22"/>
      <c r="C694" s="22" t="str">
        <f t="shared" si="10"/>
        <v/>
      </c>
      <c r="D694" s="25"/>
      <c r="E694" s="22"/>
      <c r="F694" s="22" t="str">
        <f t="shared" si="11"/>
        <v/>
      </c>
      <c r="G694" s="22" t="str">
        <f t="shared" si="79"/>
        <v/>
      </c>
      <c r="H694" s="22" t="str">
        <f t="shared" si="80"/>
        <v/>
      </c>
    </row>
    <row r="695" ht="15.75" customHeight="1">
      <c r="A695" s="31"/>
      <c r="B695" s="22"/>
      <c r="C695" s="22" t="str">
        <f t="shared" si="10"/>
        <v/>
      </c>
      <c r="D695" s="25"/>
      <c r="E695" s="22"/>
      <c r="F695" s="22" t="str">
        <f t="shared" si="11"/>
        <v/>
      </c>
      <c r="G695" s="22" t="str">
        <f t="shared" si="79"/>
        <v/>
      </c>
      <c r="H695" s="22" t="str">
        <f t="shared" si="80"/>
        <v/>
      </c>
    </row>
    <row r="696" ht="15.75" customHeight="1">
      <c r="A696" s="31"/>
      <c r="B696" s="22"/>
      <c r="C696" s="22" t="str">
        <f t="shared" si="10"/>
        <v/>
      </c>
      <c r="D696" s="25"/>
      <c r="E696" s="22"/>
      <c r="F696" s="22" t="str">
        <f t="shared" si="11"/>
        <v/>
      </c>
      <c r="G696" s="22" t="str">
        <f t="shared" si="79"/>
        <v/>
      </c>
      <c r="H696" s="22" t="str">
        <f t="shared" si="80"/>
        <v/>
      </c>
    </row>
    <row r="697" ht="15.75" customHeight="1">
      <c r="A697" s="31"/>
      <c r="B697" s="22"/>
      <c r="C697" s="22" t="str">
        <f t="shared" si="10"/>
        <v/>
      </c>
      <c r="D697" s="25"/>
      <c r="E697" s="22"/>
      <c r="F697" s="22" t="str">
        <f t="shared" si="11"/>
        <v/>
      </c>
      <c r="G697" s="22" t="str">
        <f t="shared" si="79"/>
        <v/>
      </c>
      <c r="H697" s="22" t="str">
        <f t="shared" si="80"/>
        <v/>
      </c>
    </row>
    <row r="698" ht="15.75" customHeight="1">
      <c r="A698" s="31"/>
      <c r="B698" s="22"/>
      <c r="C698" s="22" t="str">
        <f t="shared" si="10"/>
        <v/>
      </c>
      <c r="D698" s="25"/>
      <c r="E698" s="22"/>
      <c r="F698" s="22" t="str">
        <f t="shared" si="11"/>
        <v/>
      </c>
      <c r="G698" s="22" t="str">
        <f t="shared" si="79"/>
        <v/>
      </c>
      <c r="H698" s="22" t="str">
        <f t="shared" si="80"/>
        <v/>
      </c>
    </row>
    <row r="699" ht="15.75" customHeight="1">
      <c r="A699" s="31"/>
      <c r="B699" s="22"/>
      <c r="C699" s="22" t="str">
        <f t="shared" si="10"/>
        <v/>
      </c>
      <c r="D699" s="25"/>
      <c r="E699" s="22"/>
      <c r="F699" s="22" t="str">
        <f t="shared" si="11"/>
        <v/>
      </c>
      <c r="G699" s="22" t="str">
        <f t="shared" si="79"/>
        <v/>
      </c>
      <c r="H699" s="22" t="str">
        <f t="shared" si="80"/>
        <v/>
      </c>
    </row>
    <row r="700" ht="15.75" customHeight="1">
      <c r="A700" s="31"/>
      <c r="B700" s="22"/>
      <c r="C700" s="22" t="str">
        <f t="shared" si="10"/>
        <v/>
      </c>
      <c r="D700" s="25"/>
      <c r="E700" s="22"/>
      <c r="F700" s="22" t="str">
        <f t="shared" si="11"/>
        <v/>
      </c>
      <c r="G700" s="22" t="str">
        <f t="shared" si="79"/>
        <v/>
      </c>
      <c r="H700" s="22" t="str">
        <f t="shared" si="80"/>
        <v/>
      </c>
    </row>
    <row r="701" ht="15.75" customHeight="1">
      <c r="A701" s="31"/>
      <c r="B701" s="22"/>
      <c r="C701" s="22" t="str">
        <f t="shared" si="10"/>
        <v/>
      </c>
      <c r="D701" s="25"/>
      <c r="E701" s="22"/>
      <c r="F701" s="22" t="str">
        <f t="shared" si="11"/>
        <v/>
      </c>
      <c r="G701" s="22" t="str">
        <f t="shared" si="79"/>
        <v/>
      </c>
      <c r="H701" s="22" t="str">
        <f t="shared" si="80"/>
        <v/>
      </c>
    </row>
    <row r="702" ht="15.75" customHeight="1">
      <c r="A702" s="31"/>
      <c r="B702" s="22"/>
      <c r="C702" s="22" t="str">
        <f t="shared" si="10"/>
        <v/>
      </c>
      <c r="D702" s="25"/>
      <c r="E702" s="22"/>
      <c r="F702" s="22" t="str">
        <f t="shared" si="11"/>
        <v/>
      </c>
      <c r="G702" s="22" t="str">
        <f t="shared" si="79"/>
        <v/>
      </c>
      <c r="H702" s="22" t="str">
        <f t="shared" si="80"/>
        <v/>
      </c>
    </row>
    <row r="703" ht="15.75" customHeight="1">
      <c r="A703" s="31"/>
      <c r="B703" s="22"/>
      <c r="C703" s="22" t="str">
        <f t="shared" si="10"/>
        <v/>
      </c>
      <c r="D703" s="25"/>
      <c r="E703" s="22"/>
      <c r="F703" s="22" t="str">
        <f t="shared" si="11"/>
        <v/>
      </c>
      <c r="G703" s="22" t="str">
        <f t="shared" si="79"/>
        <v/>
      </c>
      <c r="H703" s="22" t="str">
        <f t="shared" si="80"/>
        <v/>
      </c>
    </row>
    <row r="704" ht="15.75" customHeight="1">
      <c r="A704" s="31"/>
      <c r="B704" s="22"/>
      <c r="C704" s="22" t="str">
        <f t="shared" si="10"/>
        <v/>
      </c>
      <c r="D704" s="25"/>
      <c r="E704" s="22"/>
      <c r="F704" s="22" t="str">
        <f t="shared" si="11"/>
        <v/>
      </c>
      <c r="G704" s="22" t="str">
        <f t="shared" si="79"/>
        <v/>
      </c>
      <c r="H704" s="22" t="str">
        <f t="shared" si="80"/>
        <v/>
      </c>
    </row>
    <row r="705" ht="15.75" customHeight="1">
      <c r="A705" s="31"/>
      <c r="B705" s="22"/>
      <c r="C705" s="22" t="str">
        <f t="shared" si="10"/>
        <v/>
      </c>
      <c r="D705" s="25"/>
      <c r="E705" s="22"/>
      <c r="F705" s="22" t="str">
        <f t="shared" si="11"/>
        <v/>
      </c>
      <c r="G705" s="22" t="str">
        <f t="shared" si="79"/>
        <v/>
      </c>
      <c r="H705" s="22" t="str">
        <f t="shared" si="80"/>
        <v/>
      </c>
    </row>
    <row r="706" ht="15.75" customHeight="1">
      <c r="A706" s="31"/>
      <c r="B706" s="22"/>
      <c r="C706" s="22" t="str">
        <f t="shared" si="10"/>
        <v/>
      </c>
      <c r="D706" s="25"/>
      <c r="E706" s="22"/>
      <c r="F706" s="22" t="str">
        <f t="shared" si="11"/>
        <v/>
      </c>
      <c r="G706" s="22" t="str">
        <f t="shared" si="79"/>
        <v/>
      </c>
      <c r="H706" s="22" t="str">
        <f t="shared" si="80"/>
        <v/>
      </c>
    </row>
    <row r="707" ht="15.75" customHeight="1">
      <c r="A707" s="31"/>
      <c r="B707" s="22"/>
      <c r="C707" s="22" t="str">
        <f t="shared" si="10"/>
        <v/>
      </c>
      <c r="D707" s="25"/>
      <c r="E707" s="22"/>
      <c r="F707" s="22" t="str">
        <f t="shared" si="11"/>
        <v/>
      </c>
      <c r="G707" s="22" t="str">
        <f t="shared" si="79"/>
        <v/>
      </c>
      <c r="H707" s="22" t="str">
        <f t="shared" si="80"/>
        <v/>
      </c>
    </row>
    <row r="708" ht="15.75" customHeight="1">
      <c r="A708" s="31"/>
      <c r="B708" s="22"/>
      <c r="C708" s="22" t="str">
        <f t="shared" si="10"/>
        <v/>
      </c>
      <c r="D708" s="25"/>
      <c r="E708" s="22"/>
      <c r="F708" s="22" t="str">
        <f t="shared" si="11"/>
        <v/>
      </c>
      <c r="G708" s="22" t="str">
        <f t="shared" si="79"/>
        <v/>
      </c>
      <c r="H708" s="22" t="str">
        <f t="shared" si="80"/>
        <v/>
      </c>
    </row>
    <row r="709" ht="15.75" customHeight="1">
      <c r="A709" s="31"/>
      <c r="B709" s="22"/>
      <c r="C709" s="22" t="str">
        <f t="shared" si="10"/>
        <v/>
      </c>
      <c r="D709" s="25"/>
      <c r="E709" s="22"/>
      <c r="F709" s="22" t="str">
        <f t="shared" si="11"/>
        <v/>
      </c>
      <c r="G709" s="22" t="str">
        <f t="shared" si="79"/>
        <v/>
      </c>
      <c r="H709" s="22" t="str">
        <f t="shared" si="80"/>
        <v/>
      </c>
    </row>
    <row r="710" ht="15.75" customHeight="1">
      <c r="A710" s="31"/>
      <c r="B710" s="22"/>
      <c r="C710" s="22" t="str">
        <f t="shared" si="10"/>
        <v/>
      </c>
      <c r="D710" s="25"/>
      <c r="E710" s="22"/>
      <c r="F710" s="22" t="str">
        <f t="shared" si="11"/>
        <v/>
      </c>
      <c r="G710" s="22" t="str">
        <f t="shared" si="79"/>
        <v/>
      </c>
      <c r="H710" s="22" t="str">
        <f t="shared" si="80"/>
        <v/>
      </c>
    </row>
    <row r="711" ht="15.75" customHeight="1">
      <c r="A711" s="31"/>
      <c r="B711" s="22"/>
      <c r="C711" s="22" t="str">
        <f t="shared" si="10"/>
        <v/>
      </c>
      <c r="D711" s="25"/>
      <c r="E711" s="22"/>
      <c r="F711" s="22" t="str">
        <f t="shared" si="11"/>
        <v/>
      </c>
      <c r="G711" s="22" t="str">
        <f t="shared" si="79"/>
        <v/>
      </c>
      <c r="H711" s="22" t="str">
        <f t="shared" si="80"/>
        <v/>
      </c>
    </row>
    <row r="712" ht="15.75" customHeight="1">
      <c r="A712" s="31"/>
      <c r="B712" s="22"/>
      <c r="C712" s="22" t="str">
        <f t="shared" si="10"/>
        <v/>
      </c>
      <c r="D712" s="25"/>
      <c r="E712" s="22"/>
      <c r="F712" s="22" t="str">
        <f t="shared" si="11"/>
        <v/>
      </c>
      <c r="G712" s="22" t="str">
        <f t="shared" si="79"/>
        <v/>
      </c>
      <c r="H712" s="22" t="str">
        <f t="shared" si="80"/>
        <v/>
      </c>
    </row>
    <row r="713" ht="15.75" customHeight="1">
      <c r="A713" s="31"/>
      <c r="B713" s="22"/>
      <c r="C713" s="22" t="str">
        <f t="shared" si="10"/>
        <v/>
      </c>
      <c r="D713" s="25"/>
      <c r="E713" s="22"/>
      <c r="F713" s="22" t="str">
        <f t="shared" si="11"/>
        <v/>
      </c>
      <c r="G713" s="22" t="str">
        <f t="shared" si="79"/>
        <v/>
      </c>
      <c r="H713" s="22" t="str">
        <f t="shared" si="80"/>
        <v/>
      </c>
    </row>
    <row r="714" ht="15.75" customHeight="1">
      <c r="A714" s="31"/>
      <c r="B714" s="22"/>
      <c r="C714" s="22" t="str">
        <f t="shared" si="10"/>
        <v/>
      </c>
      <c r="D714" s="25"/>
      <c r="E714" s="22"/>
      <c r="F714" s="22" t="str">
        <f t="shared" si="11"/>
        <v/>
      </c>
      <c r="G714" s="22" t="str">
        <f t="shared" si="79"/>
        <v/>
      </c>
      <c r="H714" s="22" t="str">
        <f t="shared" si="80"/>
        <v/>
      </c>
    </row>
    <row r="715" ht="15.75" customHeight="1">
      <c r="A715" s="31"/>
      <c r="B715" s="22"/>
      <c r="C715" s="22" t="str">
        <f t="shared" si="10"/>
        <v/>
      </c>
      <c r="D715" s="25"/>
      <c r="E715" s="22"/>
      <c r="F715" s="22" t="str">
        <f t="shared" si="11"/>
        <v/>
      </c>
      <c r="G715" s="22" t="str">
        <f t="shared" si="79"/>
        <v/>
      </c>
      <c r="H715" s="22" t="str">
        <f t="shared" si="80"/>
        <v/>
      </c>
    </row>
    <row r="716" ht="15.75" customHeight="1">
      <c r="A716" s="31"/>
      <c r="B716" s="22"/>
      <c r="C716" s="22" t="str">
        <f t="shared" si="10"/>
        <v/>
      </c>
      <c r="D716" s="25"/>
      <c r="E716" s="22"/>
      <c r="F716" s="22" t="str">
        <f t="shared" si="11"/>
        <v/>
      </c>
      <c r="G716" s="22" t="str">
        <f t="shared" si="79"/>
        <v/>
      </c>
      <c r="H716" s="22" t="str">
        <f t="shared" si="80"/>
        <v/>
      </c>
    </row>
    <row r="717" ht="15.75" customHeight="1">
      <c r="A717" s="31"/>
      <c r="B717" s="22"/>
      <c r="C717" s="22" t="str">
        <f t="shared" si="10"/>
        <v/>
      </c>
      <c r="D717" s="25"/>
      <c r="E717" s="22"/>
      <c r="F717" s="22" t="str">
        <f t="shared" si="11"/>
        <v/>
      </c>
      <c r="G717" s="22" t="str">
        <f t="shared" si="79"/>
        <v/>
      </c>
      <c r="H717" s="22" t="str">
        <f t="shared" si="80"/>
        <v/>
      </c>
    </row>
    <row r="718" ht="15.75" customHeight="1">
      <c r="A718" s="31"/>
      <c r="B718" s="22"/>
      <c r="C718" s="22" t="str">
        <f t="shared" si="10"/>
        <v/>
      </c>
      <c r="D718" s="25"/>
      <c r="E718" s="22"/>
      <c r="F718" s="22" t="str">
        <f t="shared" si="11"/>
        <v/>
      </c>
      <c r="G718" s="22" t="str">
        <f t="shared" si="79"/>
        <v/>
      </c>
      <c r="H718" s="22" t="str">
        <f t="shared" si="80"/>
        <v/>
      </c>
    </row>
    <row r="719" ht="15.75" customHeight="1">
      <c r="A719" s="31"/>
      <c r="B719" s="22"/>
      <c r="C719" s="22" t="str">
        <f t="shared" si="10"/>
        <v/>
      </c>
      <c r="D719" s="25"/>
      <c r="E719" s="22"/>
      <c r="F719" s="22" t="str">
        <f t="shared" si="11"/>
        <v/>
      </c>
      <c r="G719" s="22" t="str">
        <f t="shared" si="79"/>
        <v/>
      </c>
      <c r="H719" s="22" t="str">
        <f t="shared" si="80"/>
        <v/>
      </c>
    </row>
    <row r="720" ht="15.75" customHeight="1">
      <c r="A720" s="31"/>
      <c r="B720" s="22"/>
      <c r="C720" s="22" t="str">
        <f t="shared" si="10"/>
        <v/>
      </c>
      <c r="D720" s="25"/>
      <c r="E720" s="22"/>
      <c r="F720" s="22" t="str">
        <f t="shared" si="11"/>
        <v/>
      </c>
      <c r="G720" s="22" t="str">
        <f t="shared" si="79"/>
        <v/>
      </c>
      <c r="H720" s="22" t="str">
        <f t="shared" si="80"/>
        <v/>
      </c>
    </row>
    <row r="721" ht="15.75" customHeight="1">
      <c r="A721" s="31"/>
      <c r="B721" s="22"/>
      <c r="C721" s="22" t="str">
        <f t="shared" si="10"/>
        <v/>
      </c>
      <c r="D721" s="25"/>
      <c r="E721" s="22"/>
      <c r="F721" s="22" t="str">
        <f t="shared" si="11"/>
        <v/>
      </c>
      <c r="G721" s="22" t="str">
        <f t="shared" si="79"/>
        <v/>
      </c>
      <c r="H721" s="22" t="str">
        <f t="shared" si="80"/>
        <v/>
      </c>
    </row>
    <row r="722" ht="15.75" customHeight="1">
      <c r="A722" s="31"/>
      <c r="B722" s="22"/>
      <c r="C722" s="22" t="str">
        <f t="shared" si="10"/>
        <v/>
      </c>
      <c r="D722" s="25"/>
      <c r="E722" s="22"/>
      <c r="F722" s="22" t="str">
        <f t="shared" si="11"/>
        <v/>
      </c>
      <c r="G722" s="22" t="str">
        <f t="shared" si="79"/>
        <v/>
      </c>
      <c r="H722" s="22" t="str">
        <f t="shared" si="80"/>
        <v/>
      </c>
    </row>
    <row r="723" ht="15.75" customHeight="1">
      <c r="A723" s="31"/>
      <c r="B723" s="22"/>
      <c r="C723" s="22" t="str">
        <f t="shared" si="10"/>
        <v/>
      </c>
      <c r="D723" s="25"/>
      <c r="E723" s="22"/>
      <c r="F723" s="22" t="str">
        <f t="shared" si="11"/>
        <v/>
      </c>
      <c r="G723" s="22" t="str">
        <f t="shared" si="79"/>
        <v/>
      </c>
      <c r="H723" s="22" t="str">
        <f t="shared" si="80"/>
        <v/>
      </c>
    </row>
    <row r="724" ht="15.75" customHeight="1">
      <c r="A724" s="31"/>
      <c r="B724" s="22"/>
      <c r="C724" s="22" t="str">
        <f t="shared" si="10"/>
        <v/>
      </c>
      <c r="D724" s="25"/>
      <c r="E724" s="22"/>
      <c r="F724" s="22" t="str">
        <f t="shared" si="11"/>
        <v/>
      </c>
      <c r="G724" s="22" t="str">
        <f t="shared" si="79"/>
        <v/>
      </c>
      <c r="H724" s="22" t="str">
        <f t="shared" si="80"/>
        <v/>
      </c>
    </row>
    <row r="725" ht="15.75" customHeight="1">
      <c r="A725" s="31"/>
      <c r="B725" s="22"/>
      <c r="C725" s="22" t="str">
        <f t="shared" si="10"/>
        <v/>
      </c>
      <c r="D725" s="25"/>
      <c r="E725" s="22"/>
      <c r="F725" s="22" t="str">
        <f t="shared" si="11"/>
        <v/>
      </c>
      <c r="G725" s="22" t="str">
        <f t="shared" si="79"/>
        <v/>
      </c>
      <c r="H725" s="22" t="str">
        <f t="shared" si="80"/>
        <v/>
      </c>
    </row>
    <row r="726" ht="15.75" customHeight="1">
      <c r="A726" s="31"/>
      <c r="B726" s="22"/>
      <c r="C726" s="22" t="str">
        <f t="shared" si="10"/>
        <v/>
      </c>
      <c r="D726" s="25"/>
      <c r="E726" s="22"/>
      <c r="F726" s="22" t="str">
        <f t="shared" si="11"/>
        <v/>
      </c>
      <c r="G726" s="22" t="str">
        <f t="shared" si="79"/>
        <v/>
      </c>
      <c r="H726" s="22" t="str">
        <f t="shared" si="80"/>
        <v/>
      </c>
    </row>
    <row r="727" ht="15.75" customHeight="1">
      <c r="A727" s="31"/>
      <c r="B727" s="22"/>
      <c r="C727" s="22" t="str">
        <f t="shared" si="10"/>
        <v/>
      </c>
      <c r="D727" s="25"/>
      <c r="E727" s="22"/>
      <c r="F727" s="22" t="str">
        <f t="shared" si="11"/>
        <v/>
      </c>
      <c r="G727" s="22" t="str">
        <f t="shared" si="79"/>
        <v/>
      </c>
      <c r="H727" s="22" t="str">
        <f t="shared" si="80"/>
        <v/>
      </c>
    </row>
    <row r="728" ht="15.75" customHeight="1">
      <c r="A728" s="31"/>
      <c r="B728" s="22"/>
      <c r="C728" s="22" t="str">
        <f t="shared" si="10"/>
        <v/>
      </c>
      <c r="D728" s="25"/>
      <c r="E728" s="22"/>
      <c r="F728" s="22" t="str">
        <f t="shared" si="11"/>
        <v/>
      </c>
      <c r="G728" s="22" t="str">
        <f t="shared" si="79"/>
        <v/>
      </c>
      <c r="H728" s="22" t="str">
        <f t="shared" si="80"/>
        <v/>
      </c>
    </row>
    <row r="729" ht="15.75" customHeight="1">
      <c r="A729" s="31"/>
      <c r="B729" s="22"/>
      <c r="C729" s="22" t="str">
        <f t="shared" si="10"/>
        <v/>
      </c>
      <c r="D729" s="25"/>
      <c r="E729" s="22"/>
      <c r="F729" s="22" t="str">
        <f t="shared" si="11"/>
        <v/>
      </c>
      <c r="G729" s="22" t="str">
        <f t="shared" si="79"/>
        <v/>
      </c>
      <c r="H729" s="22" t="str">
        <f t="shared" si="80"/>
        <v/>
      </c>
    </row>
    <row r="730" ht="15.75" customHeight="1">
      <c r="A730" s="31"/>
      <c r="B730" s="22"/>
      <c r="C730" s="22" t="str">
        <f t="shared" si="10"/>
        <v/>
      </c>
      <c r="D730" s="25"/>
      <c r="E730" s="22"/>
      <c r="F730" s="22" t="str">
        <f t="shared" si="11"/>
        <v/>
      </c>
      <c r="G730" s="22" t="str">
        <f t="shared" si="79"/>
        <v/>
      </c>
      <c r="H730" s="22" t="str">
        <f t="shared" si="80"/>
        <v/>
      </c>
    </row>
    <row r="731" ht="15.75" customHeight="1">
      <c r="A731" s="31"/>
      <c r="B731" s="22"/>
      <c r="C731" s="22" t="str">
        <f t="shared" si="10"/>
        <v/>
      </c>
      <c r="D731" s="25"/>
      <c r="E731" s="22"/>
      <c r="F731" s="22" t="str">
        <f t="shared" si="11"/>
        <v/>
      </c>
      <c r="G731" s="22" t="str">
        <f t="shared" si="79"/>
        <v/>
      </c>
      <c r="H731" s="22" t="str">
        <f t="shared" si="80"/>
        <v/>
      </c>
    </row>
    <row r="732" ht="15.75" customHeight="1">
      <c r="A732" s="31"/>
      <c r="B732" s="22"/>
      <c r="C732" s="22" t="str">
        <f t="shared" si="10"/>
        <v/>
      </c>
      <c r="D732" s="25"/>
      <c r="E732" s="22"/>
      <c r="F732" s="22" t="str">
        <f t="shared" si="11"/>
        <v/>
      </c>
      <c r="G732" s="22" t="str">
        <f t="shared" si="79"/>
        <v/>
      </c>
      <c r="H732" s="22" t="str">
        <f t="shared" si="80"/>
        <v/>
      </c>
    </row>
    <row r="733" ht="15.75" customHeight="1">
      <c r="A733" s="31"/>
      <c r="B733" s="22"/>
      <c r="C733" s="22" t="str">
        <f t="shared" si="10"/>
        <v/>
      </c>
      <c r="D733" s="25"/>
      <c r="E733" s="22"/>
      <c r="F733" s="22" t="str">
        <f t="shared" si="11"/>
        <v/>
      </c>
      <c r="G733" s="22" t="str">
        <f t="shared" si="79"/>
        <v/>
      </c>
      <c r="H733" s="22" t="str">
        <f t="shared" si="80"/>
        <v/>
      </c>
    </row>
    <row r="734" ht="15.75" customHeight="1">
      <c r="A734" s="31"/>
      <c r="B734" s="22"/>
      <c r="C734" s="22" t="str">
        <f t="shared" si="10"/>
        <v/>
      </c>
      <c r="D734" s="25"/>
      <c r="E734" s="22"/>
      <c r="F734" s="22" t="str">
        <f t="shared" si="11"/>
        <v/>
      </c>
      <c r="G734" s="22" t="str">
        <f t="shared" si="79"/>
        <v/>
      </c>
      <c r="H734" s="22" t="str">
        <f t="shared" si="80"/>
        <v/>
      </c>
    </row>
    <row r="735" ht="15.75" customHeight="1">
      <c r="A735" s="31"/>
      <c r="B735" s="22"/>
      <c r="C735" s="22" t="str">
        <f t="shared" si="10"/>
        <v/>
      </c>
      <c r="D735" s="25"/>
      <c r="E735" s="22"/>
      <c r="F735" s="22" t="str">
        <f t="shared" si="11"/>
        <v/>
      </c>
      <c r="G735" s="22" t="str">
        <f t="shared" si="79"/>
        <v/>
      </c>
      <c r="H735" s="22" t="str">
        <f t="shared" si="80"/>
        <v/>
      </c>
    </row>
    <row r="736" ht="15.75" customHeight="1">
      <c r="A736" s="31"/>
      <c r="B736" s="22"/>
      <c r="C736" s="22" t="str">
        <f t="shared" si="10"/>
        <v/>
      </c>
      <c r="D736" s="25"/>
      <c r="E736" s="22"/>
      <c r="F736" s="22" t="str">
        <f t="shared" si="11"/>
        <v/>
      </c>
      <c r="G736" s="22" t="str">
        <f t="shared" si="79"/>
        <v/>
      </c>
      <c r="H736" s="22" t="str">
        <f t="shared" si="80"/>
        <v/>
      </c>
    </row>
    <row r="737" ht="15.75" customHeight="1">
      <c r="A737" s="31"/>
      <c r="B737" s="22"/>
      <c r="C737" s="22" t="str">
        <f t="shared" si="10"/>
        <v/>
      </c>
      <c r="D737" s="25"/>
      <c r="E737" s="22"/>
      <c r="F737" s="22" t="str">
        <f t="shared" si="11"/>
        <v/>
      </c>
      <c r="G737" s="22" t="str">
        <f t="shared" si="79"/>
        <v/>
      </c>
      <c r="H737" s="22" t="str">
        <f t="shared" si="80"/>
        <v/>
      </c>
    </row>
    <row r="738" ht="15.75" customHeight="1">
      <c r="A738" s="31"/>
      <c r="B738" s="22"/>
      <c r="C738" s="22" t="str">
        <f t="shared" si="10"/>
        <v/>
      </c>
      <c r="D738" s="25"/>
      <c r="E738" s="22"/>
      <c r="F738" s="22" t="str">
        <f t="shared" si="11"/>
        <v/>
      </c>
      <c r="G738" s="22" t="str">
        <f t="shared" si="79"/>
        <v/>
      </c>
      <c r="H738" s="22" t="str">
        <f t="shared" si="80"/>
        <v/>
      </c>
    </row>
    <row r="739" ht="15.75" customHeight="1">
      <c r="A739" s="31"/>
      <c r="B739" s="22"/>
      <c r="C739" s="22" t="str">
        <f t="shared" si="10"/>
        <v/>
      </c>
      <c r="D739" s="25"/>
      <c r="E739" s="22"/>
      <c r="F739" s="22" t="str">
        <f t="shared" si="11"/>
        <v/>
      </c>
      <c r="G739" s="22" t="str">
        <f t="shared" si="79"/>
        <v/>
      </c>
      <c r="H739" s="22" t="str">
        <f t="shared" si="80"/>
        <v/>
      </c>
    </row>
    <row r="740" ht="15.75" customHeight="1">
      <c r="A740" s="31"/>
      <c r="B740" s="22"/>
      <c r="C740" s="22" t="str">
        <f t="shared" si="10"/>
        <v/>
      </c>
      <c r="D740" s="25"/>
      <c r="E740" s="22"/>
      <c r="F740" s="22" t="str">
        <f t="shared" si="11"/>
        <v/>
      </c>
      <c r="G740" s="22" t="str">
        <f t="shared" si="79"/>
        <v/>
      </c>
      <c r="H740" s="22" t="str">
        <f t="shared" si="80"/>
        <v/>
      </c>
    </row>
    <row r="741" ht="15.75" customHeight="1">
      <c r="A741" s="31"/>
      <c r="B741" s="22"/>
      <c r="C741" s="22" t="str">
        <f t="shared" si="10"/>
        <v/>
      </c>
      <c r="D741" s="25"/>
      <c r="E741" s="22"/>
      <c r="F741" s="22" t="str">
        <f t="shared" si="11"/>
        <v/>
      </c>
      <c r="G741" s="22" t="str">
        <f t="shared" si="79"/>
        <v/>
      </c>
      <c r="H741" s="22" t="str">
        <f t="shared" si="80"/>
        <v/>
      </c>
    </row>
    <row r="742" ht="15.75" customHeight="1">
      <c r="A742" s="31"/>
      <c r="B742" s="22"/>
      <c r="C742" s="22" t="str">
        <f t="shared" si="10"/>
        <v/>
      </c>
      <c r="D742" s="25"/>
      <c r="E742" s="22"/>
      <c r="F742" s="22" t="str">
        <f t="shared" si="11"/>
        <v/>
      </c>
      <c r="G742" s="22" t="str">
        <f t="shared" si="79"/>
        <v/>
      </c>
      <c r="H742" s="22" t="str">
        <f t="shared" si="80"/>
        <v/>
      </c>
    </row>
    <row r="743" ht="15.75" customHeight="1">
      <c r="A743" s="31"/>
      <c r="B743" s="22"/>
      <c r="C743" s="22" t="str">
        <f t="shared" si="10"/>
        <v/>
      </c>
      <c r="D743" s="25"/>
      <c r="E743" s="22"/>
      <c r="F743" s="22" t="str">
        <f t="shared" si="11"/>
        <v/>
      </c>
      <c r="G743" s="22" t="str">
        <f t="shared" si="79"/>
        <v/>
      </c>
      <c r="H743" s="22" t="str">
        <f t="shared" si="80"/>
        <v/>
      </c>
    </row>
    <row r="744" ht="15.75" customHeight="1">
      <c r="A744" s="31"/>
      <c r="B744" s="22"/>
      <c r="C744" s="22" t="str">
        <f t="shared" si="10"/>
        <v/>
      </c>
      <c r="D744" s="25"/>
      <c r="E744" s="22"/>
      <c r="F744" s="22" t="str">
        <f t="shared" si="11"/>
        <v/>
      </c>
      <c r="G744" s="22" t="str">
        <f t="shared" si="79"/>
        <v/>
      </c>
      <c r="H744" s="22" t="str">
        <f t="shared" si="80"/>
        <v/>
      </c>
    </row>
    <row r="745" ht="15.75" customHeight="1">
      <c r="A745" s="31"/>
      <c r="B745" s="22"/>
      <c r="C745" s="22" t="str">
        <f t="shared" si="10"/>
        <v/>
      </c>
      <c r="D745" s="25"/>
      <c r="E745" s="22"/>
      <c r="F745" s="22" t="str">
        <f t="shared" si="11"/>
        <v/>
      </c>
      <c r="G745" s="22" t="str">
        <f t="shared" si="79"/>
        <v/>
      </c>
      <c r="H745" s="22" t="str">
        <f t="shared" si="80"/>
        <v/>
      </c>
    </row>
    <row r="746" ht="15.75" customHeight="1">
      <c r="A746" s="31"/>
      <c r="B746" s="22"/>
      <c r="C746" s="22" t="str">
        <f t="shared" si="10"/>
        <v/>
      </c>
      <c r="D746" s="25"/>
      <c r="E746" s="22"/>
      <c r="F746" s="22" t="str">
        <f t="shared" si="11"/>
        <v/>
      </c>
      <c r="G746" s="22" t="str">
        <f t="shared" si="79"/>
        <v/>
      </c>
      <c r="H746" s="22" t="str">
        <f t="shared" si="80"/>
        <v/>
      </c>
    </row>
    <row r="747" ht="15.75" customHeight="1">
      <c r="A747" s="31"/>
      <c r="B747" s="22"/>
      <c r="C747" s="22" t="str">
        <f t="shared" si="10"/>
        <v/>
      </c>
      <c r="D747" s="25"/>
      <c r="E747" s="22"/>
      <c r="F747" s="22" t="str">
        <f t="shared" si="11"/>
        <v/>
      </c>
      <c r="G747" s="22" t="str">
        <f t="shared" si="79"/>
        <v/>
      </c>
      <c r="H747" s="22" t="str">
        <f t="shared" si="80"/>
        <v/>
      </c>
    </row>
    <row r="748" ht="15.75" customHeight="1">
      <c r="A748" s="31"/>
      <c r="B748" s="22"/>
      <c r="C748" s="22" t="str">
        <f t="shared" si="10"/>
        <v/>
      </c>
      <c r="D748" s="25"/>
      <c r="E748" s="22"/>
      <c r="F748" s="22" t="str">
        <f t="shared" si="11"/>
        <v/>
      </c>
      <c r="G748" s="22" t="str">
        <f t="shared" si="79"/>
        <v/>
      </c>
      <c r="H748" s="22" t="str">
        <f t="shared" si="80"/>
        <v/>
      </c>
    </row>
    <row r="749" ht="15.75" customHeight="1">
      <c r="A749" s="31"/>
      <c r="B749" s="22"/>
      <c r="C749" s="22" t="str">
        <f t="shared" si="10"/>
        <v/>
      </c>
      <c r="D749" s="25"/>
      <c r="E749" s="22"/>
      <c r="F749" s="22" t="str">
        <f t="shared" si="11"/>
        <v/>
      </c>
      <c r="G749" s="22" t="str">
        <f t="shared" si="79"/>
        <v/>
      </c>
      <c r="H749" s="22" t="str">
        <f t="shared" si="80"/>
        <v/>
      </c>
    </row>
    <row r="750" ht="15.75" customHeight="1">
      <c r="A750" s="31"/>
      <c r="B750" s="22"/>
      <c r="C750" s="22" t="str">
        <f t="shared" si="10"/>
        <v/>
      </c>
      <c r="D750" s="25"/>
      <c r="E750" s="22"/>
      <c r="F750" s="22" t="str">
        <f t="shared" si="11"/>
        <v/>
      </c>
      <c r="G750" s="22" t="str">
        <f t="shared" si="79"/>
        <v/>
      </c>
      <c r="H750" s="22" t="str">
        <f t="shared" si="80"/>
        <v/>
      </c>
    </row>
    <row r="751" ht="15.75" customHeight="1">
      <c r="A751" s="31"/>
      <c r="B751" s="22"/>
      <c r="C751" s="22" t="str">
        <f t="shared" si="10"/>
        <v/>
      </c>
      <c r="D751" s="25"/>
      <c r="E751" s="22"/>
      <c r="F751" s="22" t="str">
        <f t="shared" si="11"/>
        <v/>
      </c>
      <c r="G751" s="22" t="str">
        <f t="shared" si="79"/>
        <v/>
      </c>
      <c r="H751" s="22" t="str">
        <f t="shared" si="80"/>
        <v/>
      </c>
    </row>
    <row r="752" ht="15.75" customHeight="1">
      <c r="A752" s="31"/>
      <c r="B752" s="22"/>
      <c r="C752" s="22" t="str">
        <f t="shared" si="10"/>
        <v/>
      </c>
      <c r="D752" s="25"/>
      <c r="E752" s="22"/>
      <c r="F752" s="22" t="str">
        <f t="shared" si="11"/>
        <v/>
      </c>
      <c r="G752" s="22" t="str">
        <f t="shared" si="79"/>
        <v/>
      </c>
      <c r="H752" s="22" t="str">
        <f t="shared" si="80"/>
        <v/>
      </c>
    </row>
    <row r="753" ht="15.75" customHeight="1">
      <c r="A753" s="31"/>
      <c r="B753" s="22"/>
      <c r="C753" s="22" t="str">
        <f t="shared" si="10"/>
        <v/>
      </c>
      <c r="D753" s="25"/>
      <c r="E753" s="22"/>
      <c r="F753" s="22" t="str">
        <f t="shared" si="11"/>
        <v/>
      </c>
      <c r="G753" s="22" t="str">
        <f t="shared" si="79"/>
        <v/>
      </c>
      <c r="H753" s="22" t="str">
        <f t="shared" si="80"/>
        <v/>
      </c>
    </row>
    <row r="754" ht="15.75" customHeight="1">
      <c r="A754" s="31"/>
      <c r="B754" s="22"/>
      <c r="C754" s="22" t="str">
        <f t="shared" si="10"/>
        <v/>
      </c>
      <c r="D754" s="25"/>
      <c r="E754" s="22"/>
      <c r="F754" s="22" t="str">
        <f t="shared" si="11"/>
        <v/>
      </c>
      <c r="G754" s="22" t="str">
        <f t="shared" si="79"/>
        <v/>
      </c>
      <c r="H754" s="22" t="str">
        <f t="shared" si="80"/>
        <v/>
      </c>
    </row>
    <row r="755" ht="15.75" customHeight="1">
      <c r="A755" s="31"/>
      <c r="B755" s="22"/>
      <c r="C755" s="22" t="str">
        <f t="shared" si="10"/>
        <v/>
      </c>
      <c r="D755" s="25"/>
      <c r="E755" s="22"/>
      <c r="F755" s="22" t="str">
        <f t="shared" si="11"/>
        <v/>
      </c>
      <c r="G755" s="22" t="str">
        <f t="shared" si="79"/>
        <v/>
      </c>
      <c r="H755" s="22" t="str">
        <f t="shared" si="80"/>
        <v/>
      </c>
    </row>
    <row r="756" ht="15.75" customHeight="1">
      <c r="A756" s="31"/>
      <c r="B756" s="22"/>
      <c r="C756" s="22" t="str">
        <f t="shared" si="10"/>
        <v/>
      </c>
      <c r="D756" s="25"/>
      <c r="E756" s="22"/>
      <c r="F756" s="22" t="str">
        <f t="shared" si="11"/>
        <v/>
      </c>
      <c r="G756" s="22" t="str">
        <f t="shared" si="79"/>
        <v/>
      </c>
      <c r="H756" s="22" t="str">
        <f t="shared" si="80"/>
        <v/>
      </c>
    </row>
    <row r="757" ht="15.75" customHeight="1">
      <c r="A757" s="31"/>
      <c r="B757" s="22"/>
      <c r="C757" s="22" t="str">
        <f t="shared" si="10"/>
        <v/>
      </c>
      <c r="D757" s="25"/>
      <c r="E757" s="22"/>
      <c r="F757" s="22" t="str">
        <f t="shared" si="11"/>
        <v/>
      </c>
      <c r="G757" s="22" t="str">
        <f t="shared" si="79"/>
        <v/>
      </c>
      <c r="H757" s="22" t="str">
        <f t="shared" si="80"/>
        <v/>
      </c>
    </row>
    <row r="758" ht="15.75" customHeight="1">
      <c r="A758" s="31"/>
      <c r="B758" s="22"/>
      <c r="C758" s="22" t="str">
        <f t="shared" si="10"/>
        <v/>
      </c>
      <c r="D758" s="25"/>
      <c r="E758" s="22"/>
      <c r="F758" s="22" t="str">
        <f t="shared" si="11"/>
        <v/>
      </c>
      <c r="G758" s="22" t="str">
        <f t="shared" si="79"/>
        <v/>
      </c>
      <c r="H758" s="22" t="str">
        <f t="shared" si="80"/>
        <v/>
      </c>
    </row>
    <row r="759" ht="15.75" customHeight="1">
      <c r="A759" s="31"/>
      <c r="B759" s="22"/>
      <c r="C759" s="22" t="str">
        <f t="shared" si="10"/>
        <v/>
      </c>
      <c r="D759" s="25"/>
      <c r="E759" s="22"/>
      <c r="F759" s="22" t="str">
        <f t="shared" si="11"/>
        <v/>
      </c>
      <c r="G759" s="22" t="str">
        <f t="shared" si="79"/>
        <v/>
      </c>
      <c r="H759" s="22" t="str">
        <f t="shared" si="80"/>
        <v/>
      </c>
    </row>
    <row r="760" ht="15.75" customHeight="1">
      <c r="A760" s="31"/>
      <c r="B760" s="22"/>
      <c r="C760" s="22" t="str">
        <f t="shared" si="10"/>
        <v/>
      </c>
      <c r="D760" s="25"/>
      <c r="E760" s="22"/>
      <c r="F760" s="22" t="str">
        <f t="shared" si="11"/>
        <v/>
      </c>
      <c r="G760" s="22" t="str">
        <f t="shared" si="79"/>
        <v/>
      </c>
      <c r="H760" s="22" t="str">
        <f t="shared" si="80"/>
        <v/>
      </c>
    </row>
    <row r="761" ht="15.75" customHeight="1">
      <c r="A761" s="31"/>
      <c r="B761" s="22"/>
      <c r="C761" s="22" t="str">
        <f t="shared" si="10"/>
        <v/>
      </c>
      <c r="D761" s="25"/>
      <c r="E761" s="22"/>
      <c r="F761" s="22" t="str">
        <f t="shared" si="11"/>
        <v/>
      </c>
      <c r="G761" s="22" t="str">
        <f t="shared" si="79"/>
        <v/>
      </c>
      <c r="H761" s="22" t="str">
        <f t="shared" si="80"/>
        <v/>
      </c>
    </row>
    <row r="762" ht="15.75" customHeight="1">
      <c r="A762" s="31"/>
      <c r="B762" s="22"/>
      <c r="C762" s="22" t="str">
        <f t="shared" si="10"/>
        <v/>
      </c>
      <c r="D762" s="25"/>
      <c r="E762" s="22"/>
      <c r="F762" s="22" t="str">
        <f t="shared" si="11"/>
        <v/>
      </c>
      <c r="G762" s="22" t="str">
        <f t="shared" si="79"/>
        <v/>
      </c>
      <c r="H762" s="22" t="str">
        <f t="shared" si="80"/>
        <v/>
      </c>
    </row>
    <row r="763" ht="15.75" customHeight="1">
      <c r="A763" s="31"/>
      <c r="B763" s="22"/>
      <c r="C763" s="22" t="str">
        <f t="shared" si="10"/>
        <v/>
      </c>
      <c r="D763" s="25"/>
      <c r="E763" s="22"/>
      <c r="F763" s="22" t="str">
        <f t="shared" si="11"/>
        <v/>
      </c>
      <c r="G763" s="22" t="str">
        <f t="shared" si="79"/>
        <v/>
      </c>
      <c r="H763" s="22" t="str">
        <f t="shared" si="80"/>
        <v/>
      </c>
    </row>
    <row r="764" ht="15.75" customHeight="1">
      <c r="A764" s="31"/>
      <c r="B764" s="22"/>
      <c r="C764" s="22" t="str">
        <f t="shared" si="10"/>
        <v/>
      </c>
      <c r="D764" s="25"/>
      <c r="E764" s="22"/>
      <c r="F764" s="22" t="str">
        <f t="shared" si="11"/>
        <v/>
      </c>
      <c r="G764" s="22" t="str">
        <f t="shared" si="79"/>
        <v/>
      </c>
      <c r="H764" s="22" t="str">
        <f t="shared" si="80"/>
        <v/>
      </c>
    </row>
    <row r="765" ht="15.75" customHeight="1">
      <c r="A765" s="31"/>
      <c r="B765" s="22"/>
      <c r="C765" s="22" t="str">
        <f t="shared" si="10"/>
        <v/>
      </c>
      <c r="D765" s="25"/>
      <c r="E765" s="22"/>
      <c r="F765" s="22" t="str">
        <f t="shared" si="11"/>
        <v/>
      </c>
      <c r="G765" s="22" t="str">
        <f t="shared" si="79"/>
        <v/>
      </c>
      <c r="H765" s="22" t="str">
        <f t="shared" si="80"/>
        <v/>
      </c>
    </row>
    <row r="766" ht="15.75" customHeight="1">
      <c r="A766" s="31"/>
      <c r="B766" s="22"/>
      <c r="C766" s="22" t="str">
        <f t="shared" si="10"/>
        <v/>
      </c>
      <c r="D766" s="25"/>
      <c r="E766" s="22"/>
      <c r="F766" s="22" t="str">
        <f t="shared" si="11"/>
        <v/>
      </c>
      <c r="G766" s="22" t="str">
        <f t="shared" si="79"/>
        <v/>
      </c>
      <c r="H766" s="22" t="str">
        <f t="shared" si="80"/>
        <v/>
      </c>
    </row>
    <row r="767" ht="15.75" customHeight="1">
      <c r="A767" s="31"/>
      <c r="B767" s="22"/>
      <c r="C767" s="22" t="str">
        <f t="shared" si="10"/>
        <v/>
      </c>
      <c r="D767" s="25"/>
      <c r="E767" s="22"/>
      <c r="F767" s="22" t="str">
        <f t="shared" si="11"/>
        <v/>
      </c>
      <c r="G767" s="22" t="str">
        <f t="shared" si="79"/>
        <v/>
      </c>
      <c r="H767" s="22" t="str">
        <f t="shared" si="80"/>
        <v/>
      </c>
    </row>
    <row r="768" ht="15.75" customHeight="1">
      <c r="A768" s="31"/>
      <c r="B768" s="22"/>
      <c r="C768" s="22" t="str">
        <f t="shared" si="10"/>
        <v/>
      </c>
      <c r="D768" s="25"/>
      <c r="E768" s="22"/>
      <c r="F768" s="22" t="str">
        <f t="shared" si="11"/>
        <v/>
      </c>
      <c r="G768" s="22" t="str">
        <f t="shared" si="79"/>
        <v/>
      </c>
      <c r="H768" s="22" t="str">
        <f t="shared" si="80"/>
        <v/>
      </c>
    </row>
    <row r="769" ht="15.75" customHeight="1">
      <c r="A769" s="31"/>
      <c r="B769" s="22"/>
      <c r="C769" s="22" t="str">
        <f t="shared" si="10"/>
        <v/>
      </c>
      <c r="D769" s="25"/>
      <c r="E769" s="22"/>
      <c r="F769" s="22" t="str">
        <f t="shared" si="11"/>
        <v/>
      </c>
      <c r="G769" s="22" t="str">
        <f t="shared" si="79"/>
        <v/>
      </c>
      <c r="H769" s="22" t="str">
        <f t="shared" si="80"/>
        <v/>
      </c>
    </row>
    <row r="770" ht="15.75" customHeight="1">
      <c r="A770" s="31"/>
      <c r="B770" s="22"/>
      <c r="C770" s="22" t="str">
        <f t="shared" si="10"/>
        <v/>
      </c>
      <c r="D770" s="25"/>
      <c r="E770" s="22"/>
      <c r="F770" s="22" t="str">
        <f t="shared" si="11"/>
        <v/>
      </c>
      <c r="G770" s="22" t="str">
        <f t="shared" si="79"/>
        <v/>
      </c>
      <c r="H770" s="22" t="str">
        <f t="shared" si="80"/>
        <v/>
      </c>
    </row>
    <row r="771" ht="15.75" customHeight="1">
      <c r="A771" s="31"/>
      <c r="B771" s="22"/>
      <c r="C771" s="22" t="str">
        <f t="shared" si="10"/>
        <v/>
      </c>
      <c r="D771" s="25"/>
      <c r="E771" s="22"/>
      <c r="F771" s="22" t="str">
        <f t="shared" si="11"/>
        <v/>
      </c>
      <c r="G771" s="22" t="str">
        <f t="shared" si="79"/>
        <v/>
      </c>
      <c r="H771" s="22" t="str">
        <f t="shared" si="80"/>
        <v/>
      </c>
    </row>
    <row r="772" ht="15.75" customHeight="1">
      <c r="A772" s="31"/>
      <c r="B772" s="22"/>
      <c r="C772" s="22" t="str">
        <f t="shared" si="10"/>
        <v/>
      </c>
      <c r="D772" s="25"/>
      <c r="E772" s="22"/>
      <c r="F772" s="22" t="str">
        <f t="shared" si="11"/>
        <v/>
      </c>
      <c r="G772" s="22" t="str">
        <f t="shared" si="79"/>
        <v/>
      </c>
      <c r="H772" s="22" t="str">
        <f t="shared" si="80"/>
        <v/>
      </c>
    </row>
    <row r="773" ht="15.75" customHeight="1">
      <c r="A773" s="31"/>
      <c r="B773" s="22"/>
      <c r="C773" s="22" t="str">
        <f t="shared" si="10"/>
        <v/>
      </c>
      <c r="D773" s="25"/>
      <c r="E773" s="22"/>
      <c r="F773" s="22" t="str">
        <f t="shared" si="11"/>
        <v/>
      </c>
      <c r="G773" s="22" t="str">
        <f t="shared" si="79"/>
        <v/>
      </c>
      <c r="H773" s="22" t="str">
        <f t="shared" si="80"/>
        <v/>
      </c>
    </row>
    <row r="774" ht="15.75" customHeight="1">
      <c r="A774" s="31"/>
      <c r="B774" s="22"/>
      <c r="C774" s="22" t="str">
        <f t="shared" si="10"/>
        <v/>
      </c>
      <c r="D774" s="25"/>
      <c r="E774" s="22"/>
      <c r="F774" s="22" t="str">
        <f t="shared" si="11"/>
        <v/>
      </c>
      <c r="G774" s="22" t="str">
        <f t="shared" si="79"/>
        <v/>
      </c>
      <c r="H774" s="22" t="str">
        <f t="shared" si="80"/>
        <v/>
      </c>
    </row>
    <row r="775" ht="15.75" customHeight="1">
      <c r="A775" s="31"/>
      <c r="B775" s="22"/>
      <c r="C775" s="22" t="str">
        <f t="shared" si="10"/>
        <v/>
      </c>
      <c r="D775" s="25"/>
      <c r="E775" s="22"/>
      <c r="F775" s="22" t="str">
        <f t="shared" si="11"/>
        <v/>
      </c>
      <c r="G775" s="22" t="str">
        <f t="shared" si="79"/>
        <v/>
      </c>
      <c r="H775" s="22" t="str">
        <f t="shared" si="80"/>
        <v/>
      </c>
    </row>
    <row r="776" ht="15.75" customHeight="1">
      <c r="A776" s="31"/>
      <c r="B776" s="22"/>
      <c r="C776" s="22" t="str">
        <f t="shared" si="10"/>
        <v/>
      </c>
      <c r="D776" s="25"/>
      <c r="E776" s="22"/>
      <c r="F776" s="22" t="str">
        <f t="shared" si="11"/>
        <v/>
      </c>
      <c r="G776" s="22" t="str">
        <f t="shared" si="79"/>
        <v/>
      </c>
      <c r="H776" s="22" t="str">
        <f t="shared" si="80"/>
        <v/>
      </c>
    </row>
    <row r="777" ht="15.75" customHeight="1">
      <c r="A777" s="31"/>
      <c r="B777" s="22"/>
      <c r="C777" s="22" t="str">
        <f t="shared" si="10"/>
        <v/>
      </c>
      <c r="D777" s="25"/>
      <c r="E777" s="22"/>
      <c r="F777" s="22" t="str">
        <f t="shared" si="11"/>
        <v/>
      </c>
      <c r="G777" s="22" t="str">
        <f t="shared" si="79"/>
        <v/>
      </c>
      <c r="H777" s="22" t="str">
        <f t="shared" si="80"/>
        <v/>
      </c>
    </row>
    <row r="778" ht="15.75" customHeight="1">
      <c r="A778" s="31"/>
      <c r="B778" s="22"/>
      <c r="C778" s="22" t="str">
        <f t="shared" si="10"/>
        <v/>
      </c>
      <c r="D778" s="25"/>
      <c r="E778" s="22"/>
      <c r="F778" s="22" t="str">
        <f t="shared" si="11"/>
        <v/>
      </c>
      <c r="G778" s="22" t="str">
        <f t="shared" si="79"/>
        <v/>
      </c>
      <c r="H778" s="22" t="str">
        <f t="shared" si="80"/>
        <v/>
      </c>
    </row>
    <row r="779" ht="15.75" customHeight="1">
      <c r="A779" s="31"/>
      <c r="B779" s="22"/>
      <c r="C779" s="22" t="str">
        <f t="shared" si="10"/>
        <v/>
      </c>
      <c r="D779" s="25"/>
      <c r="E779" s="22"/>
      <c r="F779" s="22" t="str">
        <f t="shared" si="11"/>
        <v/>
      </c>
      <c r="G779" s="22" t="str">
        <f t="shared" si="79"/>
        <v/>
      </c>
      <c r="H779" s="22" t="str">
        <f t="shared" si="80"/>
        <v/>
      </c>
    </row>
    <row r="780" ht="15.75" customHeight="1">
      <c r="A780" s="31"/>
      <c r="B780" s="22"/>
      <c r="C780" s="22" t="str">
        <f t="shared" si="10"/>
        <v/>
      </c>
      <c r="D780" s="25"/>
      <c r="E780" s="22"/>
      <c r="F780" s="22" t="str">
        <f t="shared" si="11"/>
        <v/>
      </c>
      <c r="G780" s="22" t="str">
        <f t="shared" si="79"/>
        <v/>
      </c>
      <c r="H780" s="22" t="str">
        <f t="shared" si="80"/>
        <v/>
      </c>
    </row>
    <row r="781" ht="15.75" customHeight="1">
      <c r="A781" s="31"/>
      <c r="B781" s="22"/>
      <c r="C781" s="22" t="str">
        <f t="shared" si="10"/>
        <v/>
      </c>
      <c r="D781" s="25"/>
      <c r="E781" s="22"/>
      <c r="F781" s="22" t="str">
        <f t="shared" si="11"/>
        <v/>
      </c>
      <c r="G781" s="22" t="str">
        <f t="shared" si="79"/>
        <v/>
      </c>
      <c r="H781" s="22" t="str">
        <f t="shared" si="80"/>
        <v/>
      </c>
    </row>
    <row r="782" ht="15.75" customHeight="1">
      <c r="A782" s="31"/>
      <c r="B782" s="22"/>
      <c r="C782" s="22" t="str">
        <f t="shared" si="10"/>
        <v/>
      </c>
      <c r="D782" s="25"/>
      <c r="E782" s="22"/>
      <c r="F782" s="22" t="str">
        <f t="shared" si="11"/>
        <v/>
      </c>
      <c r="G782" s="22" t="str">
        <f t="shared" si="79"/>
        <v/>
      </c>
      <c r="H782" s="22" t="str">
        <f t="shared" si="80"/>
        <v/>
      </c>
    </row>
    <row r="783" ht="15.75" customHeight="1">
      <c r="A783" s="31"/>
      <c r="B783" s="22"/>
      <c r="C783" s="22" t="str">
        <f t="shared" si="10"/>
        <v/>
      </c>
      <c r="D783" s="25"/>
      <c r="E783" s="22"/>
      <c r="F783" s="22" t="str">
        <f t="shared" si="11"/>
        <v/>
      </c>
      <c r="G783" s="22" t="str">
        <f t="shared" si="79"/>
        <v/>
      </c>
      <c r="H783" s="22" t="str">
        <f t="shared" si="80"/>
        <v/>
      </c>
    </row>
    <row r="784" ht="15.75" customHeight="1">
      <c r="A784" s="31"/>
      <c r="B784" s="22"/>
      <c r="C784" s="22" t="str">
        <f t="shared" si="10"/>
        <v/>
      </c>
      <c r="D784" s="25"/>
      <c r="E784" s="22"/>
      <c r="F784" s="22" t="str">
        <f t="shared" si="11"/>
        <v/>
      </c>
      <c r="G784" s="22" t="str">
        <f t="shared" si="79"/>
        <v/>
      </c>
      <c r="H784" s="22" t="str">
        <f t="shared" si="80"/>
        <v/>
      </c>
    </row>
    <row r="785" ht="15.75" customHeight="1">
      <c r="A785" s="31"/>
      <c r="B785" s="22"/>
      <c r="C785" s="22" t="str">
        <f t="shared" si="10"/>
        <v/>
      </c>
      <c r="D785" s="25"/>
      <c r="E785" s="22"/>
      <c r="F785" s="22" t="str">
        <f t="shared" si="11"/>
        <v/>
      </c>
      <c r="G785" s="22" t="str">
        <f t="shared" si="79"/>
        <v/>
      </c>
      <c r="H785" s="22" t="str">
        <f t="shared" si="80"/>
        <v/>
      </c>
    </row>
    <row r="786" ht="15.75" customHeight="1">
      <c r="A786" s="31"/>
      <c r="B786" s="22"/>
      <c r="C786" s="22" t="str">
        <f t="shared" si="10"/>
        <v/>
      </c>
      <c r="D786" s="25"/>
      <c r="E786" s="22"/>
      <c r="F786" s="22" t="str">
        <f t="shared" si="11"/>
        <v/>
      </c>
      <c r="G786" s="22" t="str">
        <f t="shared" si="79"/>
        <v/>
      </c>
      <c r="H786" s="22" t="str">
        <f t="shared" si="80"/>
        <v/>
      </c>
    </row>
    <row r="787" ht="15.75" customHeight="1">
      <c r="A787" s="31"/>
      <c r="B787" s="22"/>
      <c r="C787" s="22" t="str">
        <f t="shared" si="10"/>
        <v/>
      </c>
      <c r="D787" s="25"/>
      <c r="E787" s="22"/>
      <c r="F787" s="22" t="str">
        <f t="shared" si="11"/>
        <v/>
      </c>
      <c r="G787" s="22" t="str">
        <f t="shared" si="79"/>
        <v/>
      </c>
      <c r="H787" s="22" t="str">
        <f t="shared" si="80"/>
        <v/>
      </c>
    </row>
    <row r="788" ht="15.75" customHeight="1">
      <c r="A788" s="31"/>
      <c r="B788" s="22"/>
      <c r="C788" s="22" t="str">
        <f t="shared" si="10"/>
        <v/>
      </c>
      <c r="D788" s="25"/>
      <c r="E788" s="22"/>
      <c r="F788" s="22" t="str">
        <f t="shared" si="11"/>
        <v/>
      </c>
      <c r="G788" s="22" t="str">
        <f t="shared" si="79"/>
        <v/>
      </c>
      <c r="H788" s="22" t="str">
        <f t="shared" si="80"/>
        <v/>
      </c>
    </row>
    <row r="789" ht="15.75" customHeight="1">
      <c r="A789" s="31"/>
      <c r="B789" s="22"/>
      <c r="C789" s="22" t="str">
        <f t="shared" si="10"/>
        <v/>
      </c>
      <c r="D789" s="25"/>
      <c r="E789" s="22"/>
      <c r="F789" s="22" t="str">
        <f t="shared" si="11"/>
        <v/>
      </c>
      <c r="G789" s="22" t="str">
        <f t="shared" si="79"/>
        <v/>
      </c>
      <c r="H789" s="22" t="str">
        <f t="shared" si="80"/>
        <v/>
      </c>
    </row>
    <row r="790" ht="15.75" customHeight="1">
      <c r="A790" s="31"/>
      <c r="B790" s="22"/>
      <c r="C790" s="22" t="str">
        <f t="shared" si="10"/>
        <v/>
      </c>
      <c r="D790" s="25"/>
      <c r="E790" s="22"/>
      <c r="F790" s="22" t="str">
        <f t="shared" si="11"/>
        <v/>
      </c>
      <c r="G790" s="22" t="str">
        <f t="shared" si="79"/>
        <v/>
      </c>
      <c r="H790" s="22" t="str">
        <f t="shared" si="80"/>
        <v/>
      </c>
    </row>
    <row r="791" ht="15.75" customHeight="1">
      <c r="A791" s="31"/>
      <c r="B791" s="22"/>
      <c r="C791" s="22" t="str">
        <f t="shared" si="10"/>
        <v/>
      </c>
      <c r="D791" s="25"/>
      <c r="E791" s="22"/>
      <c r="F791" s="22" t="str">
        <f t="shared" si="11"/>
        <v/>
      </c>
      <c r="G791" s="22" t="str">
        <f t="shared" si="79"/>
        <v/>
      </c>
      <c r="H791" s="22" t="str">
        <f t="shared" si="80"/>
        <v/>
      </c>
    </row>
    <row r="792" ht="15.75" customHeight="1">
      <c r="A792" s="31"/>
      <c r="B792" s="22"/>
      <c r="C792" s="22" t="str">
        <f t="shared" si="10"/>
        <v/>
      </c>
      <c r="D792" s="25"/>
      <c r="E792" s="22"/>
      <c r="F792" s="22" t="str">
        <f t="shared" si="11"/>
        <v/>
      </c>
      <c r="G792" s="22" t="str">
        <f t="shared" si="79"/>
        <v/>
      </c>
      <c r="H792" s="22" t="str">
        <f t="shared" si="80"/>
        <v/>
      </c>
    </row>
    <row r="793" ht="15.75" customHeight="1">
      <c r="A793" s="31"/>
      <c r="B793" s="22"/>
      <c r="C793" s="22" t="str">
        <f t="shared" si="10"/>
        <v/>
      </c>
      <c r="D793" s="25"/>
      <c r="E793" s="22"/>
      <c r="F793" s="22" t="str">
        <f t="shared" si="11"/>
        <v/>
      </c>
      <c r="G793" s="22" t="str">
        <f t="shared" si="79"/>
        <v/>
      </c>
      <c r="H793" s="22" t="str">
        <f t="shared" si="80"/>
        <v/>
      </c>
    </row>
    <row r="794" ht="15.75" customHeight="1">
      <c r="A794" s="31"/>
      <c r="B794" s="22"/>
      <c r="C794" s="22" t="str">
        <f t="shared" si="10"/>
        <v/>
      </c>
      <c r="D794" s="25"/>
      <c r="E794" s="22"/>
      <c r="F794" s="22" t="str">
        <f t="shared" si="11"/>
        <v/>
      </c>
      <c r="G794" s="22" t="str">
        <f t="shared" si="79"/>
        <v/>
      </c>
      <c r="H794" s="22" t="str">
        <f t="shared" si="80"/>
        <v/>
      </c>
    </row>
    <row r="795" ht="15.75" customHeight="1">
      <c r="A795" s="31"/>
      <c r="B795" s="22"/>
      <c r="C795" s="22" t="str">
        <f t="shared" si="10"/>
        <v/>
      </c>
      <c r="D795" s="25"/>
      <c r="E795" s="22"/>
      <c r="F795" s="22" t="str">
        <f t="shared" si="11"/>
        <v/>
      </c>
      <c r="G795" s="22" t="str">
        <f t="shared" si="79"/>
        <v/>
      </c>
      <c r="H795" s="22" t="str">
        <f t="shared" si="80"/>
        <v/>
      </c>
    </row>
    <row r="796" ht="15.75" customHeight="1">
      <c r="A796" s="31"/>
      <c r="B796" s="22"/>
      <c r="C796" s="22" t="str">
        <f t="shared" si="10"/>
        <v/>
      </c>
      <c r="D796" s="25"/>
      <c r="E796" s="22"/>
      <c r="F796" s="22" t="str">
        <f t="shared" si="11"/>
        <v/>
      </c>
      <c r="G796" s="22" t="str">
        <f t="shared" si="79"/>
        <v/>
      </c>
      <c r="H796" s="22" t="str">
        <f t="shared" si="80"/>
        <v/>
      </c>
    </row>
    <row r="797" ht="15.75" customHeight="1">
      <c r="A797" s="31"/>
      <c r="B797" s="22"/>
      <c r="C797" s="22" t="str">
        <f t="shared" si="10"/>
        <v/>
      </c>
      <c r="D797" s="25"/>
      <c r="E797" s="22"/>
      <c r="F797" s="22" t="str">
        <f t="shared" si="11"/>
        <v/>
      </c>
      <c r="G797" s="22" t="str">
        <f t="shared" si="79"/>
        <v/>
      </c>
      <c r="H797" s="22" t="str">
        <f t="shared" si="80"/>
        <v/>
      </c>
    </row>
    <row r="798" ht="15.75" customHeight="1">
      <c r="A798" s="31"/>
      <c r="B798" s="22"/>
      <c r="C798" s="22" t="str">
        <f t="shared" si="10"/>
        <v/>
      </c>
      <c r="D798" s="25"/>
      <c r="E798" s="22"/>
      <c r="F798" s="22" t="str">
        <f t="shared" si="11"/>
        <v/>
      </c>
      <c r="G798" s="22" t="str">
        <f t="shared" si="79"/>
        <v/>
      </c>
      <c r="H798" s="22" t="str">
        <f t="shared" si="80"/>
        <v/>
      </c>
    </row>
    <row r="799" ht="15.75" customHeight="1">
      <c r="A799" s="31"/>
      <c r="B799" s="22"/>
      <c r="C799" s="22" t="str">
        <f t="shared" si="10"/>
        <v/>
      </c>
      <c r="D799" s="25"/>
      <c r="E799" s="22"/>
      <c r="F799" s="22" t="str">
        <f t="shared" si="11"/>
        <v/>
      </c>
      <c r="G799" s="22" t="str">
        <f t="shared" si="79"/>
        <v/>
      </c>
      <c r="H799" s="22" t="str">
        <f t="shared" si="80"/>
        <v/>
      </c>
    </row>
    <row r="800" ht="15.75" customHeight="1">
      <c r="A800" s="31"/>
      <c r="B800" s="22"/>
      <c r="C800" s="22" t="str">
        <f t="shared" si="10"/>
        <v/>
      </c>
      <c r="D800" s="25"/>
      <c r="E800" s="22"/>
      <c r="F800" s="22" t="str">
        <f t="shared" si="11"/>
        <v/>
      </c>
      <c r="G800" s="22" t="str">
        <f t="shared" si="79"/>
        <v/>
      </c>
      <c r="H800" s="22" t="str">
        <f t="shared" si="80"/>
        <v/>
      </c>
    </row>
    <row r="801" ht="15.75" customHeight="1">
      <c r="A801" s="31"/>
      <c r="B801" s="22"/>
      <c r="C801" s="22" t="str">
        <f t="shared" si="10"/>
        <v/>
      </c>
      <c r="D801" s="25"/>
      <c r="E801" s="22"/>
      <c r="F801" s="22" t="str">
        <f t="shared" si="11"/>
        <v/>
      </c>
      <c r="G801" s="22" t="str">
        <f t="shared" si="79"/>
        <v/>
      </c>
      <c r="H801" s="22" t="str">
        <f t="shared" si="80"/>
        <v/>
      </c>
    </row>
    <row r="802" ht="15.75" customHeight="1">
      <c r="A802" s="31"/>
      <c r="B802" s="22"/>
      <c r="C802" s="22" t="str">
        <f t="shared" si="10"/>
        <v/>
      </c>
      <c r="D802" s="25"/>
      <c r="E802" s="22"/>
      <c r="F802" s="22" t="str">
        <f t="shared" si="11"/>
        <v/>
      </c>
      <c r="G802" s="22" t="str">
        <f t="shared" si="79"/>
        <v/>
      </c>
      <c r="H802" s="22" t="str">
        <f t="shared" si="80"/>
        <v/>
      </c>
    </row>
    <row r="803" ht="15.75" customHeight="1">
      <c r="A803" s="31"/>
      <c r="B803" s="22"/>
      <c r="C803" s="22" t="str">
        <f t="shared" si="10"/>
        <v/>
      </c>
      <c r="D803" s="25"/>
      <c r="E803" s="22"/>
      <c r="F803" s="22" t="str">
        <f t="shared" si="11"/>
        <v/>
      </c>
      <c r="G803" s="22" t="str">
        <f t="shared" si="79"/>
        <v/>
      </c>
      <c r="H803" s="22" t="str">
        <f t="shared" si="80"/>
        <v/>
      </c>
    </row>
    <row r="804" ht="15.75" customHeight="1">
      <c r="A804" s="31"/>
      <c r="B804" s="22"/>
      <c r="C804" s="22" t="str">
        <f t="shared" si="10"/>
        <v/>
      </c>
      <c r="D804" s="25"/>
      <c r="E804" s="22"/>
      <c r="F804" s="22" t="str">
        <f t="shared" si="11"/>
        <v/>
      </c>
      <c r="G804" s="22" t="str">
        <f t="shared" si="79"/>
        <v/>
      </c>
      <c r="H804" s="22" t="str">
        <f t="shared" si="80"/>
        <v/>
      </c>
    </row>
    <row r="805" ht="15.75" customHeight="1">
      <c r="A805" s="31"/>
      <c r="B805" s="22"/>
      <c r="C805" s="22" t="str">
        <f t="shared" si="10"/>
        <v/>
      </c>
      <c r="D805" s="25"/>
      <c r="E805" s="22"/>
      <c r="F805" s="22" t="str">
        <f t="shared" si="11"/>
        <v/>
      </c>
      <c r="G805" s="22" t="str">
        <f t="shared" si="79"/>
        <v/>
      </c>
      <c r="H805" s="22" t="str">
        <f t="shared" si="80"/>
        <v/>
      </c>
    </row>
    <row r="806" ht="15.75" customHeight="1">
      <c r="A806" s="31"/>
      <c r="B806" s="22"/>
      <c r="C806" s="22" t="str">
        <f t="shared" si="10"/>
        <v/>
      </c>
      <c r="D806" s="25"/>
      <c r="E806" s="22"/>
      <c r="F806" s="22" t="str">
        <f t="shared" si="11"/>
        <v/>
      </c>
      <c r="G806" s="22" t="str">
        <f t="shared" si="79"/>
        <v/>
      </c>
      <c r="H806" s="22" t="str">
        <f t="shared" si="80"/>
        <v/>
      </c>
    </row>
    <row r="807" ht="15.75" customHeight="1">
      <c r="A807" s="31"/>
      <c r="B807" s="22"/>
      <c r="C807" s="22" t="str">
        <f t="shared" si="10"/>
        <v/>
      </c>
      <c r="D807" s="25"/>
      <c r="E807" s="22"/>
      <c r="F807" s="22" t="str">
        <f t="shared" si="11"/>
        <v/>
      </c>
      <c r="G807" s="22" t="str">
        <f t="shared" si="79"/>
        <v/>
      </c>
      <c r="H807" s="22" t="str">
        <f t="shared" si="80"/>
        <v/>
      </c>
    </row>
    <row r="808" ht="15.75" customHeight="1">
      <c r="A808" s="31"/>
      <c r="B808" s="22"/>
      <c r="C808" s="22" t="str">
        <f t="shared" si="10"/>
        <v/>
      </c>
      <c r="D808" s="25"/>
      <c r="E808" s="22"/>
      <c r="F808" s="22" t="str">
        <f t="shared" si="11"/>
        <v/>
      </c>
      <c r="G808" s="22" t="str">
        <f t="shared" si="79"/>
        <v/>
      </c>
      <c r="H808" s="22" t="str">
        <f t="shared" si="80"/>
        <v/>
      </c>
    </row>
    <row r="809" ht="15.75" customHeight="1">
      <c r="A809" s="31"/>
      <c r="B809" s="22"/>
      <c r="C809" s="22" t="str">
        <f t="shared" si="10"/>
        <v/>
      </c>
      <c r="D809" s="25"/>
      <c r="E809" s="22"/>
      <c r="F809" s="22" t="str">
        <f t="shared" si="11"/>
        <v/>
      </c>
      <c r="G809" s="22" t="str">
        <f t="shared" si="79"/>
        <v/>
      </c>
      <c r="H809" s="22" t="str">
        <f t="shared" si="80"/>
        <v/>
      </c>
    </row>
    <row r="810" ht="15.75" customHeight="1">
      <c r="A810" s="31"/>
      <c r="B810" s="22"/>
      <c r="C810" s="22" t="str">
        <f t="shared" si="10"/>
        <v/>
      </c>
      <c r="D810" s="25"/>
      <c r="E810" s="22"/>
      <c r="F810" s="22" t="str">
        <f t="shared" si="11"/>
        <v/>
      </c>
      <c r="G810" s="22" t="str">
        <f t="shared" si="79"/>
        <v/>
      </c>
      <c r="H810" s="22" t="str">
        <f t="shared" si="80"/>
        <v/>
      </c>
    </row>
    <row r="811" ht="15.75" customHeight="1">
      <c r="A811" s="31"/>
      <c r="B811" s="22"/>
      <c r="C811" s="22" t="str">
        <f t="shared" si="10"/>
        <v/>
      </c>
      <c r="D811" s="25"/>
      <c r="E811" s="22"/>
      <c r="F811" s="22" t="str">
        <f t="shared" si="11"/>
        <v/>
      </c>
      <c r="G811" s="22" t="str">
        <f t="shared" si="79"/>
        <v/>
      </c>
      <c r="H811" s="22" t="str">
        <f t="shared" si="80"/>
        <v/>
      </c>
    </row>
    <row r="812" ht="15.75" customHeight="1">
      <c r="A812" s="31"/>
      <c r="B812" s="22"/>
      <c r="C812" s="22" t="str">
        <f t="shared" si="10"/>
        <v/>
      </c>
      <c r="D812" s="25"/>
      <c r="E812" s="22"/>
      <c r="F812" s="22" t="str">
        <f t="shared" si="11"/>
        <v/>
      </c>
      <c r="G812" s="22" t="str">
        <f t="shared" si="79"/>
        <v/>
      </c>
      <c r="H812" s="22" t="str">
        <f t="shared" si="80"/>
        <v/>
      </c>
    </row>
    <row r="813" ht="15.75" customHeight="1">
      <c r="A813" s="31"/>
      <c r="B813" s="22"/>
      <c r="C813" s="22" t="str">
        <f t="shared" si="10"/>
        <v/>
      </c>
      <c r="D813" s="25"/>
      <c r="E813" s="22"/>
      <c r="F813" s="22" t="str">
        <f t="shared" si="11"/>
        <v/>
      </c>
      <c r="G813" s="22" t="str">
        <f t="shared" si="79"/>
        <v/>
      </c>
      <c r="H813" s="22" t="str">
        <f t="shared" si="80"/>
        <v/>
      </c>
    </row>
    <row r="814" ht="15.75" customHeight="1">
      <c r="A814" s="31"/>
      <c r="B814" s="22"/>
      <c r="C814" s="22" t="str">
        <f t="shared" si="10"/>
        <v/>
      </c>
      <c r="D814" s="25"/>
      <c r="E814" s="22"/>
      <c r="F814" s="22" t="str">
        <f t="shared" si="11"/>
        <v/>
      </c>
      <c r="G814" s="22" t="str">
        <f t="shared" si="79"/>
        <v/>
      </c>
      <c r="H814" s="22" t="str">
        <f t="shared" si="80"/>
        <v/>
      </c>
    </row>
    <row r="815" ht="15.75" customHeight="1">
      <c r="A815" s="31"/>
      <c r="B815" s="22"/>
      <c r="C815" s="22" t="str">
        <f t="shared" si="10"/>
        <v/>
      </c>
      <c r="D815" s="25"/>
      <c r="E815" s="22"/>
      <c r="F815" s="22" t="str">
        <f t="shared" si="11"/>
        <v/>
      </c>
      <c r="G815" s="22" t="str">
        <f t="shared" si="79"/>
        <v/>
      </c>
      <c r="H815" s="22" t="str">
        <f t="shared" si="80"/>
        <v/>
      </c>
    </row>
    <row r="816" ht="15.75" customHeight="1">
      <c r="A816" s="31"/>
      <c r="B816" s="22"/>
      <c r="C816" s="22" t="str">
        <f t="shared" si="10"/>
        <v/>
      </c>
      <c r="D816" s="25"/>
      <c r="E816" s="22"/>
      <c r="F816" s="22" t="str">
        <f t="shared" si="11"/>
        <v/>
      </c>
      <c r="G816" s="22" t="str">
        <f t="shared" si="79"/>
        <v/>
      </c>
      <c r="H816" s="22" t="str">
        <f t="shared" si="80"/>
        <v/>
      </c>
    </row>
    <row r="817" ht="15.75" customHeight="1">
      <c r="A817" s="31"/>
      <c r="B817" s="22"/>
      <c r="C817" s="22" t="str">
        <f t="shared" si="10"/>
        <v/>
      </c>
      <c r="D817" s="25"/>
      <c r="E817" s="22"/>
      <c r="F817" s="22" t="str">
        <f t="shared" si="11"/>
        <v/>
      </c>
      <c r="G817" s="22" t="str">
        <f t="shared" si="79"/>
        <v/>
      </c>
      <c r="H817" s="22" t="str">
        <f t="shared" si="80"/>
        <v/>
      </c>
    </row>
    <row r="818" ht="15.75" customHeight="1">
      <c r="A818" s="31"/>
      <c r="B818" s="22"/>
      <c r="C818" s="22" t="str">
        <f t="shared" si="10"/>
        <v/>
      </c>
      <c r="D818" s="25"/>
      <c r="E818" s="22"/>
      <c r="F818" s="22" t="str">
        <f t="shared" si="11"/>
        <v/>
      </c>
      <c r="G818" s="22" t="str">
        <f t="shared" si="79"/>
        <v/>
      </c>
      <c r="H818" s="22" t="str">
        <f t="shared" si="80"/>
        <v/>
      </c>
    </row>
    <row r="819" ht="15.75" customHeight="1">
      <c r="A819" s="31"/>
      <c r="B819" s="22"/>
      <c r="C819" s="22" t="str">
        <f t="shared" si="10"/>
        <v/>
      </c>
      <c r="D819" s="25"/>
      <c r="E819" s="22"/>
      <c r="F819" s="22" t="str">
        <f t="shared" si="11"/>
        <v/>
      </c>
      <c r="G819" s="22" t="str">
        <f t="shared" si="79"/>
        <v/>
      </c>
      <c r="H819" s="22" t="str">
        <f t="shared" si="80"/>
        <v/>
      </c>
    </row>
    <row r="820" ht="15.75" customHeight="1">
      <c r="A820" s="31"/>
      <c r="B820" s="22"/>
      <c r="C820" s="22" t="str">
        <f t="shared" si="10"/>
        <v/>
      </c>
      <c r="D820" s="25"/>
      <c r="E820" s="22"/>
      <c r="F820" s="22" t="str">
        <f t="shared" si="11"/>
        <v/>
      </c>
      <c r="G820" s="22" t="str">
        <f t="shared" si="79"/>
        <v/>
      </c>
      <c r="H820" s="22" t="str">
        <f t="shared" si="80"/>
        <v/>
      </c>
    </row>
    <row r="821" ht="15.75" customHeight="1">
      <c r="A821" s="31"/>
      <c r="B821" s="22"/>
      <c r="C821" s="22" t="str">
        <f t="shared" si="10"/>
        <v/>
      </c>
      <c r="D821" s="25"/>
      <c r="E821" s="22"/>
      <c r="F821" s="22" t="str">
        <f t="shared" si="11"/>
        <v/>
      </c>
      <c r="G821" s="22" t="str">
        <f t="shared" si="79"/>
        <v/>
      </c>
      <c r="H821" s="22" t="str">
        <f t="shared" si="80"/>
        <v/>
      </c>
    </row>
    <row r="822" ht="15.75" customHeight="1">
      <c r="A822" s="31"/>
      <c r="B822" s="22"/>
      <c r="C822" s="22" t="str">
        <f t="shared" si="10"/>
        <v/>
      </c>
      <c r="D822" s="25"/>
      <c r="E822" s="22"/>
      <c r="F822" s="22" t="str">
        <f t="shared" si="11"/>
        <v/>
      </c>
      <c r="G822" s="22" t="str">
        <f t="shared" si="79"/>
        <v/>
      </c>
      <c r="H822" s="22" t="str">
        <f t="shared" si="80"/>
        <v/>
      </c>
    </row>
    <row r="823" ht="15.75" customHeight="1">
      <c r="A823" s="31"/>
      <c r="B823" s="22"/>
      <c r="C823" s="22" t="str">
        <f t="shared" si="10"/>
        <v/>
      </c>
      <c r="D823" s="25"/>
      <c r="E823" s="22"/>
      <c r="F823" s="22" t="str">
        <f t="shared" si="11"/>
        <v/>
      </c>
      <c r="G823" s="22" t="str">
        <f t="shared" si="79"/>
        <v/>
      </c>
      <c r="H823" s="22" t="str">
        <f t="shared" si="80"/>
        <v/>
      </c>
    </row>
    <row r="824" ht="15.75" customHeight="1">
      <c r="A824" s="31"/>
      <c r="B824" s="22"/>
      <c r="C824" s="22" t="str">
        <f t="shared" si="10"/>
        <v/>
      </c>
      <c r="D824" s="25"/>
      <c r="E824" s="22"/>
      <c r="F824" s="22" t="str">
        <f t="shared" si="11"/>
        <v/>
      </c>
      <c r="G824" s="22" t="str">
        <f t="shared" si="79"/>
        <v/>
      </c>
      <c r="H824" s="22" t="str">
        <f t="shared" si="80"/>
        <v/>
      </c>
    </row>
    <row r="825" ht="15.75" customHeight="1">
      <c r="A825" s="31"/>
      <c r="B825" s="22"/>
      <c r="C825" s="22" t="str">
        <f t="shared" si="10"/>
        <v/>
      </c>
      <c r="D825" s="25"/>
      <c r="E825" s="22"/>
      <c r="F825" s="22" t="str">
        <f t="shared" si="11"/>
        <v/>
      </c>
      <c r="G825" s="22" t="str">
        <f t="shared" si="79"/>
        <v/>
      </c>
      <c r="H825" s="22" t="str">
        <f t="shared" si="80"/>
        <v/>
      </c>
    </row>
    <row r="826" ht="15.75" customHeight="1">
      <c r="A826" s="31"/>
      <c r="B826" s="22"/>
      <c r="C826" s="22" t="str">
        <f t="shared" si="10"/>
        <v/>
      </c>
      <c r="D826" s="25"/>
      <c r="E826" s="22"/>
      <c r="F826" s="22" t="str">
        <f t="shared" si="11"/>
        <v/>
      </c>
      <c r="G826" s="22" t="str">
        <f t="shared" si="79"/>
        <v/>
      </c>
      <c r="H826" s="22" t="str">
        <f t="shared" si="80"/>
        <v/>
      </c>
    </row>
    <row r="827" ht="15.75" customHeight="1">
      <c r="A827" s="31"/>
      <c r="B827" s="22"/>
      <c r="C827" s="22" t="str">
        <f t="shared" si="10"/>
        <v/>
      </c>
      <c r="D827" s="25"/>
      <c r="E827" s="22"/>
      <c r="F827" s="22" t="str">
        <f t="shared" si="11"/>
        <v/>
      </c>
      <c r="G827" s="22" t="str">
        <f t="shared" si="79"/>
        <v/>
      </c>
      <c r="H827" s="22" t="str">
        <f t="shared" si="80"/>
        <v/>
      </c>
    </row>
    <row r="828" ht="15.75" customHeight="1">
      <c r="A828" s="31"/>
      <c r="B828" s="22"/>
      <c r="C828" s="22" t="str">
        <f t="shared" si="10"/>
        <v/>
      </c>
      <c r="D828" s="25"/>
      <c r="E828" s="22"/>
      <c r="F828" s="22" t="str">
        <f t="shared" si="11"/>
        <v/>
      </c>
      <c r="G828" s="22" t="str">
        <f t="shared" si="79"/>
        <v/>
      </c>
      <c r="H828" s="22" t="str">
        <f t="shared" si="80"/>
        <v/>
      </c>
    </row>
    <row r="829" ht="15.75" customHeight="1">
      <c r="A829" s="31"/>
      <c r="B829" s="22"/>
      <c r="C829" s="22" t="str">
        <f t="shared" si="10"/>
        <v/>
      </c>
      <c r="D829" s="25"/>
      <c r="E829" s="22"/>
      <c r="F829" s="22" t="str">
        <f t="shared" si="11"/>
        <v/>
      </c>
      <c r="G829" s="22" t="str">
        <f t="shared" si="79"/>
        <v/>
      </c>
      <c r="H829" s="22" t="str">
        <f t="shared" si="80"/>
        <v/>
      </c>
    </row>
    <row r="830" ht="15.75" customHeight="1">
      <c r="A830" s="31"/>
      <c r="B830" s="22"/>
      <c r="C830" s="22" t="str">
        <f t="shared" si="10"/>
        <v/>
      </c>
      <c r="D830" s="25"/>
      <c r="E830" s="22"/>
      <c r="F830" s="22" t="str">
        <f t="shared" si="11"/>
        <v/>
      </c>
      <c r="G830" s="22" t="str">
        <f t="shared" si="79"/>
        <v/>
      </c>
      <c r="H830" s="22" t="str">
        <f t="shared" si="80"/>
        <v/>
      </c>
    </row>
    <row r="831" ht="15.75" customHeight="1">
      <c r="A831" s="31"/>
      <c r="B831" s="22"/>
      <c r="C831" s="22" t="str">
        <f t="shared" si="10"/>
        <v/>
      </c>
      <c r="D831" s="25"/>
      <c r="E831" s="22"/>
      <c r="F831" s="22" t="str">
        <f t="shared" si="11"/>
        <v/>
      </c>
      <c r="G831" s="22" t="str">
        <f t="shared" si="79"/>
        <v/>
      </c>
      <c r="H831" s="22" t="str">
        <f t="shared" si="80"/>
        <v/>
      </c>
    </row>
    <row r="832" ht="15.75" customHeight="1">
      <c r="A832" s="31"/>
      <c r="B832" s="22"/>
      <c r="C832" s="22" t="str">
        <f t="shared" si="10"/>
        <v/>
      </c>
      <c r="D832" s="25"/>
      <c r="E832" s="22"/>
      <c r="F832" s="22" t="str">
        <f t="shared" si="11"/>
        <v/>
      </c>
      <c r="G832" s="22" t="str">
        <f t="shared" si="79"/>
        <v/>
      </c>
      <c r="H832" s="22" t="str">
        <f t="shared" si="80"/>
        <v/>
      </c>
    </row>
    <row r="833" ht="15.75" customHeight="1">
      <c r="A833" s="31"/>
      <c r="B833" s="22"/>
      <c r="C833" s="22" t="str">
        <f t="shared" si="10"/>
        <v/>
      </c>
      <c r="D833" s="25"/>
      <c r="E833" s="22"/>
      <c r="F833" s="22" t="str">
        <f t="shared" si="11"/>
        <v/>
      </c>
      <c r="G833" s="22" t="str">
        <f t="shared" si="79"/>
        <v/>
      </c>
      <c r="H833" s="22" t="str">
        <f t="shared" si="80"/>
        <v/>
      </c>
    </row>
    <row r="834" ht="15.75" customHeight="1">
      <c r="A834" s="31"/>
      <c r="B834" s="22"/>
      <c r="C834" s="22" t="str">
        <f t="shared" si="10"/>
        <v/>
      </c>
      <c r="D834" s="25"/>
      <c r="E834" s="22"/>
      <c r="F834" s="22" t="str">
        <f t="shared" si="11"/>
        <v/>
      </c>
      <c r="G834" s="22" t="str">
        <f t="shared" si="79"/>
        <v/>
      </c>
      <c r="H834" s="22" t="str">
        <f t="shared" si="80"/>
        <v/>
      </c>
    </row>
    <row r="835" ht="15.75" customHeight="1">
      <c r="A835" s="31"/>
      <c r="B835" s="22"/>
      <c r="C835" s="22" t="str">
        <f t="shared" si="10"/>
        <v/>
      </c>
      <c r="D835" s="25"/>
      <c r="E835" s="22"/>
      <c r="F835" s="22" t="str">
        <f t="shared" si="11"/>
        <v/>
      </c>
      <c r="G835" s="22" t="str">
        <f t="shared" si="79"/>
        <v/>
      </c>
      <c r="H835" s="22" t="str">
        <f t="shared" si="80"/>
        <v/>
      </c>
    </row>
    <row r="836" ht="15.75" customHeight="1">
      <c r="A836" s="31"/>
      <c r="B836" s="22"/>
      <c r="C836" s="22" t="str">
        <f t="shared" si="10"/>
        <v/>
      </c>
      <c r="D836" s="25"/>
      <c r="E836" s="22"/>
      <c r="F836" s="22" t="str">
        <f t="shared" si="11"/>
        <v/>
      </c>
      <c r="G836" s="22" t="str">
        <f t="shared" si="79"/>
        <v/>
      </c>
      <c r="H836" s="22" t="str">
        <f t="shared" si="80"/>
        <v/>
      </c>
    </row>
    <row r="837" ht="15.75" customHeight="1">
      <c r="A837" s="31"/>
      <c r="B837" s="22"/>
      <c r="C837" s="22" t="str">
        <f t="shared" si="10"/>
        <v/>
      </c>
      <c r="D837" s="25"/>
      <c r="E837" s="22"/>
      <c r="F837" s="22" t="str">
        <f t="shared" si="11"/>
        <v/>
      </c>
      <c r="G837" s="22" t="str">
        <f t="shared" si="79"/>
        <v/>
      </c>
      <c r="H837" s="22" t="str">
        <f t="shared" si="80"/>
        <v/>
      </c>
    </row>
    <row r="838" ht="15.75" customHeight="1">
      <c r="A838" s="31"/>
      <c r="B838" s="22"/>
      <c r="C838" s="22" t="str">
        <f t="shared" si="10"/>
        <v/>
      </c>
      <c r="D838" s="25"/>
      <c r="E838" s="22"/>
      <c r="F838" s="22" t="str">
        <f t="shared" si="11"/>
        <v/>
      </c>
      <c r="G838" s="22" t="str">
        <f t="shared" si="79"/>
        <v/>
      </c>
      <c r="H838" s="22" t="str">
        <f t="shared" si="80"/>
        <v/>
      </c>
    </row>
    <row r="839" ht="15.75" customHeight="1">
      <c r="A839" s="31"/>
      <c r="B839" s="22"/>
      <c r="C839" s="22" t="str">
        <f t="shared" si="10"/>
        <v/>
      </c>
      <c r="D839" s="25"/>
      <c r="E839" s="22"/>
      <c r="F839" s="22" t="str">
        <f t="shared" si="11"/>
        <v/>
      </c>
      <c r="G839" s="22" t="str">
        <f t="shared" si="79"/>
        <v/>
      </c>
      <c r="H839" s="22" t="str">
        <f t="shared" si="80"/>
        <v/>
      </c>
    </row>
    <row r="840" ht="15.75" customHeight="1">
      <c r="A840" s="31"/>
      <c r="B840" s="22"/>
      <c r="C840" s="22" t="str">
        <f t="shared" si="10"/>
        <v/>
      </c>
      <c r="D840" s="25"/>
      <c r="E840" s="22"/>
      <c r="F840" s="22" t="str">
        <f t="shared" si="11"/>
        <v/>
      </c>
      <c r="G840" s="22" t="str">
        <f t="shared" si="79"/>
        <v/>
      </c>
      <c r="H840" s="22" t="str">
        <f t="shared" si="80"/>
        <v/>
      </c>
    </row>
    <row r="841" ht="15.75" customHeight="1">
      <c r="A841" s="31"/>
      <c r="B841" s="22"/>
      <c r="C841" s="22" t="str">
        <f t="shared" si="10"/>
        <v/>
      </c>
      <c r="D841" s="25"/>
      <c r="E841" s="22"/>
      <c r="F841" s="22" t="str">
        <f t="shared" si="11"/>
        <v/>
      </c>
      <c r="G841" s="22" t="str">
        <f t="shared" si="79"/>
        <v/>
      </c>
      <c r="H841" s="22" t="str">
        <f t="shared" si="80"/>
        <v/>
      </c>
    </row>
    <row r="842" ht="15.75" customHeight="1">
      <c r="A842" s="31"/>
      <c r="B842" s="22"/>
      <c r="C842" s="22" t="str">
        <f t="shared" si="10"/>
        <v/>
      </c>
      <c r="D842" s="25"/>
      <c r="E842" s="22"/>
      <c r="F842" s="22" t="str">
        <f t="shared" si="11"/>
        <v/>
      </c>
      <c r="G842" s="22" t="str">
        <f t="shared" si="79"/>
        <v/>
      </c>
      <c r="H842" s="22" t="str">
        <f t="shared" si="80"/>
        <v/>
      </c>
    </row>
    <row r="843" ht="15.75" customHeight="1">
      <c r="A843" s="31"/>
      <c r="B843" s="22"/>
      <c r="C843" s="22" t="str">
        <f t="shared" si="10"/>
        <v/>
      </c>
      <c r="D843" s="25"/>
      <c r="E843" s="22"/>
      <c r="F843" s="22" t="str">
        <f t="shared" si="11"/>
        <v/>
      </c>
      <c r="G843" s="22" t="str">
        <f t="shared" si="79"/>
        <v/>
      </c>
      <c r="H843" s="22" t="str">
        <f t="shared" si="80"/>
        <v/>
      </c>
    </row>
    <row r="844" ht="15.75" customHeight="1">
      <c r="A844" s="31"/>
      <c r="B844" s="22"/>
      <c r="C844" s="22" t="str">
        <f t="shared" si="10"/>
        <v/>
      </c>
      <c r="D844" s="25"/>
      <c r="E844" s="22"/>
      <c r="F844" s="22" t="str">
        <f t="shared" si="11"/>
        <v/>
      </c>
      <c r="G844" s="22" t="str">
        <f t="shared" si="79"/>
        <v/>
      </c>
      <c r="H844" s="22" t="str">
        <f t="shared" si="80"/>
        <v/>
      </c>
    </row>
    <row r="845" ht="15.75" customHeight="1">
      <c r="A845" s="31"/>
      <c r="B845" s="22"/>
      <c r="C845" s="22" t="str">
        <f t="shared" si="10"/>
        <v/>
      </c>
      <c r="D845" s="25"/>
      <c r="E845" s="22"/>
      <c r="F845" s="22" t="str">
        <f t="shared" si="11"/>
        <v/>
      </c>
      <c r="G845" s="22" t="str">
        <f t="shared" si="79"/>
        <v/>
      </c>
      <c r="H845" s="22" t="str">
        <f t="shared" si="80"/>
        <v/>
      </c>
    </row>
    <row r="846" ht="15.75" customHeight="1">
      <c r="A846" s="31"/>
      <c r="B846" s="22"/>
      <c r="C846" s="22" t="str">
        <f t="shared" si="10"/>
        <v/>
      </c>
      <c r="D846" s="25"/>
      <c r="E846" s="22"/>
      <c r="F846" s="22" t="str">
        <f t="shared" si="11"/>
        <v/>
      </c>
      <c r="G846" s="22" t="str">
        <f t="shared" si="79"/>
        <v/>
      </c>
      <c r="H846" s="22" t="str">
        <f t="shared" si="80"/>
        <v/>
      </c>
    </row>
    <row r="847" ht="15.75" customHeight="1">
      <c r="A847" s="31"/>
      <c r="B847" s="22"/>
      <c r="C847" s="22" t="str">
        <f t="shared" si="10"/>
        <v/>
      </c>
      <c r="D847" s="25"/>
      <c r="E847" s="22"/>
      <c r="F847" s="22" t="str">
        <f t="shared" si="11"/>
        <v/>
      </c>
      <c r="G847" s="22" t="str">
        <f t="shared" si="79"/>
        <v/>
      </c>
      <c r="H847" s="22" t="str">
        <f t="shared" si="80"/>
        <v/>
      </c>
    </row>
    <row r="848" ht="15.75" customHeight="1">
      <c r="A848" s="31"/>
      <c r="B848" s="22"/>
      <c r="C848" s="22" t="str">
        <f t="shared" si="10"/>
        <v/>
      </c>
      <c r="D848" s="25"/>
      <c r="E848" s="22"/>
      <c r="F848" s="22" t="str">
        <f t="shared" si="11"/>
        <v/>
      </c>
      <c r="G848" s="22" t="str">
        <f t="shared" si="79"/>
        <v/>
      </c>
      <c r="H848" s="22" t="str">
        <f t="shared" si="80"/>
        <v/>
      </c>
    </row>
    <row r="849" ht="15.75" customHeight="1">
      <c r="A849" s="31"/>
      <c r="B849" s="22"/>
      <c r="C849" s="22" t="str">
        <f t="shared" si="10"/>
        <v/>
      </c>
      <c r="D849" s="25"/>
      <c r="E849" s="22"/>
      <c r="F849" s="22" t="str">
        <f t="shared" si="11"/>
        <v/>
      </c>
      <c r="G849" s="22" t="str">
        <f t="shared" si="79"/>
        <v/>
      </c>
      <c r="H849" s="22" t="str">
        <f t="shared" si="80"/>
        <v/>
      </c>
    </row>
    <row r="850" ht="15.75" customHeight="1">
      <c r="A850" s="31"/>
      <c r="B850" s="22"/>
      <c r="C850" s="22" t="str">
        <f t="shared" si="10"/>
        <v/>
      </c>
      <c r="D850" s="25"/>
      <c r="E850" s="22"/>
      <c r="F850" s="22" t="str">
        <f t="shared" si="11"/>
        <v/>
      </c>
      <c r="G850" s="22" t="str">
        <f t="shared" si="79"/>
        <v/>
      </c>
      <c r="H850" s="22" t="str">
        <f t="shared" si="80"/>
        <v/>
      </c>
    </row>
    <row r="851" ht="15.75" customHeight="1">
      <c r="A851" s="31"/>
      <c r="B851" s="22"/>
      <c r="C851" s="22" t="str">
        <f t="shared" si="10"/>
        <v/>
      </c>
      <c r="D851" s="25"/>
      <c r="E851" s="22"/>
      <c r="F851" s="22" t="str">
        <f t="shared" si="11"/>
        <v/>
      </c>
      <c r="G851" s="22" t="str">
        <f t="shared" si="79"/>
        <v/>
      </c>
      <c r="H851" s="22" t="str">
        <f t="shared" si="80"/>
        <v/>
      </c>
    </row>
    <row r="852" ht="15.75" customHeight="1">
      <c r="A852" s="31"/>
      <c r="B852" s="22"/>
      <c r="C852" s="22" t="str">
        <f t="shared" si="10"/>
        <v/>
      </c>
      <c r="D852" s="25"/>
      <c r="E852" s="22"/>
      <c r="F852" s="22" t="str">
        <f t="shared" si="11"/>
        <v/>
      </c>
      <c r="G852" s="22" t="str">
        <f t="shared" si="79"/>
        <v/>
      </c>
      <c r="H852" s="22" t="str">
        <f t="shared" si="80"/>
        <v/>
      </c>
    </row>
    <row r="853" ht="15.75" customHeight="1">
      <c r="A853" s="31"/>
      <c r="B853" s="22"/>
      <c r="C853" s="22" t="str">
        <f t="shared" si="10"/>
        <v/>
      </c>
      <c r="D853" s="25"/>
      <c r="E853" s="22"/>
      <c r="F853" s="22" t="str">
        <f t="shared" si="11"/>
        <v/>
      </c>
      <c r="G853" s="22" t="str">
        <f t="shared" si="79"/>
        <v/>
      </c>
      <c r="H853" s="22" t="str">
        <f t="shared" si="80"/>
        <v/>
      </c>
    </row>
    <row r="854" ht="15.75" customHeight="1">
      <c r="A854" s="31"/>
      <c r="B854" s="22"/>
      <c r="C854" s="22" t="str">
        <f t="shared" si="10"/>
        <v/>
      </c>
      <c r="D854" s="25"/>
      <c r="E854" s="22"/>
      <c r="F854" s="22" t="str">
        <f t="shared" si="11"/>
        <v/>
      </c>
      <c r="G854" s="22" t="str">
        <f t="shared" si="79"/>
        <v/>
      </c>
      <c r="H854" s="22" t="str">
        <f t="shared" si="80"/>
        <v/>
      </c>
    </row>
    <row r="855" ht="15.75" customHeight="1">
      <c r="A855" s="31"/>
      <c r="B855" s="22"/>
      <c r="C855" s="22" t="str">
        <f t="shared" si="10"/>
        <v/>
      </c>
      <c r="D855" s="25"/>
      <c r="E855" s="22"/>
      <c r="F855" s="22" t="str">
        <f t="shared" si="11"/>
        <v/>
      </c>
      <c r="G855" s="22" t="str">
        <f t="shared" si="79"/>
        <v/>
      </c>
      <c r="H855" s="22" t="str">
        <f t="shared" si="80"/>
        <v/>
      </c>
    </row>
    <row r="856" ht="15.75" customHeight="1">
      <c r="A856" s="31"/>
      <c r="B856" s="22"/>
      <c r="C856" s="22" t="str">
        <f t="shared" si="10"/>
        <v/>
      </c>
      <c r="D856" s="25"/>
      <c r="E856" s="22"/>
      <c r="F856" s="22" t="str">
        <f t="shared" si="11"/>
        <v/>
      </c>
      <c r="G856" s="22" t="str">
        <f t="shared" si="79"/>
        <v/>
      </c>
      <c r="H856" s="22" t="str">
        <f t="shared" si="80"/>
        <v/>
      </c>
    </row>
    <row r="857" ht="15.75" customHeight="1">
      <c r="A857" s="31"/>
      <c r="B857" s="22"/>
      <c r="C857" s="22" t="str">
        <f t="shared" si="10"/>
        <v/>
      </c>
      <c r="D857" s="25"/>
      <c r="E857" s="22"/>
      <c r="F857" s="22" t="str">
        <f t="shared" si="11"/>
        <v/>
      </c>
      <c r="G857" s="22" t="str">
        <f t="shared" si="79"/>
        <v/>
      </c>
      <c r="H857" s="22" t="str">
        <f t="shared" si="80"/>
        <v/>
      </c>
    </row>
    <row r="858" ht="15.75" customHeight="1">
      <c r="A858" s="31"/>
      <c r="B858" s="22"/>
      <c r="C858" s="22" t="str">
        <f t="shared" si="10"/>
        <v/>
      </c>
      <c r="D858" s="25"/>
      <c r="E858" s="22"/>
      <c r="F858" s="22" t="str">
        <f t="shared" si="11"/>
        <v/>
      </c>
      <c r="G858" s="22" t="str">
        <f t="shared" si="79"/>
        <v/>
      </c>
      <c r="H858" s="22" t="str">
        <f t="shared" si="80"/>
        <v/>
      </c>
    </row>
    <row r="859" ht="15.75" customHeight="1">
      <c r="A859" s="31"/>
      <c r="B859" s="22"/>
      <c r="C859" s="22" t="str">
        <f t="shared" si="10"/>
        <v/>
      </c>
      <c r="D859" s="25"/>
      <c r="E859" s="22"/>
      <c r="F859" s="22" t="str">
        <f t="shared" si="11"/>
        <v/>
      </c>
      <c r="G859" s="22" t="str">
        <f t="shared" si="79"/>
        <v/>
      </c>
      <c r="H859" s="22" t="str">
        <f t="shared" si="80"/>
        <v/>
      </c>
    </row>
    <row r="860" ht="15.75" customHeight="1">
      <c r="A860" s="31"/>
      <c r="B860" s="22"/>
      <c r="C860" s="22" t="str">
        <f t="shared" si="10"/>
        <v/>
      </c>
      <c r="D860" s="25"/>
      <c r="E860" s="22"/>
      <c r="F860" s="22" t="str">
        <f t="shared" si="11"/>
        <v/>
      </c>
      <c r="G860" s="22" t="str">
        <f t="shared" si="79"/>
        <v/>
      </c>
      <c r="H860" s="22" t="str">
        <f t="shared" si="80"/>
        <v/>
      </c>
    </row>
    <row r="861" ht="15.75" customHeight="1">
      <c r="A861" s="31"/>
      <c r="B861" s="22"/>
      <c r="C861" s="22" t="str">
        <f t="shared" si="10"/>
        <v/>
      </c>
      <c r="D861" s="25"/>
      <c r="E861" s="22"/>
      <c r="F861" s="22" t="str">
        <f t="shared" si="11"/>
        <v/>
      </c>
      <c r="G861" s="22" t="str">
        <f t="shared" si="79"/>
        <v/>
      </c>
      <c r="H861" s="22" t="str">
        <f t="shared" si="80"/>
        <v/>
      </c>
    </row>
    <row r="862" ht="15.75" customHeight="1">
      <c r="A862" s="31"/>
      <c r="B862" s="22"/>
      <c r="C862" s="22" t="str">
        <f t="shared" si="10"/>
        <v/>
      </c>
      <c r="D862" s="25"/>
      <c r="E862" s="22"/>
      <c r="F862" s="22" t="str">
        <f t="shared" si="11"/>
        <v/>
      </c>
      <c r="G862" s="22" t="str">
        <f t="shared" si="79"/>
        <v/>
      </c>
      <c r="H862" s="22" t="str">
        <f t="shared" si="80"/>
        <v/>
      </c>
    </row>
    <row r="863" ht="15.75" customHeight="1">
      <c r="A863" s="31"/>
      <c r="B863" s="22"/>
      <c r="C863" s="22" t="str">
        <f t="shared" si="10"/>
        <v/>
      </c>
      <c r="D863" s="25"/>
      <c r="E863" s="22"/>
      <c r="F863" s="22" t="str">
        <f t="shared" si="11"/>
        <v/>
      </c>
      <c r="G863" s="22" t="str">
        <f t="shared" si="79"/>
        <v/>
      </c>
      <c r="H863" s="22" t="str">
        <f t="shared" si="80"/>
        <v/>
      </c>
    </row>
    <row r="864" ht="15.75" customHeight="1">
      <c r="A864" s="31"/>
      <c r="B864" s="22"/>
      <c r="C864" s="22" t="str">
        <f t="shared" si="10"/>
        <v/>
      </c>
      <c r="D864" s="25"/>
      <c r="E864" s="22"/>
      <c r="F864" s="22" t="str">
        <f t="shared" si="11"/>
        <v/>
      </c>
      <c r="G864" s="22" t="str">
        <f t="shared" si="79"/>
        <v/>
      </c>
      <c r="H864" s="22" t="str">
        <f t="shared" si="80"/>
        <v/>
      </c>
    </row>
    <row r="865" ht="15.75" customHeight="1">
      <c r="A865" s="31"/>
      <c r="B865" s="22"/>
      <c r="C865" s="22" t="str">
        <f t="shared" si="10"/>
        <v/>
      </c>
      <c r="D865" s="25"/>
      <c r="E865" s="22"/>
      <c r="F865" s="22" t="str">
        <f t="shared" si="11"/>
        <v/>
      </c>
      <c r="G865" s="22" t="str">
        <f t="shared" si="79"/>
        <v/>
      </c>
      <c r="H865" s="22" t="str">
        <f t="shared" si="80"/>
        <v/>
      </c>
    </row>
    <row r="866" ht="15.75" customHeight="1">
      <c r="A866" s="31"/>
      <c r="B866" s="22"/>
      <c r="C866" s="22" t="str">
        <f t="shared" si="10"/>
        <v/>
      </c>
      <c r="D866" s="25"/>
      <c r="E866" s="22"/>
      <c r="F866" s="22" t="str">
        <f t="shared" si="11"/>
        <v/>
      </c>
      <c r="G866" s="22" t="str">
        <f t="shared" si="79"/>
        <v/>
      </c>
      <c r="H866" s="22" t="str">
        <f t="shared" si="80"/>
        <v/>
      </c>
    </row>
    <row r="867" ht="15.75" customHeight="1">
      <c r="A867" s="31"/>
      <c r="B867" s="22"/>
      <c r="C867" s="22" t="str">
        <f t="shared" si="10"/>
        <v/>
      </c>
      <c r="D867" s="25"/>
      <c r="E867" s="22"/>
      <c r="F867" s="22" t="str">
        <f t="shared" si="11"/>
        <v/>
      </c>
      <c r="G867" s="22" t="str">
        <f t="shared" si="79"/>
        <v/>
      </c>
      <c r="H867" s="22" t="str">
        <f t="shared" si="80"/>
        <v/>
      </c>
    </row>
    <row r="868" ht="15.75" customHeight="1">
      <c r="A868" s="31"/>
      <c r="B868" s="22"/>
      <c r="C868" s="22" t="str">
        <f t="shared" si="10"/>
        <v/>
      </c>
      <c r="D868" s="25"/>
      <c r="E868" s="22"/>
      <c r="F868" s="22" t="str">
        <f t="shared" si="11"/>
        <v/>
      </c>
      <c r="G868" s="22" t="str">
        <f t="shared" si="79"/>
        <v/>
      </c>
      <c r="H868" s="22" t="str">
        <f t="shared" si="80"/>
        <v/>
      </c>
    </row>
    <row r="869" ht="15.75" customHeight="1">
      <c r="A869" s="31"/>
      <c r="B869" s="22"/>
      <c r="C869" s="22" t="str">
        <f t="shared" si="10"/>
        <v/>
      </c>
      <c r="D869" s="25"/>
      <c r="E869" s="22"/>
      <c r="F869" s="22" t="str">
        <f t="shared" si="11"/>
        <v/>
      </c>
      <c r="G869" s="22" t="str">
        <f t="shared" si="79"/>
        <v/>
      </c>
      <c r="H869" s="22" t="str">
        <f t="shared" si="80"/>
        <v/>
      </c>
    </row>
    <row r="870" ht="15.75" customHeight="1">
      <c r="A870" s="31"/>
      <c r="B870" s="22"/>
      <c r="C870" s="22" t="str">
        <f t="shared" si="10"/>
        <v/>
      </c>
      <c r="D870" s="25"/>
      <c r="E870" s="22"/>
      <c r="F870" s="22" t="str">
        <f t="shared" si="11"/>
        <v/>
      </c>
      <c r="G870" s="22" t="str">
        <f t="shared" si="79"/>
        <v/>
      </c>
      <c r="H870" s="22" t="str">
        <f t="shared" si="80"/>
        <v/>
      </c>
    </row>
    <row r="871" ht="15.75" customHeight="1">
      <c r="A871" s="31"/>
      <c r="B871" s="22"/>
      <c r="C871" s="22" t="str">
        <f t="shared" si="10"/>
        <v/>
      </c>
      <c r="D871" s="25"/>
      <c r="E871" s="22"/>
      <c r="F871" s="22" t="str">
        <f t="shared" si="11"/>
        <v/>
      </c>
      <c r="G871" s="22" t="str">
        <f t="shared" si="79"/>
        <v/>
      </c>
      <c r="H871" s="22" t="str">
        <f t="shared" si="80"/>
        <v/>
      </c>
    </row>
    <row r="872" ht="15.75" customHeight="1">
      <c r="A872" s="31"/>
      <c r="B872" s="22"/>
      <c r="C872" s="22" t="str">
        <f t="shared" si="10"/>
        <v/>
      </c>
      <c r="D872" s="25"/>
      <c r="E872" s="22"/>
      <c r="F872" s="22" t="str">
        <f t="shared" si="11"/>
        <v/>
      </c>
      <c r="G872" s="22" t="str">
        <f t="shared" si="79"/>
        <v/>
      </c>
      <c r="H872" s="22" t="str">
        <f t="shared" si="80"/>
        <v/>
      </c>
    </row>
    <row r="873" ht="15.75" customHeight="1">
      <c r="A873" s="31"/>
      <c r="B873" s="22"/>
      <c r="C873" s="22" t="str">
        <f t="shared" si="10"/>
        <v/>
      </c>
      <c r="D873" s="25"/>
      <c r="E873" s="22"/>
      <c r="F873" s="22" t="str">
        <f t="shared" si="11"/>
        <v/>
      </c>
      <c r="G873" s="22" t="str">
        <f t="shared" si="79"/>
        <v/>
      </c>
      <c r="H873" s="22" t="str">
        <f t="shared" si="80"/>
        <v/>
      </c>
    </row>
    <row r="874" ht="15.75" customHeight="1">
      <c r="A874" s="31"/>
      <c r="B874" s="22"/>
      <c r="C874" s="22" t="str">
        <f t="shared" si="10"/>
        <v/>
      </c>
      <c r="D874" s="25"/>
      <c r="E874" s="22"/>
      <c r="F874" s="22" t="str">
        <f t="shared" si="11"/>
        <v/>
      </c>
      <c r="G874" s="22" t="str">
        <f t="shared" si="79"/>
        <v/>
      </c>
      <c r="H874" s="22" t="str">
        <f t="shared" si="80"/>
        <v/>
      </c>
    </row>
    <row r="875" ht="15.75" customHeight="1">
      <c r="A875" s="31"/>
      <c r="B875" s="22"/>
      <c r="C875" s="22" t="str">
        <f t="shared" si="10"/>
        <v/>
      </c>
      <c r="D875" s="25"/>
      <c r="E875" s="22"/>
      <c r="F875" s="22" t="str">
        <f t="shared" si="11"/>
        <v/>
      </c>
      <c r="G875" s="22" t="str">
        <f t="shared" si="79"/>
        <v/>
      </c>
      <c r="H875" s="22" t="str">
        <f t="shared" si="80"/>
        <v/>
      </c>
    </row>
    <row r="876" ht="15.75" customHeight="1">
      <c r="A876" s="31"/>
      <c r="B876" s="22"/>
      <c r="C876" s="22" t="str">
        <f t="shared" si="10"/>
        <v/>
      </c>
      <c r="D876" s="25"/>
      <c r="E876" s="22"/>
      <c r="F876" s="22" t="str">
        <f t="shared" si="11"/>
        <v/>
      </c>
      <c r="G876" s="22" t="str">
        <f t="shared" si="79"/>
        <v/>
      </c>
      <c r="H876" s="22" t="str">
        <f t="shared" si="80"/>
        <v/>
      </c>
    </row>
    <row r="877" ht="15.75" customHeight="1">
      <c r="A877" s="31"/>
      <c r="B877" s="22"/>
      <c r="C877" s="22" t="str">
        <f t="shared" si="10"/>
        <v/>
      </c>
      <c r="D877" s="25"/>
      <c r="E877" s="22"/>
      <c r="F877" s="22" t="str">
        <f t="shared" si="11"/>
        <v/>
      </c>
      <c r="G877" s="22" t="str">
        <f t="shared" si="79"/>
        <v/>
      </c>
      <c r="H877" s="22" t="str">
        <f t="shared" si="80"/>
        <v/>
      </c>
    </row>
    <row r="878" ht="15.75" customHeight="1">
      <c r="A878" s="31"/>
      <c r="B878" s="22"/>
      <c r="C878" s="22" t="str">
        <f t="shared" si="10"/>
        <v/>
      </c>
      <c r="D878" s="25"/>
      <c r="E878" s="22"/>
      <c r="F878" s="22" t="str">
        <f t="shared" si="11"/>
        <v/>
      </c>
      <c r="G878" s="22" t="str">
        <f t="shared" si="79"/>
        <v/>
      </c>
      <c r="H878" s="22" t="str">
        <f t="shared" si="80"/>
        <v/>
      </c>
    </row>
    <row r="879" ht="15.75" customHeight="1">
      <c r="A879" s="31"/>
      <c r="B879" s="22"/>
      <c r="C879" s="22" t="str">
        <f t="shared" si="10"/>
        <v/>
      </c>
      <c r="D879" s="25"/>
      <c r="E879" s="22"/>
      <c r="F879" s="22" t="str">
        <f t="shared" si="11"/>
        <v/>
      </c>
      <c r="G879" s="22" t="str">
        <f t="shared" si="79"/>
        <v/>
      </c>
      <c r="H879" s="22" t="str">
        <f t="shared" si="80"/>
        <v/>
      </c>
    </row>
    <row r="880" ht="15.75" customHeight="1">
      <c r="A880" s="31"/>
      <c r="B880" s="22"/>
      <c r="C880" s="22" t="str">
        <f t="shared" si="10"/>
        <v/>
      </c>
      <c r="D880" s="25"/>
      <c r="E880" s="22"/>
      <c r="F880" s="22" t="str">
        <f t="shared" si="11"/>
        <v/>
      </c>
      <c r="G880" s="22" t="str">
        <f t="shared" si="79"/>
        <v/>
      </c>
      <c r="H880" s="22" t="str">
        <f t="shared" si="80"/>
        <v/>
      </c>
    </row>
    <row r="881" ht="15.75" customHeight="1">
      <c r="A881" s="31"/>
      <c r="B881" s="22"/>
      <c r="C881" s="22" t="str">
        <f t="shared" si="10"/>
        <v/>
      </c>
      <c r="D881" s="25"/>
      <c r="E881" s="22"/>
      <c r="F881" s="22" t="str">
        <f t="shared" si="11"/>
        <v/>
      </c>
      <c r="G881" s="22" t="str">
        <f t="shared" si="79"/>
        <v/>
      </c>
      <c r="H881" s="22" t="str">
        <f t="shared" si="80"/>
        <v/>
      </c>
    </row>
    <row r="882" ht="15.75" customHeight="1">
      <c r="A882" s="31"/>
      <c r="B882" s="22"/>
      <c r="C882" s="22" t="str">
        <f t="shared" si="10"/>
        <v/>
      </c>
      <c r="D882" s="25"/>
      <c r="E882" s="22"/>
      <c r="F882" s="22" t="str">
        <f t="shared" si="11"/>
        <v/>
      </c>
      <c r="G882" s="22" t="str">
        <f t="shared" si="79"/>
        <v/>
      </c>
      <c r="H882" s="22" t="str">
        <f t="shared" si="80"/>
        <v/>
      </c>
    </row>
    <row r="883" ht="15.75" customHeight="1">
      <c r="A883" s="31"/>
      <c r="B883" s="22"/>
      <c r="C883" s="22" t="str">
        <f t="shared" si="10"/>
        <v/>
      </c>
      <c r="D883" s="25"/>
      <c r="E883" s="22"/>
      <c r="F883" s="22" t="str">
        <f t="shared" si="11"/>
        <v/>
      </c>
      <c r="G883" s="22" t="str">
        <f t="shared" si="79"/>
        <v/>
      </c>
      <c r="H883" s="22" t="str">
        <f t="shared" si="80"/>
        <v/>
      </c>
    </row>
    <row r="884" ht="15.75" customHeight="1">
      <c r="A884" s="31"/>
      <c r="B884" s="22"/>
      <c r="C884" s="22" t="str">
        <f t="shared" si="10"/>
        <v/>
      </c>
      <c r="D884" s="25"/>
      <c r="E884" s="22"/>
      <c r="F884" s="22" t="str">
        <f t="shared" si="11"/>
        <v/>
      </c>
      <c r="G884" s="22" t="str">
        <f t="shared" si="79"/>
        <v/>
      </c>
      <c r="H884" s="22" t="str">
        <f t="shared" si="80"/>
        <v/>
      </c>
    </row>
    <row r="885" ht="15.75" customHeight="1">
      <c r="A885" s="31"/>
      <c r="B885" s="22"/>
      <c r="C885" s="22" t="str">
        <f t="shared" si="10"/>
        <v/>
      </c>
      <c r="D885" s="25"/>
      <c r="E885" s="22"/>
      <c r="F885" s="22" t="str">
        <f t="shared" si="11"/>
        <v/>
      </c>
      <c r="G885" s="22" t="str">
        <f t="shared" si="79"/>
        <v/>
      </c>
      <c r="H885" s="22" t="str">
        <f t="shared" si="80"/>
        <v/>
      </c>
    </row>
    <row r="886" ht="15.75" customHeight="1">
      <c r="A886" s="31"/>
      <c r="B886" s="22"/>
      <c r="C886" s="22" t="str">
        <f t="shared" si="10"/>
        <v/>
      </c>
      <c r="D886" s="25"/>
      <c r="E886" s="22"/>
      <c r="F886" s="22" t="str">
        <f t="shared" si="11"/>
        <v/>
      </c>
      <c r="G886" s="22" t="str">
        <f t="shared" si="79"/>
        <v/>
      </c>
      <c r="H886" s="22" t="str">
        <f t="shared" si="80"/>
        <v/>
      </c>
    </row>
    <row r="887" ht="15.75" customHeight="1">
      <c r="A887" s="31"/>
      <c r="B887" s="22"/>
      <c r="C887" s="22" t="str">
        <f t="shared" si="10"/>
        <v/>
      </c>
      <c r="D887" s="25"/>
      <c r="E887" s="22"/>
      <c r="F887" s="22" t="str">
        <f t="shared" si="11"/>
        <v/>
      </c>
      <c r="G887" s="22" t="str">
        <f t="shared" si="79"/>
        <v/>
      </c>
      <c r="H887" s="22" t="str">
        <f t="shared" si="80"/>
        <v/>
      </c>
    </row>
    <row r="888" ht="15.75" customHeight="1">
      <c r="A888" s="31"/>
      <c r="B888" s="22"/>
      <c r="C888" s="22" t="str">
        <f t="shared" si="10"/>
        <v/>
      </c>
      <c r="D888" s="25"/>
      <c r="E888" s="22"/>
      <c r="F888" s="22" t="str">
        <f t="shared" si="11"/>
        <v/>
      </c>
      <c r="G888" s="22" t="str">
        <f t="shared" si="79"/>
        <v/>
      </c>
      <c r="H888" s="22" t="str">
        <f t="shared" si="80"/>
        <v/>
      </c>
    </row>
    <row r="889" ht="15.75" customHeight="1">
      <c r="A889" s="31"/>
      <c r="B889" s="22"/>
      <c r="C889" s="22" t="str">
        <f t="shared" si="10"/>
        <v/>
      </c>
      <c r="D889" s="25"/>
      <c r="E889" s="22"/>
      <c r="F889" s="22" t="str">
        <f t="shared" si="11"/>
        <v/>
      </c>
      <c r="G889" s="22" t="str">
        <f t="shared" si="79"/>
        <v/>
      </c>
      <c r="H889" s="22" t="str">
        <f t="shared" si="80"/>
        <v/>
      </c>
    </row>
    <row r="890" ht="15.75" customHeight="1">
      <c r="A890" s="31"/>
      <c r="B890" s="22"/>
      <c r="C890" s="22" t="str">
        <f t="shared" si="10"/>
        <v/>
      </c>
      <c r="D890" s="25"/>
      <c r="E890" s="22"/>
      <c r="F890" s="22" t="str">
        <f t="shared" si="11"/>
        <v/>
      </c>
      <c r="G890" s="22" t="str">
        <f t="shared" si="79"/>
        <v/>
      </c>
      <c r="H890" s="22" t="str">
        <f t="shared" si="80"/>
        <v/>
      </c>
    </row>
    <row r="891" ht="15.75" customHeight="1">
      <c r="A891" s="31"/>
      <c r="B891" s="22"/>
      <c r="C891" s="22" t="str">
        <f t="shared" si="10"/>
        <v/>
      </c>
      <c r="D891" s="25"/>
      <c r="E891" s="22"/>
      <c r="F891" s="22" t="str">
        <f t="shared" si="11"/>
        <v/>
      </c>
      <c r="G891" s="22" t="str">
        <f t="shared" si="79"/>
        <v/>
      </c>
      <c r="H891" s="22" t="str">
        <f t="shared" si="80"/>
        <v/>
      </c>
    </row>
    <row r="892" ht="15.75" customHeight="1">
      <c r="A892" s="31"/>
      <c r="B892" s="22"/>
      <c r="C892" s="22" t="str">
        <f t="shared" si="10"/>
        <v/>
      </c>
      <c r="D892" s="25"/>
      <c r="E892" s="22"/>
      <c r="F892" s="22" t="str">
        <f t="shared" si="11"/>
        <v/>
      </c>
      <c r="G892" s="22" t="str">
        <f t="shared" si="79"/>
        <v/>
      </c>
      <c r="H892" s="22" t="str">
        <f t="shared" si="80"/>
        <v/>
      </c>
    </row>
    <row r="893" ht="15.75" customHeight="1">
      <c r="A893" s="31"/>
      <c r="B893" s="22"/>
      <c r="C893" s="22" t="str">
        <f t="shared" si="10"/>
        <v/>
      </c>
      <c r="D893" s="25"/>
      <c r="E893" s="22"/>
      <c r="F893" s="22" t="str">
        <f t="shared" si="11"/>
        <v/>
      </c>
      <c r="G893" s="22" t="str">
        <f t="shared" si="79"/>
        <v/>
      </c>
      <c r="H893" s="22" t="str">
        <f t="shared" si="80"/>
        <v/>
      </c>
    </row>
    <row r="894" ht="15.75" customHeight="1">
      <c r="A894" s="31"/>
      <c r="B894" s="22"/>
      <c r="C894" s="22" t="str">
        <f t="shared" si="10"/>
        <v/>
      </c>
      <c r="D894" s="25"/>
      <c r="E894" s="22"/>
      <c r="F894" s="22" t="str">
        <f t="shared" si="11"/>
        <v/>
      </c>
      <c r="G894" s="22" t="str">
        <f t="shared" si="79"/>
        <v/>
      </c>
      <c r="H894" s="22" t="str">
        <f t="shared" si="80"/>
        <v/>
      </c>
    </row>
    <row r="895" ht="15.75" customHeight="1">
      <c r="A895" s="31"/>
      <c r="B895" s="22"/>
      <c r="C895" s="22" t="str">
        <f t="shared" si="10"/>
        <v/>
      </c>
      <c r="D895" s="25"/>
      <c r="E895" s="22"/>
      <c r="F895" s="22" t="str">
        <f t="shared" si="11"/>
        <v/>
      </c>
      <c r="G895" s="22" t="str">
        <f t="shared" si="79"/>
        <v/>
      </c>
      <c r="H895" s="22" t="str">
        <f t="shared" si="80"/>
        <v/>
      </c>
    </row>
    <row r="896" ht="15.75" customHeight="1">
      <c r="A896" s="31"/>
      <c r="B896" s="22"/>
      <c r="C896" s="22" t="str">
        <f t="shared" si="10"/>
        <v/>
      </c>
      <c r="D896" s="25"/>
      <c r="E896" s="22"/>
      <c r="F896" s="22" t="str">
        <f t="shared" si="11"/>
        <v/>
      </c>
      <c r="G896" s="22" t="str">
        <f t="shared" si="79"/>
        <v/>
      </c>
      <c r="H896" s="22" t="str">
        <f t="shared" si="80"/>
        <v/>
      </c>
    </row>
    <row r="897" ht="15.75" customHeight="1">
      <c r="A897" s="31"/>
      <c r="B897" s="22"/>
      <c r="C897" s="22" t="str">
        <f t="shared" si="10"/>
        <v/>
      </c>
      <c r="D897" s="25"/>
      <c r="E897" s="22"/>
      <c r="F897" s="22" t="str">
        <f t="shared" si="11"/>
        <v/>
      </c>
      <c r="G897" s="22" t="str">
        <f t="shared" si="79"/>
        <v/>
      </c>
      <c r="H897" s="22" t="str">
        <f t="shared" si="80"/>
        <v/>
      </c>
    </row>
    <row r="898" ht="15.75" customHeight="1">
      <c r="A898" s="31"/>
      <c r="B898" s="22"/>
      <c r="C898" s="22" t="str">
        <f t="shared" si="10"/>
        <v/>
      </c>
      <c r="D898" s="25"/>
      <c r="E898" s="22"/>
      <c r="F898" s="22" t="str">
        <f t="shared" si="11"/>
        <v/>
      </c>
      <c r="G898" s="22" t="str">
        <f t="shared" si="79"/>
        <v/>
      </c>
      <c r="H898" s="22" t="str">
        <f t="shared" si="80"/>
        <v/>
      </c>
    </row>
    <row r="899" ht="15.75" customHeight="1">
      <c r="A899" s="31"/>
      <c r="B899" s="22"/>
      <c r="C899" s="22" t="str">
        <f t="shared" si="10"/>
        <v/>
      </c>
      <c r="D899" s="25"/>
      <c r="E899" s="22"/>
      <c r="F899" s="22" t="str">
        <f t="shared" si="11"/>
        <v/>
      </c>
      <c r="G899" s="22" t="str">
        <f t="shared" si="79"/>
        <v/>
      </c>
      <c r="H899" s="22" t="str">
        <f t="shared" si="80"/>
        <v/>
      </c>
    </row>
    <row r="900" ht="15.75" customHeight="1">
      <c r="A900" s="31"/>
      <c r="B900" s="22"/>
      <c r="C900" s="22" t="str">
        <f t="shared" si="10"/>
        <v/>
      </c>
      <c r="D900" s="25"/>
      <c r="E900" s="22"/>
      <c r="F900" s="22" t="str">
        <f t="shared" si="11"/>
        <v/>
      </c>
      <c r="G900" s="22" t="str">
        <f t="shared" si="79"/>
        <v/>
      </c>
      <c r="H900" s="22" t="str">
        <f t="shared" si="80"/>
        <v/>
      </c>
    </row>
    <row r="901" ht="15.75" customHeight="1">
      <c r="A901" s="31"/>
      <c r="B901" s="22"/>
      <c r="C901" s="22" t="str">
        <f t="shared" si="10"/>
        <v/>
      </c>
      <c r="D901" s="25"/>
      <c r="E901" s="22"/>
      <c r="F901" s="22" t="str">
        <f t="shared" si="11"/>
        <v/>
      </c>
      <c r="G901" s="22" t="str">
        <f t="shared" si="79"/>
        <v/>
      </c>
      <c r="H901" s="22" t="str">
        <f t="shared" si="80"/>
        <v/>
      </c>
    </row>
    <row r="902" ht="15.75" customHeight="1">
      <c r="A902" s="31"/>
      <c r="B902" s="22"/>
      <c r="C902" s="22" t="str">
        <f t="shared" si="10"/>
        <v/>
      </c>
      <c r="D902" s="25"/>
      <c r="E902" s="22"/>
      <c r="F902" s="22" t="str">
        <f t="shared" si="11"/>
        <v/>
      </c>
      <c r="G902" s="22" t="str">
        <f t="shared" si="79"/>
        <v/>
      </c>
      <c r="H902" s="22" t="str">
        <f t="shared" si="80"/>
        <v/>
      </c>
    </row>
    <row r="903" ht="15.75" customHeight="1">
      <c r="A903" s="31"/>
      <c r="B903" s="22"/>
      <c r="C903" s="22" t="str">
        <f t="shared" si="10"/>
        <v/>
      </c>
      <c r="D903" s="25"/>
      <c r="E903" s="22"/>
      <c r="F903" s="22" t="str">
        <f t="shared" si="11"/>
        <v/>
      </c>
      <c r="G903" s="22" t="str">
        <f t="shared" si="79"/>
        <v/>
      </c>
      <c r="H903" s="22" t="str">
        <f t="shared" si="80"/>
        <v/>
      </c>
    </row>
    <row r="904" ht="15.75" customHeight="1">
      <c r="A904" s="31"/>
      <c r="B904" s="22"/>
      <c r="C904" s="22" t="str">
        <f t="shared" si="10"/>
        <v/>
      </c>
      <c r="D904" s="25"/>
      <c r="E904" s="22"/>
      <c r="F904" s="22" t="str">
        <f t="shared" si="11"/>
        <v/>
      </c>
      <c r="G904" s="22" t="str">
        <f t="shared" si="79"/>
        <v/>
      </c>
      <c r="H904" s="22" t="str">
        <f t="shared" si="80"/>
        <v/>
      </c>
    </row>
    <row r="905" ht="15.75" customHeight="1">
      <c r="A905" s="31"/>
      <c r="B905" s="22"/>
      <c r="C905" s="22" t="str">
        <f t="shared" si="10"/>
        <v/>
      </c>
      <c r="D905" s="25"/>
      <c r="E905" s="22"/>
      <c r="F905" s="22" t="str">
        <f t="shared" si="11"/>
        <v/>
      </c>
      <c r="G905" s="22" t="str">
        <f t="shared" si="79"/>
        <v/>
      </c>
      <c r="H905" s="22" t="str">
        <f t="shared" si="80"/>
        <v/>
      </c>
    </row>
    <row r="906" ht="15.75" customHeight="1">
      <c r="A906" s="31"/>
      <c r="B906" s="22"/>
      <c r="C906" s="22" t="str">
        <f t="shared" si="10"/>
        <v/>
      </c>
      <c r="D906" s="25"/>
      <c r="E906" s="22"/>
      <c r="F906" s="22" t="str">
        <f t="shared" si="11"/>
        <v/>
      </c>
      <c r="G906" s="22" t="str">
        <f t="shared" si="79"/>
        <v/>
      </c>
      <c r="H906" s="22" t="str">
        <f t="shared" si="80"/>
        <v/>
      </c>
    </row>
    <row r="907" ht="15.75" customHeight="1">
      <c r="A907" s="31"/>
      <c r="B907" s="22"/>
      <c r="C907" s="22" t="str">
        <f t="shared" si="10"/>
        <v/>
      </c>
      <c r="D907" s="25"/>
      <c r="E907" s="22"/>
      <c r="F907" s="22" t="str">
        <f t="shared" si="11"/>
        <v/>
      </c>
      <c r="G907" s="22" t="str">
        <f t="shared" si="79"/>
        <v/>
      </c>
      <c r="H907" s="22" t="str">
        <f t="shared" si="80"/>
        <v/>
      </c>
    </row>
    <row r="908" ht="15.75" customHeight="1">
      <c r="A908" s="31"/>
      <c r="B908" s="22"/>
      <c r="C908" s="22" t="str">
        <f t="shared" si="10"/>
        <v/>
      </c>
      <c r="D908" s="25"/>
      <c r="E908" s="22"/>
      <c r="F908" s="22" t="str">
        <f t="shared" si="11"/>
        <v/>
      </c>
      <c r="G908" s="22" t="str">
        <f t="shared" si="79"/>
        <v/>
      </c>
      <c r="H908" s="22" t="str">
        <f t="shared" si="80"/>
        <v/>
      </c>
    </row>
    <row r="909" ht="15.75" customHeight="1">
      <c r="A909" s="31"/>
      <c r="B909" s="22"/>
      <c r="C909" s="22" t="str">
        <f t="shared" si="10"/>
        <v/>
      </c>
      <c r="D909" s="25"/>
      <c r="E909" s="22"/>
      <c r="F909" s="22" t="str">
        <f t="shared" si="11"/>
        <v/>
      </c>
      <c r="G909" s="22" t="str">
        <f t="shared" si="79"/>
        <v/>
      </c>
      <c r="H909" s="22" t="str">
        <f t="shared" si="80"/>
        <v/>
      </c>
    </row>
    <row r="910" ht="15.75" customHeight="1">
      <c r="A910" s="31"/>
      <c r="B910" s="22"/>
      <c r="C910" s="22" t="str">
        <f t="shared" si="10"/>
        <v/>
      </c>
      <c r="D910" s="25"/>
      <c r="E910" s="22"/>
      <c r="F910" s="22" t="str">
        <f t="shared" si="11"/>
        <v/>
      </c>
      <c r="G910" s="22" t="str">
        <f t="shared" si="79"/>
        <v/>
      </c>
      <c r="H910" s="22" t="str">
        <f t="shared" si="80"/>
        <v/>
      </c>
    </row>
    <row r="911" ht="15.75" customHeight="1">
      <c r="A911" s="31"/>
      <c r="B911" s="22"/>
      <c r="C911" s="22" t="str">
        <f t="shared" si="10"/>
        <v/>
      </c>
      <c r="D911" s="25"/>
      <c r="E911" s="22"/>
      <c r="F911" s="22" t="str">
        <f t="shared" si="11"/>
        <v/>
      </c>
      <c r="G911" s="22" t="str">
        <f t="shared" si="79"/>
        <v/>
      </c>
      <c r="H911" s="22" t="str">
        <f t="shared" si="80"/>
        <v/>
      </c>
    </row>
    <row r="912" ht="15.75" customHeight="1">
      <c r="A912" s="31"/>
      <c r="B912" s="22"/>
      <c r="C912" s="22" t="str">
        <f t="shared" si="10"/>
        <v/>
      </c>
      <c r="D912" s="25"/>
      <c r="E912" s="22"/>
      <c r="F912" s="22" t="str">
        <f t="shared" si="11"/>
        <v/>
      </c>
      <c r="G912" s="22" t="str">
        <f t="shared" si="79"/>
        <v/>
      </c>
      <c r="H912" s="22" t="str">
        <f t="shared" si="80"/>
        <v/>
      </c>
    </row>
    <row r="913" ht="15.75" customHeight="1">
      <c r="A913" s="31"/>
      <c r="B913" s="22"/>
      <c r="C913" s="22" t="str">
        <f t="shared" si="10"/>
        <v/>
      </c>
      <c r="D913" s="25"/>
      <c r="E913" s="22"/>
      <c r="F913" s="22" t="str">
        <f t="shared" si="11"/>
        <v/>
      </c>
      <c r="G913" s="22" t="str">
        <f t="shared" si="79"/>
        <v/>
      </c>
      <c r="H913" s="22" t="str">
        <f t="shared" si="80"/>
        <v/>
      </c>
    </row>
    <row r="914" ht="15.75" customHeight="1">
      <c r="A914" s="31"/>
      <c r="B914" s="22"/>
      <c r="C914" s="22" t="str">
        <f t="shared" si="10"/>
        <v/>
      </c>
      <c r="D914" s="25"/>
      <c r="E914" s="22"/>
      <c r="F914" s="22" t="str">
        <f t="shared" si="11"/>
        <v/>
      </c>
      <c r="G914" s="22" t="str">
        <f t="shared" si="79"/>
        <v/>
      </c>
      <c r="H914" s="22" t="str">
        <f t="shared" si="80"/>
        <v/>
      </c>
    </row>
    <row r="915" ht="15.75" customHeight="1">
      <c r="A915" s="31"/>
      <c r="B915" s="22"/>
      <c r="C915" s="22" t="str">
        <f t="shared" si="10"/>
        <v/>
      </c>
      <c r="D915" s="25"/>
      <c r="E915" s="22"/>
      <c r="F915" s="22" t="str">
        <f t="shared" si="11"/>
        <v/>
      </c>
      <c r="G915" s="22" t="str">
        <f t="shared" si="79"/>
        <v/>
      </c>
      <c r="H915" s="22" t="str">
        <f t="shared" si="80"/>
        <v/>
      </c>
    </row>
    <row r="916" ht="15.75" customHeight="1">
      <c r="A916" s="31"/>
      <c r="B916" s="22"/>
      <c r="C916" s="22" t="str">
        <f t="shared" si="10"/>
        <v/>
      </c>
      <c r="D916" s="25"/>
      <c r="E916" s="22"/>
      <c r="F916" s="22" t="str">
        <f t="shared" si="11"/>
        <v/>
      </c>
      <c r="G916" s="22" t="str">
        <f t="shared" si="79"/>
        <v/>
      </c>
      <c r="H916" s="22" t="str">
        <f t="shared" si="80"/>
        <v/>
      </c>
    </row>
    <row r="917" ht="15.75" customHeight="1">
      <c r="A917" s="31"/>
      <c r="B917" s="22"/>
      <c r="C917" s="22" t="str">
        <f t="shared" si="10"/>
        <v/>
      </c>
      <c r="D917" s="25"/>
      <c r="E917" s="22"/>
      <c r="F917" s="22" t="str">
        <f t="shared" si="11"/>
        <v/>
      </c>
      <c r="G917" s="22" t="str">
        <f t="shared" si="79"/>
        <v/>
      </c>
      <c r="H917" s="22" t="str">
        <f t="shared" si="80"/>
        <v/>
      </c>
    </row>
    <row r="918" ht="15.75" customHeight="1">
      <c r="A918" s="31"/>
      <c r="B918" s="22"/>
      <c r="C918" s="22" t="str">
        <f t="shared" si="10"/>
        <v/>
      </c>
      <c r="D918" s="25"/>
      <c r="E918" s="22"/>
      <c r="F918" s="22" t="str">
        <f t="shared" si="11"/>
        <v/>
      </c>
      <c r="G918" s="22" t="str">
        <f t="shared" si="79"/>
        <v/>
      </c>
      <c r="H918" s="22" t="str">
        <f t="shared" si="80"/>
        <v/>
      </c>
    </row>
    <row r="919" ht="15.75" customHeight="1">
      <c r="A919" s="31"/>
      <c r="B919" s="22"/>
      <c r="C919" s="22" t="str">
        <f t="shared" si="10"/>
        <v/>
      </c>
      <c r="D919" s="25"/>
      <c r="E919" s="22"/>
      <c r="F919" s="22" t="str">
        <f t="shared" si="11"/>
        <v/>
      </c>
      <c r="G919" s="22" t="str">
        <f t="shared" si="79"/>
        <v/>
      </c>
      <c r="H919" s="22" t="str">
        <f t="shared" si="80"/>
        <v/>
      </c>
    </row>
    <row r="920" ht="15.75" customHeight="1">
      <c r="A920" s="31"/>
      <c r="B920" s="22"/>
      <c r="C920" s="22" t="str">
        <f t="shared" si="10"/>
        <v/>
      </c>
      <c r="D920" s="25"/>
      <c r="E920" s="22"/>
      <c r="F920" s="22" t="str">
        <f t="shared" si="11"/>
        <v/>
      </c>
      <c r="G920" s="22" t="str">
        <f t="shared" si="79"/>
        <v/>
      </c>
      <c r="H920" s="22" t="str">
        <f t="shared" si="80"/>
        <v/>
      </c>
    </row>
    <row r="921" ht="15.75" customHeight="1">
      <c r="A921" s="31"/>
      <c r="B921" s="22"/>
      <c r="C921" s="22" t="str">
        <f t="shared" si="10"/>
        <v/>
      </c>
      <c r="D921" s="25"/>
      <c r="E921" s="22"/>
      <c r="F921" s="22" t="str">
        <f t="shared" si="11"/>
        <v/>
      </c>
      <c r="G921" s="22" t="str">
        <f t="shared" si="79"/>
        <v/>
      </c>
      <c r="H921" s="22" t="str">
        <f t="shared" si="80"/>
        <v/>
      </c>
    </row>
    <row r="922" ht="15.75" customHeight="1">
      <c r="A922" s="31"/>
      <c r="B922" s="22"/>
      <c r="C922" s="22" t="str">
        <f t="shared" si="10"/>
        <v/>
      </c>
      <c r="D922" s="25"/>
      <c r="E922" s="22"/>
      <c r="F922" s="22" t="str">
        <f t="shared" si="11"/>
        <v/>
      </c>
      <c r="G922" s="22" t="str">
        <f t="shared" si="79"/>
        <v/>
      </c>
      <c r="H922" s="22" t="str">
        <f t="shared" si="80"/>
        <v/>
      </c>
    </row>
    <row r="923" ht="15.75" customHeight="1">
      <c r="A923" s="31"/>
      <c r="B923" s="22"/>
      <c r="C923" s="22" t="str">
        <f t="shared" si="10"/>
        <v/>
      </c>
      <c r="D923" s="25"/>
      <c r="E923" s="22"/>
      <c r="F923" s="22" t="str">
        <f t="shared" si="11"/>
        <v/>
      </c>
      <c r="G923" s="22" t="str">
        <f t="shared" si="79"/>
        <v/>
      </c>
      <c r="H923" s="22" t="str">
        <f t="shared" si="80"/>
        <v/>
      </c>
    </row>
    <row r="924" ht="15.75" customHeight="1">
      <c r="A924" s="31"/>
      <c r="B924" s="22"/>
      <c r="C924" s="22" t="str">
        <f t="shared" si="10"/>
        <v/>
      </c>
      <c r="D924" s="25"/>
      <c r="E924" s="22"/>
      <c r="F924" s="22" t="str">
        <f t="shared" si="11"/>
        <v/>
      </c>
      <c r="G924" s="22" t="str">
        <f t="shared" si="79"/>
        <v/>
      </c>
      <c r="H924" s="22" t="str">
        <f t="shared" si="80"/>
        <v/>
      </c>
    </row>
    <row r="925" ht="15.75" customHeight="1">
      <c r="A925" s="31"/>
      <c r="B925" s="22"/>
      <c r="C925" s="22" t="str">
        <f t="shared" si="10"/>
        <v/>
      </c>
      <c r="D925" s="25"/>
      <c r="E925" s="22"/>
      <c r="F925" s="22" t="str">
        <f t="shared" si="11"/>
        <v/>
      </c>
      <c r="G925" s="22" t="str">
        <f t="shared" si="79"/>
        <v/>
      </c>
      <c r="H925" s="22" t="str">
        <f t="shared" si="80"/>
        <v/>
      </c>
    </row>
    <row r="926" ht="15.75" customHeight="1">
      <c r="A926" s="31"/>
      <c r="B926" s="22"/>
      <c r="C926" s="22" t="str">
        <f t="shared" si="10"/>
        <v/>
      </c>
      <c r="D926" s="25"/>
      <c r="E926" s="22"/>
      <c r="F926" s="22" t="str">
        <f t="shared" si="11"/>
        <v/>
      </c>
      <c r="G926" s="22" t="str">
        <f t="shared" si="79"/>
        <v/>
      </c>
      <c r="H926" s="22" t="str">
        <f t="shared" si="80"/>
        <v/>
      </c>
    </row>
    <row r="927" ht="15.75" customHeight="1">
      <c r="A927" s="31"/>
      <c r="B927" s="22"/>
      <c r="C927" s="22" t="str">
        <f t="shared" si="10"/>
        <v/>
      </c>
      <c r="D927" s="25"/>
      <c r="E927" s="22"/>
      <c r="F927" s="22" t="str">
        <f t="shared" si="11"/>
        <v/>
      </c>
      <c r="G927" s="22" t="str">
        <f t="shared" si="79"/>
        <v/>
      </c>
      <c r="H927" s="22" t="str">
        <f t="shared" si="80"/>
        <v/>
      </c>
    </row>
    <row r="928" ht="15.75" customHeight="1">
      <c r="A928" s="31"/>
      <c r="B928" s="22"/>
      <c r="C928" s="22" t="str">
        <f t="shared" si="10"/>
        <v/>
      </c>
      <c r="D928" s="25"/>
      <c r="E928" s="22"/>
      <c r="F928" s="22" t="str">
        <f t="shared" si="11"/>
        <v/>
      </c>
      <c r="G928" s="22" t="str">
        <f t="shared" si="79"/>
        <v/>
      </c>
      <c r="H928" s="22" t="str">
        <f t="shared" si="80"/>
        <v/>
      </c>
    </row>
    <row r="929" ht="15.75" customHeight="1">
      <c r="A929" s="31"/>
      <c r="B929" s="22"/>
      <c r="C929" s="22" t="str">
        <f t="shared" si="10"/>
        <v/>
      </c>
      <c r="D929" s="25"/>
      <c r="E929" s="22"/>
      <c r="F929" s="22" t="str">
        <f t="shared" si="11"/>
        <v/>
      </c>
      <c r="G929" s="22" t="str">
        <f t="shared" si="79"/>
        <v/>
      </c>
      <c r="H929" s="22" t="str">
        <f t="shared" si="80"/>
        <v/>
      </c>
    </row>
    <row r="930" ht="15.75" customHeight="1">
      <c r="A930" s="31"/>
      <c r="B930" s="22"/>
      <c r="C930" s="22" t="str">
        <f t="shared" si="10"/>
        <v/>
      </c>
      <c r="D930" s="25"/>
      <c r="E930" s="22"/>
      <c r="F930" s="22" t="str">
        <f t="shared" si="11"/>
        <v/>
      </c>
      <c r="G930" s="22" t="str">
        <f t="shared" si="79"/>
        <v/>
      </c>
      <c r="H930" s="22" t="str">
        <f t="shared" si="80"/>
        <v/>
      </c>
    </row>
    <row r="931" ht="15.75" customHeight="1">
      <c r="A931" s="31"/>
      <c r="B931" s="22"/>
      <c r="C931" s="22" t="str">
        <f t="shared" si="10"/>
        <v/>
      </c>
      <c r="D931" s="25"/>
      <c r="E931" s="22"/>
      <c r="F931" s="22" t="str">
        <f t="shared" si="11"/>
        <v/>
      </c>
      <c r="G931" s="22" t="str">
        <f t="shared" si="79"/>
        <v/>
      </c>
      <c r="H931" s="22" t="str">
        <f t="shared" si="80"/>
        <v/>
      </c>
    </row>
    <row r="932" ht="15.75" customHeight="1">
      <c r="A932" s="31"/>
      <c r="B932" s="22"/>
      <c r="C932" s="22" t="str">
        <f t="shared" si="10"/>
        <v/>
      </c>
      <c r="D932" s="25"/>
      <c r="E932" s="22"/>
      <c r="F932" s="22" t="str">
        <f t="shared" si="11"/>
        <v/>
      </c>
      <c r="G932" s="22" t="str">
        <f t="shared" si="79"/>
        <v/>
      </c>
      <c r="H932" s="22" t="str">
        <f t="shared" si="80"/>
        <v/>
      </c>
    </row>
    <row r="933" ht="15.75" customHeight="1">
      <c r="A933" s="31"/>
      <c r="B933" s="22"/>
      <c r="C933" s="22" t="str">
        <f t="shared" si="10"/>
        <v/>
      </c>
      <c r="D933" s="25"/>
      <c r="E933" s="22"/>
      <c r="F933" s="22" t="str">
        <f t="shared" si="11"/>
        <v/>
      </c>
      <c r="G933" s="22" t="str">
        <f t="shared" si="79"/>
        <v/>
      </c>
      <c r="H933" s="22" t="str">
        <f t="shared" si="80"/>
        <v/>
      </c>
    </row>
    <row r="934" ht="15.75" customHeight="1">
      <c r="A934" s="31"/>
      <c r="B934" s="22"/>
      <c r="C934" s="22" t="str">
        <f t="shared" si="10"/>
        <v/>
      </c>
      <c r="D934" s="25"/>
      <c r="E934" s="22"/>
      <c r="F934" s="22" t="str">
        <f t="shared" si="11"/>
        <v/>
      </c>
      <c r="G934" s="22" t="str">
        <f t="shared" si="79"/>
        <v/>
      </c>
      <c r="H934" s="22" t="str">
        <f t="shared" si="80"/>
        <v/>
      </c>
    </row>
    <row r="935" ht="15.75" customHeight="1">
      <c r="A935" s="31"/>
      <c r="B935" s="22"/>
      <c r="C935" s="22" t="str">
        <f t="shared" si="10"/>
        <v/>
      </c>
      <c r="D935" s="25"/>
      <c r="E935" s="22"/>
      <c r="F935" s="22" t="str">
        <f t="shared" si="11"/>
        <v/>
      </c>
      <c r="G935" s="22" t="str">
        <f t="shared" si="79"/>
        <v/>
      </c>
      <c r="H935" s="22" t="str">
        <f t="shared" si="80"/>
        <v/>
      </c>
    </row>
    <row r="936" ht="15.75" customHeight="1">
      <c r="A936" s="31"/>
      <c r="B936" s="22"/>
      <c r="C936" s="22" t="str">
        <f t="shared" si="10"/>
        <v/>
      </c>
      <c r="D936" s="25"/>
      <c r="E936" s="22"/>
      <c r="F936" s="22" t="str">
        <f t="shared" si="11"/>
        <v/>
      </c>
      <c r="G936" s="22" t="str">
        <f t="shared" si="79"/>
        <v/>
      </c>
      <c r="H936" s="22" t="str">
        <f t="shared" si="80"/>
        <v/>
      </c>
    </row>
    <row r="937" ht="15.75" customHeight="1">
      <c r="A937" s="31"/>
      <c r="B937" s="22"/>
      <c r="C937" s="22" t="str">
        <f t="shared" si="10"/>
        <v/>
      </c>
      <c r="D937" s="25"/>
      <c r="E937" s="22"/>
      <c r="F937" s="22" t="str">
        <f t="shared" si="11"/>
        <v/>
      </c>
      <c r="G937" s="22" t="str">
        <f t="shared" si="79"/>
        <v/>
      </c>
      <c r="H937" s="22" t="str">
        <f t="shared" si="80"/>
        <v/>
      </c>
    </row>
    <row r="938" ht="15.75" customHeight="1">
      <c r="A938" s="31"/>
      <c r="B938" s="22"/>
      <c r="C938" s="22" t="str">
        <f t="shared" si="10"/>
        <v/>
      </c>
      <c r="D938" s="25"/>
      <c r="E938" s="22"/>
      <c r="F938" s="22" t="str">
        <f t="shared" si="11"/>
        <v/>
      </c>
      <c r="G938" s="22" t="str">
        <f t="shared" si="79"/>
        <v/>
      </c>
      <c r="H938" s="22" t="str">
        <f t="shared" si="80"/>
        <v/>
      </c>
    </row>
    <row r="939" ht="15.75" customHeight="1">
      <c r="A939" s="31"/>
      <c r="B939" s="22"/>
      <c r="C939" s="22" t="str">
        <f t="shared" si="10"/>
        <v/>
      </c>
      <c r="D939" s="25"/>
      <c r="E939" s="22"/>
      <c r="F939" s="22" t="str">
        <f t="shared" si="11"/>
        <v/>
      </c>
      <c r="G939" s="22" t="str">
        <f t="shared" si="79"/>
        <v/>
      </c>
      <c r="H939" s="22" t="str">
        <f t="shared" si="80"/>
        <v/>
      </c>
    </row>
    <row r="940" ht="15.75" customHeight="1">
      <c r="A940" s="31"/>
      <c r="B940" s="22"/>
      <c r="C940" s="22" t="str">
        <f t="shared" si="10"/>
        <v/>
      </c>
      <c r="D940" s="25"/>
      <c r="E940" s="22"/>
      <c r="F940" s="22" t="str">
        <f t="shared" si="11"/>
        <v/>
      </c>
      <c r="G940" s="22" t="str">
        <f t="shared" si="79"/>
        <v/>
      </c>
      <c r="H940" s="22" t="str">
        <f t="shared" si="80"/>
        <v/>
      </c>
    </row>
    <row r="941" ht="15.75" customHeight="1">
      <c r="A941" s="31"/>
      <c r="B941" s="22"/>
      <c r="C941" s="22" t="str">
        <f t="shared" si="10"/>
        <v/>
      </c>
      <c r="D941" s="25"/>
      <c r="E941" s="22"/>
      <c r="F941" s="22" t="str">
        <f t="shared" si="11"/>
        <v/>
      </c>
      <c r="G941" s="22" t="str">
        <f t="shared" si="79"/>
        <v/>
      </c>
      <c r="H941" s="22" t="str">
        <f t="shared" si="80"/>
        <v/>
      </c>
    </row>
    <row r="942" ht="15.75" customHeight="1">
      <c r="A942" s="31"/>
      <c r="B942" s="22"/>
      <c r="C942" s="22" t="str">
        <f t="shared" si="10"/>
        <v/>
      </c>
      <c r="D942" s="25"/>
      <c r="E942" s="22"/>
      <c r="F942" s="22" t="str">
        <f t="shared" si="11"/>
        <v/>
      </c>
      <c r="G942" s="22" t="str">
        <f t="shared" si="79"/>
        <v/>
      </c>
      <c r="H942" s="22" t="str">
        <f t="shared" si="80"/>
        <v/>
      </c>
    </row>
    <row r="943" ht="15.75" customHeight="1">
      <c r="A943" s="31"/>
      <c r="B943" s="22"/>
      <c r="C943" s="22" t="str">
        <f t="shared" si="10"/>
        <v/>
      </c>
      <c r="D943" s="25"/>
      <c r="E943" s="22"/>
      <c r="F943" s="22" t="str">
        <f t="shared" si="11"/>
        <v/>
      </c>
      <c r="G943" s="22" t="str">
        <f t="shared" si="79"/>
        <v/>
      </c>
      <c r="H943" s="22" t="str">
        <f t="shared" si="80"/>
        <v/>
      </c>
    </row>
    <row r="944" ht="15.75" customHeight="1">
      <c r="A944" s="31"/>
      <c r="B944" s="22"/>
      <c r="C944" s="22" t="str">
        <f t="shared" si="10"/>
        <v/>
      </c>
      <c r="D944" s="25"/>
      <c r="E944" s="22"/>
      <c r="F944" s="22" t="str">
        <f t="shared" si="11"/>
        <v/>
      </c>
      <c r="G944" s="22" t="str">
        <f t="shared" si="79"/>
        <v/>
      </c>
      <c r="H944" s="22" t="str">
        <f t="shared" si="80"/>
        <v/>
      </c>
    </row>
    <row r="945" ht="15.75" customHeight="1">
      <c r="A945" s="31"/>
      <c r="B945" s="22"/>
      <c r="C945" s="22" t="str">
        <f t="shared" si="10"/>
        <v/>
      </c>
      <c r="D945" s="25"/>
      <c r="E945" s="22"/>
      <c r="F945" s="22" t="str">
        <f t="shared" si="11"/>
        <v/>
      </c>
      <c r="G945" s="22" t="str">
        <f t="shared" si="79"/>
        <v/>
      </c>
      <c r="H945" s="22" t="str">
        <f t="shared" si="80"/>
        <v/>
      </c>
    </row>
    <row r="946" ht="15.75" customHeight="1">
      <c r="A946" s="31"/>
      <c r="B946" s="22"/>
      <c r="C946" s="22" t="str">
        <f t="shared" si="10"/>
        <v/>
      </c>
      <c r="D946" s="25"/>
      <c r="E946" s="22"/>
      <c r="F946" s="22" t="str">
        <f t="shared" si="11"/>
        <v/>
      </c>
      <c r="G946" s="22" t="str">
        <f t="shared" si="79"/>
        <v/>
      </c>
      <c r="H946" s="22" t="str">
        <f t="shared" si="80"/>
        <v/>
      </c>
    </row>
    <row r="947" ht="15.75" customHeight="1">
      <c r="A947" s="31"/>
      <c r="B947" s="22"/>
      <c r="C947" s="22" t="str">
        <f t="shared" si="10"/>
        <v/>
      </c>
      <c r="D947" s="25"/>
      <c r="E947" s="22"/>
      <c r="F947" s="22" t="str">
        <f t="shared" si="11"/>
        <v/>
      </c>
      <c r="G947" s="22" t="str">
        <f t="shared" si="79"/>
        <v/>
      </c>
      <c r="H947" s="22" t="str">
        <f t="shared" si="80"/>
        <v/>
      </c>
    </row>
    <row r="948" ht="15.75" customHeight="1">
      <c r="A948" s="31"/>
      <c r="B948" s="22"/>
      <c r="C948" s="22" t="str">
        <f t="shared" si="10"/>
        <v/>
      </c>
      <c r="D948" s="25"/>
      <c r="E948" s="22"/>
      <c r="F948" s="22" t="str">
        <f t="shared" si="11"/>
        <v/>
      </c>
      <c r="G948" s="22" t="str">
        <f t="shared" si="79"/>
        <v/>
      </c>
      <c r="H948" s="22" t="str">
        <f t="shared" si="80"/>
        <v/>
      </c>
    </row>
    <row r="949" ht="15.75" customHeight="1">
      <c r="A949" s="31"/>
      <c r="B949" s="22"/>
      <c r="C949" s="22" t="str">
        <f t="shared" si="10"/>
        <v/>
      </c>
      <c r="D949" s="25"/>
      <c r="E949" s="22"/>
      <c r="F949" s="22" t="str">
        <f t="shared" si="11"/>
        <v/>
      </c>
      <c r="G949" s="22" t="str">
        <f t="shared" si="79"/>
        <v/>
      </c>
      <c r="H949" s="22" t="str">
        <f t="shared" si="80"/>
        <v/>
      </c>
    </row>
    <row r="950" ht="15.75" customHeight="1">
      <c r="A950" s="31"/>
      <c r="B950" s="22"/>
      <c r="C950" s="22" t="str">
        <f t="shared" si="10"/>
        <v/>
      </c>
      <c r="D950" s="25"/>
      <c r="E950" s="22"/>
      <c r="F950" s="22" t="str">
        <f t="shared" si="11"/>
        <v/>
      </c>
      <c r="G950" s="22" t="str">
        <f t="shared" si="79"/>
        <v/>
      </c>
      <c r="H950" s="22" t="str">
        <f t="shared" si="80"/>
        <v/>
      </c>
    </row>
    <row r="951" ht="15.75" customHeight="1">
      <c r="A951" s="31"/>
      <c r="B951" s="22"/>
      <c r="C951" s="22" t="str">
        <f t="shared" si="10"/>
        <v/>
      </c>
      <c r="D951" s="25"/>
      <c r="E951" s="22"/>
      <c r="F951" s="22" t="str">
        <f t="shared" si="11"/>
        <v/>
      </c>
      <c r="G951" s="22" t="str">
        <f t="shared" si="79"/>
        <v/>
      </c>
      <c r="H951" s="22" t="str">
        <f t="shared" si="80"/>
        <v/>
      </c>
    </row>
    <row r="952" ht="15.75" customHeight="1">
      <c r="A952" s="31"/>
      <c r="B952" s="22"/>
      <c r="C952" s="22" t="str">
        <f t="shared" si="10"/>
        <v/>
      </c>
      <c r="D952" s="25"/>
      <c r="E952" s="22"/>
      <c r="F952" s="22" t="str">
        <f t="shared" si="11"/>
        <v/>
      </c>
      <c r="G952" s="22" t="str">
        <f t="shared" si="79"/>
        <v/>
      </c>
      <c r="H952" s="22" t="str">
        <f t="shared" si="80"/>
        <v/>
      </c>
    </row>
    <row r="953" ht="15.75" customHeight="1">
      <c r="A953" s="31"/>
      <c r="B953" s="22"/>
      <c r="C953" s="22" t="str">
        <f t="shared" si="10"/>
        <v/>
      </c>
      <c r="D953" s="25"/>
      <c r="E953" s="22"/>
      <c r="F953" s="22" t="str">
        <f t="shared" si="11"/>
        <v/>
      </c>
      <c r="G953" s="22" t="str">
        <f t="shared" si="79"/>
        <v/>
      </c>
      <c r="H953" s="22" t="str">
        <f t="shared" si="80"/>
        <v/>
      </c>
    </row>
    <row r="954" ht="15.75" customHeight="1">
      <c r="A954" s="31"/>
      <c r="B954" s="22"/>
      <c r="C954" s="22" t="str">
        <f t="shared" si="10"/>
        <v/>
      </c>
      <c r="D954" s="25"/>
      <c r="E954" s="22"/>
      <c r="F954" s="22" t="str">
        <f t="shared" si="11"/>
        <v/>
      </c>
      <c r="G954" s="22" t="str">
        <f t="shared" si="79"/>
        <v/>
      </c>
      <c r="H954" s="22" t="str">
        <f t="shared" si="80"/>
        <v/>
      </c>
    </row>
    <row r="955" ht="15.75" customHeight="1">
      <c r="A955" s="31"/>
      <c r="B955" s="22"/>
      <c r="C955" s="22" t="str">
        <f t="shared" si="10"/>
        <v/>
      </c>
      <c r="D955" s="25"/>
      <c r="E955" s="22"/>
      <c r="F955" s="22" t="str">
        <f t="shared" si="11"/>
        <v/>
      </c>
      <c r="G955" s="22" t="str">
        <f t="shared" si="79"/>
        <v/>
      </c>
      <c r="H955" s="22" t="str">
        <f t="shared" si="80"/>
        <v/>
      </c>
    </row>
    <row r="956" ht="15.75" customHeight="1">
      <c r="A956" s="31"/>
      <c r="B956" s="22"/>
      <c r="C956" s="22" t="str">
        <f t="shared" si="10"/>
        <v/>
      </c>
      <c r="D956" s="25"/>
      <c r="E956" s="22"/>
      <c r="F956" s="22" t="str">
        <f t="shared" si="11"/>
        <v/>
      </c>
      <c r="G956" s="22" t="str">
        <f t="shared" si="79"/>
        <v/>
      </c>
      <c r="H956" s="22" t="str">
        <f t="shared" si="80"/>
        <v/>
      </c>
    </row>
    <row r="957" ht="15.75" customHeight="1">
      <c r="A957" s="31"/>
      <c r="B957" s="22"/>
      <c r="C957" s="22" t="str">
        <f t="shared" si="10"/>
        <v/>
      </c>
      <c r="D957" s="25"/>
      <c r="E957" s="22"/>
      <c r="F957" s="22" t="str">
        <f t="shared" si="11"/>
        <v/>
      </c>
      <c r="G957" s="22" t="str">
        <f t="shared" si="79"/>
        <v/>
      </c>
      <c r="H957" s="22" t="str">
        <f t="shared" si="80"/>
        <v/>
      </c>
    </row>
    <row r="958" ht="15.75" customHeight="1">
      <c r="A958" s="31"/>
      <c r="B958" s="22"/>
      <c r="C958" s="22" t="str">
        <f t="shared" si="10"/>
        <v/>
      </c>
      <c r="D958" s="25"/>
      <c r="E958" s="22"/>
      <c r="F958" s="22" t="str">
        <f t="shared" si="11"/>
        <v/>
      </c>
      <c r="G958" s="22" t="str">
        <f t="shared" si="79"/>
        <v/>
      </c>
      <c r="H958" s="22" t="str">
        <f t="shared" si="80"/>
        <v/>
      </c>
    </row>
    <row r="959" ht="15.75" customHeight="1">
      <c r="A959" s="31"/>
      <c r="B959" s="22"/>
      <c r="C959" s="22" t="str">
        <f t="shared" si="10"/>
        <v/>
      </c>
      <c r="D959" s="25"/>
      <c r="E959" s="22"/>
      <c r="F959" s="22" t="str">
        <f t="shared" si="11"/>
        <v/>
      </c>
      <c r="G959" s="22" t="str">
        <f t="shared" si="79"/>
        <v/>
      </c>
      <c r="H959" s="22" t="str">
        <f t="shared" si="80"/>
        <v/>
      </c>
    </row>
    <row r="960" ht="15.75" customHeight="1">
      <c r="A960" s="31"/>
      <c r="B960" s="22"/>
      <c r="C960" s="22" t="str">
        <f t="shared" si="10"/>
        <v/>
      </c>
      <c r="D960" s="25"/>
      <c r="E960" s="22"/>
      <c r="F960" s="22" t="str">
        <f t="shared" si="11"/>
        <v/>
      </c>
      <c r="G960" s="22" t="str">
        <f t="shared" si="79"/>
        <v/>
      </c>
      <c r="H960" s="22" t="str">
        <f t="shared" si="80"/>
        <v/>
      </c>
    </row>
    <row r="961" ht="15.75" customHeight="1">
      <c r="A961" s="31"/>
      <c r="B961" s="22"/>
      <c r="C961" s="22" t="str">
        <f t="shared" si="10"/>
        <v/>
      </c>
      <c r="D961" s="25"/>
      <c r="E961" s="22"/>
      <c r="F961" s="22" t="str">
        <f t="shared" si="11"/>
        <v/>
      </c>
      <c r="G961" s="22" t="str">
        <f t="shared" si="79"/>
        <v/>
      </c>
      <c r="H961" s="22" t="str">
        <f t="shared" si="80"/>
        <v/>
      </c>
    </row>
    <row r="962" ht="15.75" customHeight="1">
      <c r="A962" s="31"/>
      <c r="B962" s="22"/>
      <c r="C962" s="22" t="str">
        <f t="shared" si="10"/>
        <v/>
      </c>
      <c r="D962" s="25"/>
      <c r="E962" s="22"/>
      <c r="F962" s="22" t="str">
        <f t="shared" si="11"/>
        <v/>
      </c>
      <c r="G962" s="22" t="str">
        <f t="shared" si="79"/>
        <v/>
      </c>
      <c r="H962" s="22" t="str">
        <f t="shared" si="80"/>
        <v/>
      </c>
    </row>
    <row r="963" ht="15.75" customHeight="1">
      <c r="A963" s="31"/>
      <c r="B963" s="22"/>
      <c r="C963" s="22" t="str">
        <f t="shared" si="10"/>
        <v/>
      </c>
      <c r="D963" s="25"/>
      <c r="E963" s="22"/>
      <c r="F963" s="22" t="str">
        <f t="shared" si="11"/>
        <v/>
      </c>
      <c r="G963" s="22" t="str">
        <f t="shared" si="79"/>
        <v/>
      </c>
      <c r="H963" s="22" t="str">
        <f t="shared" si="80"/>
        <v/>
      </c>
    </row>
    <row r="964" ht="15.75" customHeight="1">
      <c r="A964" s="31"/>
      <c r="B964" s="22"/>
      <c r="C964" s="22" t="str">
        <f t="shared" si="10"/>
        <v/>
      </c>
      <c r="D964" s="25"/>
      <c r="E964" s="22"/>
      <c r="F964" s="22" t="str">
        <f t="shared" si="11"/>
        <v/>
      </c>
      <c r="G964" s="22" t="str">
        <f t="shared" si="79"/>
        <v/>
      </c>
      <c r="H964" s="22" t="str">
        <f t="shared" si="80"/>
        <v/>
      </c>
    </row>
    <row r="965" ht="15.75" customHeight="1">
      <c r="A965" s="31"/>
      <c r="B965" s="22"/>
      <c r="C965" s="22" t="str">
        <f t="shared" si="10"/>
        <v/>
      </c>
      <c r="D965" s="25"/>
      <c r="E965" s="22"/>
      <c r="F965" s="22" t="str">
        <f t="shared" si="11"/>
        <v/>
      </c>
      <c r="G965" s="22" t="str">
        <f t="shared" si="79"/>
        <v/>
      </c>
      <c r="H965" s="22" t="str">
        <f t="shared" si="80"/>
        <v/>
      </c>
    </row>
    <row r="966" ht="15.75" customHeight="1">
      <c r="A966" s="31"/>
      <c r="B966" s="22"/>
      <c r="C966" s="22" t="str">
        <f t="shared" si="10"/>
        <v/>
      </c>
      <c r="D966" s="25"/>
      <c r="E966" s="22"/>
      <c r="F966" s="22" t="str">
        <f t="shared" si="11"/>
        <v/>
      </c>
      <c r="G966" s="22" t="str">
        <f t="shared" si="79"/>
        <v/>
      </c>
      <c r="H966" s="22" t="str">
        <f t="shared" si="80"/>
        <v/>
      </c>
    </row>
    <row r="967" ht="15.75" customHeight="1">
      <c r="A967" s="31"/>
      <c r="B967" s="22"/>
      <c r="C967" s="22" t="str">
        <f t="shared" si="10"/>
        <v/>
      </c>
      <c r="D967" s="25"/>
      <c r="E967" s="22"/>
      <c r="F967" s="22" t="str">
        <f t="shared" si="11"/>
        <v/>
      </c>
      <c r="G967" s="22" t="str">
        <f t="shared" si="79"/>
        <v/>
      </c>
      <c r="H967" s="22" t="str">
        <f t="shared" si="80"/>
        <v/>
      </c>
    </row>
    <row r="968" ht="15.75" customHeight="1">
      <c r="A968" s="31"/>
      <c r="B968" s="22"/>
      <c r="C968" s="22" t="str">
        <f t="shared" si="10"/>
        <v/>
      </c>
      <c r="D968" s="25"/>
      <c r="E968" s="22"/>
      <c r="F968" s="22" t="str">
        <f t="shared" si="11"/>
        <v/>
      </c>
      <c r="G968" s="22" t="str">
        <f t="shared" si="79"/>
        <v/>
      </c>
      <c r="H968" s="22" t="str">
        <f t="shared" si="80"/>
        <v/>
      </c>
    </row>
    <row r="969" ht="15.75" customHeight="1">
      <c r="A969" s="31"/>
      <c r="B969" s="22"/>
      <c r="C969" s="22" t="str">
        <f t="shared" si="10"/>
        <v/>
      </c>
      <c r="D969" s="25"/>
      <c r="E969" s="22"/>
      <c r="F969" s="22" t="str">
        <f t="shared" si="11"/>
        <v/>
      </c>
      <c r="G969" s="22" t="str">
        <f t="shared" si="79"/>
        <v/>
      </c>
      <c r="H969" s="22" t="str">
        <f t="shared" si="80"/>
        <v/>
      </c>
    </row>
    <row r="970" ht="15.75" customHeight="1">
      <c r="A970" s="31"/>
      <c r="B970" s="22"/>
      <c r="C970" s="22" t="str">
        <f t="shared" si="10"/>
        <v/>
      </c>
      <c r="D970" s="25"/>
      <c r="E970" s="22"/>
      <c r="F970" s="22" t="str">
        <f t="shared" si="11"/>
        <v/>
      </c>
      <c r="G970" s="22" t="str">
        <f t="shared" si="79"/>
        <v/>
      </c>
      <c r="H970" s="22" t="str">
        <f t="shared" si="80"/>
        <v/>
      </c>
    </row>
    <row r="971" ht="15.75" customHeight="1">
      <c r="A971" s="31"/>
      <c r="B971" s="22"/>
      <c r="C971" s="22" t="str">
        <f t="shared" si="10"/>
        <v/>
      </c>
      <c r="D971" s="25"/>
      <c r="E971" s="22"/>
      <c r="F971" s="22" t="str">
        <f t="shared" si="11"/>
        <v/>
      </c>
      <c r="G971" s="22" t="str">
        <f t="shared" si="79"/>
        <v/>
      </c>
      <c r="H971" s="22" t="str">
        <f t="shared" si="80"/>
        <v/>
      </c>
    </row>
    <row r="972" ht="15.75" customHeight="1">
      <c r="A972" s="31"/>
      <c r="B972" s="22"/>
      <c r="C972" s="22" t="str">
        <f t="shared" si="10"/>
        <v/>
      </c>
      <c r="D972" s="25"/>
      <c r="E972" s="22"/>
      <c r="F972" s="22" t="str">
        <f t="shared" si="11"/>
        <v/>
      </c>
      <c r="G972" s="22" t="str">
        <f t="shared" si="79"/>
        <v/>
      </c>
      <c r="H972" s="22" t="str">
        <f t="shared" si="80"/>
        <v/>
      </c>
    </row>
    <row r="973" ht="15.75" customHeight="1">
      <c r="A973" s="31"/>
      <c r="B973" s="22"/>
      <c r="C973" s="22" t="str">
        <f t="shared" si="10"/>
        <v/>
      </c>
      <c r="D973" s="25"/>
      <c r="E973" s="22"/>
      <c r="F973" s="22" t="str">
        <f t="shared" si="11"/>
        <v/>
      </c>
      <c r="G973" s="22" t="str">
        <f t="shared" si="79"/>
        <v/>
      </c>
      <c r="H973" s="22" t="str">
        <f t="shared" si="80"/>
        <v/>
      </c>
    </row>
    <row r="974" ht="15.75" customHeight="1">
      <c r="A974" s="31"/>
      <c r="B974" s="22"/>
      <c r="C974" s="22" t="str">
        <f t="shared" si="10"/>
        <v/>
      </c>
      <c r="D974" s="25"/>
      <c r="E974" s="22"/>
      <c r="F974" s="22" t="str">
        <f t="shared" si="11"/>
        <v/>
      </c>
      <c r="G974" s="22" t="str">
        <f t="shared" si="79"/>
        <v/>
      </c>
      <c r="H974" s="22" t="str">
        <f t="shared" si="80"/>
        <v/>
      </c>
    </row>
    <row r="975" ht="15.75" customHeight="1">
      <c r="A975" s="31"/>
      <c r="B975" s="22"/>
      <c r="C975" s="22" t="str">
        <f t="shared" si="10"/>
        <v/>
      </c>
      <c r="D975" s="25"/>
      <c r="E975" s="22"/>
      <c r="F975" s="22" t="str">
        <f t="shared" si="11"/>
        <v/>
      </c>
      <c r="G975" s="22" t="str">
        <f t="shared" si="79"/>
        <v/>
      </c>
      <c r="H975" s="22" t="str">
        <f t="shared" si="80"/>
        <v/>
      </c>
    </row>
    <row r="976" ht="15.75" customHeight="1">
      <c r="A976" s="31"/>
      <c r="B976" s="22"/>
      <c r="C976" s="22" t="str">
        <f t="shared" si="10"/>
        <v/>
      </c>
      <c r="D976" s="25"/>
      <c r="E976" s="22"/>
      <c r="F976" s="22" t="str">
        <f t="shared" si="11"/>
        <v/>
      </c>
      <c r="G976" s="22" t="str">
        <f t="shared" si="79"/>
        <v/>
      </c>
      <c r="H976" s="22" t="str">
        <f t="shared" si="80"/>
        <v/>
      </c>
    </row>
    <row r="977" ht="15.75" customHeight="1">
      <c r="A977" s="31"/>
      <c r="B977" s="22"/>
      <c r="C977" s="22" t="str">
        <f t="shared" si="10"/>
        <v/>
      </c>
      <c r="D977" s="25"/>
      <c r="E977" s="22"/>
      <c r="F977" s="22" t="str">
        <f t="shared" si="11"/>
        <v/>
      </c>
      <c r="G977" s="22" t="str">
        <f t="shared" si="79"/>
        <v/>
      </c>
      <c r="H977" s="22" t="str">
        <f t="shared" si="80"/>
        <v/>
      </c>
    </row>
    <row r="978" ht="15.75" customHeight="1">
      <c r="A978" s="31"/>
      <c r="B978" s="22"/>
      <c r="C978" s="22" t="str">
        <f t="shared" si="10"/>
        <v/>
      </c>
      <c r="D978" s="25"/>
      <c r="E978" s="22"/>
      <c r="F978" s="22" t="str">
        <f t="shared" si="11"/>
        <v/>
      </c>
      <c r="G978" s="22" t="str">
        <f t="shared" si="79"/>
        <v/>
      </c>
      <c r="H978" s="22" t="str">
        <f t="shared" si="80"/>
        <v/>
      </c>
    </row>
    <row r="979" ht="15.75" customHeight="1">
      <c r="A979" s="31"/>
      <c r="B979" s="22"/>
      <c r="C979" s="22" t="str">
        <f t="shared" si="10"/>
        <v/>
      </c>
      <c r="D979" s="25"/>
      <c r="E979" s="22"/>
      <c r="F979" s="22" t="str">
        <f t="shared" si="11"/>
        <v/>
      </c>
      <c r="G979" s="22" t="str">
        <f t="shared" si="79"/>
        <v/>
      </c>
      <c r="H979" s="22" t="str">
        <f t="shared" si="80"/>
        <v/>
      </c>
    </row>
    <row r="980" ht="15.75" customHeight="1">
      <c r="A980" s="31"/>
      <c r="B980" s="22"/>
      <c r="C980" s="22" t="str">
        <f t="shared" si="10"/>
        <v/>
      </c>
      <c r="D980" s="25"/>
      <c r="E980" s="22"/>
      <c r="F980" s="22" t="str">
        <f t="shared" si="11"/>
        <v/>
      </c>
      <c r="G980" s="22" t="str">
        <f t="shared" si="79"/>
        <v/>
      </c>
      <c r="H980" s="22" t="str">
        <f t="shared" si="80"/>
        <v/>
      </c>
    </row>
    <row r="981" ht="15.75" customHeight="1">
      <c r="A981" s="31"/>
      <c r="B981" s="22"/>
      <c r="C981" s="22" t="str">
        <f t="shared" si="10"/>
        <v/>
      </c>
      <c r="D981" s="25"/>
      <c r="E981" s="22"/>
      <c r="F981" s="22" t="str">
        <f t="shared" si="11"/>
        <v/>
      </c>
      <c r="G981" s="22" t="str">
        <f t="shared" si="79"/>
        <v/>
      </c>
      <c r="H981" s="22" t="str">
        <f t="shared" si="80"/>
        <v/>
      </c>
    </row>
    <row r="982" ht="15.75" customHeight="1">
      <c r="A982" s="31"/>
      <c r="B982" s="22"/>
      <c r="C982" s="22" t="str">
        <f t="shared" si="10"/>
        <v/>
      </c>
      <c r="D982" s="25"/>
      <c r="E982" s="22"/>
      <c r="F982" s="22" t="str">
        <f t="shared" si="11"/>
        <v/>
      </c>
      <c r="G982" s="22" t="str">
        <f t="shared" si="79"/>
        <v/>
      </c>
      <c r="H982" s="22" t="str">
        <f t="shared" si="80"/>
        <v/>
      </c>
    </row>
    <row r="983" ht="15.75" customHeight="1">
      <c r="A983" s="31"/>
      <c r="B983" s="22"/>
      <c r="C983" s="22" t="str">
        <f t="shared" si="10"/>
        <v/>
      </c>
      <c r="D983" s="25"/>
      <c r="E983" s="22"/>
      <c r="F983" s="22" t="str">
        <f t="shared" si="11"/>
        <v/>
      </c>
      <c r="G983" s="22" t="str">
        <f t="shared" si="79"/>
        <v/>
      </c>
      <c r="H983" s="22" t="str">
        <f t="shared" si="80"/>
        <v/>
      </c>
    </row>
    <row r="984" ht="15.75" customHeight="1">
      <c r="A984" s="31"/>
      <c r="B984" s="22"/>
      <c r="C984" s="22" t="str">
        <f t="shared" si="10"/>
        <v/>
      </c>
      <c r="D984" s="25"/>
      <c r="E984" s="22"/>
      <c r="F984" s="22" t="str">
        <f t="shared" si="11"/>
        <v/>
      </c>
      <c r="G984" s="22" t="str">
        <f t="shared" si="79"/>
        <v/>
      </c>
      <c r="H984" s="22" t="str">
        <f t="shared" si="80"/>
        <v/>
      </c>
    </row>
    <row r="985" ht="15.75" customHeight="1">
      <c r="A985" s="31"/>
      <c r="B985" s="22"/>
      <c r="C985" s="22" t="str">
        <f t="shared" si="10"/>
        <v/>
      </c>
      <c r="D985" s="25"/>
      <c r="E985" s="22"/>
      <c r="F985" s="22" t="str">
        <f t="shared" si="11"/>
        <v/>
      </c>
      <c r="G985" s="22" t="str">
        <f t="shared" si="79"/>
        <v/>
      </c>
      <c r="H985" s="22" t="str">
        <f t="shared" si="80"/>
        <v/>
      </c>
    </row>
    <row r="986" ht="15.75" customHeight="1">
      <c r="A986" s="31"/>
      <c r="B986" s="22"/>
      <c r="C986" s="22" t="str">
        <f t="shared" si="10"/>
        <v/>
      </c>
      <c r="D986" s="25"/>
      <c r="E986" s="22"/>
      <c r="F986" s="22" t="str">
        <f t="shared" si="11"/>
        <v/>
      </c>
      <c r="G986" s="22" t="str">
        <f t="shared" si="79"/>
        <v/>
      </c>
      <c r="H986" s="22" t="str">
        <f t="shared" si="80"/>
        <v/>
      </c>
    </row>
    <row r="987" ht="15.75" customHeight="1">
      <c r="A987" s="31"/>
      <c r="B987" s="22"/>
      <c r="C987" s="22" t="str">
        <f t="shared" si="10"/>
        <v/>
      </c>
      <c r="D987" s="25"/>
      <c r="E987" s="22"/>
      <c r="F987" s="22" t="str">
        <f t="shared" si="11"/>
        <v/>
      </c>
      <c r="G987" s="22" t="str">
        <f t="shared" si="79"/>
        <v/>
      </c>
      <c r="H987" s="22" t="str">
        <f t="shared" si="80"/>
        <v/>
      </c>
    </row>
    <row r="988" ht="15.75" customHeight="1">
      <c r="A988" s="31"/>
      <c r="B988" s="22"/>
      <c r="C988" s="22" t="str">
        <f t="shared" si="10"/>
        <v/>
      </c>
      <c r="D988" s="25"/>
      <c r="E988" s="22"/>
      <c r="F988" s="22" t="str">
        <f t="shared" si="11"/>
        <v/>
      </c>
      <c r="G988" s="22" t="str">
        <f t="shared" si="79"/>
        <v/>
      </c>
      <c r="H988" s="22" t="str">
        <f t="shared" si="80"/>
        <v/>
      </c>
    </row>
    <row r="989" ht="15.75" customHeight="1">
      <c r="A989" s="31"/>
      <c r="B989" s="22"/>
      <c r="C989" s="22" t="str">
        <f t="shared" si="10"/>
        <v/>
      </c>
      <c r="D989" s="25"/>
      <c r="E989" s="22"/>
      <c r="F989" s="22" t="str">
        <f t="shared" si="11"/>
        <v/>
      </c>
      <c r="G989" s="22" t="str">
        <f t="shared" si="79"/>
        <v/>
      </c>
      <c r="H989" s="22" t="str">
        <f t="shared" si="80"/>
        <v/>
      </c>
    </row>
    <row r="990" ht="15.75" customHeight="1">
      <c r="A990" s="31"/>
      <c r="B990" s="22"/>
      <c r="C990" s="22" t="str">
        <f t="shared" si="10"/>
        <v/>
      </c>
      <c r="D990" s="25"/>
      <c r="E990" s="22"/>
      <c r="F990" s="22" t="str">
        <f t="shared" si="11"/>
        <v/>
      </c>
      <c r="G990" s="22" t="str">
        <f t="shared" si="79"/>
        <v/>
      </c>
      <c r="H990" s="22" t="str">
        <f t="shared" si="80"/>
        <v/>
      </c>
    </row>
    <row r="991" ht="15.75" customHeight="1">
      <c r="A991" s="31"/>
      <c r="B991" s="22"/>
      <c r="C991" s="22" t="str">
        <f t="shared" si="10"/>
        <v/>
      </c>
      <c r="D991" s="25"/>
      <c r="E991" s="22"/>
      <c r="F991" s="22" t="str">
        <f t="shared" si="11"/>
        <v/>
      </c>
      <c r="G991" s="22" t="str">
        <f t="shared" si="79"/>
        <v/>
      </c>
      <c r="H991" s="22" t="str">
        <f t="shared" si="80"/>
        <v/>
      </c>
    </row>
    <row r="992" ht="15.75" customHeight="1">
      <c r="A992" s="31"/>
      <c r="B992" s="22"/>
      <c r="C992" s="22" t="str">
        <f t="shared" si="10"/>
        <v/>
      </c>
      <c r="D992" s="25"/>
      <c r="E992" s="22"/>
      <c r="F992" s="22" t="str">
        <f t="shared" si="11"/>
        <v/>
      </c>
      <c r="G992" s="22" t="str">
        <f t="shared" si="79"/>
        <v/>
      </c>
      <c r="H992" s="22" t="str">
        <f t="shared" si="80"/>
        <v/>
      </c>
    </row>
    <row r="993" ht="15.75" customHeight="1">
      <c r="A993" s="31"/>
      <c r="B993" s="22"/>
      <c r="C993" s="22" t="str">
        <f t="shared" si="10"/>
        <v/>
      </c>
      <c r="D993" s="25"/>
      <c r="E993" s="22"/>
      <c r="F993" s="22" t="str">
        <f t="shared" si="11"/>
        <v/>
      </c>
      <c r="G993" s="22" t="str">
        <f t="shared" si="79"/>
        <v/>
      </c>
      <c r="H993" s="22" t="str">
        <f t="shared" si="80"/>
        <v/>
      </c>
    </row>
    <row r="994" ht="15.75" customHeight="1">
      <c r="A994" s="31"/>
      <c r="B994" s="22"/>
      <c r="C994" s="22" t="str">
        <f t="shared" si="10"/>
        <v/>
      </c>
      <c r="D994" s="25"/>
      <c r="E994" s="22"/>
      <c r="F994" s="22" t="str">
        <f t="shared" si="11"/>
        <v/>
      </c>
      <c r="G994" s="22" t="str">
        <f t="shared" si="79"/>
        <v/>
      </c>
      <c r="H994" s="22" t="str">
        <f t="shared" si="80"/>
        <v/>
      </c>
    </row>
    <row r="995" ht="15.75" customHeight="1">
      <c r="A995" s="31"/>
      <c r="B995" s="22"/>
      <c r="C995" s="22" t="str">
        <f t="shared" si="10"/>
        <v/>
      </c>
      <c r="D995" s="25"/>
      <c r="E995" s="22"/>
      <c r="F995" s="22" t="str">
        <f t="shared" si="11"/>
        <v/>
      </c>
      <c r="G995" s="22" t="str">
        <f t="shared" si="79"/>
        <v/>
      </c>
      <c r="H995" s="22" t="str">
        <f t="shared" si="80"/>
        <v/>
      </c>
    </row>
    <row r="996" ht="15.75" customHeight="1">
      <c r="A996" s="31"/>
      <c r="B996" s="22"/>
      <c r="C996" s="22" t="str">
        <f t="shared" si="10"/>
        <v/>
      </c>
      <c r="D996" s="25"/>
      <c r="E996" s="22"/>
      <c r="F996" s="22" t="str">
        <f t="shared" si="11"/>
        <v/>
      </c>
      <c r="G996" s="22" t="str">
        <f t="shared" si="79"/>
        <v/>
      </c>
      <c r="H996" s="22" t="str">
        <f t="shared" si="80"/>
        <v/>
      </c>
    </row>
    <row r="997" ht="15.75" customHeight="1">
      <c r="A997" s="31"/>
      <c r="B997" s="22"/>
      <c r="C997" s="22" t="str">
        <f t="shared" si="10"/>
        <v/>
      </c>
      <c r="D997" s="25"/>
      <c r="E997" s="22"/>
      <c r="F997" s="22" t="str">
        <f t="shared" si="11"/>
        <v/>
      </c>
      <c r="G997" s="22" t="str">
        <f t="shared" si="79"/>
        <v/>
      </c>
      <c r="H997" s="22" t="str">
        <f t="shared" si="80"/>
        <v/>
      </c>
    </row>
    <row r="998" ht="15.75" customHeight="1">
      <c r="A998" s="31"/>
      <c r="B998" s="22"/>
      <c r="C998" s="22" t="str">
        <f t="shared" si="10"/>
        <v/>
      </c>
      <c r="D998" s="25"/>
      <c r="E998" s="22"/>
      <c r="F998" s="22" t="str">
        <f t="shared" si="11"/>
        <v/>
      </c>
      <c r="G998" s="22" t="str">
        <f t="shared" si="79"/>
        <v/>
      </c>
      <c r="H998" s="22" t="str">
        <f t="shared" si="80"/>
        <v/>
      </c>
    </row>
    <row r="999" ht="15.75" customHeight="1">
      <c r="A999" s="31"/>
      <c r="B999" s="22"/>
      <c r="C999" s="22" t="str">
        <f t="shared" si="10"/>
        <v/>
      </c>
      <c r="D999" s="25"/>
      <c r="E999" s="22"/>
      <c r="F999" s="22" t="str">
        <f t="shared" si="11"/>
        <v/>
      </c>
      <c r="G999" s="22" t="str">
        <f t="shared" si="79"/>
        <v/>
      </c>
      <c r="H999" s="22" t="str">
        <f t="shared" si="80"/>
        <v/>
      </c>
    </row>
    <row r="1000" ht="15.75" customHeight="1">
      <c r="A1000" s="31"/>
      <c r="B1000" s="22"/>
      <c r="C1000" s="22" t="str">
        <f t="shared" si="10"/>
        <v/>
      </c>
      <c r="D1000" s="25"/>
      <c r="E1000" s="22"/>
      <c r="F1000" s="22" t="str">
        <f t="shared" si="11"/>
        <v/>
      </c>
      <c r="G1000" s="22" t="str">
        <f t="shared" si="79"/>
        <v/>
      </c>
      <c r="H1000" s="22" t="str">
        <f t="shared" si="80"/>
        <v/>
      </c>
    </row>
    <row r="1001" ht="15.75" customHeight="1">
      <c r="A1001" s="31"/>
      <c r="B1001" s="22"/>
      <c r="C1001" s="22" t="str">
        <f t="shared" si="10"/>
        <v/>
      </c>
      <c r="D1001" s="25"/>
      <c r="E1001" s="22"/>
      <c r="F1001" s="22" t="str">
        <f t="shared" si="11"/>
        <v/>
      </c>
      <c r="G1001" s="22" t="str">
        <f t="shared" si="79"/>
        <v/>
      </c>
      <c r="H1001" s="22" t="str">
        <f t="shared" si="80"/>
        <v/>
      </c>
    </row>
    <row r="1002" ht="15.75" customHeight="1">
      <c r="A1002" s="31"/>
      <c r="B1002" s="22"/>
      <c r="C1002" s="22" t="str">
        <f t="shared" si="10"/>
        <v/>
      </c>
      <c r="D1002" s="25"/>
      <c r="E1002" s="22"/>
      <c r="F1002" s="22" t="str">
        <f t="shared" si="11"/>
        <v/>
      </c>
      <c r="G1002" s="22" t="str">
        <f t="shared" si="79"/>
        <v/>
      </c>
      <c r="H1002" s="22" t="str">
        <f t="shared" si="80"/>
        <v/>
      </c>
    </row>
    <row r="1003" ht="15.75" customHeight="1">
      <c r="A1003" s="31"/>
      <c r="B1003" s="22"/>
      <c r="C1003" s="22" t="str">
        <f t="shared" si="10"/>
        <v/>
      </c>
      <c r="D1003" s="25"/>
      <c r="E1003" s="22"/>
      <c r="F1003" s="22" t="str">
        <f t="shared" si="11"/>
        <v/>
      </c>
      <c r="G1003" s="22" t="str">
        <f t="shared" si="79"/>
        <v/>
      </c>
      <c r="H1003" s="22" t="str">
        <f t="shared" si="80"/>
        <v/>
      </c>
    </row>
    <row r="1004" ht="15.75" customHeight="1">
      <c r="A1004" s="31"/>
      <c r="B1004" s="22"/>
      <c r="C1004" s="22" t="str">
        <f t="shared" si="10"/>
        <v/>
      </c>
      <c r="D1004" s="25"/>
      <c r="E1004" s="22"/>
      <c r="F1004" s="22" t="str">
        <f t="shared" si="11"/>
        <v/>
      </c>
      <c r="G1004" s="22" t="str">
        <f t="shared" si="79"/>
        <v/>
      </c>
      <c r="H1004" s="22" t="str">
        <f t="shared" si="80"/>
        <v/>
      </c>
    </row>
    <row r="1005" ht="15.75" customHeight="1">
      <c r="A1005" s="31"/>
      <c r="B1005" s="22"/>
      <c r="C1005" s="22" t="str">
        <f t="shared" si="10"/>
        <v/>
      </c>
      <c r="D1005" s="25"/>
      <c r="E1005" s="22"/>
      <c r="F1005" s="22" t="str">
        <f t="shared" si="11"/>
        <v/>
      </c>
      <c r="G1005" s="22" t="str">
        <f t="shared" si="79"/>
        <v/>
      </c>
      <c r="H1005" s="22" t="str">
        <f t="shared" si="80"/>
        <v/>
      </c>
    </row>
    <row r="1006" ht="15.75" customHeight="1">
      <c r="A1006" s="31"/>
      <c r="B1006" s="22"/>
      <c r="C1006" s="22" t="str">
        <f t="shared" si="10"/>
        <v/>
      </c>
      <c r="D1006" s="25"/>
      <c r="E1006" s="22"/>
      <c r="F1006" s="22" t="str">
        <f t="shared" si="11"/>
        <v/>
      </c>
      <c r="G1006" s="22" t="str">
        <f t="shared" si="79"/>
        <v/>
      </c>
      <c r="H1006" s="22" t="str">
        <f t="shared" si="80"/>
        <v/>
      </c>
    </row>
    <row r="1007" ht="15.75" customHeight="1">
      <c r="A1007" s="31"/>
      <c r="B1007" s="22"/>
      <c r="C1007" s="22" t="str">
        <f t="shared" si="10"/>
        <v/>
      </c>
      <c r="D1007" s="25"/>
      <c r="E1007" s="22"/>
      <c r="F1007" s="22" t="str">
        <f t="shared" si="11"/>
        <v/>
      </c>
      <c r="G1007" s="22" t="str">
        <f t="shared" si="79"/>
        <v/>
      </c>
      <c r="H1007" s="22" t="str">
        <f t="shared" si="80"/>
        <v/>
      </c>
    </row>
    <row r="1008" ht="15.75" customHeight="1">
      <c r="A1008" s="31"/>
      <c r="B1008" s="22"/>
      <c r="C1008" s="22" t="str">
        <f t="shared" si="10"/>
        <v/>
      </c>
      <c r="D1008" s="25"/>
      <c r="E1008" s="22"/>
      <c r="F1008" s="22" t="str">
        <f t="shared" si="11"/>
        <v/>
      </c>
      <c r="G1008" s="22" t="str">
        <f t="shared" si="79"/>
        <v/>
      </c>
      <c r="H1008" s="22" t="str">
        <f t="shared" si="80"/>
        <v/>
      </c>
    </row>
    <row r="1009" ht="15.75" customHeight="1">
      <c r="A1009" s="31"/>
      <c r="B1009" s="22"/>
      <c r="C1009" s="22" t="str">
        <f t="shared" si="10"/>
        <v/>
      </c>
      <c r="D1009" s="25"/>
      <c r="E1009" s="22"/>
      <c r="F1009" s="22" t="str">
        <f t="shared" si="11"/>
        <v/>
      </c>
      <c r="G1009" s="22" t="str">
        <f t="shared" si="79"/>
        <v/>
      </c>
      <c r="H1009" s="22" t="str">
        <f t="shared" si="80"/>
        <v/>
      </c>
    </row>
    <row r="1010" ht="15.75" customHeight="1">
      <c r="A1010" s="31"/>
      <c r="B1010" s="22"/>
      <c r="C1010" s="22" t="str">
        <f t="shared" si="10"/>
        <v/>
      </c>
      <c r="D1010" s="25"/>
      <c r="E1010" s="22"/>
      <c r="F1010" s="22" t="str">
        <f t="shared" si="11"/>
        <v/>
      </c>
      <c r="G1010" s="22" t="str">
        <f t="shared" si="79"/>
        <v/>
      </c>
      <c r="H1010" s="22" t="str">
        <f t="shared" si="80"/>
        <v/>
      </c>
    </row>
    <row r="1011" ht="15.75" customHeight="1">
      <c r="A1011" s="31"/>
      <c r="B1011" s="22"/>
      <c r="C1011" s="22" t="str">
        <f t="shared" si="10"/>
        <v/>
      </c>
      <c r="D1011" s="25"/>
      <c r="E1011" s="22"/>
      <c r="F1011" s="22" t="str">
        <f t="shared" si="11"/>
        <v/>
      </c>
      <c r="G1011" s="22" t="str">
        <f t="shared" si="79"/>
        <v/>
      </c>
      <c r="H1011" s="22" t="str">
        <f t="shared" si="80"/>
        <v/>
      </c>
    </row>
    <row r="1012" ht="15.75" customHeight="1">
      <c r="A1012" s="31"/>
      <c r="B1012" s="22"/>
      <c r="C1012" s="22" t="str">
        <f t="shared" si="10"/>
        <v/>
      </c>
      <c r="D1012" s="25"/>
      <c r="E1012" s="22"/>
      <c r="F1012" s="22" t="str">
        <f t="shared" si="11"/>
        <v/>
      </c>
      <c r="G1012" s="22" t="str">
        <f t="shared" si="79"/>
        <v/>
      </c>
      <c r="H1012" s="22" t="str">
        <f t="shared" si="80"/>
        <v/>
      </c>
    </row>
    <row r="1013" ht="15.75" customHeight="1">
      <c r="A1013" s="31"/>
      <c r="B1013" s="22"/>
      <c r="C1013" s="22" t="str">
        <f t="shared" si="10"/>
        <v/>
      </c>
      <c r="D1013" s="25"/>
      <c r="E1013" s="22"/>
      <c r="F1013" s="22" t="str">
        <f t="shared" si="11"/>
        <v/>
      </c>
      <c r="G1013" s="22" t="str">
        <f t="shared" si="79"/>
        <v/>
      </c>
      <c r="H1013" s="22" t="str">
        <f t="shared" si="80"/>
        <v/>
      </c>
    </row>
    <row r="1014" ht="15.75" customHeight="1">
      <c r="A1014" s="31"/>
      <c r="B1014" s="22"/>
      <c r="C1014" s="22" t="str">
        <f t="shared" si="10"/>
        <v/>
      </c>
      <c r="D1014" s="25"/>
      <c r="E1014" s="22"/>
      <c r="F1014" s="22" t="str">
        <f t="shared" si="11"/>
        <v/>
      </c>
      <c r="G1014" s="22" t="str">
        <f t="shared" si="79"/>
        <v/>
      </c>
      <c r="H1014" s="22" t="str">
        <f t="shared" si="80"/>
        <v/>
      </c>
    </row>
    <row r="1015" ht="15.75" customHeight="1">
      <c r="A1015" s="31"/>
      <c r="B1015" s="22"/>
      <c r="C1015" s="22" t="str">
        <f t="shared" si="10"/>
        <v/>
      </c>
      <c r="D1015" s="25"/>
      <c r="E1015" s="22"/>
      <c r="F1015" s="22" t="str">
        <f t="shared" si="11"/>
        <v/>
      </c>
      <c r="G1015" s="22" t="str">
        <f t="shared" si="79"/>
        <v/>
      </c>
      <c r="H1015" s="22" t="str">
        <f t="shared" si="80"/>
        <v/>
      </c>
    </row>
    <row r="1016" ht="15.75" customHeight="1">
      <c r="A1016" s="31"/>
      <c r="B1016" s="22"/>
      <c r="C1016" s="22" t="str">
        <f t="shared" si="10"/>
        <v/>
      </c>
      <c r="D1016" s="25"/>
      <c r="E1016" s="22"/>
      <c r="F1016" s="22" t="str">
        <f t="shared" si="11"/>
        <v/>
      </c>
      <c r="G1016" s="22" t="str">
        <f t="shared" si="79"/>
        <v/>
      </c>
      <c r="H1016" s="22" t="str">
        <f t="shared" si="80"/>
        <v/>
      </c>
    </row>
    <row r="1017" ht="15.75" customHeight="1">
      <c r="A1017" s="31"/>
      <c r="B1017" s="22"/>
      <c r="C1017" s="22" t="str">
        <f t="shared" si="10"/>
        <v/>
      </c>
      <c r="D1017" s="25"/>
      <c r="E1017" s="22"/>
      <c r="F1017" s="22" t="str">
        <f t="shared" si="11"/>
        <v/>
      </c>
      <c r="G1017" s="22" t="str">
        <f t="shared" si="79"/>
        <v/>
      </c>
      <c r="H1017" s="22" t="str">
        <f t="shared" si="80"/>
        <v/>
      </c>
    </row>
    <row r="1018" ht="15.75" customHeight="1">
      <c r="A1018" s="31"/>
      <c r="B1018" s="22"/>
      <c r="C1018" s="22" t="str">
        <f t="shared" si="10"/>
        <v/>
      </c>
      <c r="D1018" s="25"/>
      <c r="E1018" s="22"/>
      <c r="F1018" s="22" t="str">
        <f t="shared" si="11"/>
        <v/>
      </c>
      <c r="G1018" s="22" t="str">
        <f t="shared" si="79"/>
        <v/>
      </c>
      <c r="H1018" s="22" t="str">
        <f t="shared" si="80"/>
        <v/>
      </c>
    </row>
    <row r="1019" ht="15.75" customHeight="1">
      <c r="A1019" s="31"/>
      <c r="B1019" s="22"/>
      <c r="C1019" s="22" t="str">
        <f t="shared" si="10"/>
        <v/>
      </c>
      <c r="D1019" s="25"/>
      <c r="E1019" s="22"/>
      <c r="F1019" s="22" t="str">
        <f t="shared" si="11"/>
        <v/>
      </c>
      <c r="G1019" s="22" t="str">
        <f t="shared" si="79"/>
        <v/>
      </c>
      <c r="H1019" s="22" t="str">
        <f t="shared" si="80"/>
        <v/>
      </c>
    </row>
    <row r="1020" ht="15.75" customHeight="1">
      <c r="A1020" s="31"/>
      <c r="B1020" s="22"/>
      <c r="C1020" s="22" t="str">
        <f t="shared" si="10"/>
        <v/>
      </c>
      <c r="D1020" s="25"/>
      <c r="E1020" s="22"/>
      <c r="F1020" s="22" t="str">
        <f t="shared" si="11"/>
        <v/>
      </c>
      <c r="G1020" s="22" t="str">
        <f t="shared" si="79"/>
        <v/>
      </c>
      <c r="H1020" s="22" t="str">
        <f t="shared" si="80"/>
        <v/>
      </c>
    </row>
    <row r="1021" ht="15.75" customHeight="1">
      <c r="A1021" s="31"/>
      <c r="B1021" s="22"/>
      <c r="C1021" s="22" t="str">
        <f t="shared" si="10"/>
        <v/>
      </c>
      <c r="D1021" s="25"/>
      <c r="E1021" s="22"/>
      <c r="F1021" s="22" t="str">
        <f t="shared" si="11"/>
        <v/>
      </c>
      <c r="G1021" s="22" t="str">
        <f t="shared" si="79"/>
        <v/>
      </c>
      <c r="H1021" s="22" t="str">
        <f t="shared" si="80"/>
        <v/>
      </c>
    </row>
    <row r="1022" ht="15.75" customHeight="1">
      <c r="A1022" s="31"/>
      <c r="B1022" s="22"/>
      <c r="C1022" s="22" t="str">
        <f t="shared" si="10"/>
        <v/>
      </c>
      <c r="D1022" s="25"/>
      <c r="E1022" s="22"/>
      <c r="F1022" s="22" t="str">
        <f t="shared" si="11"/>
        <v/>
      </c>
      <c r="G1022" s="22" t="str">
        <f t="shared" si="79"/>
        <v/>
      </c>
      <c r="H1022" s="22" t="str">
        <f t="shared" si="80"/>
        <v/>
      </c>
    </row>
    <row r="1023" ht="15.75" customHeight="1">
      <c r="A1023" s="31"/>
      <c r="B1023" s="22"/>
      <c r="C1023" s="22" t="str">
        <f t="shared" si="10"/>
        <v/>
      </c>
      <c r="D1023" s="25"/>
      <c r="E1023" s="22"/>
      <c r="F1023" s="22" t="str">
        <f t="shared" si="11"/>
        <v/>
      </c>
      <c r="G1023" s="22" t="str">
        <f t="shared" si="79"/>
        <v/>
      </c>
      <c r="H1023" s="22" t="str">
        <f t="shared" si="80"/>
        <v/>
      </c>
    </row>
    <row r="1024" ht="15.75" customHeight="1">
      <c r="A1024" s="31"/>
      <c r="B1024" s="22"/>
      <c r="C1024" s="22" t="str">
        <f t="shared" si="10"/>
        <v/>
      </c>
      <c r="D1024" s="25"/>
      <c r="E1024" s="22"/>
      <c r="F1024" s="22" t="str">
        <f t="shared" si="11"/>
        <v/>
      </c>
      <c r="G1024" s="22" t="str">
        <f t="shared" si="79"/>
        <v/>
      </c>
      <c r="H1024" s="22" t="str">
        <f t="shared" si="80"/>
        <v/>
      </c>
    </row>
    <row r="1025" ht="15.75" customHeight="1">
      <c r="A1025" s="31"/>
      <c r="B1025" s="22"/>
      <c r="C1025" s="22" t="str">
        <f t="shared" si="10"/>
        <v/>
      </c>
      <c r="D1025" s="25"/>
      <c r="E1025" s="22"/>
      <c r="F1025" s="22" t="str">
        <f t="shared" si="11"/>
        <v/>
      </c>
      <c r="G1025" s="22" t="str">
        <f t="shared" si="79"/>
        <v/>
      </c>
      <c r="H1025" s="22" t="str">
        <f t="shared" si="80"/>
        <v/>
      </c>
    </row>
    <row r="1026" ht="15.75" customHeight="1">
      <c r="A1026" s="31"/>
      <c r="B1026" s="22"/>
      <c r="C1026" s="22" t="str">
        <f t="shared" si="10"/>
        <v/>
      </c>
      <c r="D1026" s="25"/>
      <c r="E1026" s="22"/>
      <c r="F1026" s="22" t="str">
        <f t="shared" si="11"/>
        <v/>
      </c>
      <c r="G1026" s="22" t="str">
        <f t="shared" si="79"/>
        <v/>
      </c>
      <c r="H1026" s="22" t="str">
        <f t="shared" si="80"/>
        <v/>
      </c>
    </row>
    <row r="1027" ht="15.75" customHeight="1">
      <c r="A1027" s="31"/>
      <c r="B1027" s="22"/>
      <c r="C1027" s="22" t="str">
        <f t="shared" si="10"/>
        <v/>
      </c>
      <c r="D1027" s="25"/>
      <c r="E1027" s="22"/>
      <c r="F1027" s="22" t="str">
        <f t="shared" si="11"/>
        <v/>
      </c>
      <c r="G1027" s="22" t="str">
        <f t="shared" si="79"/>
        <v/>
      </c>
      <c r="H1027" s="22" t="str">
        <f t="shared" si="80"/>
        <v/>
      </c>
    </row>
    <row r="1028" ht="15.75" customHeight="1">
      <c r="A1028" s="31"/>
      <c r="B1028" s="22"/>
      <c r="C1028" s="22" t="str">
        <f t="shared" si="10"/>
        <v/>
      </c>
      <c r="D1028" s="25"/>
      <c r="E1028" s="22"/>
      <c r="F1028" s="22" t="str">
        <f t="shared" si="11"/>
        <v/>
      </c>
      <c r="G1028" s="22" t="str">
        <f t="shared" si="79"/>
        <v/>
      </c>
      <c r="H1028" s="22" t="str">
        <f t="shared" si="80"/>
        <v/>
      </c>
    </row>
    <row r="1029" ht="15.75" customHeight="1">
      <c r="A1029" s="31"/>
      <c r="B1029" s="22"/>
      <c r="C1029" s="22" t="str">
        <f t="shared" si="10"/>
        <v/>
      </c>
      <c r="D1029" s="25"/>
      <c r="E1029" s="22"/>
      <c r="F1029" s="22" t="str">
        <f t="shared" si="11"/>
        <v/>
      </c>
      <c r="G1029" s="22" t="str">
        <f t="shared" si="79"/>
        <v/>
      </c>
      <c r="H1029" s="22" t="str">
        <f t="shared" si="80"/>
        <v/>
      </c>
    </row>
    <row r="1030" ht="15.75" customHeight="1">
      <c r="A1030" s="31"/>
      <c r="B1030" s="22"/>
      <c r="C1030" s="22" t="str">
        <f t="shared" si="10"/>
        <v/>
      </c>
      <c r="D1030" s="25"/>
      <c r="E1030" s="22"/>
      <c r="F1030" s="22" t="str">
        <f t="shared" si="11"/>
        <v/>
      </c>
      <c r="G1030" s="22" t="str">
        <f t="shared" si="79"/>
        <v/>
      </c>
      <c r="H1030" s="22" t="str">
        <f t="shared" si="80"/>
        <v/>
      </c>
    </row>
    <row r="1031" ht="15.75" customHeight="1">
      <c r="A1031" s="31"/>
      <c r="B1031" s="22"/>
      <c r="C1031" s="22" t="str">
        <f t="shared" si="10"/>
        <v/>
      </c>
      <c r="D1031" s="25"/>
      <c r="E1031" s="22"/>
      <c r="F1031" s="22" t="str">
        <f t="shared" si="11"/>
        <v/>
      </c>
      <c r="G1031" s="22" t="str">
        <f t="shared" si="79"/>
        <v/>
      </c>
      <c r="H1031" s="22" t="str">
        <f t="shared" si="80"/>
        <v/>
      </c>
    </row>
    <row r="1032" ht="15.75" customHeight="1">
      <c r="A1032" s="31"/>
      <c r="B1032" s="22"/>
      <c r="C1032" s="22" t="str">
        <f t="shared" si="10"/>
        <v/>
      </c>
      <c r="D1032" s="25"/>
      <c r="E1032" s="22"/>
      <c r="F1032" s="22" t="str">
        <f t="shared" si="11"/>
        <v/>
      </c>
      <c r="G1032" s="22" t="str">
        <f t="shared" si="79"/>
        <v/>
      </c>
      <c r="H1032" s="22" t="str">
        <f t="shared" si="80"/>
        <v/>
      </c>
    </row>
    <row r="1033" ht="15.75" customHeight="1">
      <c r="A1033" s="31"/>
      <c r="B1033" s="22"/>
      <c r="C1033" s="22" t="str">
        <f t="shared" si="10"/>
        <v/>
      </c>
      <c r="D1033" s="25"/>
      <c r="E1033" s="22"/>
      <c r="F1033" s="22" t="str">
        <f t="shared" si="11"/>
        <v/>
      </c>
      <c r="G1033" s="22" t="str">
        <f t="shared" si="79"/>
        <v/>
      </c>
      <c r="H1033" s="22" t="str">
        <f t="shared" si="80"/>
        <v/>
      </c>
    </row>
    <row r="1034" ht="15.75" customHeight="1">
      <c r="A1034" s="31"/>
      <c r="B1034" s="22"/>
      <c r="C1034" s="22" t="str">
        <f t="shared" si="10"/>
        <v/>
      </c>
      <c r="D1034" s="25"/>
      <c r="E1034" s="22"/>
      <c r="F1034" s="22" t="str">
        <f t="shared" si="11"/>
        <v/>
      </c>
      <c r="G1034" s="22" t="str">
        <f t="shared" si="79"/>
        <v/>
      </c>
      <c r="H1034" s="22" t="str">
        <f t="shared" si="80"/>
        <v/>
      </c>
    </row>
    <row r="1035" ht="15.75" customHeight="1">
      <c r="A1035" s="31"/>
      <c r="B1035" s="22"/>
      <c r="C1035" s="22" t="str">
        <f t="shared" si="10"/>
        <v/>
      </c>
      <c r="D1035" s="25"/>
      <c r="E1035" s="22"/>
      <c r="F1035" s="22" t="str">
        <f t="shared" si="11"/>
        <v/>
      </c>
      <c r="G1035" s="22" t="str">
        <f t="shared" si="79"/>
        <v/>
      </c>
      <c r="H1035" s="22" t="str">
        <f t="shared" si="80"/>
        <v/>
      </c>
    </row>
    <row r="1036" ht="15.75" customHeight="1">
      <c r="A1036" s="31"/>
      <c r="B1036" s="22"/>
      <c r="C1036" s="22" t="str">
        <f t="shared" si="10"/>
        <v/>
      </c>
      <c r="D1036" s="25"/>
      <c r="E1036" s="22"/>
      <c r="F1036" s="22" t="str">
        <f t="shared" si="11"/>
        <v/>
      </c>
      <c r="G1036" s="22" t="str">
        <f t="shared" si="79"/>
        <v/>
      </c>
      <c r="H1036" s="22" t="str">
        <f t="shared" si="80"/>
        <v/>
      </c>
    </row>
    <row r="1037" ht="15.75" customHeight="1">
      <c r="A1037" s="31"/>
      <c r="B1037" s="22"/>
      <c r="C1037" s="22" t="str">
        <f t="shared" si="10"/>
        <v/>
      </c>
      <c r="D1037" s="25"/>
      <c r="E1037" s="22"/>
      <c r="F1037" s="22" t="str">
        <f t="shared" si="11"/>
        <v/>
      </c>
      <c r="G1037" s="22" t="str">
        <f t="shared" si="79"/>
        <v/>
      </c>
      <c r="H1037" s="22" t="str">
        <f t="shared" si="80"/>
        <v/>
      </c>
    </row>
    <row r="1038" ht="15.75" customHeight="1">
      <c r="A1038" s="31"/>
      <c r="B1038" s="22"/>
      <c r="C1038" s="22" t="str">
        <f t="shared" si="10"/>
        <v/>
      </c>
      <c r="D1038" s="25"/>
      <c r="E1038" s="22"/>
      <c r="F1038" s="22" t="str">
        <f t="shared" si="11"/>
        <v/>
      </c>
      <c r="G1038" s="22" t="str">
        <f t="shared" si="79"/>
        <v/>
      </c>
      <c r="H1038" s="22" t="str">
        <f t="shared" si="80"/>
        <v/>
      </c>
    </row>
    <row r="1039" ht="15.75" customHeight="1">
      <c r="A1039" s="31"/>
      <c r="B1039" s="22"/>
      <c r="C1039" s="22" t="str">
        <f t="shared" si="10"/>
        <v/>
      </c>
      <c r="D1039" s="25"/>
      <c r="E1039" s="22"/>
      <c r="F1039" s="22" t="str">
        <f t="shared" si="11"/>
        <v/>
      </c>
      <c r="G1039" s="22" t="str">
        <f t="shared" si="79"/>
        <v/>
      </c>
      <c r="H1039" s="22" t="str">
        <f t="shared" si="80"/>
        <v/>
      </c>
    </row>
    <row r="1040" ht="15.75" customHeight="1">
      <c r="A1040" s="31"/>
      <c r="B1040" s="22"/>
      <c r="C1040" s="22" t="str">
        <f t="shared" si="10"/>
        <v/>
      </c>
      <c r="D1040" s="25"/>
      <c r="E1040" s="22"/>
      <c r="F1040" s="22" t="str">
        <f t="shared" si="11"/>
        <v/>
      </c>
      <c r="G1040" s="22" t="str">
        <f t="shared" si="79"/>
        <v/>
      </c>
      <c r="H1040" s="22" t="str">
        <f t="shared" si="80"/>
        <v/>
      </c>
    </row>
    <row r="1041" ht="15.75" customHeight="1">
      <c r="A1041" s="31"/>
      <c r="B1041" s="22"/>
      <c r="C1041" s="22" t="str">
        <f t="shared" si="10"/>
        <v/>
      </c>
      <c r="D1041" s="25"/>
      <c r="E1041" s="22"/>
      <c r="F1041" s="22" t="str">
        <f t="shared" si="11"/>
        <v/>
      </c>
      <c r="G1041" s="22" t="str">
        <f t="shared" si="79"/>
        <v/>
      </c>
      <c r="H1041" s="22" t="str">
        <f t="shared" si="80"/>
        <v/>
      </c>
    </row>
    <row r="1042" ht="15.75" customHeight="1">
      <c r="A1042" s="31"/>
      <c r="B1042" s="22"/>
      <c r="C1042" s="22" t="str">
        <f t="shared" si="10"/>
        <v/>
      </c>
      <c r="D1042" s="25"/>
      <c r="E1042" s="22"/>
      <c r="F1042" s="22" t="str">
        <f t="shared" si="11"/>
        <v/>
      </c>
      <c r="G1042" s="22" t="str">
        <f t="shared" si="79"/>
        <v/>
      </c>
      <c r="H1042" s="22" t="str">
        <f t="shared" si="80"/>
        <v/>
      </c>
    </row>
    <row r="1043" ht="15.75" customHeight="1">
      <c r="A1043" s="31"/>
      <c r="B1043" s="22"/>
      <c r="C1043" s="22" t="str">
        <f t="shared" si="10"/>
        <v/>
      </c>
      <c r="D1043" s="25"/>
      <c r="E1043" s="22"/>
      <c r="F1043" s="22" t="str">
        <f t="shared" si="11"/>
        <v/>
      </c>
      <c r="G1043" s="22" t="str">
        <f t="shared" si="79"/>
        <v/>
      </c>
      <c r="H1043" s="22" t="str">
        <f t="shared" si="80"/>
        <v/>
      </c>
    </row>
    <row r="1044" ht="15.75" customHeight="1">
      <c r="A1044" s="31"/>
      <c r="B1044" s="22"/>
      <c r="C1044" s="22" t="str">
        <f t="shared" si="10"/>
        <v/>
      </c>
      <c r="D1044" s="25"/>
      <c r="E1044" s="22"/>
      <c r="F1044" s="22" t="str">
        <f t="shared" si="11"/>
        <v/>
      </c>
      <c r="G1044" s="22" t="str">
        <f t="shared" si="79"/>
        <v/>
      </c>
      <c r="H1044" s="22" t="str">
        <f t="shared" si="80"/>
        <v/>
      </c>
    </row>
    <row r="1045" ht="15.75" customHeight="1">
      <c r="A1045" s="31"/>
      <c r="B1045" s="22"/>
      <c r="C1045" s="22" t="str">
        <f t="shared" si="10"/>
        <v/>
      </c>
      <c r="D1045" s="25"/>
      <c r="E1045" s="22"/>
      <c r="F1045" s="22" t="str">
        <f t="shared" si="11"/>
        <v/>
      </c>
      <c r="G1045" s="22" t="str">
        <f t="shared" si="79"/>
        <v/>
      </c>
      <c r="H1045" s="22" t="str">
        <f t="shared" si="80"/>
        <v/>
      </c>
    </row>
    <row r="1046" ht="15.75" customHeight="1">
      <c r="A1046" s="31"/>
      <c r="B1046" s="22"/>
      <c r="C1046" s="22" t="str">
        <f t="shared" si="10"/>
        <v/>
      </c>
      <c r="D1046" s="25"/>
      <c r="E1046" s="22"/>
      <c r="F1046" s="22" t="str">
        <f t="shared" si="11"/>
        <v/>
      </c>
      <c r="G1046" s="22" t="str">
        <f t="shared" si="79"/>
        <v/>
      </c>
      <c r="H1046" s="22" t="str">
        <f t="shared" si="80"/>
        <v/>
      </c>
    </row>
    <row r="1047" ht="15.75" customHeight="1">
      <c r="A1047" s="31"/>
      <c r="B1047" s="22"/>
      <c r="C1047" s="22" t="str">
        <f t="shared" si="10"/>
        <v/>
      </c>
      <c r="D1047" s="25"/>
      <c r="E1047" s="22"/>
      <c r="F1047" s="22" t="str">
        <f t="shared" si="11"/>
        <v/>
      </c>
      <c r="G1047" s="22" t="str">
        <f t="shared" si="79"/>
        <v/>
      </c>
      <c r="H1047" s="22" t="str">
        <f t="shared" si="80"/>
        <v/>
      </c>
    </row>
    <row r="1048" ht="15.75" customHeight="1">
      <c r="A1048" s="31"/>
      <c r="B1048" s="22"/>
      <c r="C1048" s="22" t="str">
        <f t="shared" si="10"/>
        <v/>
      </c>
      <c r="D1048" s="25"/>
      <c r="E1048" s="22"/>
      <c r="F1048" s="22" t="str">
        <f t="shared" si="11"/>
        <v/>
      </c>
      <c r="G1048" s="22" t="str">
        <f t="shared" si="79"/>
        <v/>
      </c>
      <c r="H1048" s="22" t="str">
        <f t="shared" si="80"/>
        <v/>
      </c>
    </row>
    <row r="1049" ht="15.75" customHeight="1">
      <c r="A1049" s="31"/>
      <c r="B1049" s="22"/>
      <c r="C1049" s="22" t="str">
        <f t="shared" si="10"/>
        <v/>
      </c>
      <c r="D1049" s="25"/>
      <c r="E1049" s="22"/>
      <c r="F1049" s="22" t="str">
        <f t="shared" si="11"/>
        <v/>
      </c>
      <c r="G1049" s="22" t="str">
        <f t="shared" si="79"/>
        <v/>
      </c>
      <c r="H1049" s="22" t="str">
        <f t="shared" si="80"/>
        <v/>
      </c>
    </row>
    <row r="1050" ht="15.75" customHeight="1">
      <c r="A1050" s="31"/>
      <c r="B1050" s="22"/>
      <c r="C1050" s="22" t="str">
        <f t="shared" si="10"/>
        <v/>
      </c>
      <c r="D1050" s="25"/>
      <c r="E1050" s="22"/>
      <c r="F1050" s="22" t="str">
        <f t="shared" si="11"/>
        <v/>
      </c>
      <c r="G1050" s="22" t="str">
        <f t="shared" si="79"/>
        <v/>
      </c>
      <c r="H1050" s="22" t="str">
        <f t="shared" si="80"/>
        <v/>
      </c>
    </row>
    <row r="1051" ht="15.75" customHeight="1">
      <c r="A1051" s="31"/>
      <c r="B1051" s="22"/>
      <c r="C1051" s="22" t="str">
        <f t="shared" si="10"/>
        <v/>
      </c>
      <c r="D1051" s="25"/>
      <c r="E1051" s="22"/>
      <c r="F1051" s="22" t="str">
        <f t="shared" si="11"/>
        <v/>
      </c>
      <c r="G1051" s="22" t="str">
        <f t="shared" si="79"/>
        <v/>
      </c>
      <c r="H1051" s="22" t="str">
        <f t="shared" si="80"/>
        <v/>
      </c>
    </row>
    <row r="1052" ht="15.75" customHeight="1">
      <c r="A1052" s="31"/>
      <c r="B1052" s="22"/>
      <c r="C1052" s="22" t="str">
        <f t="shared" si="10"/>
        <v/>
      </c>
      <c r="D1052" s="25"/>
      <c r="E1052" s="22"/>
      <c r="F1052" s="22" t="str">
        <f t="shared" si="11"/>
        <v/>
      </c>
      <c r="G1052" s="22" t="str">
        <f t="shared" si="79"/>
        <v/>
      </c>
      <c r="H1052" s="22" t="str">
        <f t="shared" si="80"/>
        <v/>
      </c>
    </row>
    <row r="1053" ht="15.75" customHeight="1">
      <c r="A1053" s="31"/>
      <c r="B1053" s="22"/>
      <c r="C1053" s="22" t="str">
        <f t="shared" si="10"/>
        <v/>
      </c>
      <c r="D1053" s="25"/>
      <c r="E1053" s="22"/>
      <c r="F1053" s="22" t="str">
        <f t="shared" si="11"/>
        <v/>
      </c>
      <c r="G1053" s="22" t="str">
        <f t="shared" si="79"/>
        <v/>
      </c>
      <c r="H1053" s="22" t="str">
        <f t="shared" si="80"/>
        <v/>
      </c>
    </row>
    <row r="1054" ht="15.75" customHeight="1">
      <c r="A1054" s="31"/>
      <c r="B1054" s="22"/>
      <c r="C1054" s="22" t="str">
        <f t="shared" si="10"/>
        <v/>
      </c>
      <c r="D1054" s="25"/>
      <c r="E1054" s="22"/>
      <c r="F1054" s="22" t="str">
        <f t="shared" si="11"/>
        <v/>
      </c>
      <c r="G1054" s="22" t="str">
        <f t="shared" si="79"/>
        <v/>
      </c>
      <c r="H1054" s="22" t="str">
        <f t="shared" si="80"/>
        <v/>
      </c>
    </row>
    <row r="1055" ht="15.75" customHeight="1">
      <c r="A1055" s="31"/>
      <c r="B1055" s="22"/>
      <c r="C1055" s="22" t="str">
        <f t="shared" si="10"/>
        <v/>
      </c>
      <c r="D1055" s="25"/>
      <c r="E1055" s="22"/>
      <c r="F1055" s="22" t="str">
        <f t="shared" si="11"/>
        <v/>
      </c>
      <c r="G1055" s="22" t="str">
        <f t="shared" si="79"/>
        <v/>
      </c>
      <c r="H1055" s="22" t="str">
        <f t="shared" si="80"/>
        <v/>
      </c>
    </row>
    <row r="1056" ht="15.75" customHeight="1">
      <c r="A1056" s="31"/>
      <c r="B1056" s="22"/>
      <c r="C1056" s="22" t="str">
        <f t="shared" si="10"/>
        <v/>
      </c>
      <c r="D1056" s="25"/>
      <c r="E1056" s="22"/>
      <c r="F1056" s="22" t="str">
        <f t="shared" si="11"/>
        <v/>
      </c>
      <c r="G1056" s="22" t="str">
        <f t="shared" si="79"/>
        <v/>
      </c>
      <c r="H1056" s="22" t="str">
        <f t="shared" si="80"/>
        <v/>
      </c>
    </row>
    <row r="1057" ht="15.75" customHeight="1">
      <c r="A1057" s="31"/>
      <c r="B1057" s="22"/>
      <c r="C1057" s="22" t="str">
        <f t="shared" si="10"/>
        <v/>
      </c>
      <c r="D1057" s="25"/>
      <c r="E1057" s="22"/>
      <c r="F1057" s="22" t="str">
        <f t="shared" si="11"/>
        <v/>
      </c>
      <c r="G1057" s="22" t="str">
        <f t="shared" si="79"/>
        <v/>
      </c>
      <c r="H1057" s="22" t="str">
        <f t="shared" si="80"/>
        <v/>
      </c>
    </row>
    <row r="1058" ht="15.75" customHeight="1">
      <c r="A1058" s="31"/>
      <c r="B1058" s="22"/>
      <c r="C1058" s="22" t="str">
        <f t="shared" si="10"/>
        <v/>
      </c>
      <c r="D1058" s="25"/>
      <c r="E1058" s="22"/>
      <c r="F1058" s="22" t="str">
        <f t="shared" si="11"/>
        <v/>
      </c>
      <c r="G1058" s="22" t="str">
        <f t="shared" si="79"/>
        <v/>
      </c>
      <c r="H1058" s="22" t="str">
        <f t="shared" si="80"/>
        <v/>
      </c>
    </row>
    <row r="1059" ht="15.75" customHeight="1">
      <c r="A1059" s="31"/>
      <c r="B1059" s="22"/>
      <c r="C1059" s="22" t="str">
        <f t="shared" si="10"/>
        <v/>
      </c>
      <c r="D1059" s="25"/>
      <c r="E1059" s="22"/>
      <c r="F1059" s="22" t="str">
        <f t="shared" si="11"/>
        <v/>
      </c>
      <c r="G1059" s="22" t="str">
        <f t="shared" si="79"/>
        <v/>
      </c>
      <c r="H1059" s="22" t="str">
        <f t="shared" si="80"/>
        <v/>
      </c>
    </row>
    <row r="1060" ht="15.75" customHeight="1">
      <c r="A1060" s="31"/>
      <c r="B1060" s="22"/>
      <c r="C1060" s="22" t="str">
        <f t="shared" si="10"/>
        <v/>
      </c>
      <c r="D1060" s="25"/>
      <c r="E1060" s="22"/>
      <c r="F1060" s="22" t="str">
        <f t="shared" si="11"/>
        <v/>
      </c>
      <c r="G1060" s="22" t="str">
        <f t="shared" si="79"/>
        <v/>
      </c>
      <c r="H1060" s="22" t="str">
        <f t="shared" si="80"/>
        <v/>
      </c>
    </row>
    <row r="1061" ht="15.75" customHeight="1">
      <c r="A1061" s="31"/>
      <c r="B1061" s="22"/>
      <c r="C1061" s="22" t="str">
        <f t="shared" si="10"/>
        <v/>
      </c>
      <c r="D1061" s="25"/>
      <c r="E1061" s="22"/>
      <c r="F1061" s="22" t="str">
        <f t="shared" si="11"/>
        <v/>
      </c>
      <c r="G1061" s="22" t="str">
        <f t="shared" si="79"/>
        <v/>
      </c>
      <c r="H1061" s="22" t="str">
        <f t="shared" si="80"/>
        <v/>
      </c>
    </row>
    <row r="1062" ht="15.75" customHeight="1">
      <c r="A1062" s="31"/>
      <c r="B1062" s="22"/>
      <c r="C1062" s="22" t="str">
        <f t="shared" si="10"/>
        <v/>
      </c>
      <c r="D1062" s="25"/>
      <c r="E1062" s="22"/>
      <c r="F1062" s="22" t="str">
        <f t="shared" si="11"/>
        <v/>
      </c>
      <c r="G1062" s="22" t="str">
        <f t="shared" si="79"/>
        <v/>
      </c>
      <c r="H1062" s="22" t="str">
        <f t="shared" si="80"/>
        <v/>
      </c>
    </row>
    <row r="1063" ht="15.75" customHeight="1">
      <c r="A1063" s="31"/>
      <c r="B1063" s="22"/>
      <c r="C1063" s="22" t="str">
        <f t="shared" si="10"/>
        <v/>
      </c>
      <c r="D1063" s="25"/>
      <c r="E1063" s="22"/>
      <c r="F1063" s="22" t="str">
        <f t="shared" si="11"/>
        <v/>
      </c>
      <c r="G1063" s="22" t="str">
        <f t="shared" si="79"/>
        <v/>
      </c>
      <c r="H1063" s="22" t="str">
        <f t="shared" si="80"/>
        <v/>
      </c>
    </row>
    <row r="1064" ht="15.75" customHeight="1">
      <c r="A1064" s="31"/>
      <c r="B1064" s="22"/>
      <c r="C1064" s="22" t="str">
        <f t="shared" si="10"/>
        <v/>
      </c>
      <c r="D1064" s="25"/>
      <c r="E1064" s="22"/>
      <c r="F1064" s="22" t="str">
        <f t="shared" si="11"/>
        <v/>
      </c>
      <c r="G1064" s="22" t="str">
        <f t="shared" si="79"/>
        <v/>
      </c>
      <c r="H1064" s="22" t="str">
        <f t="shared" si="80"/>
        <v/>
      </c>
    </row>
    <row r="1065" ht="15.75" customHeight="1">
      <c r="A1065" s="31"/>
      <c r="B1065" s="22"/>
      <c r="C1065" s="22" t="str">
        <f t="shared" si="10"/>
        <v/>
      </c>
      <c r="D1065" s="25"/>
      <c r="E1065" s="22"/>
      <c r="F1065" s="22" t="str">
        <f t="shared" si="11"/>
        <v/>
      </c>
      <c r="G1065" s="22" t="str">
        <f t="shared" si="79"/>
        <v/>
      </c>
      <c r="H1065" s="22" t="str">
        <f t="shared" si="80"/>
        <v/>
      </c>
    </row>
    <row r="1066" ht="15.75" customHeight="1">
      <c r="A1066" s="31"/>
      <c r="B1066" s="22"/>
      <c r="C1066" s="22" t="str">
        <f t="shared" si="10"/>
        <v/>
      </c>
      <c r="D1066" s="25"/>
      <c r="E1066" s="22"/>
      <c r="F1066" s="22" t="str">
        <f t="shared" si="11"/>
        <v/>
      </c>
      <c r="G1066" s="22" t="str">
        <f t="shared" si="79"/>
        <v/>
      </c>
      <c r="H1066" s="22" t="str">
        <f t="shared" si="80"/>
        <v/>
      </c>
    </row>
    <row r="1067" ht="15.75" customHeight="1">
      <c r="A1067" s="31"/>
      <c r="B1067" s="22"/>
      <c r="C1067" s="22" t="str">
        <f t="shared" si="10"/>
        <v/>
      </c>
      <c r="D1067" s="25"/>
      <c r="E1067" s="22"/>
      <c r="F1067" s="22" t="str">
        <f t="shared" si="11"/>
        <v/>
      </c>
      <c r="G1067" s="22" t="str">
        <f t="shared" si="79"/>
        <v/>
      </c>
      <c r="H1067" s="22" t="str">
        <f t="shared" si="80"/>
        <v/>
      </c>
    </row>
    <row r="1068" ht="15.75" customHeight="1">
      <c r="A1068" s="31"/>
      <c r="B1068" s="22"/>
      <c r="C1068" s="22" t="str">
        <f t="shared" si="10"/>
        <v/>
      </c>
      <c r="D1068" s="25"/>
      <c r="E1068" s="22"/>
      <c r="F1068" s="22" t="str">
        <f t="shared" si="11"/>
        <v/>
      </c>
      <c r="G1068" s="22" t="str">
        <f t="shared" si="79"/>
        <v/>
      </c>
      <c r="H1068" s="22" t="str">
        <f t="shared" si="80"/>
        <v/>
      </c>
    </row>
    <row r="1069" ht="15.75" customHeight="1">
      <c r="A1069" s="31"/>
      <c r="B1069" s="22"/>
      <c r="C1069" s="22" t="str">
        <f t="shared" si="10"/>
        <v/>
      </c>
      <c r="D1069" s="25"/>
      <c r="E1069" s="22"/>
      <c r="F1069" s="22" t="str">
        <f t="shared" si="11"/>
        <v/>
      </c>
      <c r="G1069" s="22" t="str">
        <f t="shared" si="79"/>
        <v/>
      </c>
      <c r="H1069" s="22" t="str">
        <f t="shared" si="80"/>
        <v/>
      </c>
    </row>
    <row r="1070" ht="15.75" customHeight="1">
      <c r="A1070" s="31"/>
      <c r="B1070" s="22"/>
      <c r="C1070" s="22" t="str">
        <f t="shared" si="10"/>
        <v/>
      </c>
      <c r="D1070" s="25"/>
      <c r="E1070" s="22"/>
      <c r="F1070" s="22" t="str">
        <f t="shared" si="11"/>
        <v/>
      </c>
      <c r="G1070" s="22" t="str">
        <f t="shared" si="79"/>
        <v/>
      </c>
      <c r="H1070" s="22" t="str">
        <f t="shared" si="80"/>
        <v/>
      </c>
    </row>
    <row r="1071" ht="15.75" customHeight="1">
      <c r="A1071" s="31"/>
      <c r="B1071" s="22"/>
      <c r="C1071" s="22" t="str">
        <f t="shared" si="10"/>
        <v/>
      </c>
      <c r="D1071" s="25"/>
      <c r="E1071" s="22"/>
      <c r="F1071" s="22" t="str">
        <f t="shared" si="11"/>
        <v/>
      </c>
      <c r="G1071" s="22" t="str">
        <f t="shared" si="79"/>
        <v/>
      </c>
      <c r="H1071" s="22" t="str">
        <f t="shared" si="80"/>
        <v/>
      </c>
    </row>
    <row r="1072" ht="15.75" customHeight="1">
      <c r="A1072" s="31"/>
      <c r="B1072" s="22"/>
      <c r="C1072" s="22" t="str">
        <f t="shared" si="10"/>
        <v/>
      </c>
      <c r="D1072" s="25"/>
      <c r="E1072" s="22"/>
      <c r="F1072" s="22" t="str">
        <f t="shared" si="11"/>
        <v/>
      </c>
      <c r="G1072" s="22" t="str">
        <f t="shared" si="79"/>
        <v/>
      </c>
      <c r="H1072" s="22" t="str">
        <f t="shared" si="80"/>
        <v/>
      </c>
    </row>
    <row r="1073" ht="15.75" customHeight="1">
      <c r="A1073" s="31"/>
      <c r="B1073" s="22"/>
      <c r="C1073" s="22" t="str">
        <f t="shared" si="10"/>
        <v/>
      </c>
      <c r="D1073" s="25"/>
      <c r="E1073" s="22"/>
      <c r="F1073" s="22" t="str">
        <f t="shared" si="11"/>
        <v/>
      </c>
      <c r="G1073" s="22" t="str">
        <f t="shared" si="79"/>
        <v/>
      </c>
      <c r="H1073" s="22" t="str">
        <f t="shared" si="80"/>
        <v/>
      </c>
    </row>
    <row r="1074" ht="15.75" customHeight="1">
      <c r="A1074" s="31"/>
      <c r="B1074" s="22"/>
      <c r="C1074" s="22" t="str">
        <f t="shared" si="10"/>
        <v/>
      </c>
      <c r="D1074" s="25"/>
      <c r="E1074" s="22"/>
      <c r="F1074" s="22" t="str">
        <f t="shared" si="11"/>
        <v/>
      </c>
      <c r="G1074" s="22" t="str">
        <f t="shared" si="79"/>
        <v/>
      </c>
      <c r="H1074" s="22" t="str">
        <f t="shared" si="80"/>
        <v/>
      </c>
    </row>
    <row r="1075" ht="15.75" customHeight="1">
      <c r="A1075" s="31"/>
      <c r="B1075" s="22"/>
      <c r="C1075" s="22" t="str">
        <f t="shared" si="10"/>
        <v/>
      </c>
      <c r="D1075" s="25"/>
      <c r="E1075" s="22"/>
      <c r="F1075" s="22" t="str">
        <f t="shared" si="11"/>
        <v/>
      </c>
      <c r="G1075" s="22" t="str">
        <f t="shared" si="79"/>
        <v/>
      </c>
      <c r="H1075" s="22" t="str">
        <f t="shared" si="80"/>
        <v/>
      </c>
    </row>
    <row r="1076" ht="15.75" customHeight="1">
      <c r="A1076" s="31"/>
      <c r="B1076" s="22"/>
      <c r="C1076" s="22" t="str">
        <f t="shared" si="10"/>
        <v/>
      </c>
      <c r="D1076" s="25"/>
      <c r="E1076" s="22"/>
      <c r="F1076" s="22" t="str">
        <f t="shared" si="11"/>
        <v/>
      </c>
      <c r="G1076" s="22" t="str">
        <f t="shared" si="79"/>
        <v/>
      </c>
      <c r="H1076" s="22" t="str">
        <f t="shared" si="80"/>
        <v/>
      </c>
    </row>
    <row r="1077" ht="15.75" customHeight="1">
      <c r="A1077" s="31"/>
      <c r="B1077" s="22"/>
      <c r="C1077" s="22" t="str">
        <f t="shared" si="10"/>
        <v/>
      </c>
      <c r="D1077" s="25"/>
      <c r="E1077" s="22"/>
      <c r="F1077" s="22" t="str">
        <f t="shared" si="11"/>
        <v/>
      </c>
      <c r="G1077" s="22" t="str">
        <f t="shared" si="79"/>
        <v/>
      </c>
      <c r="H1077" s="22" t="str">
        <f t="shared" si="80"/>
        <v/>
      </c>
    </row>
    <row r="1078" ht="15.75" customHeight="1">
      <c r="A1078" s="31"/>
      <c r="B1078" s="22"/>
      <c r="C1078" s="22" t="str">
        <f t="shared" si="10"/>
        <v/>
      </c>
      <c r="D1078" s="25"/>
      <c r="E1078" s="22"/>
      <c r="F1078" s="22" t="str">
        <f t="shared" si="11"/>
        <v/>
      </c>
      <c r="G1078" s="22" t="str">
        <f t="shared" si="79"/>
        <v/>
      </c>
      <c r="H1078" s="22" t="str">
        <f t="shared" si="80"/>
        <v/>
      </c>
    </row>
    <row r="1079" ht="15.75" customHeight="1">
      <c r="A1079" s="31"/>
      <c r="B1079" s="22"/>
      <c r="C1079" s="22" t="str">
        <f t="shared" si="10"/>
        <v/>
      </c>
      <c r="D1079" s="25"/>
      <c r="E1079" s="22"/>
      <c r="F1079" s="22" t="str">
        <f t="shared" si="11"/>
        <v/>
      </c>
      <c r="G1079" s="22" t="str">
        <f t="shared" si="79"/>
        <v/>
      </c>
      <c r="H1079" s="22" t="str">
        <f t="shared" si="80"/>
        <v/>
      </c>
    </row>
    <row r="1080" ht="15.75" customHeight="1">
      <c r="A1080" s="31"/>
      <c r="B1080" s="22"/>
      <c r="C1080" s="22" t="str">
        <f t="shared" si="10"/>
        <v/>
      </c>
      <c r="D1080" s="25"/>
      <c r="E1080" s="22"/>
      <c r="F1080" s="22" t="str">
        <f t="shared" si="11"/>
        <v/>
      </c>
      <c r="G1080" s="22" t="str">
        <f t="shared" si="79"/>
        <v/>
      </c>
      <c r="H1080" s="22" t="str">
        <f t="shared" si="80"/>
        <v/>
      </c>
    </row>
    <row r="1081" ht="15.75" customHeight="1">
      <c r="A1081" s="31"/>
      <c r="B1081" s="22"/>
      <c r="C1081" s="22" t="str">
        <f t="shared" si="10"/>
        <v/>
      </c>
      <c r="D1081" s="25"/>
      <c r="E1081" s="22"/>
      <c r="F1081" s="22" t="str">
        <f t="shared" si="11"/>
        <v/>
      </c>
      <c r="G1081" s="22" t="str">
        <f t="shared" si="79"/>
        <v/>
      </c>
      <c r="H1081" s="22" t="str">
        <f t="shared" si="80"/>
        <v/>
      </c>
    </row>
    <row r="1082" ht="15.75" customHeight="1">
      <c r="A1082" s="31"/>
      <c r="B1082" s="22"/>
      <c r="C1082" s="22" t="str">
        <f t="shared" si="10"/>
        <v/>
      </c>
      <c r="D1082" s="25"/>
      <c r="E1082" s="22"/>
      <c r="F1082" s="22" t="str">
        <f t="shared" si="11"/>
        <v/>
      </c>
      <c r="G1082" s="22" t="str">
        <f t="shared" si="79"/>
        <v/>
      </c>
      <c r="H1082" s="22" t="str">
        <f t="shared" si="80"/>
        <v/>
      </c>
    </row>
    <row r="1083" ht="15.75" customHeight="1">
      <c r="A1083" s="31"/>
      <c r="B1083" s="22"/>
      <c r="C1083" s="22" t="str">
        <f t="shared" si="10"/>
        <v/>
      </c>
      <c r="D1083" s="25"/>
      <c r="E1083" s="22"/>
      <c r="F1083" s="22" t="str">
        <f t="shared" si="11"/>
        <v/>
      </c>
      <c r="G1083" s="22" t="str">
        <f t="shared" si="79"/>
        <v/>
      </c>
      <c r="H1083" s="22" t="str">
        <f t="shared" si="80"/>
        <v/>
      </c>
    </row>
    <row r="1084" ht="15.75" customHeight="1">
      <c r="A1084" s="31"/>
      <c r="B1084" s="22"/>
      <c r="C1084" s="22" t="str">
        <f t="shared" si="10"/>
        <v/>
      </c>
      <c r="D1084" s="25"/>
      <c r="E1084" s="22"/>
      <c r="F1084" s="22" t="str">
        <f t="shared" si="11"/>
        <v/>
      </c>
      <c r="G1084" s="22" t="str">
        <f t="shared" si="79"/>
        <v/>
      </c>
      <c r="H1084" s="22" t="str">
        <f t="shared" si="80"/>
        <v/>
      </c>
    </row>
    <row r="1085" ht="15.75" customHeight="1">
      <c r="A1085" s="31"/>
      <c r="B1085" s="22"/>
      <c r="C1085" s="22" t="str">
        <f t="shared" si="10"/>
        <v/>
      </c>
      <c r="D1085" s="25"/>
      <c r="E1085" s="22"/>
      <c r="F1085" s="22" t="str">
        <f t="shared" si="11"/>
        <v/>
      </c>
      <c r="G1085" s="22" t="str">
        <f t="shared" si="79"/>
        <v/>
      </c>
      <c r="H1085" s="22" t="str">
        <f t="shared" si="80"/>
        <v/>
      </c>
    </row>
    <row r="1086" ht="15.75" customHeight="1">
      <c r="A1086" s="31"/>
      <c r="B1086" s="22"/>
      <c r="C1086" s="22" t="str">
        <f t="shared" si="10"/>
        <v/>
      </c>
      <c r="D1086" s="25"/>
      <c r="E1086" s="22"/>
      <c r="F1086" s="22" t="str">
        <f t="shared" si="11"/>
        <v/>
      </c>
      <c r="G1086" s="22" t="str">
        <f t="shared" si="79"/>
        <v/>
      </c>
      <c r="H1086" s="22" t="str">
        <f t="shared" si="80"/>
        <v/>
      </c>
    </row>
    <row r="1087" ht="15.75" customHeight="1">
      <c r="A1087" s="31"/>
      <c r="B1087" s="22"/>
      <c r="C1087" s="22" t="str">
        <f t="shared" si="10"/>
        <v/>
      </c>
      <c r="D1087" s="25"/>
      <c r="E1087" s="22"/>
      <c r="F1087" s="22" t="str">
        <f t="shared" si="11"/>
        <v/>
      </c>
      <c r="G1087" s="22" t="str">
        <f t="shared" si="79"/>
        <v/>
      </c>
      <c r="H1087" s="22" t="str">
        <f t="shared" si="80"/>
        <v/>
      </c>
    </row>
    <row r="1088" ht="15.75" customHeight="1">
      <c r="A1088" s="31"/>
      <c r="B1088" s="22"/>
      <c r="C1088" s="22" t="str">
        <f t="shared" si="10"/>
        <v/>
      </c>
      <c r="D1088" s="25"/>
      <c r="E1088" s="22"/>
      <c r="F1088" s="22" t="str">
        <f t="shared" si="11"/>
        <v/>
      </c>
      <c r="G1088" s="22" t="str">
        <f t="shared" si="79"/>
        <v/>
      </c>
      <c r="H1088" s="22" t="str">
        <f t="shared" si="80"/>
        <v/>
      </c>
    </row>
    <row r="1089" ht="15.75" customHeight="1">
      <c r="A1089" s="31"/>
      <c r="B1089" s="22"/>
      <c r="C1089" s="22" t="str">
        <f t="shared" si="10"/>
        <v/>
      </c>
      <c r="D1089" s="25"/>
      <c r="E1089" s="22"/>
      <c r="F1089" s="22" t="str">
        <f t="shared" si="11"/>
        <v/>
      </c>
      <c r="G1089" s="22" t="str">
        <f t="shared" si="79"/>
        <v/>
      </c>
      <c r="H1089" s="22" t="str">
        <f t="shared" si="80"/>
        <v/>
      </c>
    </row>
    <row r="1090" ht="15.75" customHeight="1">
      <c r="A1090" s="31"/>
      <c r="B1090" s="22"/>
      <c r="C1090" s="22" t="str">
        <f t="shared" si="10"/>
        <v/>
      </c>
      <c r="D1090" s="25"/>
      <c r="E1090" s="22"/>
      <c r="F1090" s="22" t="str">
        <f t="shared" si="11"/>
        <v/>
      </c>
      <c r="G1090" s="22" t="str">
        <f t="shared" si="79"/>
        <v/>
      </c>
      <c r="H1090" s="22" t="str">
        <f t="shared" si="80"/>
        <v/>
      </c>
    </row>
    <row r="1091" ht="15.75" customHeight="1">
      <c r="A1091" s="31"/>
      <c r="B1091" s="22"/>
      <c r="C1091" s="22" t="str">
        <f t="shared" si="10"/>
        <v/>
      </c>
      <c r="D1091" s="25"/>
      <c r="E1091" s="22"/>
      <c r="F1091" s="22" t="str">
        <f t="shared" si="11"/>
        <v/>
      </c>
      <c r="G1091" s="22" t="str">
        <f t="shared" si="79"/>
        <v/>
      </c>
      <c r="H1091" s="22" t="str">
        <f t="shared" si="80"/>
        <v/>
      </c>
    </row>
    <row r="1092" ht="15.75" customHeight="1">
      <c r="A1092" s="31"/>
      <c r="B1092" s="22"/>
      <c r="C1092" s="22" t="str">
        <f t="shared" si="10"/>
        <v/>
      </c>
      <c r="D1092" s="25"/>
      <c r="E1092" s="22"/>
      <c r="F1092" s="22" t="str">
        <f t="shared" si="11"/>
        <v/>
      </c>
      <c r="G1092" s="22" t="str">
        <f t="shared" si="79"/>
        <v/>
      </c>
      <c r="H1092" s="22" t="str">
        <f t="shared" si="80"/>
        <v/>
      </c>
    </row>
    <row r="1093" ht="15.75" customHeight="1">
      <c r="A1093" s="31"/>
      <c r="B1093" s="22"/>
      <c r="C1093" s="22" t="str">
        <f t="shared" si="10"/>
        <v/>
      </c>
      <c r="D1093" s="25"/>
      <c r="E1093" s="22"/>
      <c r="F1093" s="22" t="str">
        <f t="shared" si="11"/>
        <v/>
      </c>
      <c r="G1093" s="22" t="str">
        <f t="shared" si="79"/>
        <v/>
      </c>
      <c r="H1093" s="22" t="str">
        <f t="shared" si="80"/>
        <v/>
      </c>
    </row>
    <row r="1094" ht="15.75" customHeight="1">
      <c r="A1094" s="31"/>
      <c r="B1094" s="22"/>
      <c r="C1094" s="22" t="str">
        <f t="shared" si="10"/>
        <v/>
      </c>
      <c r="D1094" s="25"/>
      <c r="E1094" s="22"/>
      <c r="F1094" s="22" t="str">
        <f t="shared" si="11"/>
        <v/>
      </c>
      <c r="G1094" s="22" t="str">
        <f t="shared" si="79"/>
        <v/>
      </c>
      <c r="H1094" s="22" t="str">
        <f t="shared" si="80"/>
        <v/>
      </c>
    </row>
    <row r="1095" ht="15.75" customHeight="1">
      <c r="A1095" s="31"/>
      <c r="B1095" s="22"/>
      <c r="C1095" s="22" t="str">
        <f t="shared" si="10"/>
        <v/>
      </c>
      <c r="D1095" s="25"/>
      <c r="E1095" s="22"/>
      <c r="F1095" s="22" t="str">
        <f t="shared" si="11"/>
        <v/>
      </c>
      <c r="G1095" s="22" t="str">
        <f t="shared" si="79"/>
        <v/>
      </c>
      <c r="H1095" s="22" t="str">
        <f t="shared" si="80"/>
        <v/>
      </c>
    </row>
    <row r="1096" ht="15.75" customHeight="1">
      <c r="A1096" s="31"/>
      <c r="B1096" s="22"/>
      <c r="C1096" s="22" t="str">
        <f t="shared" si="10"/>
        <v/>
      </c>
      <c r="D1096" s="25"/>
      <c r="E1096" s="22"/>
      <c r="F1096" s="22" t="str">
        <f t="shared" si="11"/>
        <v/>
      </c>
      <c r="G1096" s="22" t="str">
        <f t="shared" si="79"/>
        <v/>
      </c>
      <c r="H1096" s="22" t="str">
        <f t="shared" si="80"/>
        <v/>
      </c>
    </row>
    <row r="1097" ht="15.75" customHeight="1">
      <c r="A1097" s="31"/>
      <c r="B1097" s="22"/>
      <c r="C1097" s="22" t="str">
        <f t="shared" si="10"/>
        <v/>
      </c>
      <c r="D1097" s="25"/>
      <c r="E1097" s="22"/>
      <c r="F1097" s="22" t="str">
        <f t="shared" si="11"/>
        <v/>
      </c>
      <c r="G1097" s="22" t="str">
        <f t="shared" si="79"/>
        <v/>
      </c>
      <c r="H1097" s="22" t="str">
        <f t="shared" si="80"/>
        <v/>
      </c>
    </row>
    <row r="1098" ht="15.75" customHeight="1">
      <c r="A1098" s="31"/>
      <c r="B1098" s="22"/>
      <c r="C1098" s="22" t="str">
        <f t="shared" si="10"/>
        <v/>
      </c>
      <c r="D1098" s="25"/>
      <c r="E1098" s="22"/>
      <c r="F1098" s="22" t="str">
        <f t="shared" si="11"/>
        <v/>
      </c>
      <c r="G1098" s="22" t="str">
        <f t="shared" si="79"/>
        <v/>
      </c>
      <c r="H1098" s="22" t="str">
        <f t="shared" si="80"/>
        <v/>
      </c>
    </row>
    <row r="1099" ht="15.75" customHeight="1">
      <c r="A1099" s="31"/>
      <c r="B1099" s="22"/>
      <c r="C1099" s="22" t="str">
        <f t="shared" si="10"/>
        <v/>
      </c>
      <c r="D1099" s="25"/>
      <c r="E1099" s="22"/>
      <c r="F1099" s="22" t="str">
        <f t="shared" si="11"/>
        <v/>
      </c>
      <c r="G1099" s="22" t="str">
        <f t="shared" si="79"/>
        <v/>
      </c>
      <c r="H1099" s="22" t="str">
        <f t="shared" si="80"/>
        <v/>
      </c>
    </row>
    <row r="1100" ht="15.75" customHeight="1">
      <c r="A1100" s="31"/>
      <c r="B1100" s="22"/>
      <c r="C1100" s="22" t="str">
        <f t="shared" si="10"/>
        <v/>
      </c>
      <c r="D1100" s="25"/>
      <c r="E1100" s="22"/>
      <c r="F1100" s="22" t="str">
        <f t="shared" si="11"/>
        <v/>
      </c>
      <c r="G1100" s="22" t="str">
        <f t="shared" si="79"/>
        <v/>
      </c>
      <c r="H1100" s="22" t="str">
        <f t="shared" si="80"/>
        <v/>
      </c>
    </row>
    <row r="1101" ht="15.75" customHeight="1">
      <c r="A1101" s="31"/>
      <c r="B1101" s="22"/>
      <c r="C1101" s="22" t="str">
        <f t="shared" si="10"/>
        <v/>
      </c>
      <c r="D1101" s="25"/>
      <c r="E1101" s="22"/>
      <c r="F1101" s="22" t="str">
        <f t="shared" si="11"/>
        <v/>
      </c>
      <c r="G1101" s="22" t="str">
        <f t="shared" si="79"/>
        <v/>
      </c>
      <c r="H1101" s="22" t="str">
        <f t="shared" si="80"/>
        <v/>
      </c>
    </row>
    <row r="1102" ht="15.75" customHeight="1">
      <c r="A1102" s="31"/>
      <c r="B1102" s="22"/>
      <c r="C1102" s="22" t="str">
        <f t="shared" si="10"/>
        <v/>
      </c>
      <c r="D1102" s="25"/>
      <c r="E1102" s="22"/>
      <c r="F1102" s="22" t="str">
        <f t="shared" si="11"/>
        <v/>
      </c>
      <c r="G1102" s="22" t="str">
        <f t="shared" si="79"/>
        <v/>
      </c>
      <c r="H1102" s="22" t="str">
        <f t="shared" si="80"/>
        <v/>
      </c>
    </row>
    <row r="1103" ht="15.75" customHeight="1">
      <c r="A1103" s="31"/>
      <c r="B1103" s="22"/>
      <c r="C1103" s="22" t="str">
        <f t="shared" si="10"/>
        <v/>
      </c>
      <c r="D1103" s="25"/>
      <c r="E1103" s="22"/>
      <c r="F1103" s="22" t="str">
        <f t="shared" si="11"/>
        <v/>
      </c>
      <c r="G1103" s="22" t="str">
        <f t="shared" si="79"/>
        <v/>
      </c>
      <c r="H1103" s="22" t="str">
        <f t="shared" si="80"/>
        <v/>
      </c>
    </row>
    <row r="1104" ht="15.75" customHeight="1">
      <c r="A1104" s="31"/>
      <c r="B1104" s="22"/>
      <c r="C1104" s="22" t="str">
        <f t="shared" si="10"/>
        <v/>
      </c>
      <c r="D1104" s="25"/>
      <c r="E1104" s="22"/>
      <c r="F1104" s="22" t="str">
        <f t="shared" si="11"/>
        <v/>
      </c>
      <c r="G1104" s="22" t="str">
        <f t="shared" si="79"/>
        <v/>
      </c>
      <c r="H1104" s="22" t="str">
        <f t="shared" si="80"/>
        <v/>
      </c>
    </row>
    <row r="1105" ht="15.75" customHeight="1">
      <c r="A1105" s="31"/>
      <c r="B1105" s="22"/>
      <c r="C1105" s="22" t="str">
        <f t="shared" si="10"/>
        <v/>
      </c>
      <c r="D1105" s="25"/>
      <c r="E1105" s="22"/>
      <c r="F1105" s="22" t="str">
        <f t="shared" si="11"/>
        <v/>
      </c>
      <c r="G1105" s="22" t="str">
        <f t="shared" si="79"/>
        <v/>
      </c>
      <c r="H1105" s="22" t="str">
        <f t="shared" si="80"/>
        <v/>
      </c>
    </row>
    <row r="1106" ht="15.75" customHeight="1">
      <c r="A1106" s="31"/>
      <c r="B1106" s="22"/>
      <c r="C1106" s="22" t="str">
        <f t="shared" si="10"/>
        <v/>
      </c>
      <c r="D1106" s="25"/>
      <c r="E1106" s="22"/>
      <c r="F1106" s="22" t="str">
        <f t="shared" si="11"/>
        <v/>
      </c>
      <c r="G1106" s="22" t="str">
        <f t="shared" si="79"/>
        <v/>
      </c>
      <c r="H1106" s="22" t="str">
        <f t="shared" si="80"/>
        <v/>
      </c>
    </row>
    <row r="1107" ht="15.75" customHeight="1">
      <c r="A1107" s="31"/>
      <c r="B1107" s="22"/>
      <c r="C1107" s="22" t="str">
        <f t="shared" si="10"/>
        <v/>
      </c>
      <c r="D1107" s="25"/>
      <c r="E1107" s="22"/>
      <c r="F1107" s="22" t="str">
        <f t="shared" si="11"/>
        <v/>
      </c>
      <c r="G1107" s="22" t="str">
        <f t="shared" si="79"/>
        <v/>
      </c>
      <c r="H1107" s="22" t="str">
        <f t="shared" si="80"/>
        <v/>
      </c>
    </row>
    <row r="1108" ht="15.75" customHeight="1">
      <c r="A1108" s="31"/>
      <c r="B1108" s="22"/>
      <c r="C1108" s="22" t="str">
        <f t="shared" si="10"/>
        <v/>
      </c>
      <c r="D1108" s="25"/>
      <c r="E1108" s="22"/>
      <c r="F1108" s="22" t="str">
        <f t="shared" si="11"/>
        <v/>
      </c>
      <c r="G1108" s="22" t="str">
        <f t="shared" si="79"/>
        <v/>
      </c>
      <c r="H1108" s="22" t="str">
        <f t="shared" si="80"/>
        <v/>
      </c>
    </row>
    <row r="1109" ht="15.75" customHeight="1">
      <c r="A1109" s="31"/>
      <c r="B1109" s="22"/>
      <c r="C1109" s="22" t="str">
        <f t="shared" si="10"/>
        <v/>
      </c>
      <c r="D1109" s="25"/>
      <c r="E1109" s="22"/>
      <c r="F1109" s="22" t="str">
        <f t="shared" si="11"/>
        <v/>
      </c>
      <c r="G1109" s="22" t="str">
        <f t="shared" si="79"/>
        <v/>
      </c>
      <c r="H1109" s="22" t="str">
        <f t="shared" si="80"/>
        <v/>
      </c>
    </row>
    <row r="1110" ht="15.75" customHeight="1">
      <c r="A1110" s="31"/>
      <c r="B1110" s="22"/>
      <c r="C1110" s="22" t="str">
        <f t="shared" si="10"/>
        <v/>
      </c>
      <c r="D1110" s="25"/>
      <c r="E1110" s="22"/>
      <c r="F1110" s="22" t="str">
        <f t="shared" si="11"/>
        <v/>
      </c>
      <c r="G1110" s="22" t="str">
        <f t="shared" si="79"/>
        <v/>
      </c>
      <c r="H1110" s="22" t="str">
        <f t="shared" si="80"/>
        <v/>
      </c>
    </row>
    <row r="1111" ht="15.75" customHeight="1">
      <c r="A1111" s="31"/>
      <c r="B1111" s="22"/>
      <c r="C1111" s="22" t="str">
        <f t="shared" si="10"/>
        <v/>
      </c>
      <c r="D1111" s="25"/>
      <c r="E1111" s="22"/>
      <c r="F1111" s="22" t="str">
        <f t="shared" si="11"/>
        <v/>
      </c>
      <c r="G1111" s="22" t="str">
        <f t="shared" si="79"/>
        <v/>
      </c>
      <c r="H1111" s="22" t="str">
        <f t="shared" si="80"/>
        <v/>
      </c>
    </row>
    <row r="1112" ht="15.75" customHeight="1">
      <c r="A1112" s="31"/>
      <c r="B1112" s="22"/>
      <c r="C1112" s="22" t="str">
        <f t="shared" si="10"/>
        <v/>
      </c>
      <c r="D1112" s="25"/>
      <c r="E1112" s="22"/>
      <c r="F1112" s="22" t="str">
        <f t="shared" si="11"/>
        <v/>
      </c>
      <c r="G1112" s="22" t="str">
        <f t="shared" si="79"/>
        <v/>
      </c>
      <c r="H1112" s="22" t="str">
        <f t="shared" si="80"/>
        <v/>
      </c>
    </row>
    <row r="1113" ht="15.75" customHeight="1">
      <c r="A1113" s="31"/>
      <c r="B1113" s="22"/>
      <c r="C1113" s="22" t="str">
        <f t="shared" si="10"/>
        <v/>
      </c>
      <c r="D1113" s="25"/>
      <c r="E1113" s="22"/>
      <c r="F1113" s="22" t="str">
        <f t="shared" si="11"/>
        <v/>
      </c>
      <c r="G1113" s="22" t="str">
        <f t="shared" si="79"/>
        <v/>
      </c>
      <c r="H1113" s="22" t="str">
        <f t="shared" si="80"/>
        <v/>
      </c>
    </row>
    <row r="1114" ht="15.75" customHeight="1">
      <c r="A1114" s="31"/>
      <c r="B1114" s="22"/>
      <c r="C1114" s="22" t="str">
        <f t="shared" si="10"/>
        <v/>
      </c>
      <c r="D1114" s="25"/>
      <c r="E1114" s="22"/>
      <c r="F1114" s="22" t="str">
        <f t="shared" si="11"/>
        <v/>
      </c>
      <c r="G1114" s="22" t="str">
        <f t="shared" si="79"/>
        <v/>
      </c>
      <c r="H1114" s="22" t="str">
        <f t="shared" si="80"/>
        <v/>
      </c>
    </row>
    <row r="1115" ht="15.75" customHeight="1">
      <c r="A1115" s="31"/>
      <c r="B1115" s="22"/>
      <c r="C1115" s="22" t="str">
        <f t="shared" si="10"/>
        <v/>
      </c>
      <c r="D1115" s="25"/>
      <c r="E1115" s="22"/>
      <c r="F1115" s="22" t="str">
        <f t="shared" si="11"/>
        <v/>
      </c>
      <c r="G1115" s="22" t="str">
        <f t="shared" si="79"/>
        <v/>
      </c>
      <c r="H1115" s="22" t="str">
        <f t="shared" si="80"/>
        <v/>
      </c>
    </row>
    <row r="1116" ht="15.75" customHeight="1">
      <c r="A1116" s="31"/>
      <c r="B1116" s="22"/>
      <c r="C1116" s="22" t="str">
        <f t="shared" si="10"/>
        <v/>
      </c>
      <c r="D1116" s="25"/>
      <c r="E1116" s="22"/>
      <c r="F1116" s="22" t="str">
        <f t="shared" si="11"/>
        <v/>
      </c>
      <c r="G1116" s="22" t="str">
        <f t="shared" si="79"/>
        <v/>
      </c>
      <c r="H1116" s="22" t="str">
        <f t="shared" si="80"/>
        <v/>
      </c>
    </row>
    <row r="1117" ht="15.75" customHeight="1">
      <c r="A1117" s="31"/>
      <c r="B1117" s="22"/>
      <c r="C1117" s="22" t="str">
        <f t="shared" si="10"/>
        <v/>
      </c>
      <c r="D1117" s="25"/>
      <c r="E1117" s="22"/>
      <c r="F1117" s="22" t="str">
        <f t="shared" si="11"/>
        <v/>
      </c>
      <c r="G1117" s="22" t="str">
        <f t="shared" si="79"/>
        <v/>
      </c>
      <c r="H1117" s="22" t="str">
        <f t="shared" si="80"/>
        <v/>
      </c>
    </row>
    <row r="1118" ht="15.75" customHeight="1">
      <c r="A1118" s="31"/>
      <c r="B1118" s="22"/>
      <c r="C1118" s="22" t="str">
        <f t="shared" si="10"/>
        <v/>
      </c>
      <c r="D1118" s="25"/>
      <c r="E1118" s="22"/>
      <c r="F1118" s="22" t="str">
        <f t="shared" si="11"/>
        <v/>
      </c>
      <c r="G1118" s="22" t="str">
        <f t="shared" si="79"/>
        <v/>
      </c>
      <c r="H1118" s="22" t="str">
        <f t="shared" si="80"/>
        <v/>
      </c>
    </row>
    <row r="1119" ht="15.75" customHeight="1">
      <c r="A1119" s="31"/>
      <c r="B1119" s="22"/>
      <c r="C1119" s="22" t="str">
        <f t="shared" si="10"/>
        <v/>
      </c>
      <c r="D1119" s="25"/>
      <c r="E1119" s="22"/>
      <c r="F1119" s="22" t="str">
        <f t="shared" si="11"/>
        <v/>
      </c>
      <c r="G1119" s="22" t="str">
        <f t="shared" si="79"/>
        <v/>
      </c>
      <c r="H1119" s="22" t="str">
        <f t="shared" si="80"/>
        <v/>
      </c>
    </row>
    <row r="1120" ht="15.75" customHeight="1">
      <c r="A1120" s="31"/>
      <c r="B1120" s="22"/>
      <c r="C1120" s="22" t="str">
        <f t="shared" si="10"/>
        <v/>
      </c>
      <c r="D1120" s="25"/>
      <c r="E1120" s="22"/>
      <c r="F1120" s="22" t="str">
        <f t="shared" si="11"/>
        <v/>
      </c>
      <c r="G1120" s="22" t="str">
        <f t="shared" si="79"/>
        <v/>
      </c>
      <c r="H1120" s="22" t="str">
        <f t="shared" si="80"/>
        <v/>
      </c>
    </row>
    <row r="1121" ht="15.75" customHeight="1">
      <c r="A1121" s="31"/>
      <c r="B1121" s="22"/>
      <c r="C1121" s="22" t="str">
        <f t="shared" si="10"/>
        <v/>
      </c>
      <c r="D1121" s="25"/>
      <c r="E1121" s="22"/>
      <c r="F1121" s="22" t="str">
        <f t="shared" si="11"/>
        <v/>
      </c>
      <c r="G1121" s="22" t="str">
        <f t="shared" si="79"/>
        <v/>
      </c>
      <c r="H1121" s="22" t="str">
        <f t="shared" si="80"/>
        <v/>
      </c>
    </row>
    <row r="1122" ht="15.75" customHeight="1">
      <c r="A1122" s="31"/>
      <c r="B1122" s="22"/>
      <c r="C1122" s="22" t="str">
        <f t="shared" si="10"/>
        <v/>
      </c>
      <c r="D1122" s="25"/>
      <c r="E1122" s="22"/>
      <c r="F1122" s="22" t="str">
        <f t="shared" si="11"/>
        <v/>
      </c>
      <c r="G1122" s="22" t="str">
        <f t="shared" si="79"/>
        <v/>
      </c>
      <c r="H1122" s="22" t="str">
        <f t="shared" si="80"/>
        <v/>
      </c>
    </row>
    <row r="1123" ht="15.75" customHeight="1">
      <c r="A1123" s="31"/>
      <c r="B1123" s="22"/>
      <c r="C1123" s="22" t="str">
        <f t="shared" si="10"/>
        <v/>
      </c>
      <c r="D1123" s="25"/>
      <c r="E1123" s="22"/>
      <c r="F1123" s="22" t="str">
        <f t="shared" si="11"/>
        <v/>
      </c>
      <c r="G1123" s="22" t="str">
        <f t="shared" si="79"/>
        <v/>
      </c>
      <c r="H1123" s="22" t="str">
        <f t="shared" si="80"/>
        <v/>
      </c>
    </row>
    <row r="1124" ht="15.75" customHeight="1">
      <c r="A1124" s="31"/>
      <c r="B1124" s="22"/>
      <c r="C1124" s="22" t="str">
        <f t="shared" si="10"/>
        <v/>
      </c>
      <c r="D1124" s="25"/>
      <c r="E1124" s="22"/>
      <c r="F1124" s="22" t="str">
        <f t="shared" si="11"/>
        <v/>
      </c>
      <c r="G1124" s="22" t="str">
        <f t="shared" si="79"/>
        <v/>
      </c>
      <c r="H1124" s="22" t="str">
        <f t="shared" si="80"/>
        <v/>
      </c>
    </row>
    <row r="1125" ht="15.75" customHeight="1">
      <c r="A1125" s="31"/>
      <c r="B1125" s="22"/>
      <c r="C1125" s="22" t="str">
        <f t="shared" si="10"/>
        <v/>
      </c>
      <c r="D1125" s="25"/>
      <c r="E1125" s="22"/>
      <c r="F1125" s="22" t="str">
        <f t="shared" si="11"/>
        <v/>
      </c>
      <c r="G1125" s="22" t="str">
        <f t="shared" si="79"/>
        <v/>
      </c>
      <c r="H1125" s="22" t="str">
        <f t="shared" si="80"/>
        <v/>
      </c>
    </row>
    <row r="1126" ht="15.75" customHeight="1">
      <c r="A1126" s="31"/>
      <c r="B1126" s="22"/>
      <c r="C1126" s="22" t="str">
        <f t="shared" si="10"/>
        <v/>
      </c>
      <c r="D1126" s="25"/>
      <c r="E1126" s="22"/>
      <c r="F1126" s="22" t="str">
        <f t="shared" si="11"/>
        <v/>
      </c>
      <c r="G1126" s="22" t="str">
        <f t="shared" si="79"/>
        <v/>
      </c>
      <c r="H1126" s="22" t="str">
        <f t="shared" si="80"/>
        <v/>
      </c>
    </row>
    <row r="1127" ht="15.75" customHeight="1">
      <c r="A1127" s="31"/>
      <c r="B1127" s="22"/>
      <c r="C1127" s="22" t="str">
        <f t="shared" si="10"/>
        <v/>
      </c>
      <c r="D1127" s="25"/>
      <c r="E1127" s="22"/>
      <c r="F1127" s="22" t="str">
        <f t="shared" si="11"/>
        <v/>
      </c>
      <c r="G1127" s="22" t="str">
        <f t="shared" si="79"/>
        <v/>
      </c>
      <c r="H1127" s="22" t="str">
        <f t="shared" si="80"/>
        <v/>
      </c>
    </row>
    <row r="1128" ht="15.75" customHeight="1">
      <c r="A1128" s="31"/>
      <c r="B1128" s="22"/>
      <c r="C1128" s="22" t="str">
        <f t="shared" si="10"/>
        <v/>
      </c>
      <c r="D1128" s="25"/>
      <c r="E1128" s="22"/>
      <c r="F1128" s="22" t="str">
        <f t="shared" si="11"/>
        <v/>
      </c>
      <c r="G1128" s="22" t="str">
        <f t="shared" si="79"/>
        <v/>
      </c>
      <c r="H1128" s="22" t="str">
        <f t="shared" si="80"/>
        <v/>
      </c>
    </row>
    <row r="1129" ht="15.75" customHeight="1">
      <c r="A1129" s="31"/>
      <c r="B1129" s="22"/>
      <c r="C1129" s="22" t="str">
        <f t="shared" si="10"/>
        <v/>
      </c>
      <c r="D1129" s="25"/>
      <c r="E1129" s="22"/>
      <c r="F1129" s="22" t="str">
        <f t="shared" si="11"/>
        <v/>
      </c>
      <c r="G1129" s="22" t="str">
        <f t="shared" si="79"/>
        <v/>
      </c>
      <c r="H1129" s="22" t="str">
        <f t="shared" si="80"/>
        <v/>
      </c>
    </row>
    <row r="1130" ht="15.75" customHeight="1">
      <c r="A1130" s="31"/>
      <c r="B1130" s="22"/>
      <c r="C1130" s="22" t="str">
        <f t="shared" si="10"/>
        <v/>
      </c>
      <c r="D1130" s="25"/>
      <c r="E1130" s="22"/>
      <c r="F1130" s="22" t="str">
        <f t="shared" si="11"/>
        <v/>
      </c>
      <c r="G1130" s="22" t="str">
        <f t="shared" si="79"/>
        <v/>
      </c>
      <c r="H1130" s="22" t="str">
        <f t="shared" si="80"/>
        <v/>
      </c>
    </row>
    <row r="1131" ht="15.75" customHeight="1">
      <c r="A1131" s="31"/>
      <c r="B1131" s="22"/>
      <c r="C1131" s="22" t="str">
        <f t="shared" si="10"/>
        <v/>
      </c>
      <c r="D1131" s="25"/>
      <c r="E1131" s="22"/>
      <c r="F1131" s="22" t="str">
        <f t="shared" si="11"/>
        <v/>
      </c>
      <c r="G1131" s="22" t="str">
        <f t="shared" si="79"/>
        <v/>
      </c>
      <c r="H1131" s="22" t="str">
        <f t="shared" si="80"/>
        <v/>
      </c>
    </row>
    <row r="1132" ht="15.75" customHeight="1">
      <c r="A1132" s="31"/>
      <c r="B1132" s="22"/>
      <c r="C1132" s="22" t="str">
        <f t="shared" si="10"/>
        <v/>
      </c>
      <c r="D1132" s="25"/>
      <c r="E1132" s="22"/>
      <c r="F1132" s="22" t="str">
        <f t="shared" si="11"/>
        <v/>
      </c>
      <c r="G1132" s="22" t="str">
        <f t="shared" si="79"/>
        <v/>
      </c>
      <c r="H1132" s="22" t="str">
        <f t="shared" si="80"/>
        <v/>
      </c>
    </row>
    <row r="1133" ht="15.75" customHeight="1">
      <c r="A1133" s="31"/>
      <c r="B1133" s="22"/>
      <c r="C1133" s="22" t="str">
        <f t="shared" si="10"/>
        <v/>
      </c>
      <c r="D1133" s="25"/>
      <c r="E1133" s="22"/>
      <c r="F1133" s="22" t="str">
        <f t="shared" si="11"/>
        <v/>
      </c>
      <c r="G1133" s="22" t="str">
        <f t="shared" si="79"/>
        <v/>
      </c>
      <c r="H1133" s="22" t="str">
        <f t="shared" si="80"/>
        <v/>
      </c>
    </row>
    <row r="1134" ht="15.75" customHeight="1">
      <c r="A1134" s="31"/>
      <c r="B1134" s="22"/>
      <c r="C1134" s="22" t="str">
        <f t="shared" si="10"/>
        <v/>
      </c>
      <c r="D1134" s="25"/>
      <c r="E1134" s="22"/>
      <c r="F1134" s="22" t="str">
        <f t="shared" si="11"/>
        <v/>
      </c>
      <c r="G1134" s="22" t="str">
        <f t="shared" si="79"/>
        <v/>
      </c>
      <c r="H1134" s="22" t="str">
        <f t="shared" si="80"/>
        <v/>
      </c>
    </row>
    <row r="1135" ht="15.75" customHeight="1">
      <c r="A1135" s="31"/>
      <c r="B1135" s="22"/>
      <c r="C1135" s="22" t="str">
        <f t="shared" si="10"/>
        <v/>
      </c>
      <c r="D1135" s="25"/>
      <c r="E1135" s="22"/>
      <c r="F1135" s="22" t="str">
        <f t="shared" si="11"/>
        <v/>
      </c>
      <c r="G1135" s="22" t="str">
        <f t="shared" si="79"/>
        <v/>
      </c>
      <c r="H1135" s="22" t="str">
        <f t="shared" si="80"/>
        <v/>
      </c>
    </row>
    <row r="1136" ht="15.75" customHeight="1">
      <c r="A1136" s="31"/>
      <c r="B1136" s="22"/>
      <c r="C1136" s="22" t="str">
        <f t="shared" si="10"/>
        <v/>
      </c>
      <c r="D1136" s="25"/>
      <c r="E1136" s="22"/>
      <c r="F1136" s="22" t="str">
        <f t="shared" si="11"/>
        <v/>
      </c>
      <c r="G1136" s="22" t="str">
        <f t="shared" si="79"/>
        <v/>
      </c>
      <c r="H1136" s="22" t="str">
        <f t="shared" si="80"/>
        <v/>
      </c>
    </row>
    <row r="1137" ht="15.75" customHeight="1">
      <c r="A1137" s="31"/>
      <c r="B1137" s="22"/>
      <c r="C1137" s="22" t="str">
        <f t="shared" si="10"/>
        <v/>
      </c>
      <c r="D1137" s="25"/>
      <c r="E1137" s="22"/>
      <c r="F1137" s="22" t="str">
        <f t="shared" si="11"/>
        <v/>
      </c>
      <c r="G1137" s="22" t="str">
        <f t="shared" si="79"/>
        <v/>
      </c>
      <c r="H1137" s="22" t="str">
        <f t="shared" si="80"/>
        <v/>
      </c>
    </row>
    <row r="1138" ht="15.75" customHeight="1">
      <c r="A1138" s="31"/>
      <c r="B1138" s="22"/>
      <c r="C1138" s="22" t="str">
        <f t="shared" si="10"/>
        <v/>
      </c>
      <c r="D1138" s="25"/>
      <c r="E1138" s="22"/>
      <c r="F1138" s="22" t="str">
        <f t="shared" si="11"/>
        <v/>
      </c>
      <c r="G1138" s="22" t="str">
        <f t="shared" si="79"/>
        <v/>
      </c>
      <c r="H1138" s="22" t="str">
        <f t="shared" si="80"/>
        <v/>
      </c>
    </row>
    <row r="1139" ht="15.75" customHeight="1">
      <c r="A1139" s="31"/>
      <c r="B1139" s="22"/>
      <c r="C1139" s="22" t="str">
        <f t="shared" si="10"/>
        <v/>
      </c>
      <c r="D1139" s="25"/>
      <c r="E1139" s="22"/>
      <c r="F1139" s="22" t="str">
        <f t="shared" si="11"/>
        <v/>
      </c>
      <c r="G1139" s="22" t="str">
        <f t="shared" si="79"/>
        <v/>
      </c>
      <c r="H1139" s="22" t="str">
        <f t="shared" si="80"/>
        <v/>
      </c>
    </row>
    <row r="1140" ht="15.75" customHeight="1">
      <c r="A1140" s="31"/>
      <c r="B1140" s="22"/>
      <c r="C1140" s="22" t="str">
        <f t="shared" si="10"/>
        <v/>
      </c>
      <c r="D1140" s="25"/>
      <c r="E1140" s="22"/>
      <c r="F1140" s="22" t="str">
        <f t="shared" si="11"/>
        <v/>
      </c>
      <c r="G1140" s="22" t="str">
        <f t="shared" si="79"/>
        <v/>
      </c>
      <c r="H1140" s="22" t="str">
        <f t="shared" si="80"/>
        <v/>
      </c>
    </row>
    <row r="1141" ht="15.75" customHeight="1">
      <c r="A1141" s="31"/>
      <c r="B1141" s="22"/>
      <c r="C1141" s="22" t="str">
        <f t="shared" si="10"/>
        <v/>
      </c>
      <c r="D1141" s="25"/>
      <c r="E1141" s="22"/>
      <c r="F1141" s="22" t="str">
        <f t="shared" si="11"/>
        <v/>
      </c>
      <c r="G1141" s="22" t="str">
        <f t="shared" si="79"/>
        <v/>
      </c>
      <c r="H1141" s="22" t="str">
        <f t="shared" si="80"/>
        <v/>
      </c>
    </row>
    <row r="1142" ht="15.75" customHeight="1">
      <c r="A1142" s="31"/>
      <c r="B1142" s="22"/>
      <c r="C1142" s="22" t="str">
        <f t="shared" si="10"/>
        <v/>
      </c>
      <c r="D1142" s="25"/>
      <c r="E1142" s="22"/>
      <c r="F1142" s="22" t="str">
        <f t="shared" si="11"/>
        <v/>
      </c>
      <c r="G1142" s="22" t="str">
        <f t="shared" si="79"/>
        <v/>
      </c>
      <c r="H1142" s="22" t="str">
        <f t="shared" si="80"/>
        <v/>
      </c>
    </row>
    <row r="1143" ht="15.75" customHeight="1">
      <c r="A1143" s="31"/>
      <c r="B1143" s="22"/>
      <c r="C1143" s="22" t="str">
        <f t="shared" si="10"/>
        <v/>
      </c>
      <c r="D1143" s="25"/>
      <c r="E1143" s="22"/>
      <c r="F1143" s="22" t="str">
        <f t="shared" si="11"/>
        <v/>
      </c>
      <c r="G1143" s="22" t="str">
        <f t="shared" si="79"/>
        <v/>
      </c>
      <c r="H1143" s="22" t="str">
        <f t="shared" si="80"/>
        <v/>
      </c>
    </row>
    <row r="1144" ht="15.75" customHeight="1">
      <c r="A1144" s="31"/>
      <c r="B1144" s="22"/>
      <c r="C1144" s="22" t="str">
        <f t="shared" si="10"/>
        <v/>
      </c>
      <c r="D1144" s="25"/>
      <c r="E1144" s="22"/>
      <c r="F1144" s="22" t="str">
        <f t="shared" si="11"/>
        <v/>
      </c>
      <c r="G1144" s="22" t="str">
        <f t="shared" si="79"/>
        <v/>
      </c>
      <c r="H1144" s="22" t="str">
        <f t="shared" si="80"/>
        <v/>
      </c>
    </row>
    <row r="1145" ht="15.75" customHeight="1">
      <c r="A1145" s="31"/>
      <c r="B1145" s="22"/>
      <c r="C1145" s="22" t="str">
        <f t="shared" si="10"/>
        <v/>
      </c>
      <c r="D1145" s="25"/>
      <c r="E1145" s="22"/>
      <c r="F1145" s="22" t="str">
        <f t="shared" si="11"/>
        <v/>
      </c>
      <c r="G1145" s="22" t="str">
        <f t="shared" si="79"/>
        <v/>
      </c>
      <c r="H1145" s="22" t="str">
        <f t="shared" si="80"/>
        <v/>
      </c>
    </row>
    <row r="1146" ht="15.75" customHeight="1">
      <c r="A1146" s="31"/>
      <c r="B1146" s="22"/>
      <c r="C1146" s="22" t="str">
        <f t="shared" si="10"/>
        <v/>
      </c>
      <c r="D1146" s="25"/>
      <c r="E1146" s="22"/>
      <c r="F1146" s="22" t="str">
        <f t="shared" si="11"/>
        <v/>
      </c>
      <c r="G1146" s="22" t="str">
        <f t="shared" si="79"/>
        <v/>
      </c>
      <c r="H1146" s="22" t="str">
        <f t="shared" si="80"/>
        <v/>
      </c>
    </row>
    <row r="1147" ht="15.75" customHeight="1">
      <c r="A1147" s="31"/>
      <c r="B1147" s="22"/>
      <c r="C1147" s="22" t="str">
        <f t="shared" si="10"/>
        <v/>
      </c>
      <c r="D1147" s="25"/>
      <c r="E1147" s="22"/>
      <c r="F1147" s="22" t="str">
        <f t="shared" si="11"/>
        <v/>
      </c>
      <c r="G1147" s="22" t="str">
        <f t="shared" si="79"/>
        <v/>
      </c>
      <c r="H1147" s="22" t="str">
        <f t="shared" si="80"/>
        <v/>
      </c>
    </row>
    <row r="1148" ht="15.75" customHeight="1">
      <c r="A1148" s="31"/>
      <c r="B1148" s="22"/>
      <c r="C1148" s="22" t="str">
        <f t="shared" si="10"/>
        <v/>
      </c>
      <c r="D1148" s="25"/>
      <c r="E1148" s="22"/>
      <c r="F1148" s="22" t="str">
        <f t="shared" si="11"/>
        <v/>
      </c>
      <c r="G1148" s="22" t="str">
        <f t="shared" si="79"/>
        <v/>
      </c>
      <c r="H1148" s="22" t="str">
        <f t="shared" si="80"/>
        <v/>
      </c>
    </row>
    <row r="1149" ht="15.75" customHeight="1">
      <c r="A1149" s="31"/>
      <c r="B1149" s="22"/>
      <c r="C1149" s="22" t="str">
        <f t="shared" si="10"/>
        <v/>
      </c>
      <c r="D1149" s="25"/>
      <c r="E1149" s="22"/>
      <c r="F1149" s="22" t="str">
        <f t="shared" si="11"/>
        <v/>
      </c>
      <c r="G1149" s="22" t="str">
        <f t="shared" si="79"/>
        <v/>
      </c>
      <c r="H1149" s="22" t="str">
        <f t="shared" si="80"/>
        <v/>
      </c>
    </row>
    <row r="1150" ht="15.75" customHeight="1">
      <c r="A1150" s="31"/>
      <c r="B1150" s="22"/>
      <c r="C1150" s="22" t="str">
        <f t="shared" si="10"/>
        <v/>
      </c>
      <c r="D1150" s="25"/>
      <c r="E1150" s="22"/>
      <c r="F1150" s="22" t="str">
        <f t="shared" si="11"/>
        <v/>
      </c>
      <c r="G1150" s="22" t="str">
        <f t="shared" si="79"/>
        <v/>
      </c>
      <c r="H1150" s="22" t="str">
        <f t="shared" si="80"/>
        <v/>
      </c>
    </row>
    <row r="1151" ht="15.75" customHeight="1">
      <c r="A1151" s="31"/>
      <c r="B1151" s="22"/>
      <c r="C1151" s="22" t="str">
        <f t="shared" si="10"/>
        <v/>
      </c>
      <c r="D1151" s="25"/>
      <c r="E1151" s="22"/>
      <c r="F1151" s="22" t="str">
        <f t="shared" si="11"/>
        <v/>
      </c>
      <c r="G1151" s="22" t="str">
        <f t="shared" si="79"/>
        <v/>
      </c>
      <c r="H1151" s="22" t="str">
        <f t="shared" si="80"/>
        <v/>
      </c>
    </row>
    <row r="1152" ht="15.75" customHeight="1">
      <c r="A1152" s="31"/>
      <c r="B1152" s="22"/>
      <c r="C1152" s="22" t="str">
        <f t="shared" si="10"/>
        <v/>
      </c>
      <c r="D1152" s="25"/>
      <c r="E1152" s="22"/>
      <c r="F1152" s="22" t="str">
        <f t="shared" si="11"/>
        <v/>
      </c>
      <c r="G1152" s="22" t="str">
        <f t="shared" si="79"/>
        <v/>
      </c>
      <c r="H1152" s="22" t="str">
        <f t="shared" si="80"/>
        <v/>
      </c>
    </row>
    <row r="1153" ht="15.75" customHeight="1">
      <c r="A1153" s="31"/>
      <c r="B1153" s="22"/>
      <c r="C1153" s="22" t="str">
        <f t="shared" si="10"/>
        <v/>
      </c>
      <c r="D1153" s="25"/>
      <c r="E1153" s="22"/>
      <c r="F1153" s="22" t="str">
        <f t="shared" si="11"/>
        <v/>
      </c>
      <c r="G1153" s="22" t="str">
        <f t="shared" si="79"/>
        <v/>
      </c>
      <c r="H1153" s="22" t="str">
        <f t="shared" si="80"/>
        <v/>
      </c>
    </row>
    <row r="1154" ht="15.75" customHeight="1">
      <c r="A1154" s="31"/>
      <c r="B1154" s="22"/>
      <c r="C1154" s="22" t="str">
        <f t="shared" si="10"/>
        <v/>
      </c>
      <c r="D1154" s="25"/>
      <c r="E1154" s="22"/>
      <c r="F1154" s="22" t="str">
        <f t="shared" si="11"/>
        <v/>
      </c>
      <c r="G1154" s="22" t="str">
        <f t="shared" si="79"/>
        <v/>
      </c>
      <c r="H1154" s="22" t="str">
        <f t="shared" si="80"/>
        <v/>
      </c>
    </row>
    <row r="1155" ht="15.75" customHeight="1">
      <c r="A1155" s="31"/>
      <c r="B1155" s="22"/>
      <c r="C1155" s="22" t="str">
        <f t="shared" si="10"/>
        <v/>
      </c>
      <c r="D1155" s="25"/>
      <c r="E1155" s="22"/>
      <c r="F1155" s="22" t="str">
        <f t="shared" si="11"/>
        <v/>
      </c>
      <c r="G1155" s="22" t="str">
        <f t="shared" si="79"/>
        <v/>
      </c>
      <c r="H1155" s="22" t="str">
        <f t="shared" si="80"/>
        <v/>
      </c>
    </row>
    <row r="1156" ht="15.75" customHeight="1">
      <c r="A1156" s="31"/>
      <c r="B1156" s="22"/>
      <c r="C1156" s="22" t="str">
        <f t="shared" si="10"/>
        <v/>
      </c>
      <c r="D1156" s="25"/>
      <c r="E1156" s="22"/>
      <c r="F1156" s="22" t="str">
        <f t="shared" si="11"/>
        <v/>
      </c>
      <c r="G1156" s="22" t="str">
        <f t="shared" si="79"/>
        <v/>
      </c>
      <c r="H1156" s="22" t="str">
        <f t="shared" si="80"/>
        <v/>
      </c>
    </row>
    <row r="1157" ht="15.75" customHeight="1">
      <c r="A1157" s="31"/>
      <c r="B1157" s="22"/>
      <c r="C1157" s="22" t="str">
        <f t="shared" si="10"/>
        <v/>
      </c>
      <c r="D1157" s="25"/>
      <c r="E1157" s="22"/>
      <c r="F1157" s="22" t="str">
        <f t="shared" si="11"/>
        <v/>
      </c>
      <c r="G1157" s="22" t="str">
        <f t="shared" si="79"/>
        <v/>
      </c>
      <c r="H1157" s="22" t="str">
        <f t="shared" si="80"/>
        <v/>
      </c>
    </row>
    <row r="1158" ht="15.75" customHeight="1">
      <c r="A1158" s="31"/>
      <c r="B1158" s="22"/>
      <c r="C1158" s="22" t="str">
        <f t="shared" si="10"/>
        <v/>
      </c>
      <c r="D1158" s="25"/>
      <c r="E1158" s="22"/>
      <c r="F1158" s="22" t="str">
        <f t="shared" si="11"/>
        <v/>
      </c>
      <c r="G1158" s="22" t="str">
        <f t="shared" si="79"/>
        <v/>
      </c>
      <c r="H1158" s="22" t="str">
        <f t="shared" si="80"/>
        <v/>
      </c>
    </row>
    <row r="1159" ht="15.75" customHeight="1">
      <c r="A1159" s="31"/>
      <c r="B1159" s="22"/>
      <c r="C1159" s="22" t="str">
        <f t="shared" si="10"/>
        <v/>
      </c>
      <c r="D1159" s="25"/>
      <c r="E1159" s="22"/>
      <c r="F1159" s="22" t="str">
        <f t="shared" si="11"/>
        <v/>
      </c>
      <c r="G1159" s="22" t="str">
        <f t="shared" si="79"/>
        <v/>
      </c>
      <c r="H1159" s="22" t="str">
        <f t="shared" si="80"/>
        <v/>
      </c>
    </row>
    <row r="1160" ht="15.75" customHeight="1">
      <c r="A1160" s="31"/>
      <c r="B1160" s="22"/>
      <c r="C1160" s="22" t="str">
        <f t="shared" si="10"/>
        <v/>
      </c>
      <c r="D1160" s="25"/>
      <c r="E1160" s="22"/>
      <c r="F1160" s="22" t="str">
        <f t="shared" si="11"/>
        <v/>
      </c>
      <c r="G1160" s="22" t="str">
        <f t="shared" si="79"/>
        <v/>
      </c>
      <c r="H1160" s="22" t="str">
        <f t="shared" si="80"/>
        <v/>
      </c>
    </row>
    <row r="1161" ht="15.75" customHeight="1">
      <c r="A1161" s="31"/>
      <c r="B1161" s="22"/>
      <c r="C1161" s="22" t="str">
        <f t="shared" si="10"/>
        <v/>
      </c>
      <c r="D1161" s="25"/>
      <c r="E1161" s="22"/>
      <c r="F1161" s="22" t="str">
        <f t="shared" si="11"/>
        <v/>
      </c>
      <c r="G1161" s="22" t="str">
        <f t="shared" si="79"/>
        <v/>
      </c>
      <c r="H1161" s="22" t="str">
        <f t="shared" si="80"/>
        <v/>
      </c>
    </row>
    <row r="1162" ht="15.75" customHeight="1">
      <c r="A1162" s="31"/>
      <c r="B1162" s="22"/>
      <c r="C1162" s="22" t="str">
        <f t="shared" si="10"/>
        <v/>
      </c>
      <c r="D1162" s="25"/>
      <c r="E1162" s="22"/>
      <c r="F1162" s="22" t="str">
        <f t="shared" si="11"/>
        <v/>
      </c>
      <c r="G1162" s="22" t="str">
        <f t="shared" si="79"/>
        <v/>
      </c>
      <c r="H1162" s="22" t="str">
        <f t="shared" si="80"/>
        <v/>
      </c>
    </row>
    <row r="1163" ht="15.75" customHeight="1">
      <c r="A1163" s="31"/>
      <c r="B1163" s="22"/>
      <c r="C1163" s="22" t="str">
        <f t="shared" si="10"/>
        <v/>
      </c>
      <c r="D1163" s="25"/>
      <c r="E1163" s="22"/>
      <c r="F1163" s="22" t="str">
        <f t="shared" si="11"/>
        <v/>
      </c>
      <c r="G1163" s="22" t="str">
        <f t="shared" si="79"/>
        <v/>
      </c>
      <c r="H1163" s="22" t="str">
        <f t="shared" si="80"/>
        <v/>
      </c>
    </row>
    <row r="1164" ht="15.75" customHeight="1">
      <c r="A1164" s="31"/>
      <c r="B1164" s="22"/>
      <c r="C1164" s="22" t="str">
        <f t="shared" si="10"/>
        <v/>
      </c>
      <c r="D1164" s="25"/>
      <c r="E1164" s="22"/>
      <c r="F1164" s="22" t="str">
        <f t="shared" si="11"/>
        <v/>
      </c>
      <c r="G1164" s="22" t="str">
        <f t="shared" si="79"/>
        <v/>
      </c>
      <c r="H1164" s="22" t="str">
        <f t="shared" si="80"/>
        <v/>
      </c>
    </row>
    <row r="1165" ht="15.75" customHeight="1">
      <c r="A1165" s="31"/>
      <c r="B1165" s="22"/>
      <c r="C1165" s="22" t="str">
        <f t="shared" si="10"/>
        <v/>
      </c>
      <c r="D1165" s="25"/>
      <c r="E1165" s="22"/>
      <c r="F1165" s="22" t="str">
        <f t="shared" si="11"/>
        <v/>
      </c>
      <c r="G1165" s="22" t="str">
        <f t="shared" si="79"/>
        <v/>
      </c>
      <c r="H1165" s="22" t="str">
        <f t="shared" si="80"/>
        <v/>
      </c>
    </row>
    <row r="1166" ht="15.75" customHeight="1">
      <c r="A1166" s="31"/>
      <c r="B1166" s="22"/>
      <c r="C1166" s="22" t="str">
        <f t="shared" si="10"/>
        <v/>
      </c>
      <c r="D1166" s="25"/>
      <c r="E1166" s="22"/>
      <c r="F1166" s="22" t="str">
        <f t="shared" si="11"/>
        <v/>
      </c>
      <c r="G1166" s="22" t="str">
        <f t="shared" si="79"/>
        <v/>
      </c>
      <c r="H1166" s="22" t="str">
        <f t="shared" si="80"/>
        <v/>
      </c>
    </row>
    <row r="1167" ht="15.75" customHeight="1">
      <c r="A1167" s="31"/>
      <c r="B1167" s="22"/>
      <c r="C1167" s="22" t="str">
        <f t="shared" si="10"/>
        <v/>
      </c>
      <c r="D1167" s="25"/>
      <c r="E1167" s="22"/>
      <c r="F1167" s="22" t="str">
        <f t="shared" si="11"/>
        <v/>
      </c>
      <c r="G1167" s="22" t="str">
        <f t="shared" si="79"/>
        <v/>
      </c>
      <c r="H1167" s="22" t="str">
        <f t="shared" si="80"/>
        <v/>
      </c>
    </row>
    <row r="1168" ht="15.75" customHeight="1">
      <c r="A1168" s="31"/>
      <c r="B1168" s="22"/>
      <c r="C1168" s="22" t="str">
        <f t="shared" si="10"/>
        <v/>
      </c>
      <c r="D1168" s="25"/>
      <c r="E1168" s="22"/>
      <c r="F1168" s="22" t="str">
        <f t="shared" si="11"/>
        <v/>
      </c>
      <c r="G1168" s="22" t="str">
        <f t="shared" si="79"/>
        <v/>
      </c>
      <c r="H1168" s="22" t="str">
        <f t="shared" si="80"/>
        <v/>
      </c>
    </row>
    <row r="1169" ht="15.75" customHeight="1">
      <c r="A1169" s="31"/>
      <c r="B1169" s="22"/>
      <c r="C1169" s="22" t="str">
        <f t="shared" si="10"/>
        <v/>
      </c>
      <c r="D1169" s="25"/>
      <c r="E1169" s="22"/>
      <c r="F1169" s="22" t="str">
        <f t="shared" si="11"/>
        <v/>
      </c>
      <c r="G1169" s="22" t="str">
        <f t="shared" si="79"/>
        <v/>
      </c>
      <c r="H1169" s="22" t="str">
        <f t="shared" si="80"/>
        <v/>
      </c>
    </row>
    <row r="1170" ht="15.75" customHeight="1">
      <c r="A1170" s="31"/>
      <c r="B1170" s="22"/>
      <c r="C1170" s="22" t="str">
        <f t="shared" si="10"/>
        <v/>
      </c>
      <c r="D1170" s="25"/>
      <c r="E1170" s="22"/>
      <c r="F1170" s="22" t="str">
        <f t="shared" si="11"/>
        <v/>
      </c>
      <c r="G1170" s="22" t="str">
        <f t="shared" si="79"/>
        <v/>
      </c>
      <c r="H1170" s="22" t="str">
        <f t="shared" si="80"/>
        <v/>
      </c>
    </row>
    <row r="1171" ht="15.75" customHeight="1">
      <c r="A1171" s="31"/>
      <c r="B1171" s="22"/>
      <c r="C1171" s="22" t="str">
        <f t="shared" si="10"/>
        <v/>
      </c>
      <c r="D1171" s="25"/>
      <c r="E1171" s="22"/>
      <c r="F1171" s="22" t="str">
        <f t="shared" si="11"/>
        <v/>
      </c>
      <c r="G1171" s="22" t="str">
        <f t="shared" si="79"/>
        <v/>
      </c>
      <c r="H1171" s="22" t="str">
        <f t="shared" si="80"/>
        <v/>
      </c>
    </row>
    <row r="1172" ht="15.75" customHeight="1">
      <c r="A1172" s="31"/>
      <c r="B1172" s="22"/>
      <c r="C1172" s="22" t="str">
        <f t="shared" si="10"/>
        <v/>
      </c>
      <c r="D1172" s="25"/>
      <c r="E1172" s="22"/>
      <c r="F1172" s="22" t="str">
        <f t="shared" si="11"/>
        <v/>
      </c>
      <c r="G1172" s="22" t="str">
        <f t="shared" si="79"/>
        <v/>
      </c>
      <c r="H1172" s="22" t="str">
        <f t="shared" si="80"/>
        <v/>
      </c>
    </row>
    <row r="1173" ht="15.75" customHeight="1">
      <c r="A1173" s="31"/>
      <c r="B1173" s="22"/>
      <c r="C1173" s="22" t="str">
        <f t="shared" si="10"/>
        <v/>
      </c>
      <c r="D1173" s="25"/>
      <c r="E1173" s="22"/>
      <c r="F1173" s="22" t="str">
        <f t="shared" si="11"/>
        <v/>
      </c>
      <c r="G1173" s="22" t="str">
        <f t="shared" si="79"/>
        <v/>
      </c>
      <c r="H1173" s="22" t="str">
        <f t="shared" si="80"/>
        <v/>
      </c>
    </row>
    <row r="1174" ht="15.75" customHeight="1">
      <c r="A1174" s="31"/>
      <c r="B1174" s="22"/>
      <c r="C1174" s="22" t="str">
        <f t="shared" si="10"/>
        <v/>
      </c>
      <c r="D1174" s="25"/>
      <c r="E1174" s="22"/>
      <c r="F1174" s="22" t="str">
        <f t="shared" si="11"/>
        <v/>
      </c>
      <c r="G1174" s="22" t="str">
        <f t="shared" si="79"/>
        <v/>
      </c>
      <c r="H1174" s="22" t="str">
        <f t="shared" si="80"/>
        <v/>
      </c>
    </row>
    <row r="1175" ht="15.75" customHeight="1">
      <c r="A1175" s="31"/>
      <c r="B1175" s="22"/>
      <c r="C1175" s="22" t="str">
        <f t="shared" si="10"/>
        <v/>
      </c>
      <c r="D1175" s="25"/>
      <c r="E1175" s="22"/>
      <c r="F1175" s="22" t="str">
        <f t="shared" si="11"/>
        <v/>
      </c>
      <c r="G1175" s="22" t="str">
        <f t="shared" si="79"/>
        <v/>
      </c>
      <c r="H1175" s="22" t="str">
        <f t="shared" si="80"/>
        <v/>
      </c>
    </row>
    <row r="1176" ht="15.75" customHeight="1">
      <c r="A1176" s="31"/>
      <c r="B1176" s="22"/>
      <c r="C1176" s="22" t="str">
        <f t="shared" si="10"/>
        <v/>
      </c>
      <c r="D1176" s="25"/>
      <c r="E1176" s="22"/>
      <c r="F1176" s="22" t="str">
        <f t="shared" si="11"/>
        <v/>
      </c>
      <c r="G1176" s="22" t="str">
        <f t="shared" si="79"/>
        <v/>
      </c>
      <c r="H1176" s="22" t="str">
        <f t="shared" si="80"/>
        <v/>
      </c>
    </row>
    <row r="1177" ht="15.75" customHeight="1">
      <c r="A1177" s="31"/>
      <c r="B1177" s="22"/>
      <c r="C1177" s="22" t="str">
        <f t="shared" si="10"/>
        <v/>
      </c>
      <c r="D1177" s="25"/>
      <c r="E1177" s="22"/>
      <c r="F1177" s="22" t="str">
        <f t="shared" si="11"/>
        <v/>
      </c>
      <c r="G1177" s="22" t="str">
        <f t="shared" si="79"/>
        <v/>
      </c>
      <c r="H1177" s="22" t="str">
        <f t="shared" si="80"/>
        <v/>
      </c>
    </row>
    <row r="1178" ht="15.75" customHeight="1">
      <c r="A1178" s="31"/>
      <c r="B1178" s="22"/>
      <c r="C1178" s="22" t="str">
        <f t="shared" si="10"/>
        <v/>
      </c>
      <c r="D1178" s="25"/>
      <c r="E1178" s="22"/>
      <c r="F1178" s="22" t="str">
        <f t="shared" si="11"/>
        <v/>
      </c>
      <c r="G1178" s="22" t="str">
        <f t="shared" si="79"/>
        <v/>
      </c>
      <c r="H1178" s="22" t="str">
        <f t="shared" si="80"/>
        <v/>
      </c>
    </row>
    <row r="1179" ht="15.75" customHeight="1">
      <c r="A1179" s="31"/>
      <c r="B1179" s="22"/>
      <c r="C1179" s="22" t="str">
        <f t="shared" si="10"/>
        <v/>
      </c>
      <c r="D1179" s="25"/>
      <c r="E1179" s="22"/>
      <c r="F1179" s="22" t="str">
        <f t="shared" si="11"/>
        <v/>
      </c>
      <c r="G1179" s="22" t="str">
        <f t="shared" si="79"/>
        <v/>
      </c>
      <c r="H1179" s="22" t="str">
        <f t="shared" si="80"/>
        <v/>
      </c>
    </row>
    <row r="1180" ht="15.75" customHeight="1">
      <c r="A1180" s="31"/>
      <c r="B1180" s="22"/>
      <c r="C1180" s="22" t="str">
        <f t="shared" si="10"/>
        <v/>
      </c>
      <c r="D1180" s="25"/>
      <c r="E1180" s="22"/>
      <c r="F1180" s="22" t="str">
        <f t="shared" si="11"/>
        <v/>
      </c>
      <c r="G1180" s="22" t="str">
        <f t="shared" si="79"/>
        <v/>
      </c>
      <c r="H1180" s="22" t="str">
        <f t="shared" si="80"/>
        <v/>
      </c>
    </row>
    <row r="1181" ht="15.75" customHeight="1">
      <c r="A1181" s="31"/>
      <c r="B1181" s="22"/>
      <c r="C1181" s="22" t="str">
        <f t="shared" si="10"/>
        <v/>
      </c>
      <c r="D1181" s="25"/>
      <c r="E1181" s="22"/>
      <c r="F1181" s="22" t="str">
        <f t="shared" si="11"/>
        <v/>
      </c>
      <c r="G1181" s="22" t="str">
        <f t="shared" si="79"/>
        <v/>
      </c>
      <c r="H1181" s="22" t="str">
        <f t="shared" si="80"/>
        <v/>
      </c>
    </row>
    <row r="1182" ht="15.75" customHeight="1">
      <c r="A1182" s="31"/>
      <c r="B1182" s="22"/>
      <c r="C1182" s="22" t="str">
        <f t="shared" si="10"/>
        <v/>
      </c>
      <c r="D1182" s="25"/>
      <c r="E1182" s="22"/>
      <c r="F1182" s="22" t="str">
        <f t="shared" si="11"/>
        <v/>
      </c>
      <c r="G1182" s="22" t="str">
        <f t="shared" si="79"/>
        <v/>
      </c>
      <c r="H1182" s="22" t="str">
        <f t="shared" si="80"/>
        <v/>
      </c>
    </row>
    <row r="1183" ht="15.75" customHeight="1">
      <c r="A1183" s="31"/>
      <c r="B1183" s="22"/>
      <c r="C1183" s="22" t="str">
        <f t="shared" si="10"/>
        <v/>
      </c>
      <c r="D1183" s="25"/>
      <c r="E1183" s="22"/>
      <c r="F1183" s="22" t="str">
        <f t="shared" si="11"/>
        <v/>
      </c>
      <c r="G1183" s="22" t="str">
        <f t="shared" si="79"/>
        <v/>
      </c>
      <c r="H1183" s="22" t="str">
        <f t="shared" si="80"/>
        <v/>
      </c>
    </row>
    <row r="1184" ht="15.75" customHeight="1">
      <c r="A1184" s="31"/>
      <c r="B1184" s="22"/>
      <c r="C1184" s="22" t="str">
        <f t="shared" si="10"/>
        <v/>
      </c>
      <c r="D1184" s="25"/>
      <c r="E1184" s="22"/>
      <c r="F1184" s="22" t="str">
        <f t="shared" si="11"/>
        <v/>
      </c>
      <c r="G1184" s="22" t="str">
        <f t="shared" si="79"/>
        <v/>
      </c>
      <c r="H1184" s="22" t="str">
        <f t="shared" si="80"/>
        <v/>
      </c>
    </row>
    <row r="1185" ht="15.75" customHeight="1">
      <c r="A1185" s="31"/>
      <c r="B1185" s="22"/>
      <c r="C1185" s="22" t="str">
        <f t="shared" si="10"/>
        <v/>
      </c>
      <c r="D1185" s="25"/>
      <c r="E1185" s="22"/>
      <c r="F1185" s="22" t="str">
        <f t="shared" si="11"/>
        <v/>
      </c>
      <c r="G1185" s="22" t="str">
        <f t="shared" si="79"/>
        <v/>
      </c>
      <c r="H1185" s="22" t="str">
        <f t="shared" si="80"/>
        <v/>
      </c>
    </row>
    <row r="1186" ht="15.75" customHeight="1">
      <c r="A1186" s="31"/>
      <c r="B1186" s="22"/>
      <c r="C1186" s="22" t="str">
        <f t="shared" si="10"/>
        <v/>
      </c>
      <c r="D1186" s="25"/>
      <c r="E1186" s="22"/>
      <c r="F1186" s="22" t="str">
        <f t="shared" si="11"/>
        <v/>
      </c>
      <c r="G1186" s="22" t="str">
        <f t="shared" si="79"/>
        <v/>
      </c>
      <c r="H1186" s="22" t="str">
        <f t="shared" si="80"/>
        <v/>
      </c>
    </row>
    <row r="1187" ht="15.75" customHeight="1">
      <c r="A1187" s="31"/>
      <c r="B1187" s="22"/>
      <c r="C1187" s="22" t="str">
        <f t="shared" si="10"/>
        <v/>
      </c>
      <c r="D1187" s="25"/>
      <c r="E1187" s="22"/>
      <c r="F1187" s="22" t="str">
        <f t="shared" si="11"/>
        <v/>
      </c>
      <c r="G1187" s="22" t="str">
        <f t="shared" si="79"/>
        <v/>
      </c>
      <c r="H1187" s="22" t="str">
        <f t="shared" si="80"/>
        <v/>
      </c>
    </row>
    <row r="1188" ht="15.75" customHeight="1">
      <c r="A1188" s="31"/>
      <c r="B1188" s="22"/>
      <c r="C1188" s="22" t="str">
        <f t="shared" si="10"/>
        <v/>
      </c>
      <c r="D1188" s="25"/>
      <c r="E1188" s="22"/>
      <c r="F1188" s="22" t="str">
        <f t="shared" si="11"/>
        <v/>
      </c>
      <c r="G1188" s="22" t="str">
        <f t="shared" si="79"/>
        <v/>
      </c>
      <c r="H1188" s="22" t="str">
        <f t="shared" si="80"/>
        <v/>
      </c>
    </row>
    <row r="1189" ht="15.75" customHeight="1">
      <c r="A1189" s="31"/>
      <c r="B1189" s="22"/>
      <c r="C1189" s="22" t="str">
        <f t="shared" si="10"/>
        <v/>
      </c>
      <c r="D1189" s="25"/>
      <c r="E1189" s="22"/>
      <c r="F1189" s="22" t="str">
        <f t="shared" si="11"/>
        <v/>
      </c>
      <c r="G1189" s="22" t="str">
        <f t="shared" si="79"/>
        <v/>
      </c>
      <c r="H1189" s="22" t="str">
        <f t="shared" si="80"/>
        <v/>
      </c>
    </row>
    <row r="1190" ht="15.75" customHeight="1">
      <c r="A1190" s="31"/>
      <c r="B1190" s="22"/>
      <c r="C1190" s="22" t="str">
        <f t="shared" si="10"/>
        <v/>
      </c>
      <c r="D1190" s="25"/>
      <c r="E1190" s="22"/>
      <c r="F1190" s="22" t="str">
        <f t="shared" si="11"/>
        <v/>
      </c>
      <c r="G1190" s="22" t="str">
        <f t="shared" si="79"/>
        <v/>
      </c>
      <c r="H1190" s="22" t="str">
        <f t="shared" si="80"/>
        <v/>
      </c>
    </row>
    <row r="1191" ht="15.75" customHeight="1">
      <c r="A1191" s="31"/>
      <c r="B1191" s="22"/>
      <c r="C1191" s="22" t="str">
        <f t="shared" si="10"/>
        <v/>
      </c>
      <c r="D1191" s="25"/>
      <c r="E1191" s="22"/>
      <c r="F1191" s="22" t="str">
        <f t="shared" si="11"/>
        <v/>
      </c>
      <c r="G1191" s="22" t="str">
        <f t="shared" si="79"/>
        <v/>
      </c>
      <c r="H1191" s="22" t="str">
        <f t="shared" si="80"/>
        <v/>
      </c>
    </row>
    <row r="1192" ht="15.75" customHeight="1">
      <c r="A1192" s="31"/>
      <c r="B1192" s="22"/>
      <c r="C1192" s="22" t="str">
        <f t="shared" si="10"/>
        <v/>
      </c>
      <c r="D1192" s="25"/>
      <c r="E1192" s="22"/>
      <c r="F1192" s="22" t="str">
        <f t="shared" si="11"/>
        <v/>
      </c>
      <c r="G1192" s="22" t="str">
        <f t="shared" si="79"/>
        <v/>
      </c>
      <c r="H1192" s="22" t="str">
        <f t="shared" si="80"/>
        <v/>
      </c>
    </row>
    <row r="1193" ht="15.75" customHeight="1">
      <c r="A1193" s="31"/>
      <c r="B1193" s="22"/>
      <c r="C1193" s="22" t="str">
        <f t="shared" si="10"/>
        <v/>
      </c>
      <c r="D1193" s="25"/>
      <c r="E1193" s="22"/>
      <c r="F1193" s="22" t="str">
        <f t="shared" si="11"/>
        <v/>
      </c>
      <c r="G1193" s="22" t="str">
        <f t="shared" si="79"/>
        <v/>
      </c>
      <c r="H1193" s="22" t="str">
        <f t="shared" si="80"/>
        <v/>
      </c>
    </row>
    <row r="1194" ht="15.75" customHeight="1">
      <c r="A1194" s="31"/>
      <c r="B1194" s="22"/>
      <c r="C1194" s="22" t="str">
        <f t="shared" si="10"/>
        <v/>
      </c>
      <c r="D1194" s="25"/>
      <c r="E1194" s="22"/>
      <c r="F1194" s="22" t="str">
        <f t="shared" si="11"/>
        <v/>
      </c>
      <c r="G1194" s="22" t="str">
        <f t="shared" si="79"/>
        <v/>
      </c>
      <c r="H1194" s="22" t="str">
        <f t="shared" si="80"/>
        <v/>
      </c>
    </row>
    <row r="1195" ht="15.75" customHeight="1">
      <c r="A1195" s="31"/>
      <c r="B1195" s="22"/>
      <c r="C1195" s="22" t="str">
        <f t="shared" si="10"/>
        <v/>
      </c>
      <c r="D1195" s="25"/>
      <c r="E1195" s="22"/>
      <c r="F1195" s="22" t="str">
        <f t="shared" si="11"/>
        <v/>
      </c>
      <c r="G1195" s="22" t="str">
        <f t="shared" si="79"/>
        <v/>
      </c>
      <c r="H1195" s="22" t="str">
        <f t="shared" si="80"/>
        <v/>
      </c>
    </row>
    <row r="1196" ht="15.75" customHeight="1">
      <c r="A1196" s="31"/>
      <c r="B1196" s="22"/>
      <c r="C1196" s="22" t="str">
        <f t="shared" si="10"/>
        <v/>
      </c>
      <c r="D1196" s="25"/>
      <c r="E1196" s="22"/>
      <c r="F1196" s="22" t="str">
        <f t="shared" si="11"/>
        <v/>
      </c>
      <c r="G1196" s="22" t="str">
        <f t="shared" si="79"/>
        <v/>
      </c>
      <c r="H1196" s="22" t="str">
        <f t="shared" si="80"/>
        <v/>
      </c>
    </row>
    <row r="1197" ht="15.75" customHeight="1">
      <c r="A1197" s="31"/>
      <c r="B1197" s="22"/>
      <c r="C1197" s="22" t="str">
        <f t="shared" si="10"/>
        <v/>
      </c>
      <c r="D1197" s="25"/>
      <c r="E1197" s="22"/>
      <c r="F1197" s="22" t="str">
        <f t="shared" si="11"/>
        <v/>
      </c>
      <c r="G1197" s="22" t="str">
        <f t="shared" si="79"/>
        <v/>
      </c>
      <c r="H1197" s="22" t="str">
        <f t="shared" si="80"/>
        <v/>
      </c>
    </row>
    <row r="1198" ht="15.75" customHeight="1">
      <c r="A1198" s="31"/>
      <c r="B1198" s="22"/>
      <c r="C1198" s="22" t="str">
        <f t="shared" si="10"/>
        <v/>
      </c>
      <c r="D1198" s="25"/>
      <c r="E1198" s="22"/>
      <c r="F1198" s="22" t="str">
        <f t="shared" si="11"/>
        <v/>
      </c>
      <c r="G1198" s="22" t="str">
        <f t="shared" si="79"/>
        <v/>
      </c>
      <c r="H1198" s="22" t="str">
        <f t="shared" si="80"/>
        <v/>
      </c>
    </row>
    <row r="1199" ht="15.75" customHeight="1">
      <c r="A1199" s="31"/>
      <c r="B1199" s="22"/>
      <c r="C1199" s="22" t="str">
        <f t="shared" si="10"/>
        <v/>
      </c>
      <c r="D1199" s="25"/>
      <c r="E1199" s="22"/>
      <c r="F1199" s="22" t="str">
        <f t="shared" si="11"/>
        <v/>
      </c>
      <c r="G1199" s="22" t="str">
        <f t="shared" si="79"/>
        <v/>
      </c>
      <c r="H1199" s="22" t="str">
        <f t="shared" si="80"/>
        <v/>
      </c>
    </row>
    <row r="1200" ht="15.75" customHeight="1">
      <c r="A1200" s="31"/>
      <c r="B1200" s="22"/>
      <c r="C1200" s="22" t="str">
        <f t="shared" si="10"/>
        <v/>
      </c>
      <c r="D1200" s="25"/>
      <c r="E1200" s="22"/>
      <c r="F1200" s="22" t="str">
        <f t="shared" si="11"/>
        <v/>
      </c>
      <c r="G1200" s="22" t="str">
        <f t="shared" si="79"/>
        <v/>
      </c>
      <c r="H1200" s="22" t="str">
        <f t="shared" si="80"/>
        <v/>
      </c>
    </row>
    <row r="1201" ht="15.75" customHeight="1">
      <c r="A1201" s="31"/>
      <c r="B1201" s="22"/>
      <c r="C1201" s="22" t="str">
        <f t="shared" si="10"/>
        <v/>
      </c>
      <c r="D1201" s="25"/>
      <c r="E1201" s="22"/>
      <c r="F1201" s="22" t="str">
        <f t="shared" si="11"/>
        <v/>
      </c>
      <c r="G1201" s="22" t="str">
        <f t="shared" si="79"/>
        <v/>
      </c>
      <c r="H1201" s="22" t="str">
        <f t="shared" si="80"/>
        <v/>
      </c>
    </row>
    <row r="1202" ht="15.75" customHeight="1">
      <c r="A1202" s="31"/>
      <c r="B1202" s="22"/>
      <c r="C1202" s="22" t="str">
        <f t="shared" si="10"/>
        <v/>
      </c>
      <c r="D1202" s="25"/>
      <c r="E1202" s="22"/>
      <c r="F1202" s="22" t="str">
        <f t="shared" si="11"/>
        <v/>
      </c>
      <c r="G1202" s="22" t="str">
        <f t="shared" si="79"/>
        <v/>
      </c>
      <c r="H1202" s="22" t="str">
        <f t="shared" si="80"/>
        <v/>
      </c>
    </row>
    <row r="1203" ht="15.75" customHeight="1">
      <c r="A1203" s="31"/>
      <c r="B1203" s="22"/>
      <c r="C1203" s="22" t="str">
        <f t="shared" si="10"/>
        <v/>
      </c>
      <c r="D1203" s="25"/>
      <c r="E1203" s="22"/>
      <c r="F1203" s="22" t="str">
        <f t="shared" si="11"/>
        <v/>
      </c>
      <c r="G1203" s="22" t="str">
        <f t="shared" si="79"/>
        <v/>
      </c>
      <c r="H1203" s="22" t="str">
        <f t="shared" si="80"/>
        <v/>
      </c>
    </row>
    <row r="1204" ht="15.75" customHeight="1">
      <c r="A1204" s="31"/>
      <c r="B1204" s="22"/>
      <c r="C1204" s="22" t="str">
        <f t="shared" si="10"/>
        <v/>
      </c>
      <c r="D1204" s="25"/>
      <c r="E1204" s="22"/>
      <c r="F1204" s="22" t="str">
        <f t="shared" si="11"/>
        <v/>
      </c>
      <c r="G1204" s="22" t="str">
        <f t="shared" si="79"/>
        <v/>
      </c>
      <c r="H1204" s="22" t="str">
        <f t="shared" si="80"/>
        <v/>
      </c>
    </row>
    <row r="1205" ht="15.75" customHeight="1">
      <c r="A1205" s="31"/>
      <c r="B1205" s="22"/>
      <c r="C1205" s="22" t="str">
        <f t="shared" si="10"/>
        <v/>
      </c>
      <c r="D1205" s="25"/>
      <c r="E1205" s="22"/>
      <c r="F1205" s="22" t="str">
        <f t="shared" si="11"/>
        <v/>
      </c>
      <c r="G1205" s="22" t="str">
        <f t="shared" si="79"/>
        <v/>
      </c>
      <c r="H1205" s="22" t="str">
        <f t="shared" si="80"/>
        <v/>
      </c>
    </row>
    <row r="1206" ht="15.75" customHeight="1">
      <c r="A1206" s="31"/>
      <c r="B1206" s="22"/>
      <c r="C1206" s="22" t="str">
        <f t="shared" si="10"/>
        <v/>
      </c>
      <c r="D1206" s="25"/>
      <c r="E1206" s="22"/>
      <c r="F1206" s="22" t="str">
        <f t="shared" si="11"/>
        <v/>
      </c>
      <c r="G1206" s="22" t="str">
        <f t="shared" si="79"/>
        <v/>
      </c>
      <c r="H1206" s="22" t="str">
        <f t="shared" si="80"/>
        <v/>
      </c>
    </row>
    <row r="1207" ht="15.75" customHeight="1">
      <c r="A1207" s="31"/>
      <c r="B1207" s="22"/>
      <c r="C1207" s="22" t="str">
        <f t="shared" si="10"/>
        <v/>
      </c>
      <c r="D1207" s="25"/>
      <c r="E1207" s="22"/>
      <c r="F1207" s="22" t="str">
        <f t="shared" si="11"/>
        <v/>
      </c>
      <c r="G1207" s="22" t="str">
        <f t="shared" si="79"/>
        <v/>
      </c>
      <c r="H1207" s="22" t="str">
        <f t="shared" si="80"/>
        <v/>
      </c>
    </row>
    <row r="1208" ht="15.75" customHeight="1">
      <c r="A1208" s="31"/>
      <c r="B1208" s="22"/>
      <c r="C1208" s="22" t="str">
        <f t="shared" si="10"/>
        <v/>
      </c>
      <c r="D1208" s="25"/>
      <c r="E1208" s="22"/>
      <c r="F1208" s="22" t="str">
        <f t="shared" si="11"/>
        <v/>
      </c>
      <c r="G1208" s="22" t="str">
        <f t="shared" si="79"/>
        <v/>
      </c>
      <c r="H1208" s="22" t="str">
        <f t="shared" si="80"/>
        <v/>
      </c>
    </row>
    <row r="1209" ht="15.75" customHeight="1">
      <c r="A1209" s="31"/>
      <c r="B1209" s="22"/>
      <c r="C1209" s="22" t="str">
        <f t="shared" si="10"/>
        <v/>
      </c>
      <c r="D1209" s="25"/>
      <c r="E1209" s="22"/>
      <c r="F1209" s="22" t="str">
        <f t="shared" si="11"/>
        <v/>
      </c>
      <c r="G1209" s="22" t="str">
        <f t="shared" si="79"/>
        <v/>
      </c>
      <c r="H1209" s="22" t="str">
        <f t="shared" si="80"/>
        <v/>
      </c>
    </row>
    <row r="1210" ht="15.75" customHeight="1">
      <c r="A1210" s="31"/>
      <c r="B1210" s="22"/>
      <c r="C1210" s="22" t="str">
        <f t="shared" si="10"/>
        <v/>
      </c>
      <c r="D1210" s="25"/>
      <c r="E1210" s="22"/>
      <c r="F1210" s="22" t="str">
        <f t="shared" si="11"/>
        <v/>
      </c>
      <c r="G1210" s="22" t="str">
        <f t="shared" si="79"/>
        <v/>
      </c>
      <c r="H1210" s="22" t="str">
        <f t="shared" si="80"/>
        <v/>
      </c>
    </row>
    <row r="1211" ht="15.75" customHeight="1">
      <c r="A1211" s="31"/>
      <c r="B1211" s="22"/>
      <c r="C1211" s="22" t="str">
        <f t="shared" si="10"/>
        <v/>
      </c>
      <c r="D1211" s="25"/>
      <c r="E1211" s="22"/>
      <c r="F1211" s="22" t="str">
        <f t="shared" si="11"/>
        <v/>
      </c>
      <c r="G1211" s="22" t="str">
        <f t="shared" si="79"/>
        <v/>
      </c>
      <c r="H1211" s="22" t="str">
        <f t="shared" si="80"/>
        <v/>
      </c>
    </row>
    <row r="1212" ht="15.75" customHeight="1">
      <c r="A1212" s="31"/>
      <c r="B1212" s="22"/>
      <c r="C1212" s="22" t="str">
        <f t="shared" si="10"/>
        <v/>
      </c>
      <c r="D1212" s="25"/>
      <c r="E1212" s="22"/>
      <c r="F1212" s="22" t="str">
        <f t="shared" si="11"/>
        <v/>
      </c>
      <c r="G1212" s="22" t="str">
        <f t="shared" si="79"/>
        <v/>
      </c>
      <c r="H1212" s="22" t="str">
        <f t="shared" si="80"/>
        <v/>
      </c>
    </row>
    <row r="1213" ht="15.75" customHeight="1">
      <c r="A1213" s="31"/>
      <c r="B1213" s="22"/>
      <c r="C1213" s="22" t="str">
        <f t="shared" si="10"/>
        <v/>
      </c>
      <c r="D1213" s="25"/>
      <c r="E1213" s="22"/>
      <c r="F1213" s="22" t="str">
        <f t="shared" si="11"/>
        <v/>
      </c>
      <c r="G1213" s="22" t="str">
        <f t="shared" si="79"/>
        <v/>
      </c>
      <c r="H1213" s="22" t="str">
        <f t="shared" si="80"/>
        <v/>
      </c>
    </row>
    <row r="1214" ht="15.75" customHeight="1">
      <c r="A1214" s="31"/>
      <c r="B1214" s="22"/>
      <c r="C1214" s="22" t="str">
        <f t="shared" si="10"/>
        <v/>
      </c>
      <c r="D1214" s="25"/>
      <c r="E1214" s="22"/>
      <c r="F1214" s="22" t="str">
        <f t="shared" si="11"/>
        <v/>
      </c>
      <c r="G1214" s="22" t="str">
        <f t="shared" si="79"/>
        <v/>
      </c>
      <c r="H1214" s="22" t="str">
        <f t="shared" si="80"/>
        <v/>
      </c>
    </row>
    <row r="1215" ht="15.75" customHeight="1">
      <c r="A1215" s="31"/>
      <c r="B1215" s="22"/>
      <c r="C1215" s="22" t="str">
        <f t="shared" si="10"/>
        <v/>
      </c>
      <c r="D1215" s="25"/>
      <c r="E1215" s="22"/>
      <c r="F1215" s="22" t="str">
        <f t="shared" si="11"/>
        <v/>
      </c>
      <c r="G1215" s="22" t="str">
        <f t="shared" si="79"/>
        <v/>
      </c>
      <c r="H1215" s="22" t="str">
        <f t="shared" si="80"/>
        <v/>
      </c>
    </row>
    <row r="1216" ht="15.75" customHeight="1">
      <c r="A1216" s="31"/>
      <c r="B1216" s="22"/>
      <c r="C1216" s="22" t="str">
        <f t="shared" si="10"/>
        <v/>
      </c>
      <c r="D1216" s="25"/>
      <c r="E1216" s="22"/>
      <c r="F1216" s="22" t="str">
        <f t="shared" si="11"/>
        <v/>
      </c>
      <c r="G1216" s="22" t="str">
        <f t="shared" si="79"/>
        <v/>
      </c>
      <c r="H1216" s="22" t="str">
        <f t="shared" si="80"/>
        <v/>
      </c>
    </row>
    <row r="1217" ht="15.75" customHeight="1">
      <c r="A1217" s="31"/>
      <c r="B1217" s="22"/>
      <c r="C1217" s="22" t="str">
        <f t="shared" si="10"/>
        <v/>
      </c>
      <c r="D1217" s="25"/>
      <c r="E1217" s="22"/>
      <c r="F1217" s="22" t="str">
        <f t="shared" si="11"/>
        <v/>
      </c>
      <c r="G1217" s="22" t="str">
        <f t="shared" si="79"/>
        <v/>
      </c>
      <c r="H1217" s="22" t="str">
        <f t="shared" si="80"/>
        <v/>
      </c>
    </row>
    <row r="1218" ht="15.75" customHeight="1">
      <c r="A1218" s="31"/>
      <c r="B1218" s="22"/>
      <c r="C1218" s="22" t="str">
        <f t="shared" si="10"/>
        <v/>
      </c>
      <c r="D1218" s="25"/>
      <c r="E1218" s="22"/>
      <c r="F1218" s="22" t="str">
        <f t="shared" si="11"/>
        <v/>
      </c>
      <c r="G1218" s="22" t="str">
        <f t="shared" si="79"/>
        <v/>
      </c>
      <c r="H1218" s="22" t="str">
        <f t="shared" si="80"/>
        <v/>
      </c>
    </row>
    <row r="1219" ht="15.75" customHeight="1">
      <c r="A1219" s="31"/>
      <c r="B1219" s="22"/>
      <c r="C1219" s="22" t="str">
        <f t="shared" si="10"/>
        <v/>
      </c>
      <c r="D1219" s="25"/>
      <c r="E1219" s="22"/>
      <c r="F1219" s="22" t="str">
        <f t="shared" si="11"/>
        <v/>
      </c>
      <c r="G1219" s="22" t="str">
        <f t="shared" si="79"/>
        <v/>
      </c>
      <c r="H1219" s="22" t="str">
        <f t="shared" si="80"/>
        <v/>
      </c>
    </row>
    <row r="1220" ht="15.75" customHeight="1">
      <c r="A1220" s="31"/>
      <c r="B1220" s="22"/>
      <c r="C1220" s="22" t="str">
        <f t="shared" si="10"/>
        <v/>
      </c>
      <c r="D1220" s="25"/>
      <c r="E1220" s="22"/>
      <c r="F1220" s="22" t="str">
        <f t="shared" si="11"/>
        <v/>
      </c>
      <c r="G1220" s="22" t="str">
        <f t="shared" si="79"/>
        <v/>
      </c>
      <c r="H1220" s="22" t="str">
        <f t="shared" si="80"/>
        <v/>
      </c>
    </row>
    <row r="1221" ht="15.75" customHeight="1">
      <c r="A1221" s="31"/>
      <c r="B1221" s="22"/>
      <c r="C1221" s="22" t="str">
        <f t="shared" si="10"/>
        <v/>
      </c>
      <c r="D1221" s="25"/>
      <c r="E1221" s="22"/>
      <c r="F1221" s="22" t="str">
        <f t="shared" si="11"/>
        <v/>
      </c>
      <c r="G1221" s="22" t="str">
        <f t="shared" si="79"/>
        <v/>
      </c>
      <c r="H1221" s="22" t="str">
        <f t="shared" si="80"/>
        <v/>
      </c>
    </row>
    <row r="1222" ht="15.75" customHeight="1">
      <c r="A1222" s="31"/>
      <c r="B1222" s="22"/>
      <c r="C1222" s="22" t="str">
        <f t="shared" si="10"/>
        <v/>
      </c>
      <c r="D1222" s="25"/>
      <c r="E1222" s="22"/>
      <c r="F1222" s="22" t="str">
        <f t="shared" si="11"/>
        <v/>
      </c>
      <c r="G1222" s="22" t="str">
        <f t="shared" si="79"/>
        <v/>
      </c>
      <c r="H1222" s="22" t="str">
        <f t="shared" si="80"/>
        <v/>
      </c>
    </row>
    <row r="1223" ht="15.75" customHeight="1">
      <c r="A1223" s="31"/>
      <c r="B1223" s="22"/>
      <c r="C1223" s="22" t="str">
        <f t="shared" si="10"/>
        <v/>
      </c>
      <c r="D1223" s="25"/>
      <c r="E1223" s="22"/>
      <c r="F1223" s="22" t="str">
        <f t="shared" si="11"/>
        <v/>
      </c>
      <c r="G1223" s="22" t="str">
        <f t="shared" si="79"/>
        <v/>
      </c>
      <c r="H1223" s="22" t="str">
        <f t="shared" si="80"/>
        <v/>
      </c>
    </row>
    <row r="1224" ht="15.75" customHeight="1">
      <c r="A1224" s="31"/>
      <c r="B1224" s="22"/>
      <c r="C1224" s="22" t="str">
        <f t="shared" si="10"/>
        <v/>
      </c>
      <c r="D1224" s="25"/>
      <c r="E1224" s="22"/>
      <c r="F1224" s="22" t="str">
        <f t="shared" si="11"/>
        <v/>
      </c>
      <c r="G1224" s="22" t="str">
        <f t="shared" si="79"/>
        <v/>
      </c>
      <c r="H1224" s="22" t="str">
        <f t="shared" si="80"/>
        <v/>
      </c>
    </row>
    <row r="1225" ht="15.75" customHeight="1">
      <c r="A1225" s="31"/>
      <c r="B1225" s="22"/>
      <c r="C1225" s="22" t="str">
        <f t="shared" si="10"/>
        <v/>
      </c>
      <c r="D1225" s="25"/>
      <c r="E1225" s="22"/>
      <c r="F1225" s="22" t="str">
        <f t="shared" si="11"/>
        <v/>
      </c>
      <c r="G1225" s="22" t="str">
        <f t="shared" si="79"/>
        <v/>
      </c>
      <c r="H1225" s="22" t="str">
        <f t="shared" si="80"/>
        <v/>
      </c>
    </row>
    <row r="1226" ht="15.75" customHeight="1">
      <c r="A1226" s="31"/>
      <c r="B1226" s="22"/>
      <c r="C1226" s="22" t="str">
        <f t="shared" si="10"/>
        <v/>
      </c>
      <c r="D1226" s="25"/>
      <c r="E1226" s="22"/>
      <c r="F1226" s="22" t="str">
        <f t="shared" si="11"/>
        <v/>
      </c>
      <c r="G1226" s="22" t="str">
        <f t="shared" si="79"/>
        <v/>
      </c>
      <c r="H1226" s="22" t="str">
        <f t="shared" si="80"/>
        <v/>
      </c>
    </row>
    <row r="1227" ht="15.75" customHeight="1">
      <c r="A1227" s="31"/>
      <c r="B1227" s="22"/>
      <c r="C1227" s="22" t="str">
        <f t="shared" si="10"/>
        <v/>
      </c>
      <c r="D1227" s="25"/>
      <c r="E1227" s="22"/>
      <c r="F1227" s="22" t="str">
        <f t="shared" si="11"/>
        <v/>
      </c>
      <c r="G1227" s="22" t="str">
        <f t="shared" si="79"/>
        <v/>
      </c>
      <c r="H1227" s="22" t="str">
        <f t="shared" si="80"/>
        <v/>
      </c>
    </row>
    <row r="1228" ht="15.75" customHeight="1">
      <c r="A1228" s="31"/>
      <c r="B1228" s="22"/>
      <c r="C1228" s="22" t="str">
        <f t="shared" si="10"/>
        <v/>
      </c>
      <c r="D1228" s="25"/>
      <c r="E1228" s="22"/>
      <c r="F1228" s="22" t="str">
        <f t="shared" si="11"/>
        <v/>
      </c>
      <c r="G1228" s="22" t="str">
        <f t="shared" si="79"/>
        <v/>
      </c>
      <c r="H1228" s="22" t="str">
        <f t="shared" si="80"/>
        <v/>
      </c>
    </row>
    <row r="1229" ht="15.75" customHeight="1">
      <c r="A1229" s="31"/>
      <c r="B1229" s="22"/>
      <c r="C1229" s="22" t="str">
        <f t="shared" si="10"/>
        <v/>
      </c>
      <c r="D1229" s="25"/>
      <c r="E1229" s="22"/>
      <c r="F1229" s="22" t="str">
        <f t="shared" si="11"/>
        <v/>
      </c>
      <c r="G1229" s="22" t="str">
        <f t="shared" si="79"/>
        <v/>
      </c>
      <c r="H1229" s="22" t="str">
        <f t="shared" si="80"/>
        <v/>
      </c>
    </row>
    <row r="1230" ht="15.75" customHeight="1">
      <c r="A1230" s="31"/>
      <c r="B1230" s="22"/>
      <c r="C1230" s="22" t="str">
        <f t="shared" si="10"/>
        <v/>
      </c>
      <c r="D1230" s="25"/>
      <c r="E1230" s="22"/>
      <c r="F1230" s="22" t="str">
        <f t="shared" si="11"/>
        <v/>
      </c>
      <c r="G1230" s="22" t="str">
        <f t="shared" si="79"/>
        <v/>
      </c>
      <c r="H1230" s="22" t="str">
        <f t="shared" si="80"/>
        <v/>
      </c>
    </row>
    <row r="1231" ht="15.75" customHeight="1">
      <c r="A1231" s="31"/>
      <c r="B1231" s="22"/>
      <c r="C1231" s="22" t="str">
        <f t="shared" si="10"/>
        <v/>
      </c>
      <c r="D1231" s="25"/>
      <c r="E1231" s="22"/>
      <c r="F1231" s="22" t="str">
        <f t="shared" si="11"/>
        <v/>
      </c>
      <c r="G1231" s="22" t="str">
        <f t="shared" si="79"/>
        <v/>
      </c>
      <c r="H1231" s="22" t="str">
        <f t="shared" si="80"/>
        <v/>
      </c>
    </row>
    <row r="1232" ht="15.75" customHeight="1">
      <c r="A1232" s="31"/>
      <c r="B1232" s="22"/>
      <c r="C1232" s="22" t="str">
        <f t="shared" si="10"/>
        <v/>
      </c>
      <c r="D1232" s="25"/>
      <c r="E1232" s="22"/>
      <c r="F1232" s="22" t="str">
        <f t="shared" si="11"/>
        <v/>
      </c>
      <c r="G1232" s="22" t="str">
        <f t="shared" si="79"/>
        <v/>
      </c>
      <c r="H1232" s="22" t="str">
        <f t="shared" si="80"/>
        <v/>
      </c>
    </row>
    <row r="1233" ht="15.75" customHeight="1">
      <c r="A1233" s="31"/>
      <c r="B1233" s="22"/>
      <c r="C1233" s="22" t="str">
        <f t="shared" si="10"/>
        <v/>
      </c>
      <c r="D1233" s="25"/>
      <c r="E1233" s="22"/>
      <c r="F1233" s="22" t="str">
        <f t="shared" si="11"/>
        <v/>
      </c>
      <c r="G1233" s="22" t="str">
        <f t="shared" si="79"/>
        <v/>
      </c>
      <c r="H1233" s="22" t="str">
        <f t="shared" si="80"/>
        <v/>
      </c>
    </row>
    <row r="1234" ht="15.75" customHeight="1">
      <c r="A1234" s="31"/>
      <c r="B1234" s="22"/>
      <c r="C1234" s="22" t="str">
        <f t="shared" si="10"/>
        <v/>
      </c>
      <c r="D1234" s="25"/>
      <c r="E1234" s="22"/>
      <c r="F1234" s="22" t="str">
        <f t="shared" si="11"/>
        <v/>
      </c>
      <c r="G1234" s="22" t="str">
        <f t="shared" si="79"/>
        <v/>
      </c>
      <c r="H1234" s="22" t="str">
        <f t="shared" si="80"/>
        <v/>
      </c>
    </row>
    <row r="1235" ht="15.75" customHeight="1">
      <c r="A1235" s="31"/>
      <c r="B1235" s="22"/>
      <c r="C1235" s="22" t="str">
        <f t="shared" si="10"/>
        <v/>
      </c>
      <c r="D1235" s="25"/>
      <c r="E1235" s="22"/>
      <c r="F1235" s="22" t="str">
        <f t="shared" si="11"/>
        <v/>
      </c>
      <c r="G1235" s="22" t="str">
        <f t="shared" si="79"/>
        <v/>
      </c>
      <c r="H1235" s="22" t="str">
        <f t="shared" si="80"/>
        <v/>
      </c>
    </row>
    <row r="1236" ht="15.75" customHeight="1">
      <c r="A1236" s="31"/>
      <c r="B1236" s="22"/>
      <c r="C1236" s="22" t="str">
        <f t="shared" si="10"/>
        <v/>
      </c>
      <c r="D1236" s="25"/>
      <c r="E1236" s="22"/>
      <c r="F1236" s="22" t="str">
        <f t="shared" si="11"/>
        <v/>
      </c>
      <c r="G1236" s="22" t="str">
        <f t="shared" si="79"/>
        <v/>
      </c>
      <c r="H1236" s="22" t="str">
        <f t="shared" si="80"/>
        <v/>
      </c>
    </row>
    <row r="1237" ht="15.75" customHeight="1">
      <c r="A1237" s="31"/>
      <c r="B1237" s="22"/>
      <c r="C1237" s="22" t="str">
        <f t="shared" si="10"/>
        <v/>
      </c>
      <c r="D1237" s="25"/>
      <c r="E1237" s="22"/>
      <c r="F1237" s="22" t="str">
        <f t="shared" si="11"/>
        <v/>
      </c>
      <c r="G1237" s="22" t="str">
        <f t="shared" si="79"/>
        <v/>
      </c>
      <c r="H1237" s="22" t="str">
        <f t="shared" si="80"/>
        <v/>
      </c>
    </row>
    <row r="1238" ht="15.75" customHeight="1">
      <c r="A1238" s="31"/>
      <c r="B1238" s="22"/>
      <c r="C1238" s="22" t="str">
        <f t="shared" si="10"/>
        <v/>
      </c>
      <c r="D1238" s="25"/>
      <c r="E1238" s="22"/>
      <c r="F1238" s="22" t="str">
        <f t="shared" si="11"/>
        <v/>
      </c>
      <c r="G1238" s="22" t="str">
        <f t="shared" si="79"/>
        <v/>
      </c>
      <c r="H1238" s="22" t="str">
        <f t="shared" si="80"/>
        <v/>
      </c>
    </row>
    <row r="1239" ht="15.75" customHeight="1">
      <c r="A1239" s="31"/>
      <c r="B1239" s="22"/>
      <c r="C1239" s="22" t="str">
        <f t="shared" si="10"/>
        <v/>
      </c>
      <c r="D1239" s="25"/>
      <c r="E1239" s="22"/>
      <c r="F1239" s="22" t="str">
        <f t="shared" si="11"/>
        <v/>
      </c>
      <c r="G1239" s="22" t="str">
        <f t="shared" si="79"/>
        <v/>
      </c>
      <c r="H1239" s="22" t="str">
        <f t="shared" si="80"/>
        <v/>
      </c>
    </row>
    <row r="1240" ht="15.75" customHeight="1">
      <c r="A1240" s="31"/>
      <c r="B1240" s="22"/>
      <c r="C1240" s="22" t="str">
        <f t="shared" si="10"/>
        <v/>
      </c>
      <c r="D1240" s="25"/>
      <c r="E1240" s="22"/>
      <c r="F1240" s="22" t="str">
        <f t="shared" si="11"/>
        <v/>
      </c>
      <c r="G1240" s="22" t="str">
        <f t="shared" si="79"/>
        <v/>
      </c>
      <c r="H1240" s="22" t="str">
        <f t="shared" si="80"/>
        <v/>
      </c>
    </row>
    <row r="1241" ht="15.75" customHeight="1">
      <c r="A1241" s="31"/>
      <c r="B1241" s="22"/>
      <c r="C1241" s="22" t="str">
        <f t="shared" si="10"/>
        <v/>
      </c>
      <c r="D1241" s="25"/>
      <c r="E1241" s="22"/>
      <c r="F1241" s="22" t="str">
        <f t="shared" si="11"/>
        <v/>
      </c>
      <c r="G1241" s="22" t="str">
        <f t="shared" si="79"/>
        <v/>
      </c>
      <c r="H1241" s="22" t="str">
        <f t="shared" si="80"/>
        <v/>
      </c>
    </row>
    <row r="1242" ht="15.75" customHeight="1">
      <c r="A1242" s="31"/>
      <c r="B1242" s="22"/>
      <c r="C1242" s="22" t="str">
        <f t="shared" si="10"/>
        <v/>
      </c>
      <c r="D1242" s="25"/>
      <c r="E1242" s="22"/>
      <c r="F1242" s="22" t="str">
        <f t="shared" si="11"/>
        <v/>
      </c>
      <c r="G1242" s="22" t="str">
        <f t="shared" si="79"/>
        <v/>
      </c>
      <c r="H1242" s="22" t="str">
        <f t="shared" si="80"/>
        <v/>
      </c>
    </row>
    <row r="1243" ht="15.75" customHeight="1">
      <c r="A1243" s="31"/>
      <c r="B1243" s="22"/>
      <c r="C1243" s="22" t="str">
        <f t="shared" si="10"/>
        <v/>
      </c>
      <c r="D1243" s="25"/>
      <c r="E1243" s="22"/>
      <c r="F1243" s="22" t="str">
        <f t="shared" si="11"/>
        <v/>
      </c>
      <c r="G1243" s="22" t="str">
        <f t="shared" si="79"/>
        <v/>
      </c>
      <c r="H1243" s="22" t="str">
        <f t="shared" si="80"/>
        <v/>
      </c>
    </row>
    <row r="1244" ht="15.75" customHeight="1">
      <c r="A1244" s="31"/>
      <c r="B1244" s="22"/>
      <c r="C1244" s="22" t="str">
        <f t="shared" si="10"/>
        <v/>
      </c>
      <c r="D1244" s="25"/>
      <c r="E1244" s="22"/>
      <c r="F1244" s="22" t="str">
        <f t="shared" si="11"/>
        <v/>
      </c>
      <c r="G1244" s="22" t="str">
        <f t="shared" si="79"/>
        <v/>
      </c>
      <c r="H1244" s="22" t="str">
        <f t="shared" si="80"/>
        <v/>
      </c>
    </row>
    <row r="1245" ht="15.75" customHeight="1">
      <c r="A1245" s="31"/>
      <c r="B1245" s="22"/>
      <c r="C1245" s="22" t="str">
        <f t="shared" si="10"/>
        <v/>
      </c>
      <c r="D1245" s="25"/>
      <c r="E1245" s="22"/>
      <c r="F1245" s="22" t="str">
        <f t="shared" si="11"/>
        <v/>
      </c>
      <c r="G1245" s="22" t="str">
        <f t="shared" si="79"/>
        <v/>
      </c>
      <c r="H1245" s="22" t="str">
        <f t="shared" si="80"/>
        <v/>
      </c>
    </row>
    <row r="1246" ht="15.75" customHeight="1">
      <c r="A1246" s="31"/>
      <c r="B1246" s="22"/>
      <c r="C1246" s="22" t="str">
        <f t="shared" si="10"/>
        <v/>
      </c>
      <c r="D1246" s="25"/>
      <c r="E1246" s="22"/>
      <c r="F1246" s="22" t="str">
        <f t="shared" si="11"/>
        <v/>
      </c>
      <c r="G1246" s="22" t="str">
        <f t="shared" si="79"/>
        <v/>
      </c>
      <c r="H1246" s="22" t="str">
        <f t="shared" si="80"/>
        <v/>
      </c>
    </row>
    <row r="1247" ht="15.75" customHeight="1">
      <c r="A1247" s="31"/>
      <c r="B1247" s="22"/>
      <c r="C1247" s="22" t="str">
        <f t="shared" si="10"/>
        <v/>
      </c>
      <c r="D1247" s="25"/>
      <c r="E1247" s="22"/>
      <c r="F1247" s="22" t="str">
        <f t="shared" si="11"/>
        <v/>
      </c>
      <c r="G1247" s="22" t="str">
        <f t="shared" si="79"/>
        <v/>
      </c>
      <c r="H1247" s="22" t="str">
        <f t="shared" si="80"/>
        <v/>
      </c>
    </row>
    <row r="1248" ht="15.75" customHeight="1">
      <c r="A1248" s="31"/>
      <c r="B1248" s="22"/>
      <c r="C1248" s="22" t="str">
        <f t="shared" si="10"/>
        <v/>
      </c>
      <c r="D1248" s="25"/>
      <c r="E1248" s="22"/>
      <c r="F1248" s="22" t="str">
        <f t="shared" si="11"/>
        <v/>
      </c>
      <c r="G1248" s="22" t="str">
        <f t="shared" si="79"/>
        <v/>
      </c>
      <c r="H1248" s="22" t="str">
        <f t="shared" si="80"/>
        <v/>
      </c>
    </row>
    <row r="1249" ht="15.75" customHeight="1">
      <c r="A1249" s="31"/>
      <c r="B1249" s="22"/>
      <c r="C1249" s="22" t="str">
        <f t="shared" si="10"/>
        <v/>
      </c>
      <c r="D1249" s="25"/>
      <c r="E1249" s="22"/>
      <c r="F1249" s="22" t="str">
        <f t="shared" si="11"/>
        <v/>
      </c>
      <c r="G1249" s="22" t="str">
        <f t="shared" si="79"/>
        <v/>
      </c>
      <c r="H1249" s="22" t="str">
        <f t="shared" si="80"/>
        <v/>
      </c>
    </row>
    <row r="1250" ht="15.75" customHeight="1">
      <c r="A1250" s="31"/>
      <c r="B1250" s="22"/>
      <c r="C1250" s="22" t="str">
        <f t="shared" si="10"/>
        <v/>
      </c>
      <c r="D1250" s="25"/>
      <c r="E1250" s="22"/>
      <c r="F1250" s="22" t="str">
        <f t="shared" si="11"/>
        <v/>
      </c>
      <c r="G1250" s="22" t="str">
        <f t="shared" si="79"/>
        <v/>
      </c>
      <c r="H1250" s="22" t="str">
        <f t="shared" si="80"/>
        <v/>
      </c>
    </row>
    <row r="1251" ht="15.75" customHeight="1">
      <c r="A1251" s="31"/>
      <c r="B1251" s="22"/>
      <c r="C1251" s="22" t="str">
        <f t="shared" si="10"/>
        <v/>
      </c>
      <c r="D1251" s="25"/>
      <c r="E1251" s="22"/>
      <c r="F1251" s="22" t="str">
        <f t="shared" si="11"/>
        <v/>
      </c>
      <c r="G1251" s="22" t="str">
        <f t="shared" si="79"/>
        <v/>
      </c>
      <c r="H1251" s="22" t="str">
        <f t="shared" si="80"/>
        <v/>
      </c>
    </row>
    <row r="1252" ht="15.75" customHeight="1">
      <c r="A1252" s="31"/>
      <c r="B1252" s="22"/>
      <c r="C1252" s="22" t="str">
        <f t="shared" si="10"/>
        <v/>
      </c>
      <c r="D1252" s="25"/>
      <c r="E1252" s="22"/>
      <c r="F1252" s="22" t="str">
        <f t="shared" si="11"/>
        <v/>
      </c>
      <c r="G1252" s="22" t="str">
        <f t="shared" si="79"/>
        <v/>
      </c>
      <c r="H1252" s="22" t="str">
        <f t="shared" si="80"/>
        <v/>
      </c>
    </row>
    <row r="1253" ht="15.75" customHeight="1">
      <c r="A1253" s="31"/>
      <c r="B1253" s="22"/>
      <c r="C1253" s="22" t="str">
        <f t="shared" si="10"/>
        <v/>
      </c>
      <c r="D1253" s="25"/>
      <c r="E1253" s="22"/>
      <c r="F1253" s="22" t="str">
        <f t="shared" si="11"/>
        <v/>
      </c>
      <c r="G1253" s="22" t="str">
        <f t="shared" si="79"/>
        <v/>
      </c>
      <c r="H1253" s="22" t="str">
        <f t="shared" si="80"/>
        <v/>
      </c>
    </row>
    <row r="1254" ht="15.75" customHeight="1">
      <c r="A1254" s="31"/>
      <c r="B1254" s="22"/>
      <c r="C1254" s="22" t="str">
        <f t="shared" si="10"/>
        <v/>
      </c>
      <c r="D1254" s="25"/>
      <c r="E1254" s="22"/>
      <c r="F1254" s="22" t="str">
        <f t="shared" si="11"/>
        <v/>
      </c>
      <c r="G1254" s="22" t="str">
        <f t="shared" si="79"/>
        <v/>
      </c>
      <c r="H1254" s="22" t="str">
        <f t="shared" si="80"/>
        <v/>
      </c>
    </row>
    <row r="1255" ht="15.75" customHeight="1">
      <c r="A1255" s="31"/>
      <c r="B1255" s="22"/>
      <c r="C1255" s="22" t="str">
        <f t="shared" si="10"/>
        <v/>
      </c>
      <c r="D1255" s="25"/>
      <c r="E1255" s="22"/>
      <c r="F1255" s="22" t="str">
        <f t="shared" si="11"/>
        <v/>
      </c>
      <c r="G1255" s="22" t="str">
        <f t="shared" si="79"/>
        <v/>
      </c>
      <c r="H1255" s="22" t="str">
        <f t="shared" si="80"/>
        <v/>
      </c>
    </row>
    <row r="1256" ht="15.75" customHeight="1">
      <c r="A1256" s="31"/>
      <c r="B1256" s="22"/>
      <c r="C1256" s="22" t="str">
        <f t="shared" si="10"/>
        <v/>
      </c>
      <c r="D1256" s="25"/>
      <c r="E1256" s="22"/>
      <c r="F1256" s="22" t="str">
        <f t="shared" si="11"/>
        <v/>
      </c>
      <c r="G1256" s="22" t="str">
        <f t="shared" si="79"/>
        <v/>
      </c>
      <c r="H1256" s="22" t="str">
        <f t="shared" si="80"/>
        <v/>
      </c>
    </row>
    <row r="1257" ht="15.75" customHeight="1">
      <c r="A1257" s="31"/>
      <c r="B1257" s="22"/>
      <c r="C1257" s="22" t="str">
        <f t="shared" si="10"/>
        <v/>
      </c>
      <c r="D1257" s="25"/>
      <c r="E1257" s="22"/>
      <c r="F1257" s="22" t="str">
        <f t="shared" si="11"/>
        <v/>
      </c>
      <c r="G1257" s="22" t="str">
        <f t="shared" si="79"/>
        <v/>
      </c>
      <c r="H1257" s="22" t="str">
        <f t="shared" si="80"/>
        <v/>
      </c>
    </row>
    <row r="1258" ht="15.75" customHeight="1">
      <c r="A1258" s="31"/>
      <c r="B1258" s="22"/>
      <c r="C1258" s="22" t="str">
        <f t="shared" si="10"/>
        <v/>
      </c>
      <c r="D1258" s="25"/>
      <c r="E1258" s="22"/>
      <c r="F1258" s="22" t="str">
        <f t="shared" si="11"/>
        <v/>
      </c>
      <c r="G1258" s="22" t="str">
        <f t="shared" si="79"/>
        <v/>
      </c>
      <c r="H1258" s="22" t="str">
        <f t="shared" si="80"/>
        <v/>
      </c>
    </row>
    <row r="1259" ht="15.75" customHeight="1">
      <c r="A1259" s="31"/>
      <c r="B1259" s="22"/>
      <c r="C1259" s="22" t="str">
        <f t="shared" si="10"/>
        <v/>
      </c>
      <c r="D1259" s="25"/>
      <c r="E1259" s="22"/>
      <c r="F1259" s="22" t="str">
        <f t="shared" si="11"/>
        <v/>
      </c>
      <c r="G1259" s="22" t="str">
        <f t="shared" si="79"/>
        <v/>
      </c>
      <c r="H1259" s="22" t="str">
        <f t="shared" si="80"/>
        <v/>
      </c>
    </row>
    <row r="1260" ht="15.75" customHeight="1">
      <c r="A1260" s="31"/>
      <c r="B1260" s="22"/>
      <c r="C1260" s="22" t="str">
        <f t="shared" si="10"/>
        <v/>
      </c>
      <c r="D1260" s="25"/>
      <c r="E1260" s="22"/>
      <c r="F1260" s="22" t="str">
        <f t="shared" si="11"/>
        <v/>
      </c>
      <c r="G1260" s="22" t="str">
        <f t="shared" si="79"/>
        <v/>
      </c>
      <c r="H1260" s="22" t="str">
        <f t="shared" si="80"/>
        <v/>
      </c>
    </row>
    <row r="1261" ht="15.75" customHeight="1">
      <c r="A1261" s="31"/>
      <c r="B1261" s="22"/>
      <c r="C1261" s="22" t="str">
        <f t="shared" si="10"/>
        <v/>
      </c>
      <c r="D1261" s="25"/>
      <c r="E1261" s="22"/>
      <c r="F1261" s="22" t="str">
        <f t="shared" si="11"/>
        <v/>
      </c>
      <c r="G1261" s="22" t="str">
        <f t="shared" si="79"/>
        <v/>
      </c>
      <c r="H1261" s="22" t="str">
        <f t="shared" si="80"/>
        <v/>
      </c>
    </row>
    <row r="1262" ht="15.75" customHeight="1">
      <c r="A1262" s="31"/>
      <c r="B1262" s="22"/>
      <c r="C1262" s="22" t="str">
        <f t="shared" si="10"/>
        <v/>
      </c>
      <c r="D1262" s="25"/>
      <c r="E1262" s="22"/>
      <c r="F1262" s="22" t="str">
        <f t="shared" si="11"/>
        <v/>
      </c>
      <c r="G1262" s="22" t="str">
        <f t="shared" si="79"/>
        <v/>
      </c>
      <c r="H1262" s="22" t="str">
        <f t="shared" si="80"/>
        <v/>
      </c>
    </row>
    <row r="1263" ht="15.75" customHeight="1">
      <c r="A1263" s="31"/>
      <c r="B1263" s="22"/>
      <c r="C1263" s="22" t="str">
        <f t="shared" si="10"/>
        <v/>
      </c>
      <c r="D1263" s="25"/>
      <c r="E1263" s="22"/>
      <c r="F1263" s="22" t="str">
        <f t="shared" si="11"/>
        <v/>
      </c>
      <c r="G1263" s="22" t="str">
        <f t="shared" si="79"/>
        <v/>
      </c>
      <c r="H1263" s="22" t="str">
        <f t="shared" si="80"/>
        <v/>
      </c>
    </row>
    <row r="1264" ht="15.75" customHeight="1">
      <c r="A1264" s="31"/>
      <c r="B1264" s="22"/>
      <c r="C1264" s="22" t="str">
        <f t="shared" si="10"/>
        <v/>
      </c>
      <c r="D1264" s="25"/>
      <c r="E1264" s="22"/>
      <c r="F1264" s="22" t="str">
        <f t="shared" si="11"/>
        <v/>
      </c>
      <c r="G1264" s="22" t="str">
        <f t="shared" si="79"/>
        <v/>
      </c>
      <c r="H1264" s="22" t="str">
        <f t="shared" si="80"/>
        <v/>
      </c>
    </row>
    <row r="1265" ht="15.75" customHeight="1">
      <c r="A1265" s="31"/>
      <c r="B1265" s="22"/>
      <c r="C1265" s="22" t="str">
        <f t="shared" si="10"/>
        <v/>
      </c>
      <c r="D1265" s="25"/>
      <c r="E1265" s="22"/>
      <c r="F1265" s="22" t="str">
        <f t="shared" si="11"/>
        <v/>
      </c>
      <c r="G1265" s="22" t="str">
        <f t="shared" si="79"/>
        <v/>
      </c>
      <c r="H1265" s="22" t="str">
        <f t="shared" si="80"/>
        <v/>
      </c>
    </row>
    <row r="1266" ht="15.75" customHeight="1">
      <c r="A1266" s="31"/>
      <c r="B1266" s="22"/>
      <c r="C1266" s="22" t="str">
        <f t="shared" si="10"/>
        <v/>
      </c>
      <c r="D1266" s="25"/>
      <c r="E1266" s="22"/>
      <c r="F1266" s="22" t="str">
        <f t="shared" si="11"/>
        <v/>
      </c>
      <c r="G1266" s="22" t="str">
        <f t="shared" si="79"/>
        <v/>
      </c>
      <c r="H1266" s="22" t="str">
        <f t="shared" si="80"/>
        <v/>
      </c>
    </row>
    <row r="1267" ht="15.75" customHeight="1">
      <c r="A1267" s="31"/>
      <c r="B1267" s="22"/>
      <c r="C1267" s="22" t="str">
        <f t="shared" si="10"/>
        <v/>
      </c>
      <c r="D1267" s="25"/>
      <c r="E1267" s="22"/>
      <c r="F1267" s="22" t="str">
        <f t="shared" si="11"/>
        <v/>
      </c>
      <c r="G1267" s="22" t="str">
        <f t="shared" si="79"/>
        <v/>
      </c>
      <c r="H1267" s="22" t="str">
        <f t="shared" si="80"/>
        <v/>
      </c>
    </row>
    <row r="1268" ht="15.75" customHeight="1">
      <c r="A1268" s="31"/>
      <c r="B1268" s="22"/>
      <c r="C1268" s="22" t="str">
        <f t="shared" si="10"/>
        <v/>
      </c>
      <c r="D1268" s="25"/>
      <c r="E1268" s="22"/>
      <c r="F1268" s="22" t="str">
        <f t="shared" si="11"/>
        <v/>
      </c>
      <c r="G1268" s="22" t="str">
        <f t="shared" si="79"/>
        <v/>
      </c>
      <c r="H1268" s="22" t="str">
        <f t="shared" si="80"/>
        <v/>
      </c>
    </row>
    <row r="1269" ht="15.75" customHeight="1">
      <c r="A1269" s="31"/>
      <c r="B1269" s="22"/>
      <c r="C1269" s="22" t="str">
        <f t="shared" si="10"/>
        <v/>
      </c>
      <c r="D1269" s="25"/>
      <c r="E1269" s="22"/>
      <c r="F1269" s="22" t="str">
        <f t="shared" si="11"/>
        <v/>
      </c>
      <c r="G1269" s="22" t="str">
        <f t="shared" si="79"/>
        <v/>
      </c>
      <c r="H1269" s="22" t="str">
        <f t="shared" si="80"/>
        <v/>
      </c>
    </row>
    <row r="1270" ht="15.75" customHeight="1">
      <c r="A1270" s="31"/>
      <c r="B1270" s="22"/>
      <c r="C1270" s="22" t="str">
        <f t="shared" si="10"/>
        <v/>
      </c>
      <c r="D1270" s="25"/>
      <c r="E1270" s="22"/>
      <c r="F1270" s="22" t="str">
        <f t="shared" si="11"/>
        <v/>
      </c>
      <c r="G1270" s="22" t="str">
        <f t="shared" si="79"/>
        <v/>
      </c>
      <c r="H1270" s="22" t="str">
        <f t="shared" si="80"/>
        <v/>
      </c>
    </row>
    <row r="1271" ht="15.75" customHeight="1">
      <c r="A1271" s="31"/>
      <c r="B1271" s="22"/>
      <c r="C1271" s="22" t="str">
        <f t="shared" si="10"/>
        <v/>
      </c>
      <c r="D1271" s="25"/>
      <c r="E1271" s="22"/>
      <c r="F1271" s="22" t="str">
        <f t="shared" si="11"/>
        <v/>
      </c>
      <c r="G1271" s="22" t="str">
        <f t="shared" si="79"/>
        <v/>
      </c>
      <c r="H1271" s="22" t="str">
        <f t="shared" si="80"/>
        <v/>
      </c>
    </row>
    <row r="1272" ht="15.75" customHeight="1">
      <c r="A1272" s="31"/>
      <c r="B1272" s="22"/>
      <c r="C1272" s="22" t="str">
        <f t="shared" si="10"/>
        <v/>
      </c>
      <c r="D1272" s="25"/>
      <c r="E1272" s="22"/>
      <c r="F1272" s="22" t="str">
        <f t="shared" si="11"/>
        <v/>
      </c>
      <c r="G1272" s="22" t="str">
        <f t="shared" si="79"/>
        <v/>
      </c>
      <c r="H1272" s="22" t="str">
        <f t="shared" si="80"/>
        <v/>
      </c>
    </row>
    <row r="1273" ht="15.75" customHeight="1">
      <c r="A1273" s="31"/>
      <c r="B1273" s="22"/>
      <c r="C1273" s="22" t="str">
        <f t="shared" si="10"/>
        <v/>
      </c>
      <c r="D1273" s="25"/>
      <c r="E1273" s="22"/>
      <c r="F1273" s="22" t="str">
        <f t="shared" si="11"/>
        <v/>
      </c>
      <c r="G1273" s="22" t="str">
        <f t="shared" si="79"/>
        <v/>
      </c>
      <c r="H1273" s="22" t="str">
        <f t="shared" si="80"/>
        <v/>
      </c>
    </row>
    <row r="1274" ht="15.75" customHeight="1">
      <c r="A1274" s="31"/>
      <c r="B1274" s="22"/>
      <c r="C1274" s="22" t="str">
        <f t="shared" si="10"/>
        <v/>
      </c>
      <c r="D1274" s="25"/>
      <c r="E1274" s="22"/>
      <c r="F1274" s="22" t="str">
        <f t="shared" si="11"/>
        <v/>
      </c>
      <c r="G1274" s="22" t="str">
        <f t="shared" si="79"/>
        <v/>
      </c>
      <c r="H1274" s="22" t="str">
        <f t="shared" si="80"/>
        <v/>
      </c>
    </row>
    <row r="1275" ht="15.75" customHeight="1">
      <c r="A1275" s="31"/>
      <c r="B1275" s="22"/>
      <c r="C1275" s="22" t="str">
        <f t="shared" si="10"/>
        <v/>
      </c>
      <c r="D1275" s="25"/>
      <c r="E1275" s="22"/>
      <c r="F1275" s="22" t="str">
        <f t="shared" si="11"/>
        <v/>
      </c>
      <c r="G1275" s="22" t="str">
        <f t="shared" si="79"/>
        <v/>
      </c>
      <c r="H1275" s="22" t="str">
        <f t="shared" si="80"/>
        <v/>
      </c>
    </row>
    <row r="1276" ht="15.75" customHeight="1">
      <c r="A1276" s="31"/>
      <c r="B1276" s="22"/>
      <c r="C1276" s="22" t="str">
        <f t="shared" si="10"/>
        <v/>
      </c>
      <c r="D1276" s="25"/>
      <c r="E1276" s="22"/>
      <c r="F1276" s="22" t="str">
        <f t="shared" si="11"/>
        <v/>
      </c>
      <c r="G1276" s="22" t="str">
        <f t="shared" si="79"/>
        <v/>
      </c>
      <c r="H1276" s="22" t="str">
        <f t="shared" si="80"/>
        <v/>
      </c>
    </row>
    <row r="1277" ht="15.75" customHeight="1">
      <c r="A1277" s="31"/>
      <c r="B1277" s="22"/>
      <c r="C1277" s="22" t="str">
        <f t="shared" si="10"/>
        <v/>
      </c>
      <c r="D1277" s="25"/>
      <c r="E1277" s="22"/>
      <c r="F1277" s="22" t="str">
        <f t="shared" si="11"/>
        <v/>
      </c>
      <c r="G1277" s="22" t="str">
        <f t="shared" si="79"/>
        <v/>
      </c>
      <c r="H1277" s="22" t="str">
        <f t="shared" si="80"/>
        <v/>
      </c>
    </row>
    <row r="1278" ht="15.75" customHeight="1">
      <c r="A1278" s="31"/>
      <c r="B1278" s="22"/>
      <c r="C1278" s="22" t="str">
        <f t="shared" si="10"/>
        <v/>
      </c>
      <c r="D1278" s="25"/>
      <c r="E1278" s="22"/>
      <c r="F1278" s="22" t="str">
        <f t="shared" si="11"/>
        <v/>
      </c>
      <c r="G1278" s="22" t="str">
        <f t="shared" si="79"/>
        <v/>
      </c>
      <c r="H1278" s="22" t="str">
        <f t="shared" si="80"/>
        <v/>
      </c>
    </row>
    <row r="1279" ht="15.75" customHeight="1">
      <c r="A1279" s="31"/>
      <c r="B1279" s="22"/>
      <c r="C1279" s="22" t="str">
        <f t="shared" si="10"/>
        <v/>
      </c>
      <c r="D1279" s="25"/>
      <c r="E1279" s="22"/>
      <c r="F1279" s="22" t="str">
        <f t="shared" si="11"/>
        <v/>
      </c>
      <c r="G1279" s="22" t="str">
        <f t="shared" si="79"/>
        <v/>
      </c>
      <c r="H1279" s="22" t="str">
        <f t="shared" si="80"/>
        <v/>
      </c>
    </row>
    <row r="1280" ht="15.75" customHeight="1">
      <c r="A1280" s="31"/>
      <c r="B1280" s="22"/>
      <c r="C1280" s="22" t="str">
        <f t="shared" si="10"/>
        <v/>
      </c>
      <c r="D1280" s="25"/>
      <c r="E1280" s="22"/>
      <c r="F1280" s="22" t="str">
        <f t="shared" si="11"/>
        <v/>
      </c>
      <c r="G1280" s="22" t="str">
        <f t="shared" si="79"/>
        <v/>
      </c>
      <c r="H1280" s="22" t="str">
        <f t="shared" si="80"/>
        <v/>
      </c>
    </row>
    <row r="1281" ht="15.75" customHeight="1">
      <c r="A1281" s="31"/>
      <c r="B1281" s="22"/>
      <c r="C1281" s="22" t="str">
        <f t="shared" si="10"/>
        <v/>
      </c>
      <c r="D1281" s="25"/>
      <c r="E1281" s="22"/>
      <c r="F1281" s="22" t="str">
        <f t="shared" si="11"/>
        <v/>
      </c>
      <c r="G1281" s="22" t="str">
        <f t="shared" si="79"/>
        <v/>
      </c>
      <c r="H1281" s="22" t="str">
        <f t="shared" si="80"/>
        <v/>
      </c>
    </row>
    <row r="1282" ht="15.75" customHeight="1">
      <c r="A1282" s="31"/>
      <c r="B1282" s="22"/>
      <c r="C1282" s="22" t="str">
        <f t="shared" si="10"/>
        <v/>
      </c>
      <c r="D1282" s="25"/>
      <c r="E1282" s="22"/>
      <c r="F1282" s="22" t="str">
        <f t="shared" si="11"/>
        <v/>
      </c>
      <c r="G1282" s="22" t="str">
        <f t="shared" si="79"/>
        <v/>
      </c>
      <c r="H1282" s="22" t="str">
        <f t="shared" si="80"/>
        <v/>
      </c>
    </row>
    <row r="1283" ht="15.75" customHeight="1">
      <c r="A1283" s="31"/>
      <c r="B1283" s="22"/>
      <c r="C1283" s="22" t="str">
        <f t="shared" si="10"/>
        <v/>
      </c>
      <c r="D1283" s="25"/>
      <c r="E1283" s="22"/>
      <c r="F1283" s="22" t="str">
        <f t="shared" si="11"/>
        <v/>
      </c>
      <c r="G1283" s="22" t="str">
        <f t="shared" si="79"/>
        <v/>
      </c>
      <c r="H1283" s="22" t="str">
        <f t="shared" si="80"/>
        <v/>
      </c>
    </row>
    <row r="1284" ht="15.75" customHeight="1">
      <c r="A1284" s="31"/>
      <c r="B1284" s="22"/>
      <c r="C1284" s="22" t="str">
        <f t="shared" si="10"/>
        <v/>
      </c>
      <c r="D1284" s="25"/>
      <c r="E1284" s="22"/>
      <c r="F1284" s="22" t="str">
        <f t="shared" si="11"/>
        <v/>
      </c>
      <c r="G1284" s="22" t="str">
        <f t="shared" si="79"/>
        <v/>
      </c>
      <c r="H1284" s="22" t="str">
        <f t="shared" si="80"/>
        <v/>
      </c>
    </row>
    <row r="1285" ht="15.75" customHeight="1">
      <c r="A1285" s="31"/>
      <c r="B1285" s="22"/>
      <c r="C1285" s="22" t="str">
        <f t="shared" si="10"/>
        <v/>
      </c>
      <c r="D1285" s="25"/>
      <c r="E1285" s="22"/>
      <c r="F1285" s="22" t="str">
        <f t="shared" si="11"/>
        <v/>
      </c>
      <c r="G1285" s="22" t="str">
        <f t="shared" si="79"/>
        <v/>
      </c>
      <c r="H1285" s="22" t="str">
        <f t="shared" si="80"/>
        <v/>
      </c>
    </row>
    <row r="1286" ht="15.75" customHeight="1">
      <c r="A1286" s="31"/>
      <c r="B1286" s="22"/>
      <c r="C1286" s="22" t="str">
        <f t="shared" si="10"/>
        <v/>
      </c>
      <c r="D1286" s="25"/>
      <c r="E1286" s="22"/>
      <c r="F1286" s="22" t="str">
        <f t="shared" si="11"/>
        <v/>
      </c>
      <c r="G1286" s="22" t="str">
        <f t="shared" si="79"/>
        <v/>
      </c>
      <c r="H1286" s="22" t="str">
        <f t="shared" si="80"/>
        <v/>
      </c>
    </row>
    <row r="1287" ht="15.75" customHeight="1">
      <c r="A1287" s="31"/>
      <c r="B1287" s="22"/>
      <c r="C1287" s="22" t="str">
        <f t="shared" si="10"/>
        <v/>
      </c>
      <c r="D1287" s="25"/>
      <c r="E1287" s="22"/>
      <c r="F1287" s="22" t="str">
        <f t="shared" si="11"/>
        <v/>
      </c>
      <c r="G1287" s="22" t="str">
        <f t="shared" si="79"/>
        <v/>
      </c>
      <c r="H1287" s="22" t="str">
        <f t="shared" si="80"/>
        <v/>
      </c>
    </row>
    <row r="1288" ht="15.75" customHeight="1">
      <c r="A1288" s="31"/>
      <c r="B1288" s="22"/>
      <c r="C1288" s="22" t="str">
        <f t="shared" si="10"/>
        <v/>
      </c>
      <c r="D1288" s="25"/>
      <c r="E1288" s="22"/>
      <c r="F1288" s="22" t="str">
        <f t="shared" si="11"/>
        <v/>
      </c>
      <c r="G1288" s="22" t="str">
        <f t="shared" si="79"/>
        <v/>
      </c>
      <c r="H1288" s="22" t="str">
        <f t="shared" si="80"/>
        <v/>
      </c>
    </row>
    <row r="1289" ht="15.75" customHeight="1">
      <c r="A1289" s="31"/>
      <c r="B1289" s="22"/>
      <c r="C1289" s="22" t="str">
        <f t="shared" si="10"/>
        <v/>
      </c>
      <c r="D1289" s="25"/>
      <c r="E1289" s="22"/>
      <c r="F1289" s="22" t="str">
        <f t="shared" si="11"/>
        <v/>
      </c>
      <c r="G1289" s="22" t="str">
        <f t="shared" si="79"/>
        <v/>
      </c>
      <c r="H1289" s="22" t="str">
        <f t="shared" si="80"/>
        <v/>
      </c>
    </row>
    <row r="1290" ht="15.75" customHeight="1">
      <c r="A1290" s="31"/>
      <c r="B1290" s="22"/>
      <c r="C1290" s="22" t="str">
        <f t="shared" si="10"/>
        <v/>
      </c>
      <c r="D1290" s="25"/>
      <c r="E1290" s="22"/>
      <c r="F1290" s="22" t="str">
        <f t="shared" si="11"/>
        <v/>
      </c>
      <c r="G1290" s="22" t="str">
        <f t="shared" si="79"/>
        <v/>
      </c>
      <c r="H1290" s="22" t="str">
        <f t="shared" si="80"/>
        <v/>
      </c>
    </row>
    <row r="1291" ht="15.75" customHeight="1">
      <c r="A1291" s="31"/>
      <c r="B1291" s="22"/>
      <c r="C1291" s="22" t="str">
        <f t="shared" si="10"/>
        <v/>
      </c>
      <c r="D1291" s="25"/>
      <c r="E1291" s="22"/>
      <c r="F1291" s="22" t="str">
        <f t="shared" si="11"/>
        <v/>
      </c>
      <c r="G1291" s="22" t="str">
        <f t="shared" si="79"/>
        <v/>
      </c>
      <c r="H1291" s="22" t="str">
        <f t="shared" si="80"/>
        <v/>
      </c>
    </row>
    <row r="1292" ht="15.75" customHeight="1">
      <c r="A1292" s="31"/>
      <c r="B1292" s="22"/>
      <c r="C1292" s="22" t="str">
        <f t="shared" si="10"/>
        <v/>
      </c>
      <c r="D1292" s="25"/>
      <c r="E1292" s="22"/>
      <c r="F1292" s="22" t="str">
        <f t="shared" si="11"/>
        <v/>
      </c>
      <c r="G1292" s="22" t="str">
        <f t="shared" si="79"/>
        <v/>
      </c>
      <c r="H1292" s="22" t="str">
        <f t="shared" si="80"/>
        <v/>
      </c>
    </row>
    <row r="1293" ht="15.75" customHeight="1">
      <c r="A1293" s="31"/>
      <c r="B1293" s="22"/>
      <c r="C1293" s="22" t="str">
        <f t="shared" si="10"/>
        <v/>
      </c>
      <c r="D1293" s="25"/>
      <c r="E1293" s="22"/>
      <c r="F1293" s="22" t="str">
        <f t="shared" si="11"/>
        <v/>
      </c>
      <c r="G1293" s="22" t="str">
        <f t="shared" si="79"/>
        <v/>
      </c>
      <c r="H1293" s="22" t="str">
        <f t="shared" si="80"/>
        <v/>
      </c>
    </row>
    <row r="1294" ht="15.75" customHeight="1">
      <c r="A1294" s="31"/>
      <c r="B1294" s="22"/>
      <c r="C1294" s="22" t="str">
        <f t="shared" si="10"/>
        <v/>
      </c>
      <c r="D1294" s="25"/>
      <c r="E1294" s="22"/>
      <c r="F1294" s="22" t="str">
        <f t="shared" si="11"/>
        <v/>
      </c>
      <c r="G1294" s="22" t="str">
        <f t="shared" si="79"/>
        <v/>
      </c>
      <c r="H1294" s="22" t="str">
        <f t="shared" si="80"/>
        <v/>
      </c>
    </row>
    <row r="1295" ht="15.75" customHeight="1">
      <c r="A1295" s="31"/>
      <c r="B1295" s="22"/>
      <c r="C1295" s="22" t="str">
        <f t="shared" si="10"/>
        <v/>
      </c>
      <c r="D1295" s="25"/>
      <c r="E1295" s="22"/>
      <c r="F1295" s="22" t="str">
        <f t="shared" si="11"/>
        <v/>
      </c>
      <c r="G1295" s="22" t="str">
        <f t="shared" si="79"/>
        <v/>
      </c>
      <c r="H1295" s="22" t="str">
        <f t="shared" si="80"/>
        <v/>
      </c>
    </row>
    <row r="1296" ht="15.75" customHeight="1">
      <c r="A1296" s="31"/>
      <c r="B1296" s="22"/>
      <c r="C1296" s="22" t="str">
        <f t="shared" si="10"/>
        <v/>
      </c>
      <c r="D1296" s="25"/>
      <c r="E1296" s="22"/>
      <c r="F1296" s="22" t="str">
        <f t="shared" si="11"/>
        <v/>
      </c>
      <c r="G1296" s="22" t="str">
        <f t="shared" si="79"/>
        <v/>
      </c>
      <c r="H1296" s="22" t="str">
        <f t="shared" si="80"/>
        <v/>
      </c>
    </row>
    <row r="1297" ht="15.75" customHeight="1">
      <c r="A1297" s="31"/>
      <c r="B1297" s="22"/>
      <c r="C1297" s="22" t="str">
        <f t="shared" si="10"/>
        <v/>
      </c>
      <c r="D1297" s="25"/>
      <c r="E1297" s="22"/>
      <c r="F1297" s="22" t="str">
        <f t="shared" si="11"/>
        <v/>
      </c>
      <c r="G1297" s="22" t="str">
        <f t="shared" si="79"/>
        <v/>
      </c>
      <c r="H1297" s="22" t="str">
        <f t="shared" si="80"/>
        <v/>
      </c>
    </row>
    <row r="1298" ht="15.75" customHeight="1">
      <c r="A1298" s="31"/>
      <c r="B1298" s="22"/>
      <c r="C1298" s="22" t="str">
        <f t="shared" si="10"/>
        <v/>
      </c>
      <c r="D1298" s="25"/>
      <c r="E1298" s="22"/>
      <c r="F1298" s="22" t="str">
        <f t="shared" si="11"/>
        <v/>
      </c>
      <c r="G1298" s="22" t="str">
        <f t="shared" si="79"/>
        <v/>
      </c>
      <c r="H1298" s="22" t="str">
        <f t="shared" si="80"/>
        <v/>
      </c>
    </row>
    <row r="1299" ht="15.75" customHeight="1">
      <c r="A1299" s="31"/>
      <c r="B1299" s="22"/>
      <c r="C1299" s="22" t="str">
        <f t="shared" si="10"/>
        <v/>
      </c>
      <c r="D1299" s="25"/>
      <c r="E1299" s="22"/>
      <c r="F1299" s="22" t="str">
        <f t="shared" si="11"/>
        <v/>
      </c>
      <c r="G1299" s="22" t="str">
        <f t="shared" si="79"/>
        <v/>
      </c>
      <c r="H1299" s="22" t="str">
        <f t="shared" si="80"/>
        <v/>
      </c>
    </row>
    <row r="1300" ht="15.75" customHeight="1">
      <c r="A1300" s="31"/>
      <c r="B1300" s="22"/>
      <c r="C1300" s="22" t="str">
        <f t="shared" si="10"/>
        <v/>
      </c>
      <c r="D1300" s="25"/>
      <c r="E1300" s="22"/>
      <c r="F1300" s="22" t="str">
        <f t="shared" si="11"/>
        <v/>
      </c>
      <c r="G1300" s="22" t="str">
        <f t="shared" si="79"/>
        <v/>
      </c>
      <c r="H1300" s="22" t="str">
        <f t="shared" si="80"/>
        <v/>
      </c>
    </row>
    <row r="1301" ht="15.75" customHeight="1">
      <c r="A1301" s="31"/>
      <c r="B1301" s="22"/>
      <c r="C1301" s="22" t="str">
        <f t="shared" si="10"/>
        <v/>
      </c>
      <c r="D1301" s="25"/>
      <c r="E1301" s="22"/>
      <c r="F1301" s="22" t="str">
        <f t="shared" si="11"/>
        <v/>
      </c>
      <c r="G1301" s="22" t="str">
        <f t="shared" si="79"/>
        <v/>
      </c>
      <c r="H1301" s="22" t="str">
        <f t="shared" si="80"/>
        <v/>
      </c>
    </row>
    <row r="1302" ht="15.75" customHeight="1">
      <c r="A1302" s="31"/>
      <c r="B1302" s="22"/>
      <c r="C1302" s="22" t="str">
        <f t="shared" si="10"/>
        <v/>
      </c>
      <c r="D1302" s="25"/>
      <c r="E1302" s="22"/>
      <c r="F1302" s="22" t="str">
        <f t="shared" si="11"/>
        <v/>
      </c>
      <c r="G1302" s="22" t="str">
        <f t="shared" si="79"/>
        <v/>
      </c>
      <c r="H1302" s="22" t="str">
        <f t="shared" si="80"/>
        <v/>
      </c>
    </row>
    <row r="1303" ht="15.75" customHeight="1">
      <c r="A1303" s="31"/>
      <c r="B1303" s="22"/>
      <c r="C1303" s="22" t="str">
        <f t="shared" si="10"/>
        <v/>
      </c>
      <c r="D1303" s="25"/>
      <c r="E1303" s="22"/>
      <c r="F1303" s="22" t="str">
        <f t="shared" si="11"/>
        <v/>
      </c>
      <c r="G1303" s="22" t="str">
        <f t="shared" si="79"/>
        <v/>
      </c>
      <c r="H1303" s="22" t="str">
        <f t="shared" si="80"/>
        <v/>
      </c>
    </row>
    <row r="1304" ht="15.75" customHeight="1">
      <c r="A1304" s="31"/>
      <c r="B1304" s="22"/>
      <c r="C1304" s="22" t="str">
        <f t="shared" si="10"/>
        <v/>
      </c>
      <c r="D1304" s="25"/>
      <c r="E1304" s="22"/>
      <c r="F1304" s="22" t="str">
        <f t="shared" si="11"/>
        <v/>
      </c>
      <c r="G1304" s="22" t="str">
        <f t="shared" si="79"/>
        <v/>
      </c>
      <c r="H1304" s="22" t="str">
        <f t="shared" si="80"/>
        <v/>
      </c>
    </row>
    <row r="1305" ht="15.75" customHeight="1">
      <c r="A1305" s="31"/>
      <c r="B1305" s="22"/>
      <c r="C1305" s="22" t="str">
        <f t="shared" si="10"/>
        <v/>
      </c>
      <c r="D1305" s="25"/>
      <c r="E1305" s="22"/>
      <c r="F1305" s="22" t="str">
        <f t="shared" si="11"/>
        <v/>
      </c>
      <c r="G1305" s="22" t="str">
        <f t="shared" si="79"/>
        <v/>
      </c>
      <c r="H1305" s="22" t="str">
        <f t="shared" si="80"/>
        <v/>
      </c>
    </row>
    <row r="1306" ht="15.75" customHeight="1">
      <c r="A1306" s="31"/>
      <c r="B1306" s="22"/>
      <c r="C1306" s="22" t="str">
        <f t="shared" si="10"/>
        <v/>
      </c>
      <c r="D1306" s="25"/>
      <c r="E1306" s="22"/>
      <c r="F1306" s="22" t="str">
        <f t="shared" si="11"/>
        <v/>
      </c>
      <c r="G1306" s="22" t="str">
        <f t="shared" si="79"/>
        <v/>
      </c>
      <c r="H1306" s="22" t="str">
        <f t="shared" si="80"/>
        <v/>
      </c>
    </row>
    <row r="1307" ht="15.75" customHeight="1">
      <c r="A1307" s="31"/>
      <c r="B1307" s="22"/>
      <c r="C1307" s="22" t="str">
        <f t="shared" si="10"/>
        <v/>
      </c>
      <c r="D1307" s="25"/>
      <c r="E1307" s="22"/>
      <c r="F1307" s="22" t="str">
        <f t="shared" si="11"/>
        <v/>
      </c>
      <c r="G1307" s="22" t="str">
        <f t="shared" si="79"/>
        <v/>
      </c>
      <c r="H1307" s="22" t="str">
        <f t="shared" si="80"/>
        <v/>
      </c>
    </row>
    <row r="1308" ht="15.75" customHeight="1">
      <c r="A1308" s="31"/>
      <c r="B1308" s="22"/>
      <c r="C1308" s="22" t="str">
        <f t="shared" si="10"/>
        <v/>
      </c>
      <c r="D1308" s="25"/>
      <c r="E1308" s="22"/>
      <c r="F1308" s="22" t="str">
        <f t="shared" si="11"/>
        <v/>
      </c>
      <c r="G1308" s="22" t="str">
        <f t="shared" si="79"/>
        <v/>
      </c>
      <c r="H1308" s="22" t="str">
        <f t="shared" si="80"/>
        <v/>
      </c>
    </row>
    <row r="1309" ht="15.75" customHeight="1">
      <c r="A1309" s="31"/>
      <c r="B1309" s="22"/>
      <c r="C1309" s="22" t="str">
        <f t="shared" si="10"/>
        <v/>
      </c>
      <c r="D1309" s="25"/>
      <c r="E1309" s="22"/>
      <c r="F1309" s="22" t="str">
        <f t="shared" si="11"/>
        <v/>
      </c>
      <c r="G1309" s="22" t="str">
        <f t="shared" si="79"/>
        <v/>
      </c>
      <c r="H1309" s="22" t="str">
        <f t="shared" si="80"/>
        <v/>
      </c>
    </row>
    <row r="1310" ht="15.75" customHeight="1">
      <c r="A1310" s="31"/>
      <c r="B1310" s="22"/>
      <c r="C1310" s="22" t="str">
        <f t="shared" si="10"/>
        <v/>
      </c>
      <c r="D1310" s="25"/>
      <c r="E1310" s="22"/>
      <c r="F1310" s="22" t="str">
        <f t="shared" si="11"/>
        <v/>
      </c>
      <c r="G1310" s="22" t="str">
        <f t="shared" si="79"/>
        <v/>
      </c>
      <c r="H1310" s="22" t="str">
        <f t="shared" si="80"/>
        <v/>
      </c>
    </row>
    <row r="1311" ht="15.75" customHeight="1">
      <c r="A1311" s="31"/>
      <c r="B1311" s="22"/>
      <c r="C1311" s="22" t="str">
        <f t="shared" si="10"/>
        <v/>
      </c>
      <c r="D1311" s="25"/>
      <c r="E1311" s="22"/>
      <c r="F1311" s="22" t="str">
        <f t="shared" si="11"/>
        <v/>
      </c>
      <c r="G1311" s="22" t="str">
        <f t="shared" si="79"/>
        <v/>
      </c>
      <c r="H1311" s="22" t="str">
        <f t="shared" si="80"/>
        <v/>
      </c>
    </row>
    <row r="1312" ht="15.75" customHeight="1">
      <c r="A1312" s="31"/>
      <c r="B1312" s="22"/>
      <c r="C1312" s="22" t="str">
        <f t="shared" si="10"/>
        <v/>
      </c>
      <c r="D1312" s="25"/>
      <c r="E1312" s="22"/>
      <c r="F1312" s="22" t="str">
        <f t="shared" si="11"/>
        <v/>
      </c>
      <c r="G1312" s="22" t="str">
        <f t="shared" si="79"/>
        <v/>
      </c>
      <c r="H1312" s="22" t="str">
        <f t="shared" si="80"/>
        <v/>
      </c>
    </row>
    <row r="1313" ht="15.75" customHeight="1">
      <c r="A1313" s="31"/>
      <c r="B1313" s="22"/>
      <c r="C1313" s="22" t="str">
        <f t="shared" si="10"/>
        <v/>
      </c>
      <c r="D1313" s="25"/>
      <c r="E1313" s="22"/>
      <c r="F1313" s="22" t="str">
        <f t="shared" si="11"/>
        <v/>
      </c>
      <c r="G1313" s="22" t="str">
        <f t="shared" si="79"/>
        <v/>
      </c>
      <c r="H1313" s="22" t="str">
        <f t="shared" si="80"/>
        <v/>
      </c>
    </row>
    <row r="1314" ht="15.75" customHeight="1">
      <c r="A1314" s="31"/>
      <c r="B1314" s="22"/>
      <c r="C1314" s="22" t="str">
        <f t="shared" si="10"/>
        <v/>
      </c>
      <c r="D1314" s="25"/>
      <c r="E1314" s="22"/>
      <c r="F1314" s="22" t="str">
        <f t="shared" si="11"/>
        <v/>
      </c>
      <c r="G1314" s="22" t="str">
        <f t="shared" si="79"/>
        <v/>
      </c>
      <c r="H1314" s="22" t="str">
        <f t="shared" si="80"/>
        <v/>
      </c>
    </row>
    <row r="1315" ht="15.75" customHeight="1">
      <c r="A1315" s="31"/>
      <c r="B1315" s="22"/>
      <c r="C1315" s="22" t="str">
        <f t="shared" si="10"/>
        <v/>
      </c>
      <c r="D1315" s="25"/>
      <c r="E1315" s="22"/>
      <c r="F1315" s="22" t="str">
        <f t="shared" si="11"/>
        <v/>
      </c>
      <c r="G1315" s="22" t="str">
        <f t="shared" si="79"/>
        <v/>
      </c>
      <c r="H1315" s="22" t="str">
        <f t="shared" si="80"/>
        <v/>
      </c>
    </row>
    <row r="1316" ht="15.75" customHeight="1">
      <c r="A1316" s="31"/>
      <c r="B1316" s="22"/>
      <c r="C1316" s="22" t="str">
        <f t="shared" si="10"/>
        <v/>
      </c>
      <c r="D1316" s="25"/>
      <c r="E1316" s="22"/>
      <c r="F1316" s="22" t="str">
        <f t="shared" si="11"/>
        <v/>
      </c>
      <c r="G1316" s="22" t="str">
        <f t="shared" si="79"/>
        <v/>
      </c>
      <c r="H1316" s="22" t="str">
        <f t="shared" si="80"/>
        <v/>
      </c>
    </row>
    <row r="1317" ht="15.75" customHeight="1">
      <c r="A1317" s="31"/>
      <c r="B1317" s="22"/>
      <c r="C1317" s="22" t="str">
        <f t="shared" si="10"/>
        <v/>
      </c>
      <c r="D1317" s="25"/>
      <c r="E1317" s="22"/>
      <c r="F1317" s="22" t="str">
        <f t="shared" si="11"/>
        <v/>
      </c>
      <c r="G1317" s="22" t="str">
        <f t="shared" si="79"/>
        <v/>
      </c>
      <c r="H1317" s="22" t="str">
        <f t="shared" si="80"/>
        <v/>
      </c>
    </row>
    <row r="1318" ht="15.75" customHeight="1">
      <c r="A1318" s="31"/>
      <c r="B1318" s="22"/>
      <c r="C1318" s="22" t="str">
        <f t="shared" si="10"/>
        <v/>
      </c>
      <c r="D1318" s="25"/>
      <c r="E1318" s="22"/>
      <c r="F1318" s="22" t="str">
        <f t="shared" si="11"/>
        <v/>
      </c>
      <c r="G1318" s="22" t="str">
        <f t="shared" si="79"/>
        <v/>
      </c>
      <c r="H1318" s="22" t="str">
        <f t="shared" si="80"/>
        <v/>
      </c>
    </row>
    <row r="1319" ht="15.75" customHeight="1">
      <c r="A1319" s="31"/>
      <c r="B1319" s="22"/>
      <c r="C1319" s="22" t="str">
        <f t="shared" si="10"/>
        <v/>
      </c>
      <c r="D1319" s="25"/>
      <c r="E1319" s="22"/>
      <c r="F1319" s="22" t="str">
        <f t="shared" si="11"/>
        <v/>
      </c>
      <c r="G1319" s="22" t="str">
        <f t="shared" si="79"/>
        <v/>
      </c>
      <c r="H1319" s="22" t="str">
        <f t="shared" si="80"/>
        <v/>
      </c>
    </row>
    <row r="1320" ht="15.75" customHeight="1">
      <c r="A1320" s="31"/>
      <c r="B1320" s="22"/>
      <c r="C1320" s="22" t="str">
        <f t="shared" si="10"/>
        <v/>
      </c>
      <c r="D1320" s="25"/>
      <c r="E1320" s="22"/>
      <c r="F1320" s="22" t="str">
        <f t="shared" si="11"/>
        <v/>
      </c>
      <c r="G1320" s="22" t="str">
        <f t="shared" si="79"/>
        <v/>
      </c>
      <c r="H1320" s="22" t="str">
        <f t="shared" si="80"/>
        <v/>
      </c>
    </row>
    <row r="1321" ht="15.75" customHeight="1">
      <c r="A1321" s="31"/>
      <c r="B1321" s="22"/>
      <c r="C1321" s="22" t="str">
        <f t="shared" si="10"/>
        <v/>
      </c>
      <c r="D1321" s="25"/>
      <c r="E1321" s="22"/>
      <c r="F1321" s="22" t="str">
        <f t="shared" si="11"/>
        <v/>
      </c>
      <c r="G1321" s="22" t="str">
        <f t="shared" si="79"/>
        <v/>
      </c>
      <c r="H1321" s="22" t="str">
        <f t="shared" si="80"/>
        <v/>
      </c>
    </row>
    <row r="1322" ht="15.75" customHeight="1">
      <c r="A1322" s="31"/>
      <c r="B1322" s="22"/>
      <c r="C1322" s="22" t="str">
        <f t="shared" si="10"/>
        <v/>
      </c>
      <c r="D1322" s="25"/>
      <c r="E1322" s="22"/>
      <c r="F1322" s="22" t="str">
        <f t="shared" si="11"/>
        <v/>
      </c>
      <c r="G1322" s="22" t="str">
        <f t="shared" si="79"/>
        <v/>
      </c>
      <c r="H1322" s="22" t="str">
        <f t="shared" si="80"/>
        <v/>
      </c>
    </row>
    <row r="1323" ht="15.75" customHeight="1">
      <c r="A1323" s="31"/>
      <c r="B1323" s="22"/>
      <c r="C1323" s="22" t="str">
        <f t="shared" si="10"/>
        <v/>
      </c>
      <c r="D1323" s="25"/>
      <c r="E1323" s="22"/>
      <c r="F1323" s="22" t="str">
        <f t="shared" si="11"/>
        <v/>
      </c>
      <c r="G1323" s="22" t="str">
        <f t="shared" si="79"/>
        <v/>
      </c>
      <c r="H1323" s="22" t="str">
        <f t="shared" si="80"/>
        <v/>
      </c>
    </row>
    <row r="1324" ht="15.75" customHeight="1">
      <c r="A1324" s="31"/>
      <c r="B1324" s="22"/>
      <c r="C1324" s="22" t="str">
        <f t="shared" si="10"/>
        <v/>
      </c>
      <c r="D1324" s="25"/>
      <c r="E1324" s="22"/>
      <c r="F1324" s="22" t="str">
        <f t="shared" si="11"/>
        <v/>
      </c>
      <c r="G1324" s="22" t="str">
        <f t="shared" si="79"/>
        <v/>
      </c>
      <c r="H1324" s="22" t="str">
        <f t="shared" si="80"/>
        <v/>
      </c>
    </row>
    <row r="1325" ht="15.75" customHeight="1">
      <c r="A1325" s="31"/>
      <c r="B1325" s="22"/>
      <c r="C1325" s="22" t="str">
        <f t="shared" si="10"/>
        <v/>
      </c>
      <c r="D1325" s="25"/>
      <c r="E1325" s="22"/>
      <c r="F1325" s="22" t="str">
        <f t="shared" si="11"/>
        <v/>
      </c>
      <c r="G1325" s="22" t="str">
        <f t="shared" si="79"/>
        <v/>
      </c>
      <c r="H1325" s="22" t="str">
        <f t="shared" si="80"/>
        <v/>
      </c>
    </row>
    <row r="1326" ht="15.75" customHeight="1">
      <c r="A1326" s="31"/>
      <c r="B1326" s="22"/>
      <c r="C1326" s="22" t="str">
        <f t="shared" si="10"/>
        <v/>
      </c>
      <c r="D1326" s="25"/>
      <c r="E1326" s="22"/>
      <c r="F1326" s="22" t="str">
        <f t="shared" si="11"/>
        <v/>
      </c>
      <c r="G1326" s="22" t="str">
        <f t="shared" si="79"/>
        <v/>
      </c>
      <c r="H1326" s="22" t="str">
        <f t="shared" si="80"/>
        <v/>
      </c>
    </row>
    <row r="1327" ht="15.75" customHeight="1">
      <c r="A1327" s="31"/>
      <c r="B1327" s="22"/>
      <c r="C1327" s="22" t="str">
        <f t="shared" si="10"/>
        <v/>
      </c>
      <c r="D1327" s="25"/>
      <c r="E1327" s="22"/>
      <c r="F1327" s="22" t="str">
        <f t="shared" si="11"/>
        <v/>
      </c>
      <c r="G1327" s="22" t="str">
        <f t="shared" si="79"/>
        <v/>
      </c>
      <c r="H1327" s="22" t="str">
        <f t="shared" si="80"/>
        <v/>
      </c>
    </row>
    <row r="1328" ht="15.75" customHeight="1">
      <c r="A1328" s="31"/>
      <c r="B1328" s="22"/>
      <c r="C1328" s="22" t="str">
        <f t="shared" si="10"/>
        <v/>
      </c>
      <c r="D1328" s="25"/>
      <c r="E1328" s="22"/>
      <c r="F1328" s="22" t="str">
        <f t="shared" si="11"/>
        <v/>
      </c>
      <c r="G1328" s="22" t="str">
        <f t="shared" si="79"/>
        <v/>
      </c>
      <c r="H1328" s="22" t="str">
        <f t="shared" si="80"/>
        <v/>
      </c>
    </row>
    <row r="1329" ht="15.75" customHeight="1">
      <c r="A1329" s="31"/>
      <c r="B1329" s="22"/>
      <c r="C1329" s="22" t="str">
        <f t="shared" si="10"/>
        <v/>
      </c>
      <c r="D1329" s="25"/>
      <c r="E1329" s="22"/>
      <c r="F1329" s="22" t="str">
        <f t="shared" si="11"/>
        <v/>
      </c>
      <c r="G1329" s="22" t="str">
        <f t="shared" si="79"/>
        <v/>
      </c>
      <c r="H1329" s="22" t="str">
        <f t="shared" si="80"/>
        <v/>
      </c>
    </row>
    <row r="1330" ht="15.75" customHeight="1">
      <c r="A1330" s="31"/>
      <c r="B1330" s="22"/>
      <c r="C1330" s="22" t="str">
        <f t="shared" si="10"/>
        <v/>
      </c>
      <c r="D1330" s="25"/>
      <c r="E1330" s="22"/>
      <c r="F1330" s="22" t="str">
        <f t="shared" si="11"/>
        <v/>
      </c>
      <c r="G1330" s="22" t="str">
        <f t="shared" si="79"/>
        <v/>
      </c>
      <c r="H1330" s="22" t="str">
        <f t="shared" si="80"/>
        <v/>
      </c>
    </row>
    <row r="1331" ht="15.75" customHeight="1">
      <c r="A1331" s="31"/>
      <c r="B1331" s="22"/>
      <c r="C1331" s="22" t="str">
        <f t="shared" si="10"/>
        <v/>
      </c>
      <c r="D1331" s="25"/>
      <c r="E1331" s="22"/>
      <c r="F1331" s="22" t="str">
        <f t="shared" si="11"/>
        <v/>
      </c>
      <c r="G1331" s="22" t="str">
        <f t="shared" si="79"/>
        <v/>
      </c>
      <c r="H1331" s="22" t="str">
        <f t="shared" si="80"/>
        <v/>
      </c>
    </row>
    <row r="1332" ht="15.75" customHeight="1">
      <c r="A1332" s="31"/>
      <c r="B1332" s="22"/>
      <c r="C1332" s="22" t="str">
        <f t="shared" si="10"/>
        <v/>
      </c>
      <c r="D1332" s="25"/>
      <c r="E1332" s="22"/>
      <c r="F1332" s="22" t="str">
        <f t="shared" si="11"/>
        <v/>
      </c>
      <c r="G1332" s="22" t="str">
        <f t="shared" si="79"/>
        <v/>
      </c>
      <c r="H1332" s="22" t="str">
        <f t="shared" si="80"/>
        <v/>
      </c>
    </row>
    <row r="1333" ht="15.75" customHeight="1">
      <c r="A1333" s="31"/>
      <c r="B1333" s="22"/>
      <c r="C1333" s="22" t="str">
        <f t="shared" si="10"/>
        <v/>
      </c>
      <c r="D1333" s="25"/>
      <c r="E1333" s="22"/>
      <c r="F1333" s="22" t="str">
        <f t="shared" si="11"/>
        <v/>
      </c>
      <c r="G1333" s="22" t="str">
        <f t="shared" si="79"/>
        <v/>
      </c>
      <c r="H1333" s="22" t="str">
        <f t="shared" si="80"/>
        <v/>
      </c>
    </row>
    <row r="1334" ht="15.75" customHeight="1">
      <c r="A1334" s="31"/>
      <c r="B1334" s="22"/>
      <c r="C1334" s="22" t="str">
        <f t="shared" si="10"/>
        <v/>
      </c>
      <c r="D1334" s="25"/>
      <c r="E1334" s="22"/>
      <c r="F1334" s="22" t="str">
        <f t="shared" si="11"/>
        <v/>
      </c>
      <c r="G1334" s="22" t="str">
        <f t="shared" si="79"/>
        <v/>
      </c>
      <c r="H1334" s="22" t="str">
        <f t="shared" si="80"/>
        <v/>
      </c>
    </row>
    <row r="1335" ht="15.75" customHeight="1">
      <c r="A1335" s="31"/>
      <c r="B1335" s="22"/>
      <c r="C1335" s="22" t="str">
        <f t="shared" si="10"/>
        <v/>
      </c>
      <c r="D1335" s="25"/>
      <c r="E1335" s="22"/>
      <c r="F1335" s="22" t="str">
        <f t="shared" si="11"/>
        <v/>
      </c>
      <c r="G1335" s="22" t="str">
        <f t="shared" si="79"/>
        <v/>
      </c>
      <c r="H1335" s="22" t="str">
        <f t="shared" si="80"/>
        <v/>
      </c>
    </row>
    <row r="1336" ht="15.75" customHeight="1">
      <c r="A1336" s="31"/>
      <c r="B1336" s="22"/>
      <c r="C1336" s="22" t="str">
        <f t="shared" si="10"/>
        <v/>
      </c>
      <c r="D1336" s="25"/>
      <c r="E1336" s="22"/>
      <c r="F1336" s="22" t="str">
        <f t="shared" si="11"/>
        <v/>
      </c>
      <c r="G1336" s="22" t="str">
        <f t="shared" si="79"/>
        <v/>
      </c>
      <c r="H1336" s="22" t="str">
        <f t="shared" si="80"/>
        <v/>
      </c>
    </row>
    <row r="1337" ht="15.75" customHeight="1">
      <c r="A1337" s="31"/>
      <c r="B1337" s="22"/>
      <c r="C1337" s="22" t="str">
        <f t="shared" si="10"/>
        <v/>
      </c>
      <c r="D1337" s="25"/>
      <c r="E1337" s="22"/>
      <c r="F1337" s="22" t="str">
        <f t="shared" si="11"/>
        <v/>
      </c>
      <c r="G1337" s="22" t="str">
        <f t="shared" si="79"/>
        <v/>
      </c>
      <c r="H1337" s="22" t="str">
        <f t="shared" si="80"/>
        <v/>
      </c>
    </row>
    <row r="1338" ht="15.75" customHeight="1">
      <c r="A1338" s="31"/>
      <c r="B1338" s="22"/>
      <c r="C1338" s="22" t="str">
        <f t="shared" si="10"/>
        <v/>
      </c>
      <c r="D1338" s="25"/>
      <c r="E1338" s="22"/>
      <c r="F1338" s="22" t="str">
        <f t="shared" si="11"/>
        <v/>
      </c>
      <c r="G1338" s="22" t="str">
        <f t="shared" si="79"/>
        <v/>
      </c>
      <c r="H1338" s="22" t="str">
        <f t="shared" si="80"/>
        <v/>
      </c>
    </row>
    <row r="1339" ht="15.75" customHeight="1">
      <c r="A1339" s="31"/>
      <c r="B1339" s="22"/>
      <c r="C1339" s="22" t="str">
        <f t="shared" si="10"/>
        <v/>
      </c>
      <c r="D1339" s="25"/>
      <c r="E1339" s="22"/>
      <c r="F1339" s="22" t="str">
        <f t="shared" si="11"/>
        <v/>
      </c>
      <c r="G1339" s="22" t="str">
        <f t="shared" si="79"/>
        <v/>
      </c>
      <c r="H1339" s="22" t="str">
        <f t="shared" si="80"/>
        <v/>
      </c>
    </row>
    <row r="1340" ht="15.75" customHeight="1">
      <c r="A1340" s="31"/>
      <c r="B1340" s="22"/>
      <c r="C1340" s="22" t="str">
        <f t="shared" si="10"/>
        <v/>
      </c>
      <c r="D1340" s="25"/>
      <c r="E1340" s="22"/>
      <c r="F1340" s="22" t="str">
        <f t="shared" si="11"/>
        <v/>
      </c>
      <c r="G1340" s="22" t="str">
        <f t="shared" si="79"/>
        <v/>
      </c>
      <c r="H1340" s="22" t="str">
        <f t="shared" si="80"/>
        <v/>
      </c>
    </row>
    <row r="1341" ht="15.75" customHeight="1">
      <c r="A1341" s="31"/>
      <c r="B1341" s="22"/>
      <c r="C1341" s="22" t="str">
        <f t="shared" si="10"/>
        <v/>
      </c>
      <c r="D1341" s="25"/>
      <c r="E1341" s="22"/>
      <c r="F1341" s="22" t="str">
        <f t="shared" si="11"/>
        <v/>
      </c>
      <c r="G1341" s="22" t="str">
        <f t="shared" si="79"/>
        <v/>
      </c>
      <c r="H1341" s="22" t="str">
        <f t="shared" si="80"/>
        <v/>
      </c>
    </row>
    <row r="1342" ht="15.75" customHeight="1">
      <c r="A1342" s="31"/>
      <c r="B1342" s="22"/>
      <c r="C1342" s="22" t="str">
        <f t="shared" si="10"/>
        <v/>
      </c>
      <c r="D1342" s="25"/>
      <c r="E1342" s="22"/>
      <c r="F1342" s="22" t="str">
        <f t="shared" si="11"/>
        <v/>
      </c>
      <c r="G1342" s="22" t="str">
        <f t="shared" si="79"/>
        <v/>
      </c>
      <c r="H1342" s="22" t="str">
        <f t="shared" si="80"/>
        <v/>
      </c>
    </row>
    <row r="1343" ht="15.75" customHeight="1">
      <c r="A1343" s="31"/>
      <c r="B1343" s="22"/>
      <c r="C1343" s="22" t="str">
        <f t="shared" si="10"/>
        <v/>
      </c>
      <c r="D1343" s="25"/>
      <c r="E1343" s="22"/>
      <c r="F1343" s="22" t="str">
        <f t="shared" si="11"/>
        <v/>
      </c>
      <c r="G1343" s="22" t="str">
        <f t="shared" si="79"/>
        <v/>
      </c>
      <c r="H1343" s="22" t="str">
        <f t="shared" si="80"/>
        <v/>
      </c>
    </row>
    <row r="1344" ht="15.75" customHeight="1">
      <c r="A1344" s="31"/>
      <c r="B1344" s="22"/>
      <c r="C1344" s="22" t="str">
        <f t="shared" si="10"/>
        <v/>
      </c>
      <c r="D1344" s="25"/>
      <c r="E1344" s="22"/>
      <c r="F1344" s="22" t="str">
        <f t="shared" si="11"/>
        <v/>
      </c>
      <c r="G1344" s="22" t="str">
        <f t="shared" si="79"/>
        <v/>
      </c>
      <c r="H1344" s="22" t="str">
        <f t="shared" si="80"/>
        <v/>
      </c>
    </row>
    <row r="1345" ht="15.75" customHeight="1">
      <c r="A1345" s="31"/>
      <c r="B1345" s="22"/>
      <c r="C1345" s="22" t="str">
        <f t="shared" si="10"/>
        <v/>
      </c>
      <c r="D1345" s="25"/>
      <c r="E1345" s="22"/>
      <c r="F1345" s="22" t="str">
        <f t="shared" si="11"/>
        <v/>
      </c>
      <c r="G1345" s="22" t="str">
        <f t="shared" si="79"/>
        <v/>
      </c>
      <c r="H1345" s="22" t="str">
        <f t="shared" si="80"/>
        <v/>
      </c>
    </row>
    <row r="1346" ht="15.75" customHeight="1">
      <c r="A1346" s="31"/>
      <c r="B1346" s="22"/>
      <c r="C1346" s="22" t="str">
        <f t="shared" si="10"/>
        <v/>
      </c>
      <c r="D1346" s="25"/>
      <c r="E1346" s="22"/>
      <c r="F1346" s="22" t="str">
        <f t="shared" si="11"/>
        <v/>
      </c>
      <c r="G1346" s="22" t="str">
        <f t="shared" si="79"/>
        <v/>
      </c>
      <c r="H1346" s="22" t="str">
        <f t="shared" si="80"/>
        <v/>
      </c>
    </row>
    <row r="1347" ht="15.75" customHeight="1">
      <c r="A1347" s="31"/>
      <c r="B1347" s="22"/>
      <c r="C1347" s="22" t="str">
        <f t="shared" si="10"/>
        <v/>
      </c>
      <c r="D1347" s="25"/>
      <c r="E1347" s="22"/>
      <c r="F1347" s="22" t="str">
        <f t="shared" ref="F1347:F1471" si="81">IF(OR(ISBLANK(B1347),B1347=0),"",F1346*((E1347/E1346)*(C1347/C1346)))</f>
        <v/>
      </c>
      <c r="G1347" s="22" t="str">
        <f t="shared" si="79"/>
        <v/>
      </c>
      <c r="H1347" s="22" t="str">
        <f t="shared" si="80"/>
        <v/>
      </c>
    </row>
    <row r="1348" ht="15.75" customHeight="1">
      <c r="A1348" s="31"/>
      <c r="C1348" s="22" t="str">
        <f t="shared" si="10"/>
        <v/>
      </c>
      <c r="D1348" s="25"/>
      <c r="E1348" s="22"/>
      <c r="F1348" s="22" t="str">
        <f t="shared" si="81"/>
        <v/>
      </c>
      <c r="G1348" s="22" t="str">
        <f t="shared" si="79"/>
        <v/>
      </c>
      <c r="H1348" s="22" t="str">
        <f t="shared" si="80"/>
        <v/>
      </c>
    </row>
    <row r="1349" ht="15.75" customHeight="1">
      <c r="A1349" s="31"/>
      <c r="C1349" s="22" t="str">
        <f t="shared" si="10"/>
        <v/>
      </c>
      <c r="D1349" s="25"/>
      <c r="E1349" s="22"/>
      <c r="F1349" s="22" t="str">
        <f t="shared" si="81"/>
        <v/>
      </c>
      <c r="G1349" s="22" t="str">
        <f t="shared" si="79"/>
        <v/>
      </c>
      <c r="H1349" s="22" t="str">
        <f t="shared" si="80"/>
        <v/>
      </c>
    </row>
    <row r="1350" ht="15.75" customHeight="1">
      <c r="A1350" s="31"/>
      <c r="C1350" s="22" t="str">
        <f t="shared" si="10"/>
        <v/>
      </c>
      <c r="D1350" s="25"/>
      <c r="E1350" s="22"/>
      <c r="F1350" s="22" t="str">
        <f t="shared" si="81"/>
        <v/>
      </c>
      <c r="G1350" s="22" t="str">
        <f t="shared" si="79"/>
        <v/>
      </c>
      <c r="H1350" s="22" t="str">
        <f t="shared" si="80"/>
        <v/>
      </c>
    </row>
    <row r="1351" ht="15.75" customHeight="1">
      <c r="A1351" s="31"/>
      <c r="C1351" s="22" t="str">
        <f t="shared" si="10"/>
        <v/>
      </c>
      <c r="F1351" s="22" t="str">
        <f t="shared" si="81"/>
        <v/>
      </c>
      <c r="G1351" s="22" t="str">
        <f t="shared" si="79"/>
        <v/>
      </c>
      <c r="H1351" s="22" t="str">
        <f t="shared" si="80"/>
        <v/>
      </c>
    </row>
    <row r="1352" ht="15.75" customHeight="1">
      <c r="A1352" s="31"/>
      <c r="C1352" s="22" t="str">
        <f t="shared" si="10"/>
        <v/>
      </c>
      <c r="F1352" s="22" t="str">
        <f t="shared" si="81"/>
        <v/>
      </c>
      <c r="G1352" s="22" t="str">
        <f t="shared" si="79"/>
        <v/>
      </c>
      <c r="H1352" s="22" t="str">
        <f t="shared" si="80"/>
        <v/>
      </c>
    </row>
    <row r="1353" ht="15.75" customHeight="1">
      <c r="A1353" s="31"/>
      <c r="C1353" s="22" t="str">
        <f t="shared" si="10"/>
        <v/>
      </c>
      <c r="F1353" s="22" t="str">
        <f t="shared" si="81"/>
        <v/>
      </c>
      <c r="G1353" s="22" t="str">
        <f t="shared" si="79"/>
        <v/>
      </c>
      <c r="H1353" s="22" t="str">
        <f t="shared" si="80"/>
        <v/>
      </c>
    </row>
    <row r="1354" ht="15.75" customHeight="1">
      <c r="A1354" s="31"/>
      <c r="C1354" s="22" t="str">
        <f t="shared" si="10"/>
        <v/>
      </c>
      <c r="F1354" s="22" t="str">
        <f t="shared" si="81"/>
        <v/>
      </c>
      <c r="G1354" s="22" t="str">
        <f t="shared" si="79"/>
        <v/>
      </c>
      <c r="H1354" s="22" t="str">
        <f t="shared" si="80"/>
        <v/>
      </c>
    </row>
    <row r="1355" ht="15.75" customHeight="1">
      <c r="A1355" s="31"/>
      <c r="C1355" s="22" t="str">
        <f t="shared" si="10"/>
        <v/>
      </c>
      <c r="F1355" s="22" t="str">
        <f t="shared" si="81"/>
        <v/>
      </c>
      <c r="G1355" s="22" t="str">
        <f t="shared" si="79"/>
        <v/>
      </c>
      <c r="H1355" s="22" t="str">
        <f t="shared" si="80"/>
        <v/>
      </c>
    </row>
    <row r="1356" ht="15.75" customHeight="1">
      <c r="A1356" s="31"/>
      <c r="C1356" s="22" t="str">
        <f t="shared" si="10"/>
        <v/>
      </c>
      <c r="F1356" s="22" t="str">
        <f t="shared" si="81"/>
        <v/>
      </c>
      <c r="G1356" s="22" t="str">
        <f t="shared" si="79"/>
        <v/>
      </c>
      <c r="H1356" s="22" t="str">
        <f t="shared" si="80"/>
        <v/>
      </c>
    </row>
    <row r="1357" ht="15.75" customHeight="1">
      <c r="A1357" s="31"/>
      <c r="C1357" s="22" t="str">
        <f t="shared" si="10"/>
        <v/>
      </c>
      <c r="F1357" s="22" t="str">
        <f t="shared" si="81"/>
        <v/>
      </c>
      <c r="G1357" s="22" t="str">
        <f t="shared" si="79"/>
        <v/>
      </c>
      <c r="H1357" s="22" t="str">
        <f t="shared" si="80"/>
        <v/>
      </c>
    </row>
    <row r="1358" ht="15.75" customHeight="1">
      <c r="A1358" s="31"/>
      <c r="C1358" s="22" t="str">
        <f t="shared" si="10"/>
        <v/>
      </c>
      <c r="F1358" s="22" t="str">
        <f t="shared" si="81"/>
        <v/>
      </c>
      <c r="G1358" s="22" t="str">
        <f t="shared" si="79"/>
        <v/>
      </c>
      <c r="H1358" s="22" t="str">
        <f t="shared" si="80"/>
        <v/>
      </c>
    </row>
    <row r="1359" ht="15.75" customHeight="1">
      <c r="A1359" s="31"/>
      <c r="C1359" s="22" t="str">
        <f t="shared" si="10"/>
        <v/>
      </c>
      <c r="F1359" s="22" t="str">
        <f t="shared" si="81"/>
        <v/>
      </c>
      <c r="G1359" s="22" t="str">
        <f t="shared" si="79"/>
        <v/>
      </c>
      <c r="H1359" s="22" t="str">
        <f t="shared" si="80"/>
        <v/>
      </c>
    </row>
    <row r="1360" ht="15.75" customHeight="1">
      <c r="A1360" s="31"/>
      <c r="C1360" s="22" t="str">
        <f t="shared" si="10"/>
        <v/>
      </c>
      <c r="F1360" s="22" t="str">
        <f t="shared" si="81"/>
        <v/>
      </c>
      <c r="G1360" s="22" t="str">
        <f t="shared" si="79"/>
        <v/>
      </c>
      <c r="H1360" s="22" t="str">
        <f t="shared" si="80"/>
        <v/>
      </c>
    </row>
    <row r="1361" ht="15.75" customHeight="1">
      <c r="A1361" s="31"/>
      <c r="C1361" s="22" t="str">
        <f t="shared" si="10"/>
        <v/>
      </c>
      <c r="F1361" s="22" t="str">
        <f t="shared" si="81"/>
        <v/>
      </c>
      <c r="G1361" s="22" t="str">
        <f t="shared" si="79"/>
        <v/>
      </c>
      <c r="H1361" s="22" t="str">
        <f t="shared" si="80"/>
        <v/>
      </c>
    </row>
    <row r="1362" ht="15.75" customHeight="1">
      <c r="A1362" s="31"/>
      <c r="C1362" s="22" t="str">
        <f t="shared" si="10"/>
        <v/>
      </c>
      <c r="F1362" s="22" t="str">
        <f t="shared" si="81"/>
        <v/>
      </c>
      <c r="G1362" s="22" t="str">
        <f t="shared" si="79"/>
        <v/>
      </c>
      <c r="H1362" s="22" t="str">
        <f t="shared" si="80"/>
        <v/>
      </c>
    </row>
    <row r="1363" ht="15.75" customHeight="1">
      <c r="A1363" s="31"/>
      <c r="C1363" s="22" t="str">
        <f t="shared" si="10"/>
        <v/>
      </c>
      <c r="F1363" s="22" t="str">
        <f t="shared" si="81"/>
        <v/>
      </c>
      <c r="G1363" s="22" t="str">
        <f t="shared" si="79"/>
        <v/>
      </c>
      <c r="H1363" s="22" t="str">
        <f t="shared" si="80"/>
        <v/>
      </c>
    </row>
    <row r="1364" ht="15.75" customHeight="1">
      <c r="A1364" s="31"/>
      <c r="C1364" s="22" t="str">
        <f t="shared" si="10"/>
        <v/>
      </c>
      <c r="F1364" s="22" t="str">
        <f t="shared" si="81"/>
        <v/>
      </c>
      <c r="G1364" s="22" t="str">
        <f t="shared" si="79"/>
        <v/>
      </c>
      <c r="H1364" s="22" t="str">
        <f t="shared" si="80"/>
        <v/>
      </c>
    </row>
    <row r="1365" ht="15.75" customHeight="1">
      <c r="A1365" s="31"/>
      <c r="C1365" s="22" t="str">
        <f t="shared" si="10"/>
        <v/>
      </c>
      <c r="F1365" s="22" t="str">
        <f t="shared" si="81"/>
        <v/>
      </c>
      <c r="G1365" s="22" t="str">
        <f t="shared" si="79"/>
        <v/>
      </c>
      <c r="H1365" s="22" t="str">
        <f t="shared" si="80"/>
        <v/>
      </c>
    </row>
    <row r="1366" ht="15.75" customHeight="1">
      <c r="A1366" s="31"/>
      <c r="C1366" s="22" t="str">
        <f t="shared" si="10"/>
        <v/>
      </c>
      <c r="F1366" s="22" t="str">
        <f t="shared" si="81"/>
        <v/>
      </c>
      <c r="G1366" s="22" t="str">
        <f t="shared" si="79"/>
        <v/>
      </c>
      <c r="H1366" s="22" t="str">
        <f t="shared" si="80"/>
        <v/>
      </c>
    </row>
    <row r="1367" ht="15.75" customHeight="1">
      <c r="A1367" s="31"/>
      <c r="C1367" s="22" t="str">
        <f t="shared" si="10"/>
        <v/>
      </c>
      <c r="F1367" s="22" t="str">
        <f t="shared" si="81"/>
        <v/>
      </c>
      <c r="G1367" s="22" t="str">
        <f t="shared" si="79"/>
        <v/>
      </c>
      <c r="H1367" s="22" t="str">
        <f t="shared" si="80"/>
        <v/>
      </c>
    </row>
    <row r="1368" ht="15.75" customHeight="1">
      <c r="A1368" s="31"/>
      <c r="C1368" s="22" t="str">
        <f t="shared" si="10"/>
        <v/>
      </c>
      <c r="F1368" s="22" t="str">
        <f t="shared" si="81"/>
        <v/>
      </c>
      <c r="G1368" s="22" t="str">
        <f t="shared" si="79"/>
        <v/>
      </c>
      <c r="H1368" s="22" t="str">
        <f t="shared" si="80"/>
        <v/>
      </c>
    </row>
    <row r="1369" ht="15.75" customHeight="1">
      <c r="A1369" s="31"/>
      <c r="C1369" s="22" t="str">
        <f t="shared" si="10"/>
        <v/>
      </c>
      <c r="F1369" s="22" t="str">
        <f t="shared" si="81"/>
        <v/>
      </c>
      <c r="G1369" s="22" t="str">
        <f t="shared" si="79"/>
        <v/>
      </c>
      <c r="H1369" s="22" t="str">
        <f t="shared" si="80"/>
        <v/>
      </c>
    </row>
    <row r="1370" ht="15.75" customHeight="1">
      <c r="A1370" s="31"/>
      <c r="C1370" s="22" t="str">
        <f t="shared" si="10"/>
        <v/>
      </c>
      <c r="F1370" s="22" t="str">
        <f t="shared" si="81"/>
        <v/>
      </c>
      <c r="G1370" s="22" t="str">
        <f t="shared" si="79"/>
        <v/>
      </c>
      <c r="H1370" s="22" t="str">
        <f t="shared" si="80"/>
        <v/>
      </c>
    </row>
    <row r="1371" ht="15.75" customHeight="1">
      <c r="A1371" s="31"/>
      <c r="C1371" s="22" t="str">
        <f t="shared" si="10"/>
        <v/>
      </c>
      <c r="F1371" s="22" t="str">
        <f t="shared" si="81"/>
        <v/>
      </c>
      <c r="G1371" s="22" t="str">
        <f t="shared" si="79"/>
        <v/>
      </c>
      <c r="H1371" s="22" t="str">
        <f t="shared" si="80"/>
        <v/>
      </c>
    </row>
    <row r="1372" ht="15.75" customHeight="1">
      <c r="A1372" s="31"/>
      <c r="C1372" s="22" t="str">
        <f t="shared" si="10"/>
        <v/>
      </c>
      <c r="F1372" s="22" t="str">
        <f t="shared" si="81"/>
        <v/>
      </c>
      <c r="G1372" s="22" t="str">
        <f t="shared" si="79"/>
        <v/>
      </c>
      <c r="H1372" s="22" t="str">
        <f t="shared" si="80"/>
        <v/>
      </c>
    </row>
    <row r="1373" ht="15.75" customHeight="1">
      <c r="A1373" s="31"/>
      <c r="C1373" s="22" t="str">
        <f t="shared" si="10"/>
        <v/>
      </c>
      <c r="F1373" s="22" t="str">
        <f t="shared" si="81"/>
        <v/>
      </c>
      <c r="G1373" s="22" t="str">
        <f t="shared" si="79"/>
        <v/>
      </c>
      <c r="H1373" s="22" t="str">
        <f t="shared" si="80"/>
        <v/>
      </c>
    </row>
    <row r="1374" ht="15.75" customHeight="1">
      <c r="A1374" s="31"/>
      <c r="C1374" s="22" t="str">
        <f t="shared" si="10"/>
        <v/>
      </c>
      <c r="F1374" s="22" t="str">
        <f t="shared" si="81"/>
        <v/>
      </c>
      <c r="G1374" s="22" t="str">
        <f t="shared" si="79"/>
        <v/>
      </c>
      <c r="H1374" s="22" t="str">
        <f t="shared" si="80"/>
        <v/>
      </c>
    </row>
    <row r="1375" ht="15.75" customHeight="1">
      <c r="A1375" s="31"/>
      <c r="C1375" s="22" t="str">
        <f t="shared" si="10"/>
        <v/>
      </c>
      <c r="F1375" s="22" t="str">
        <f t="shared" si="81"/>
        <v/>
      </c>
      <c r="G1375" s="22" t="str">
        <f t="shared" si="79"/>
        <v/>
      </c>
      <c r="H1375" s="22" t="str">
        <f t="shared" si="80"/>
        <v/>
      </c>
    </row>
    <row r="1376" ht="15.75" customHeight="1">
      <c r="A1376" s="31"/>
      <c r="C1376" s="22" t="str">
        <f t="shared" si="10"/>
        <v/>
      </c>
      <c r="F1376" s="22" t="str">
        <f t="shared" si="81"/>
        <v/>
      </c>
      <c r="G1376" s="22" t="str">
        <f t="shared" si="79"/>
        <v/>
      </c>
      <c r="H1376" s="22" t="str">
        <f t="shared" si="80"/>
        <v/>
      </c>
    </row>
    <row r="1377" ht="15.75" customHeight="1">
      <c r="A1377" s="31"/>
      <c r="C1377" s="22" t="str">
        <f t="shared" si="10"/>
        <v/>
      </c>
      <c r="F1377" s="22" t="str">
        <f t="shared" si="81"/>
        <v/>
      </c>
      <c r="G1377" s="22" t="str">
        <f t="shared" si="79"/>
        <v/>
      </c>
      <c r="H1377" s="22" t="str">
        <f t="shared" si="80"/>
        <v/>
      </c>
    </row>
    <row r="1378" ht="15.75" customHeight="1">
      <c r="A1378" s="31"/>
      <c r="C1378" s="22" t="str">
        <f t="shared" si="10"/>
        <v/>
      </c>
      <c r="F1378" s="22" t="str">
        <f t="shared" si="81"/>
        <v/>
      </c>
      <c r="G1378" s="22" t="str">
        <f t="shared" si="79"/>
        <v/>
      </c>
      <c r="H1378" s="22" t="str">
        <f t="shared" si="80"/>
        <v/>
      </c>
    </row>
    <row r="1379" ht="15.75" customHeight="1">
      <c r="A1379" s="31"/>
      <c r="C1379" s="22" t="str">
        <f t="shared" si="10"/>
        <v/>
      </c>
      <c r="F1379" s="22" t="str">
        <f t="shared" si="81"/>
        <v/>
      </c>
      <c r="G1379" s="22" t="str">
        <f t="shared" si="79"/>
        <v/>
      </c>
      <c r="H1379" s="22" t="str">
        <f t="shared" si="80"/>
        <v/>
      </c>
    </row>
    <row r="1380" ht="15.75" customHeight="1">
      <c r="A1380" s="31"/>
      <c r="C1380" s="22" t="str">
        <f t="shared" si="10"/>
        <v/>
      </c>
      <c r="F1380" s="22" t="str">
        <f t="shared" si="81"/>
        <v/>
      </c>
      <c r="G1380" s="22" t="str">
        <f t="shared" si="79"/>
        <v/>
      </c>
      <c r="H1380" s="22" t="str">
        <f t="shared" si="80"/>
        <v/>
      </c>
    </row>
    <row r="1381" ht="15.75" customHeight="1">
      <c r="A1381" s="31"/>
      <c r="C1381" s="22" t="str">
        <f t="shared" si="10"/>
        <v/>
      </c>
      <c r="F1381" s="22" t="str">
        <f t="shared" si="81"/>
        <v/>
      </c>
      <c r="G1381" s="22" t="str">
        <f t="shared" si="79"/>
        <v/>
      </c>
      <c r="H1381" s="22" t="str">
        <f t="shared" si="80"/>
        <v/>
      </c>
    </row>
    <row r="1382" ht="15.75" customHeight="1">
      <c r="A1382" s="31"/>
      <c r="C1382" s="22" t="str">
        <f t="shared" si="10"/>
        <v/>
      </c>
      <c r="F1382" s="22" t="str">
        <f t="shared" si="81"/>
        <v/>
      </c>
      <c r="G1382" s="22" t="str">
        <f t="shared" si="79"/>
        <v/>
      </c>
      <c r="H1382" s="22" t="str">
        <f t="shared" si="80"/>
        <v/>
      </c>
    </row>
    <row r="1383" ht="15.75" customHeight="1">
      <c r="A1383" s="31"/>
      <c r="C1383" s="22" t="str">
        <f t="shared" si="10"/>
        <v/>
      </c>
      <c r="F1383" s="22" t="str">
        <f t="shared" si="81"/>
        <v/>
      </c>
      <c r="G1383" s="22" t="str">
        <f t="shared" si="79"/>
        <v/>
      </c>
      <c r="H1383" s="22" t="str">
        <f t="shared" si="80"/>
        <v/>
      </c>
    </row>
    <row r="1384" ht="15.75" customHeight="1">
      <c r="A1384" s="31"/>
      <c r="C1384" s="22" t="str">
        <f t="shared" si="10"/>
        <v/>
      </c>
      <c r="F1384" s="22" t="str">
        <f t="shared" si="81"/>
        <v/>
      </c>
      <c r="G1384" s="22" t="str">
        <f t="shared" si="79"/>
        <v/>
      </c>
      <c r="H1384" s="22" t="str">
        <f t="shared" si="80"/>
        <v/>
      </c>
    </row>
    <row r="1385" ht="15.75" customHeight="1">
      <c r="A1385" s="31"/>
      <c r="C1385" s="22" t="str">
        <f t="shared" si="10"/>
        <v/>
      </c>
      <c r="F1385" s="22" t="str">
        <f t="shared" si="81"/>
        <v/>
      </c>
      <c r="G1385" s="22" t="str">
        <f t="shared" si="79"/>
        <v/>
      </c>
      <c r="H1385" s="22" t="str">
        <f t="shared" si="80"/>
        <v/>
      </c>
    </row>
    <row r="1386" ht="15.75" customHeight="1">
      <c r="A1386" s="31"/>
      <c r="C1386" s="22" t="str">
        <f t="shared" ref="C1386:C1420" si="82">IF(ISBLANK(B1385), "", C1385 * (1 + (B1386 - B1385) / B1385 + $J$3 / 52))
</f>
        <v/>
      </c>
      <c r="F1386" s="22" t="str">
        <f t="shared" si="81"/>
        <v/>
      </c>
      <c r="G1386" s="22" t="str">
        <f t="shared" si="79"/>
        <v/>
      </c>
      <c r="H1386" s="22" t="str">
        <f t="shared" si="80"/>
        <v/>
      </c>
    </row>
    <row r="1387" ht="15.75" customHeight="1">
      <c r="A1387" s="31"/>
      <c r="C1387" s="22" t="str">
        <f t="shared" si="82"/>
        <v/>
      </c>
      <c r="F1387" s="22" t="str">
        <f t="shared" si="81"/>
        <v/>
      </c>
      <c r="G1387" s="22" t="str">
        <f t="shared" si="79"/>
        <v/>
      </c>
      <c r="H1387" s="22" t="str">
        <f t="shared" si="80"/>
        <v/>
      </c>
    </row>
    <row r="1388" ht="15.75" customHeight="1">
      <c r="A1388" s="31"/>
      <c r="C1388" s="22" t="str">
        <f t="shared" si="82"/>
        <v/>
      </c>
      <c r="F1388" s="22" t="str">
        <f t="shared" si="81"/>
        <v/>
      </c>
      <c r="G1388" s="22" t="str">
        <f t="shared" si="79"/>
        <v/>
      </c>
      <c r="H1388" s="22" t="str">
        <f t="shared" si="80"/>
        <v/>
      </c>
    </row>
    <row r="1389" ht="15.75" customHeight="1">
      <c r="A1389" s="31"/>
      <c r="C1389" s="22" t="str">
        <f t="shared" si="82"/>
        <v/>
      </c>
      <c r="F1389" s="22" t="str">
        <f t="shared" si="81"/>
        <v/>
      </c>
      <c r="G1389" s="22" t="str">
        <f t="shared" si="79"/>
        <v/>
      </c>
      <c r="H1389" s="22" t="str">
        <f t="shared" si="80"/>
        <v/>
      </c>
    </row>
    <row r="1390" ht="15.75" customHeight="1">
      <c r="A1390" s="31"/>
      <c r="C1390" s="22" t="str">
        <f t="shared" si="82"/>
        <v/>
      </c>
      <c r="F1390" s="22" t="str">
        <f t="shared" si="81"/>
        <v/>
      </c>
      <c r="G1390" s="22" t="str">
        <f t="shared" si="79"/>
        <v/>
      </c>
      <c r="H1390" s="22" t="str">
        <f t="shared" si="80"/>
        <v/>
      </c>
    </row>
    <row r="1391" ht="15.75" customHeight="1">
      <c r="A1391" s="31"/>
      <c r="C1391" s="22" t="str">
        <f t="shared" si="82"/>
        <v/>
      </c>
      <c r="F1391" s="22" t="str">
        <f t="shared" si="81"/>
        <v/>
      </c>
      <c r="G1391" s="22" t="str">
        <f t="shared" si="79"/>
        <v/>
      </c>
      <c r="H1391" s="22" t="str">
        <f t="shared" si="80"/>
        <v/>
      </c>
    </row>
    <row r="1392" ht="15.75" customHeight="1">
      <c r="A1392" s="31"/>
      <c r="C1392" s="22" t="str">
        <f t="shared" si="82"/>
        <v/>
      </c>
      <c r="F1392" s="22" t="str">
        <f t="shared" si="81"/>
        <v/>
      </c>
      <c r="G1392" s="22" t="str">
        <f t="shared" si="79"/>
        <v/>
      </c>
      <c r="H1392" s="22" t="str">
        <f t="shared" si="80"/>
        <v/>
      </c>
    </row>
    <row r="1393" ht="15.75" customHeight="1">
      <c r="A1393" s="31"/>
      <c r="C1393" s="22" t="str">
        <f t="shared" si="82"/>
        <v/>
      </c>
      <c r="F1393" s="22" t="str">
        <f t="shared" si="81"/>
        <v/>
      </c>
      <c r="G1393" s="22" t="str">
        <f t="shared" si="79"/>
        <v/>
      </c>
      <c r="H1393" s="22" t="str">
        <f t="shared" si="80"/>
        <v/>
      </c>
    </row>
    <row r="1394" ht="15.75" customHeight="1">
      <c r="A1394" s="31"/>
      <c r="C1394" s="22" t="str">
        <f t="shared" si="82"/>
        <v/>
      </c>
      <c r="F1394" s="22" t="str">
        <f t="shared" si="81"/>
        <v/>
      </c>
      <c r="G1394" s="22" t="str">
        <f t="shared" si="79"/>
        <v/>
      </c>
      <c r="H1394" s="22" t="str">
        <f t="shared" si="80"/>
        <v/>
      </c>
    </row>
    <row r="1395" ht="15.75" customHeight="1">
      <c r="A1395" s="31"/>
      <c r="C1395" s="22" t="str">
        <f t="shared" si="82"/>
        <v/>
      </c>
      <c r="F1395" s="22" t="str">
        <f t="shared" si="81"/>
        <v/>
      </c>
      <c r="G1395" s="22" t="str">
        <f t="shared" si="79"/>
        <v/>
      </c>
      <c r="H1395" s="22" t="str">
        <f t="shared" si="80"/>
        <v/>
      </c>
    </row>
    <row r="1396" ht="15.75" customHeight="1">
      <c r="A1396" s="31"/>
      <c r="C1396" s="22" t="str">
        <f t="shared" si="82"/>
        <v/>
      </c>
      <c r="F1396" s="22" t="str">
        <f t="shared" si="81"/>
        <v/>
      </c>
      <c r="G1396" s="22" t="str">
        <f t="shared" si="79"/>
        <v/>
      </c>
      <c r="H1396" s="22" t="str">
        <f t="shared" si="80"/>
        <v/>
      </c>
    </row>
    <row r="1397" ht="15.75" customHeight="1">
      <c r="A1397" s="31"/>
      <c r="C1397" s="22" t="str">
        <f t="shared" si="82"/>
        <v/>
      </c>
      <c r="F1397" s="22" t="str">
        <f t="shared" si="81"/>
        <v/>
      </c>
      <c r="G1397" s="22" t="str">
        <f t="shared" si="79"/>
        <v/>
      </c>
      <c r="H1397" s="22" t="str">
        <f t="shared" si="80"/>
        <v/>
      </c>
    </row>
    <row r="1398" ht="15.75" customHeight="1">
      <c r="A1398" s="31"/>
      <c r="C1398" s="22" t="str">
        <f t="shared" si="82"/>
        <v/>
      </c>
      <c r="F1398" s="22" t="str">
        <f t="shared" si="81"/>
        <v/>
      </c>
      <c r="G1398" s="22" t="str">
        <f t="shared" si="79"/>
        <v/>
      </c>
      <c r="H1398" s="22" t="str">
        <f t="shared" si="80"/>
        <v/>
      </c>
    </row>
    <row r="1399" ht="15.75" customHeight="1">
      <c r="A1399" s="31"/>
      <c r="C1399" s="22" t="str">
        <f t="shared" si="82"/>
        <v/>
      </c>
      <c r="F1399" s="22" t="str">
        <f t="shared" si="81"/>
        <v/>
      </c>
      <c r="G1399" s="22" t="str">
        <f t="shared" si="79"/>
        <v/>
      </c>
      <c r="H1399" s="22" t="str">
        <f t="shared" si="80"/>
        <v/>
      </c>
    </row>
    <row r="1400" ht="15.75" customHeight="1">
      <c r="A1400" s="31"/>
      <c r="C1400" s="22" t="str">
        <f t="shared" si="82"/>
        <v/>
      </c>
      <c r="F1400" s="22" t="str">
        <f t="shared" si="81"/>
        <v/>
      </c>
      <c r="G1400" s="22" t="str">
        <f t="shared" si="79"/>
        <v/>
      </c>
      <c r="H1400" s="22" t="str">
        <f t="shared" si="80"/>
        <v/>
      </c>
    </row>
    <row r="1401" ht="15.75" customHeight="1">
      <c r="A1401" s="31"/>
      <c r="C1401" s="22" t="str">
        <f t="shared" si="82"/>
        <v/>
      </c>
      <c r="F1401" s="22" t="str">
        <f t="shared" si="81"/>
        <v/>
      </c>
      <c r="G1401" s="22" t="str">
        <f t="shared" si="79"/>
        <v/>
      </c>
      <c r="H1401" s="22" t="str">
        <f t="shared" si="80"/>
        <v/>
      </c>
    </row>
    <row r="1402" ht="15.75" customHeight="1">
      <c r="A1402" s="31"/>
      <c r="C1402" s="22" t="str">
        <f t="shared" si="82"/>
        <v/>
      </c>
      <c r="F1402" s="22" t="str">
        <f t="shared" si="81"/>
        <v/>
      </c>
      <c r="G1402" s="22" t="str">
        <f t="shared" si="79"/>
        <v/>
      </c>
      <c r="H1402" s="22" t="str">
        <f t="shared" si="80"/>
        <v/>
      </c>
    </row>
    <row r="1403" ht="15.75" customHeight="1">
      <c r="A1403" s="31"/>
      <c r="C1403" s="22" t="str">
        <f t="shared" si="82"/>
        <v/>
      </c>
      <c r="F1403" s="22" t="str">
        <f t="shared" si="81"/>
        <v/>
      </c>
      <c r="G1403" s="22" t="str">
        <f t="shared" si="79"/>
        <v/>
      </c>
      <c r="H1403" s="22" t="str">
        <f t="shared" si="80"/>
        <v/>
      </c>
    </row>
    <row r="1404" ht="15.75" customHeight="1">
      <c r="A1404" s="31"/>
      <c r="C1404" s="22" t="str">
        <f t="shared" si="82"/>
        <v/>
      </c>
      <c r="F1404" s="22" t="str">
        <f t="shared" si="81"/>
        <v/>
      </c>
      <c r="G1404" s="22" t="str">
        <f t="shared" si="79"/>
        <v/>
      </c>
      <c r="H1404" s="22" t="str">
        <f t="shared" si="80"/>
        <v/>
      </c>
    </row>
    <row r="1405" ht="15.75" customHeight="1">
      <c r="A1405" s="31"/>
      <c r="C1405" s="22" t="str">
        <f t="shared" si="82"/>
        <v/>
      </c>
      <c r="F1405" s="22" t="str">
        <f t="shared" si="81"/>
        <v/>
      </c>
      <c r="G1405" s="22" t="str">
        <f t="shared" si="79"/>
        <v/>
      </c>
      <c r="H1405" s="22" t="str">
        <f t="shared" si="80"/>
        <v/>
      </c>
    </row>
    <row r="1406" ht="15.75" customHeight="1">
      <c r="A1406" s="31"/>
      <c r="C1406" s="22" t="str">
        <f t="shared" si="82"/>
        <v/>
      </c>
      <c r="F1406" s="22" t="str">
        <f t="shared" si="81"/>
        <v/>
      </c>
      <c r="G1406" s="22" t="str">
        <f t="shared" si="79"/>
        <v/>
      </c>
      <c r="H1406" s="22" t="str">
        <f t="shared" si="80"/>
        <v/>
      </c>
    </row>
    <row r="1407" ht="15.75" customHeight="1">
      <c r="A1407" s="31"/>
      <c r="C1407" s="22" t="str">
        <f t="shared" si="82"/>
        <v/>
      </c>
      <c r="F1407" s="22" t="str">
        <f t="shared" si="81"/>
        <v/>
      </c>
      <c r="G1407" s="22" t="str">
        <f t="shared" si="79"/>
        <v/>
      </c>
      <c r="H1407" s="22" t="str">
        <f t="shared" si="80"/>
        <v/>
      </c>
    </row>
    <row r="1408" ht="15.75" customHeight="1">
      <c r="A1408" s="31"/>
      <c r="C1408" s="22" t="str">
        <f t="shared" si="82"/>
        <v/>
      </c>
      <c r="F1408" s="22" t="str">
        <f t="shared" si="81"/>
        <v/>
      </c>
      <c r="G1408" s="22" t="str">
        <f t="shared" si="79"/>
        <v/>
      </c>
      <c r="H1408" s="22" t="str">
        <f t="shared" si="80"/>
        <v/>
      </c>
    </row>
    <row r="1409" ht="15.75" customHeight="1">
      <c r="A1409" s="31"/>
      <c r="C1409" s="22" t="str">
        <f t="shared" si="82"/>
        <v/>
      </c>
      <c r="F1409" s="22" t="str">
        <f t="shared" si="81"/>
        <v/>
      </c>
      <c r="G1409" s="22" t="str">
        <f t="shared" si="79"/>
        <v/>
      </c>
      <c r="H1409" s="22" t="str">
        <f t="shared" si="80"/>
        <v/>
      </c>
    </row>
    <row r="1410" ht="15.75" customHeight="1">
      <c r="A1410" s="31"/>
      <c r="C1410" s="22" t="str">
        <f t="shared" si="82"/>
        <v/>
      </c>
      <c r="F1410" s="22" t="str">
        <f t="shared" si="81"/>
        <v/>
      </c>
      <c r="G1410" s="22" t="str">
        <f t="shared" si="79"/>
        <v/>
      </c>
      <c r="H1410" s="22" t="str">
        <f t="shared" si="80"/>
        <v/>
      </c>
    </row>
    <row r="1411" ht="15.75" customHeight="1">
      <c r="A1411" s="31"/>
      <c r="C1411" s="22" t="str">
        <f t="shared" si="82"/>
        <v/>
      </c>
      <c r="F1411" s="22" t="str">
        <f t="shared" si="81"/>
        <v/>
      </c>
      <c r="G1411" s="22" t="str">
        <f t="shared" si="79"/>
        <v/>
      </c>
      <c r="H1411" s="22" t="str">
        <f t="shared" si="80"/>
        <v/>
      </c>
    </row>
    <row r="1412" ht="15.75" customHeight="1">
      <c r="A1412" s="31"/>
      <c r="C1412" s="22" t="str">
        <f t="shared" si="82"/>
        <v/>
      </c>
      <c r="F1412" s="22" t="str">
        <f t="shared" si="81"/>
        <v/>
      </c>
      <c r="G1412" s="22" t="str">
        <f t="shared" si="79"/>
        <v/>
      </c>
      <c r="H1412" s="22" t="str">
        <f t="shared" si="80"/>
        <v/>
      </c>
    </row>
    <row r="1413" ht="15.75" customHeight="1">
      <c r="A1413" s="31"/>
      <c r="C1413" s="22" t="str">
        <f t="shared" si="82"/>
        <v/>
      </c>
      <c r="F1413" s="22" t="str">
        <f t="shared" si="81"/>
        <v/>
      </c>
      <c r="G1413" s="22" t="str">
        <f t="shared" si="79"/>
        <v/>
      </c>
      <c r="H1413" s="22" t="str">
        <f t="shared" si="80"/>
        <v/>
      </c>
    </row>
    <row r="1414" ht="15.75" customHeight="1">
      <c r="A1414" s="31"/>
      <c r="C1414" s="22" t="str">
        <f t="shared" si="82"/>
        <v/>
      </c>
      <c r="F1414" s="22" t="str">
        <f t="shared" si="81"/>
        <v/>
      </c>
      <c r="G1414" s="22" t="str">
        <f t="shared" si="79"/>
        <v/>
      </c>
      <c r="H1414" s="22" t="str">
        <f t="shared" si="80"/>
        <v/>
      </c>
    </row>
    <row r="1415" ht="15.75" customHeight="1">
      <c r="A1415" s="31"/>
      <c r="C1415" s="22" t="str">
        <f t="shared" si="82"/>
        <v/>
      </c>
      <c r="F1415" s="22" t="str">
        <f t="shared" si="81"/>
        <v/>
      </c>
      <c r="G1415" s="22" t="str">
        <f t="shared" si="79"/>
        <v/>
      </c>
      <c r="H1415" s="22" t="str">
        <f t="shared" si="80"/>
        <v/>
      </c>
    </row>
    <row r="1416" ht="15.75" customHeight="1">
      <c r="A1416" s="31"/>
      <c r="C1416" s="22" t="str">
        <f t="shared" si="82"/>
        <v/>
      </c>
      <c r="F1416" s="22" t="str">
        <f t="shared" si="81"/>
        <v/>
      </c>
      <c r="G1416" s="22" t="str">
        <f t="shared" si="79"/>
        <v/>
      </c>
      <c r="H1416" s="22" t="str">
        <f t="shared" si="80"/>
        <v/>
      </c>
    </row>
    <row r="1417" ht="15.75" customHeight="1">
      <c r="A1417" s="31"/>
      <c r="C1417" s="22" t="str">
        <f t="shared" si="82"/>
        <v/>
      </c>
      <c r="F1417" s="22" t="str">
        <f t="shared" si="81"/>
        <v/>
      </c>
      <c r="G1417" s="22" t="str">
        <f t="shared" si="79"/>
        <v/>
      </c>
      <c r="H1417" s="22" t="str">
        <f t="shared" si="80"/>
        <v/>
      </c>
    </row>
    <row r="1418" ht="15.75" customHeight="1">
      <c r="A1418" s="31"/>
      <c r="C1418" s="22" t="str">
        <f t="shared" si="82"/>
        <v/>
      </c>
      <c r="F1418" s="22" t="str">
        <f t="shared" si="81"/>
        <v/>
      </c>
      <c r="G1418" s="22" t="str">
        <f t="shared" si="79"/>
        <v/>
      </c>
      <c r="H1418" s="22" t="str">
        <f t="shared" si="80"/>
        <v/>
      </c>
    </row>
    <row r="1419" ht="15.75" customHeight="1">
      <c r="A1419" s="31"/>
      <c r="C1419" s="22" t="str">
        <f t="shared" si="82"/>
        <v/>
      </c>
      <c r="F1419" s="22" t="str">
        <f t="shared" si="81"/>
        <v/>
      </c>
      <c r="G1419" s="22" t="str">
        <f t="shared" si="79"/>
        <v/>
      </c>
      <c r="H1419" s="22" t="str">
        <f t="shared" si="80"/>
        <v/>
      </c>
    </row>
    <row r="1420" ht="15.75" customHeight="1">
      <c r="A1420" s="31"/>
      <c r="C1420" s="22" t="str">
        <f t="shared" si="82"/>
        <v/>
      </c>
      <c r="F1420" s="22" t="str">
        <f t="shared" si="81"/>
        <v/>
      </c>
      <c r="G1420" s="22" t="str">
        <f t="shared" si="79"/>
        <v/>
      </c>
      <c r="H1420" s="22" t="str">
        <f t="shared" si="80"/>
        <v/>
      </c>
    </row>
    <row r="1421" ht="15.75" customHeight="1">
      <c r="A1421" s="31"/>
      <c r="F1421" s="22" t="str">
        <f t="shared" si="81"/>
        <v/>
      </c>
      <c r="G1421" s="22" t="str">
        <f t="shared" si="79"/>
        <v/>
      </c>
      <c r="H1421" s="22" t="str">
        <f t="shared" si="80"/>
        <v/>
      </c>
    </row>
    <row r="1422" ht="15.75" customHeight="1">
      <c r="A1422" s="31"/>
      <c r="F1422" s="22" t="str">
        <f t="shared" si="81"/>
        <v/>
      </c>
      <c r="G1422" s="22" t="str">
        <f t="shared" si="79"/>
        <v/>
      </c>
      <c r="H1422" s="22" t="str">
        <f t="shared" si="80"/>
        <v/>
      </c>
    </row>
    <row r="1423" ht="15.75" customHeight="1">
      <c r="A1423" s="31"/>
      <c r="F1423" s="22" t="str">
        <f t="shared" si="81"/>
        <v/>
      </c>
      <c r="G1423" s="22" t="str">
        <f t="shared" si="79"/>
        <v/>
      </c>
      <c r="H1423" s="22" t="str">
        <f t="shared" si="80"/>
        <v/>
      </c>
    </row>
    <row r="1424" ht="15.75" customHeight="1">
      <c r="A1424" s="31"/>
      <c r="F1424" s="22" t="str">
        <f t="shared" si="81"/>
        <v/>
      </c>
      <c r="G1424" s="22" t="str">
        <f t="shared" si="79"/>
        <v/>
      </c>
      <c r="H1424" s="22" t="str">
        <f t="shared" si="80"/>
        <v/>
      </c>
    </row>
    <row r="1425" ht="15.75" customHeight="1">
      <c r="A1425" s="31"/>
      <c r="F1425" s="22" t="str">
        <f t="shared" si="81"/>
        <v/>
      </c>
      <c r="G1425" s="22" t="str">
        <f t="shared" si="79"/>
        <v/>
      </c>
      <c r="H1425" s="22" t="str">
        <f t="shared" si="80"/>
        <v/>
      </c>
    </row>
    <row r="1426" ht="15.75" customHeight="1">
      <c r="A1426" s="31"/>
      <c r="F1426" s="22" t="str">
        <f t="shared" si="81"/>
        <v/>
      </c>
      <c r="G1426" s="22" t="str">
        <f t="shared" si="79"/>
        <v/>
      </c>
      <c r="H1426" s="22" t="str">
        <f t="shared" si="80"/>
        <v/>
      </c>
    </row>
    <row r="1427" ht="15.75" customHeight="1">
      <c r="A1427" s="31"/>
      <c r="F1427" s="22" t="str">
        <f t="shared" si="81"/>
        <v/>
      </c>
      <c r="G1427" s="22" t="str">
        <f t="shared" si="79"/>
        <v/>
      </c>
      <c r="H1427" s="22" t="str">
        <f t="shared" si="80"/>
        <v/>
      </c>
    </row>
    <row r="1428" ht="15.75" customHeight="1">
      <c r="A1428" s="31"/>
      <c r="F1428" s="22" t="str">
        <f t="shared" si="81"/>
        <v/>
      </c>
      <c r="G1428" s="22" t="str">
        <f t="shared" si="79"/>
        <v/>
      </c>
      <c r="H1428" s="22" t="str">
        <f t="shared" si="80"/>
        <v/>
      </c>
    </row>
    <row r="1429" ht="15.75" customHeight="1">
      <c r="A1429" s="31"/>
      <c r="F1429" s="22" t="str">
        <f t="shared" si="81"/>
        <v/>
      </c>
      <c r="G1429" s="22" t="str">
        <f t="shared" si="79"/>
        <v/>
      </c>
      <c r="H1429" s="22" t="str">
        <f t="shared" si="80"/>
        <v/>
      </c>
    </row>
    <row r="1430" ht="15.75" customHeight="1">
      <c r="A1430" s="31"/>
      <c r="F1430" s="22" t="str">
        <f t="shared" si="81"/>
        <v/>
      </c>
      <c r="G1430" s="22" t="str">
        <f t="shared" si="79"/>
        <v/>
      </c>
      <c r="H1430" s="22" t="str">
        <f t="shared" si="80"/>
        <v/>
      </c>
    </row>
    <row r="1431" ht="15.75" customHeight="1">
      <c r="A1431" s="31"/>
      <c r="F1431" s="22" t="str">
        <f t="shared" si="81"/>
        <v/>
      </c>
      <c r="G1431" s="22" t="str">
        <f t="shared" si="79"/>
        <v/>
      </c>
      <c r="H1431" s="22" t="str">
        <f t="shared" si="80"/>
        <v/>
      </c>
    </row>
    <row r="1432" ht="15.75" customHeight="1">
      <c r="A1432" s="31"/>
      <c r="F1432" s="22" t="str">
        <f t="shared" si="81"/>
        <v/>
      </c>
      <c r="G1432" s="22" t="str">
        <f t="shared" si="79"/>
        <v/>
      </c>
      <c r="H1432" s="22" t="str">
        <f t="shared" si="80"/>
        <v/>
      </c>
    </row>
    <row r="1433" ht="15.75" customHeight="1">
      <c r="A1433" s="31"/>
      <c r="F1433" s="22" t="str">
        <f t="shared" si="81"/>
        <v/>
      </c>
      <c r="G1433" s="22" t="str">
        <f t="shared" si="79"/>
        <v/>
      </c>
      <c r="H1433" s="22" t="str">
        <f t="shared" si="80"/>
        <v/>
      </c>
    </row>
    <row r="1434" ht="15.75" customHeight="1">
      <c r="A1434" s="31"/>
      <c r="F1434" s="22" t="str">
        <f t="shared" si="81"/>
        <v/>
      </c>
      <c r="G1434" s="22" t="str">
        <f t="shared" si="79"/>
        <v/>
      </c>
      <c r="H1434" s="22" t="str">
        <f t="shared" si="80"/>
        <v/>
      </c>
    </row>
    <row r="1435" ht="15.75" customHeight="1">
      <c r="A1435" s="31"/>
      <c r="F1435" s="22" t="str">
        <f t="shared" si="81"/>
        <v/>
      </c>
      <c r="G1435" s="22" t="str">
        <f t="shared" si="79"/>
        <v/>
      </c>
      <c r="H1435" s="22" t="str">
        <f t="shared" si="80"/>
        <v/>
      </c>
    </row>
    <row r="1436" ht="15.75" customHeight="1">
      <c r="A1436" s="31"/>
      <c r="F1436" s="22" t="str">
        <f t="shared" si="81"/>
        <v/>
      </c>
      <c r="G1436" s="22" t="str">
        <f t="shared" si="79"/>
        <v/>
      </c>
      <c r="H1436" s="22" t="str">
        <f t="shared" si="80"/>
        <v/>
      </c>
    </row>
    <row r="1437" ht="15.75" customHeight="1">
      <c r="A1437" s="31"/>
      <c r="F1437" s="22" t="str">
        <f t="shared" si="81"/>
        <v/>
      </c>
      <c r="G1437" s="22" t="str">
        <f t="shared" si="79"/>
        <v/>
      </c>
      <c r="H1437" s="22" t="str">
        <f t="shared" si="80"/>
        <v/>
      </c>
    </row>
    <row r="1438" ht="15.75" customHeight="1">
      <c r="A1438" s="31"/>
      <c r="F1438" s="22" t="str">
        <f t="shared" si="81"/>
        <v/>
      </c>
      <c r="G1438" s="22" t="str">
        <f t="shared" si="79"/>
        <v/>
      </c>
      <c r="H1438" s="22" t="str">
        <f t="shared" si="80"/>
        <v/>
      </c>
    </row>
    <row r="1439" ht="15.75" customHeight="1">
      <c r="A1439" s="31"/>
      <c r="F1439" s="22" t="str">
        <f t="shared" si="81"/>
        <v/>
      </c>
      <c r="G1439" s="22" t="str">
        <f t="shared" si="79"/>
        <v/>
      </c>
      <c r="H1439" s="22" t="str">
        <f t="shared" si="80"/>
        <v/>
      </c>
    </row>
    <row r="1440" ht="15.75" customHeight="1">
      <c r="A1440" s="31"/>
      <c r="F1440" s="22" t="str">
        <f t="shared" si="81"/>
        <v/>
      </c>
      <c r="G1440" s="22" t="str">
        <f t="shared" si="79"/>
        <v/>
      </c>
      <c r="H1440" s="22" t="str">
        <f t="shared" si="80"/>
        <v/>
      </c>
    </row>
    <row r="1441" ht="15.75" customHeight="1">
      <c r="A1441" s="31"/>
      <c r="F1441" s="22" t="str">
        <f t="shared" si="81"/>
        <v/>
      </c>
      <c r="G1441" s="22" t="str">
        <f t="shared" si="79"/>
        <v/>
      </c>
      <c r="H1441" s="22" t="str">
        <f t="shared" si="80"/>
        <v/>
      </c>
    </row>
    <row r="1442" ht="15.75" customHeight="1">
      <c r="A1442" s="31"/>
      <c r="F1442" s="22" t="str">
        <f t="shared" si="81"/>
        <v/>
      </c>
      <c r="G1442" s="22" t="str">
        <f t="shared" si="79"/>
        <v/>
      </c>
      <c r="H1442" s="22" t="str">
        <f t="shared" si="80"/>
        <v/>
      </c>
    </row>
    <row r="1443" ht="15.75" customHeight="1">
      <c r="A1443" s="31"/>
      <c r="F1443" s="22" t="str">
        <f t="shared" si="81"/>
        <v/>
      </c>
      <c r="G1443" s="22" t="str">
        <f t="shared" si="79"/>
        <v/>
      </c>
      <c r="H1443" s="22" t="str">
        <f t="shared" si="80"/>
        <v/>
      </c>
    </row>
    <row r="1444" ht="15.75" customHeight="1">
      <c r="A1444" s="31"/>
      <c r="F1444" s="22" t="str">
        <f t="shared" si="81"/>
        <v/>
      </c>
      <c r="G1444" s="22" t="str">
        <f t="shared" si="79"/>
        <v/>
      </c>
      <c r="H1444" s="22" t="str">
        <f t="shared" si="80"/>
        <v/>
      </c>
    </row>
    <row r="1445" ht="15.75" customHeight="1">
      <c r="A1445" s="31"/>
      <c r="F1445" s="22" t="str">
        <f t="shared" si="81"/>
        <v/>
      </c>
      <c r="G1445" s="22" t="str">
        <f t="shared" si="79"/>
        <v/>
      </c>
      <c r="H1445" s="22" t="str">
        <f t="shared" si="80"/>
        <v/>
      </c>
    </row>
    <row r="1446" ht="15.75" customHeight="1">
      <c r="A1446" s="31"/>
      <c r="F1446" s="22" t="str">
        <f t="shared" si="81"/>
        <v/>
      </c>
      <c r="G1446" s="22" t="str">
        <f t="shared" si="79"/>
        <v/>
      </c>
      <c r="H1446" s="22" t="str">
        <f t="shared" si="80"/>
        <v/>
      </c>
    </row>
    <row r="1447" ht="15.75" customHeight="1">
      <c r="A1447" s="31"/>
      <c r="F1447" s="22" t="str">
        <f t="shared" si="81"/>
        <v/>
      </c>
      <c r="G1447" s="22" t="str">
        <f t="shared" si="79"/>
        <v/>
      </c>
      <c r="H1447" s="22" t="str">
        <f t="shared" si="80"/>
        <v/>
      </c>
    </row>
    <row r="1448" ht="15.75" customHeight="1">
      <c r="A1448" s="31"/>
      <c r="F1448" s="22" t="str">
        <f t="shared" si="81"/>
        <v/>
      </c>
      <c r="G1448" s="22" t="str">
        <f t="shared" si="79"/>
        <v/>
      </c>
      <c r="H1448" s="22" t="str">
        <f t="shared" si="80"/>
        <v/>
      </c>
    </row>
    <row r="1449" ht="15.75" customHeight="1">
      <c r="A1449" s="31"/>
      <c r="F1449" s="22" t="str">
        <f t="shared" si="81"/>
        <v/>
      </c>
      <c r="G1449" s="22" t="str">
        <f t="shared" si="79"/>
        <v/>
      </c>
      <c r="H1449" s="22" t="str">
        <f t="shared" si="80"/>
        <v/>
      </c>
    </row>
    <row r="1450" ht="15.75" customHeight="1">
      <c r="A1450" s="31"/>
      <c r="F1450" s="22" t="str">
        <f t="shared" si="81"/>
        <v/>
      </c>
      <c r="G1450" s="22" t="str">
        <f t="shared" si="79"/>
        <v/>
      </c>
      <c r="H1450" s="22" t="str">
        <f t="shared" si="80"/>
        <v/>
      </c>
    </row>
    <row r="1451" ht="15.75" customHeight="1">
      <c r="A1451" s="31"/>
      <c r="F1451" s="22" t="str">
        <f t="shared" si="81"/>
        <v/>
      </c>
      <c r="G1451" s="22" t="str">
        <f t="shared" si="79"/>
        <v/>
      </c>
      <c r="H1451" s="22" t="str">
        <f t="shared" si="80"/>
        <v/>
      </c>
    </row>
    <row r="1452" ht="15.75" customHeight="1">
      <c r="A1452" s="31"/>
      <c r="F1452" s="22" t="str">
        <f t="shared" si="81"/>
        <v/>
      </c>
      <c r="G1452" s="22" t="str">
        <f t="shared" si="79"/>
        <v/>
      </c>
      <c r="H1452" s="22" t="str">
        <f t="shared" si="80"/>
        <v/>
      </c>
    </row>
    <row r="1453" ht="15.75" customHeight="1">
      <c r="A1453" s="31"/>
      <c r="F1453" s="22" t="str">
        <f t="shared" si="81"/>
        <v/>
      </c>
      <c r="G1453" s="22" t="str">
        <f t="shared" si="79"/>
        <v/>
      </c>
      <c r="H1453" s="22" t="str">
        <f t="shared" si="80"/>
        <v/>
      </c>
    </row>
    <row r="1454" ht="15.75" customHeight="1">
      <c r="A1454" s="31"/>
      <c r="F1454" s="22" t="str">
        <f t="shared" si="81"/>
        <v/>
      </c>
      <c r="G1454" s="22" t="str">
        <f t="shared" si="79"/>
        <v/>
      </c>
      <c r="H1454" s="22" t="str">
        <f t="shared" si="80"/>
        <v/>
      </c>
    </row>
    <row r="1455" ht="15.75" customHeight="1">
      <c r="A1455" s="31"/>
      <c r="F1455" s="22" t="str">
        <f t="shared" si="81"/>
        <v/>
      </c>
      <c r="G1455" s="22" t="str">
        <f t="shared" si="79"/>
        <v/>
      </c>
      <c r="H1455" s="22" t="str">
        <f t="shared" si="80"/>
        <v/>
      </c>
    </row>
    <row r="1456" ht="15.75" customHeight="1">
      <c r="A1456" s="31"/>
      <c r="F1456" s="22" t="str">
        <f t="shared" si="81"/>
        <v/>
      </c>
      <c r="G1456" s="22" t="str">
        <f t="shared" si="79"/>
        <v/>
      </c>
      <c r="H1456" s="22" t="str">
        <f t="shared" si="80"/>
        <v/>
      </c>
    </row>
    <row r="1457" ht="15.75" customHeight="1">
      <c r="A1457" s="31"/>
      <c r="F1457" s="22" t="str">
        <f t="shared" si="81"/>
        <v/>
      </c>
      <c r="G1457" s="22" t="str">
        <f t="shared" si="79"/>
        <v/>
      </c>
      <c r="H1457" s="22" t="str">
        <f t="shared" si="80"/>
        <v/>
      </c>
    </row>
    <row r="1458" ht="15.75" customHeight="1">
      <c r="A1458" s="31"/>
      <c r="F1458" s="22" t="str">
        <f t="shared" si="81"/>
        <v/>
      </c>
      <c r="G1458" s="22" t="str">
        <f t="shared" si="79"/>
        <v/>
      </c>
      <c r="H1458" s="22" t="str">
        <f t="shared" si="80"/>
        <v/>
      </c>
    </row>
    <row r="1459" ht="15.75" customHeight="1">
      <c r="A1459" s="31"/>
      <c r="F1459" s="22" t="str">
        <f t="shared" si="81"/>
        <v/>
      </c>
      <c r="G1459" s="22" t="str">
        <f t="shared" si="79"/>
        <v/>
      </c>
      <c r="H1459" s="22" t="str">
        <f t="shared" si="80"/>
        <v/>
      </c>
    </row>
    <row r="1460" ht="15.75" customHeight="1">
      <c r="A1460" s="31"/>
      <c r="F1460" s="22" t="str">
        <f t="shared" si="81"/>
        <v/>
      </c>
      <c r="G1460" s="22" t="str">
        <f t="shared" si="79"/>
        <v/>
      </c>
      <c r="H1460" s="22" t="str">
        <f t="shared" si="80"/>
        <v/>
      </c>
    </row>
    <row r="1461" ht="15.75" customHeight="1">
      <c r="A1461" s="31"/>
      <c r="F1461" s="22" t="str">
        <f t="shared" si="81"/>
        <v/>
      </c>
      <c r="G1461" s="22" t="str">
        <f t="shared" si="79"/>
        <v/>
      </c>
      <c r="H1461" s="22" t="str">
        <f t="shared" si="80"/>
        <v/>
      </c>
    </row>
    <row r="1462" ht="15.75" customHeight="1">
      <c r="A1462" s="31"/>
      <c r="F1462" s="22" t="str">
        <f t="shared" si="81"/>
        <v/>
      </c>
      <c r="G1462" s="22" t="str">
        <f t="shared" si="79"/>
        <v/>
      </c>
      <c r="H1462" s="22" t="str">
        <f t="shared" si="80"/>
        <v/>
      </c>
    </row>
    <row r="1463" ht="15.75" customHeight="1">
      <c r="A1463" s="31"/>
      <c r="F1463" s="22" t="str">
        <f t="shared" si="81"/>
        <v/>
      </c>
      <c r="G1463" s="22" t="str">
        <f t="shared" si="79"/>
        <v/>
      </c>
      <c r="H1463" s="22" t="str">
        <f t="shared" si="80"/>
        <v/>
      </c>
    </row>
    <row r="1464" ht="15.75" customHeight="1">
      <c r="A1464" s="31"/>
      <c r="F1464" s="22" t="str">
        <f t="shared" si="81"/>
        <v/>
      </c>
      <c r="G1464" s="22" t="str">
        <f t="shared" si="79"/>
        <v/>
      </c>
      <c r="H1464" s="22" t="str">
        <f t="shared" si="80"/>
        <v/>
      </c>
    </row>
    <row r="1465" ht="15.75" customHeight="1">
      <c r="A1465" s="31"/>
      <c r="F1465" s="22" t="str">
        <f t="shared" si="81"/>
        <v/>
      </c>
      <c r="G1465" s="22" t="str">
        <f t="shared" si="79"/>
        <v/>
      </c>
      <c r="H1465" s="22" t="str">
        <f t="shared" si="80"/>
        <v/>
      </c>
    </row>
    <row r="1466" ht="15.75" customHeight="1">
      <c r="A1466" s="31"/>
      <c r="F1466" s="22" t="str">
        <f t="shared" si="81"/>
        <v/>
      </c>
      <c r="G1466" s="22" t="str">
        <f t="shared" si="79"/>
        <v/>
      </c>
      <c r="H1466" s="22" t="str">
        <f t="shared" si="80"/>
        <v/>
      </c>
    </row>
    <row r="1467" ht="15.75" customHeight="1">
      <c r="A1467" s="31"/>
      <c r="F1467" s="22" t="str">
        <f t="shared" si="81"/>
        <v/>
      </c>
      <c r="G1467" s="22" t="str">
        <f t="shared" si="79"/>
        <v/>
      </c>
      <c r="H1467" s="22" t="str">
        <f t="shared" si="80"/>
        <v/>
      </c>
    </row>
    <row r="1468" ht="15.75" customHeight="1">
      <c r="A1468" s="31"/>
      <c r="F1468" s="22" t="str">
        <f t="shared" si="81"/>
        <v/>
      </c>
      <c r="G1468" s="22" t="str">
        <f t="shared" si="79"/>
        <v/>
      </c>
      <c r="H1468" s="22" t="str">
        <f t="shared" si="80"/>
        <v/>
      </c>
    </row>
    <row r="1469" ht="15.75" customHeight="1">
      <c r="A1469" s="31"/>
      <c r="F1469" s="22" t="str">
        <f t="shared" si="81"/>
        <v/>
      </c>
      <c r="G1469" s="22" t="str">
        <f t="shared" si="79"/>
        <v/>
      </c>
      <c r="H1469" s="22" t="str">
        <f t="shared" si="80"/>
        <v/>
      </c>
    </row>
    <row r="1470" ht="15.75" customHeight="1">
      <c r="A1470" s="31"/>
      <c r="F1470" s="22" t="str">
        <f t="shared" si="81"/>
        <v/>
      </c>
      <c r="G1470" s="22" t="str">
        <f t="shared" si="79"/>
        <v/>
      </c>
      <c r="H1470" s="22" t="str">
        <f t="shared" si="80"/>
        <v/>
      </c>
    </row>
    <row r="1471" ht="15.75" customHeight="1">
      <c r="A1471" s="31"/>
      <c r="F1471" s="22" t="str">
        <f t="shared" si="81"/>
        <v/>
      </c>
      <c r="G1471" s="22" t="str">
        <f t="shared" si="79"/>
        <v/>
      </c>
      <c r="H1471" s="22" t="str">
        <f t="shared" si="80"/>
        <v/>
      </c>
    </row>
    <row r="1472" ht="15.75" customHeight="1">
      <c r="A1472" s="31"/>
      <c r="G1472" s="22" t="str">
        <f t="shared" si="79"/>
        <v/>
      </c>
      <c r="H1472" s="22" t="str">
        <f t="shared" si="80"/>
        <v/>
      </c>
    </row>
    <row r="1473" ht="15.75" customHeight="1">
      <c r="A1473" s="31"/>
      <c r="G1473" s="22" t="str">
        <f t="shared" si="79"/>
        <v/>
      </c>
      <c r="H1473" s="22" t="str">
        <f t="shared" si="80"/>
        <v/>
      </c>
    </row>
    <row r="1474" ht="15.75" customHeight="1">
      <c r="A1474" s="31"/>
      <c r="G1474" s="22" t="str">
        <f t="shared" si="79"/>
        <v/>
      </c>
      <c r="H1474" s="22" t="str">
        <f t="shared" si="80"/>
        <v/>
      </c>
    </row>
    <row r="1475" ht="15.75" customHeight="1">
      <c r="A1475" s="31"/>
      <c r="G1475" s="22" t="str">
        <f t="shared" si="79"/>
        <v/>
      </c>
      <c r="H1475" s="22" t="str">
        <f t="shared" si="80"/>
        <v/>
      </c>
    </row>
    <row r="1476" ht="15.75" customHeight="1">
      <c r="A1476" s="31"/>
      <c r="G1476" s="22" t="str">
        <f t="shared" si="79"/>
        <v/>
      </c>
      <c r="H1476" s="22" t="str">
        <f t="shared" si="80"/>
        <v/>
      </c>
    </row>
    <row r="1477" ht="15.75" customHeight="1">
      <c r="A1477" s="31"/>
      <c r="G1477" s="22" t="str">
        <f t="shared" si="79"/>
        <v/>
      </c>
      <c r="H1477" s="22" t="str">
        <f t="shared" si="80"/>
        <v/>
      </c>
    </row>
    <row r="1478" ht="15.75" customHeight="1">
      <c r="A1478" s="31"/>
      <c r="G1478" s="22" t="str">
        <f t="shared" si="79"/>
        <v/>
      </c>
      <c r="H1478" s="22" t="str">
        <f t="shared" si="80"/>
        <v/>
      </c>
    </row>
    <row r="1479" ht="15.75" customHeight="1">
      <c r="A1479" s="31"/>
      <c r="G1479" s="22" t="str">
        <f t="shared" si="79"/>
        <v/>
      </c>
      <c r="H1479" s="22" t="str">
        <f t="shared" si="80"/>
        <v/>
      </c>
    </row>
    <row r="1480" ht="15.75" customHeight="1">
      <c r="A1480" s="31"/>
      <c r="G1480" s="22" t="str">
        <f t="shared" si="79"/>
        <v/>
      </c>
      <c r="H1480" s="22" t="str">
        <f t="shared" si="80"/>
        <v/>
      </c>
    </row>
    <row r="1481" ht="15.75" customHeight="1">
      <c r="A1481" s="31"/>
      <c r="G1481" s="22" t="str">
        <f t="shared" si="79"/>
        <v/>
      </c>
      <c r="H1481" s="22" t="str">
        <f t="shared" si="80"/>
        <v/>
      </c>
    </row>
    <row r="1482" ht="15.75" customHeight="1">
      <c r="A1482" s="31"/>
      <c r="G1482" s="22" t="str">
        <f t="shared" si="79"/>
        <v/>
      </c>
      <c r="H1482" s="22" t="str">
        <f t="shared" si="80"/>
        <v/>
      </c>
    </row>
    <row r="1483" ht="15.75" customHeight="1">
      <c r="A1483" s="31"/>
      <c r="G1483" s="22" t="str">
        <f t="shared" si="79"/>
        <v/>
      </c>
      <c r="H1483" s="22" t="str">
        <f t="shared" si="80"/>
        <v/>
      </c>
    </row>
    <row r="1484" ht="15.75" customHeight="1">
      <c r="A1484" s="31"/>
      <c r="G1484" s="22" t="str">
        <f t="shared" si="79"/>
        <v/>
      </c>
      <c r="H1484" s="22" t="str">
        <f t="shared" si="80"/>
        <v/>
      </c>
    </row>
    <row r="1485" ht="15.75" customHeight="1">
      <c r="A1485" s="31"/>
      <c r="G1485" s="22" t="str">
        <f t="shared" si="79"/>
        <v/>
      </c>
      <c r="H1485" s="22" t="str">
        <f t="shared" si="80"/>
        <v/>
      </c>
    </row>
    <row r="1486" ht="15.75" customHeight="1">
      <c r="A1486" s="31"/>
      <c r="G1486" s="22" t="str">
        <f t="shared" si="79"/>
        <v/>
      </c>
      <c r="H1486" s="22" t="str">
        <f t="shared" si="80"/>
        <v/>
      </c>
    </row>
    <row r="1487" ht="15.75" customHeight="1">
      <c r="A1487" s="31"/>
      <c r="G1487" s="22" t="str">
        <f t="shared" si="79"/>
        <v/>
      </c>
      <c r="H1487" s="22" t="str">
        <f t="shared" si="80"/>
        <v/>
      </c>
    </row>
    <row r="1488" ht="15.75" customHeight="1">
      <c r="A1488" s="31"/>
      <c r="G1488" s="22" t="str">
        <f t="shared" si="79"/>
        <v/>
      </c>
      <c r="H1488" s="22" t="str">
        <f t="shared" si="80"/>
        <v/>
      </c>
    </row>
    <row r="1489" ht="15.75" customHeight="1">
      <c r="A1489" s="31"/>
      <c r="G1489" s="22" t="str">
        <f t="shared" si="79"/>
        <v/>
      </c>
      <c r="H1489" s="22" t="str">
        <f t="shared" si="80"/>
        <v/>
      </c>
    </row>
    <row r="1490" ht="15.75" customHeight="1">
      <c r="A1490" s="31"/>
      <c r="G1490" s="22" t="str">
        <f t="shared" si="79"/>
        <v/>
      </c>
      <c r="H1490" s="22" t="str">
        <f t="shared" si="80"/>
        <v/>
      </c>
    </row>
    <row r="1491" ht="15.75" customHeight="1">
      <c r="A1491" s="31"/>
      <c r="G1491" s="22" t="str">
        <f t="shared" si="79"/>
        <v/>
      </c>
      <c r="H1491" s="22" t="str">
        <f t="shared" si="80"/>
        <v/>
      </c>
    </row>
    <row r="1492" ht="15.75" customHeight="1">
      <c r="A1492" s="31"/>
      <c r="G1492" s="22" t="str">
        <f t="shared" si="79"/>
        <v/>
      </c>
      <c r="H1492" s="22" t="str">
        <f t="shared" si="80"/>
        <v/>
      </c>
    </row>
    <row r="1493" ht="15.75" customHeight="1">
      <c r="A1493" s="31"/>
      <c r="G1493" s="22" t="str">
        <f t="shared" si="79"/>
        <v/>
      </c>
      <c r="H1493" s="22" t="str">
        <f t="shared" si="80"/>
        <v/>
      </c>
    </row>
    <row r="1494" ht="15.75" customHeight="1">
      <c r="A1494" s="31"/>
      <c r="G1494" s="22" t="str">
        <f t="shared" si="79"/>
        <v/>
      </c>
      <c r="H1494" s="22" t="str">
        <f t="shared" si="80"/>
        <v/>
      </c>
    </row>
    <row r="1495" ht="15.75" customHeight="1">
      <c r="A1495" s="31"/>
      <c r="G1495" s="22" t="str">
        <f t="shared" si="79"/>
        <v/>
      </c>
      <c r="H1495" s="22" t="str">
        <f t="shared" si="80"/>
        <v/>
      </c>
    </row>
    <row r="1496" ht="15.75" customHeight="1">
      <c r="A1496" s="31"/>
      <c r="G1496" s="22" t="str">
        <f t="shared" si="79"/>
        <v/>
      </c>
      <c r="H1496" s="22" t="str">
        <f t="shared" si="80"/>
        <v/>
      </c>
    </row>
    <row r="1497" ht="15.75" customHeight="1">
      <c r="A1497" s="31"/>
      <c r="G1497" s="22" t="str">
        <f t="shared" si="79"/>
        <v/>
      </c>
      <c r="H1497" s="22" t="str">
        <f t="shared" si="80"/>
        <v/>
      </c>
    </row>
    <row r="1498" ht="15.75" customHeight="1">
      <c r="A1498" s="31"/>
      <c r="G1498" s="22" t="str">
        <f t="shared" si="79"/>
        <v/>
      </c>
      <c r="H1498" s="22" t="str">
        <f t="shared" si="80"/>
        <v/>
      </c>
    </row>
    <row r="1499" ht="15.75" customHeight="1">
      <c r="A1499" s="31"/>
      <c r="G1499" s="22" t="str">
        <f t="shared" si="79"/>
        <v/>
      </c>
      <c r="H1499" s="22" t="str">
        <f t="shared" si="80"/>
        <v/>
      </c>
    </row>
    <row r="1500" ht="15.75" customHeight="1">
      <c r="A1500" s="31"/>
      <c r="G1500" s="22" t="str">
        <f t="shared" si="79"/>
        <v/>
      </c>
      <c r="H1500" s="22" t="str">
        <f t="shared" si="80"/>
        <v/>
      </c>
    </row>
    <row r="1501" ht="15.75" customHeight="1">
      <c r="A1501" s="31"/>
      <c r="G1501" s="22" t="str">
        <f t="shared" si="79"/>
        <v/>
      </c>
      <c r="H1501" s="22" t="str">
        <f t="shared" si="80"/>
        <v/>
      </c>
    </row>
    <row r="1502" ht="15.75" customHeight="1">
      <c r="A1502" s="31"/>
      <c r="G1502" s="22" t="str">
        <f t="shared" si="79"/>
        <v/>
      </c>
      <c r="H1502" s="22" t="str">
        <f t="shared" si="80"/>
        <v/>
      </c>
    </row>
    <row r="1503" ht="15.75" customHeight="1">
      <c r="A1503" s="31"/>
      <c r="G1503" s="22" t="str">
        <f t="shared" si="79"/>
        <v/>
      </c>
      <c r="H1503" s="22" t="str">
        <f t="shared" si="80"/>
        <v/>
      </c>
    </row>
    <row r="1504" ht="15.75" customHeight="1">
      <c r="A1504" s="31"/>
      <c r="G1504" s="22" t="str">
        <f t="shared" si="79"/>
        <v/>
      </c>
      <c r="H1504" s="22" t="str">
        <f t="shared" si="80"/>
        <v/>
      </c>
    </row>
    <row r="1505" ht="15.75" customHeight="1">
      <c r="A1505" s="31"/>
      <c r="G1505" s="22" t="str">
        <f t="shared" si="79"/>
        <v/>
      </c>
      <c r="H1505" s="22" t="str">
        <f t="shared" si="80"/>
        <v/>
      </c>
    </row>
    <row r="1506" ht="15.75" customHeight="1">
      <c r="A1506" s="31"/>
      <c r="G1506" s="22" t="str">
        <f t="shared" si="79"/>
        <v/>
      </c>
      <c r="H1506" s="22" t="str">
        <f t="shared" si="80"/>
        <v/>
      </c>
    </row>
    <row r="1507" ht="15.75" customHeight="1">
      <c r="A1507" s="31"/>
      <c r="G1507" s="22" t="str">
        <f t="shared" si="79"/>
        <v/>
      </c>
      <c r="H1507" s="22" t="str">
        <f t="shared" si="80"/>
        <v/>
      </c>
    </row>
    <row r="1508" ht="15.75" customHeight="1">
      <c r="A1508" s="31"/>
      <c r="G1508" s="22" t="str">
        <f t="shared" si="79"/>
        <v/>
      </c>
      <c r="H1508" s="22" t="str">
        <f t="shared" si="80"/>
        <v/>
      </c>
    </row>
    <row r="1509" ht="15.75" customHeight="1">
      <c r="A1509" s="31"/>
      <c r="G1509" s="22" t="str">
        <f t="shared" si="79"/>
        <v/>
      </c>
      <c r="H1509" s="22" t="str">
        <f t="shared" si="80"/>
        <v/>
      </c>
    </row>
    <row r="1510" ht="15.75" customHeight="1">
      <c r="A1510" s="31"/>
      <c r="G1510" s="22" t="str">
        <f t="shared" si="79"/>
        <v/>
      </c>
      <c r="H1510" s="22" t="str">
        <f t="shared" si="80"/>
        <v/>
      </c>
    </row>
    <row r="1511" ht="15.75" customHeight="1">
      <c r="A1511" s="31"/>
      <c r="G1511" s="22" t="str">
        <f t="shared" si="79"/>
        <v/>
      </c>
      <c r="H1511" s="22" t="str">
        <f t="shared" si="80"/>
        <v/>
      </c>
    </row>
    <row r="1512" ht="15.75" customHeight="1">
      <c r="A1512" s="31"/>
      <c r="G1512" s="22" t="str">
        <f t="shared" si="79"/>
        <v/>
      </c>
      <c r="H1512" s="22" t="str">
        <f t="shared" si="80"/>
        <v/>
      </c>
    </row>
    <row r="1513" ht="15.75" customHeight="1">
      <c r="A1513" s="31"/>
      <c r="G1513" s="22" t="str">
        <f t="shared" si="79"/>
        <v/>
      </c>
      <c r="H1513" s="22" t="str">
        <f t="shared" si="80"/>
        <v/>
      </c>
    </row>
    <row r="1514" ht="15.75" customHeight="1">
      <c r="A1514" s="31"/>
      <c r="G1514" s="22" t="str">
        <f t="shared" si="79"/>
        <v/>
      </c>
      <c r="H1514" s="22" t="str">
        <f t="shared" si="80"/>
        <v/>
      </c>
    </row>
    <row r="1515" ht="15.75" customHeight="1">
      <c r="A1515" s="31"/>
      <c r="G1515" s="22" t="str">
        <f t="shared" si="79"/>
        <v/>
      </c>
      <c r="H1515" s="22" t="str">
        <f t="shared" si="80"/>
        <v/>
      </c>
    </row>
    <row r="1516" ht="15.75" customHeight="1">
      <c r="A1516" s="31"/>
      <c r="G1516" s="22" t="str">
        <f t="shared" si="79"/>
        <v/>
      </c>
      <c r="H1516" s="22" t="str">
        <f t="shared" si="80"/>
        <v/>
      </c>
    </row>
    <row r="1517" ht="15.75" customHeight="1">
      <c r="A1517" s="31"/>
      <c r="G1517" s="22" t="str">
        <f t="shared" si="79"/>
        <v/>
      </c>
      <c r="H1517" s="22" t="str">
        <f t="shared" si="80"/>
        <v/>
      </c>
    </row>
    <row r="1518" ht="15.75" customHeight="1">
      <c r="A1518" s="31"/>
      <c r="G1518" s="22" t="str">
        <f t="shared" si="79"/>
        <v/>
      </c>
      <c r="H1518" s="22" t="str">
        <f t="shared" si="80"/>
        <v/>
      </c>
    </row>
    <row r="1519" ht="15.75" customHeight="1">
      <c r="A1519" s="31"/>
      <c r="G1519" s="22" t="str">
        <f t="shared" si="79"/>
        <v/>
      </c>
      <c r="H1519" s="22" t="str">
        <f t="shared" si="80"/>
        <v/>
      </c>
    </row>
    <row r="1520" ht="15.75" customHeight="1">
      <c r="A1520" s="31"/>
      <c r="G1520" s="22" t="str">
        <f t="shared" si="79"/>
        <v/>
      </c>
      <c r="H1520" s="22" t="str">
        <f t="shared" si="80"/>
        <v/>
      </c>
    </row>
    <row r="1521" ht="15.75" customHeight="1">
      <c r="A1521" s="31"/>
      <c r="G1521" s="22" t="str">
        <f t="shared" si="79"/>
        <v/>
      </c>
      <c r="H1521" s="22" t="str">
        <f t="shared" si="80"/>
        <v/>
      </c>
    </row>
    <row r="1522" ht="15.75" customHeight="1">
      <c r="A1522" s="31"/>
      <c r="G1522" s="22" t="str">
        <f t="shared" si="79"/>
        <v/>
      </c>
      <c r="H1522" s="22" t="str">
        <f t="shared" si="80"/>
        <v/>
      </c>
    </row>
    <row r="1523" ht="15.75" customHeight="1">
      <c r="A1523" s="31"/>
      <c r="G1523" s="22" t="str">
        <f t="shared" si="79"/>
        <v/>
      </c>
      <c r="H1523" s="22" t="str">
        <f t="shared" si="80"/>
        <v/>
      </c>
    </row>
    <row r="1524" ht="15.75" customHeight="1">
      <c r="A1524" s="31"/>
      <c r="G1524" s="22" t="str">
        <f t="shared" si="79"/>
        <v/>
      </c>
      <c r="H1524" s="22" t="str">
        <f t="shared" si="80"/>
        <v/>
      </c>
    </row>
    <row r="1525" ht="15.75" customHeight="1">
      <c r="A1525" s="31"/>
      <c r="G1525" s="22" t="str">
        <f t="shared" si="79"/>
        <v/>
      </c>
      <c r="H1525" s="22" t="str">
        <f t="shared" si="80"/>
        <v/>
      </c>
    </row>
    <row r="1526" ht="15.75" customHeight="1">
      <c r="A1526" s="31"/>
      <c r="G1526" s="22" t="str">
        <f t="shared" si="79"/>
        <v/>
      </c>
      <c r="H1526" s="22" t="str">
        <f t="shared" si="80"/>
        <v/>
      </c>
    </row>
    <row r="1527" ht="15.75" customHeight="1">
      <c r="A1527" s="31"/>
      <c r="G1527" s="22" t="str">
        <f t="shared" si="79"/>
        <v/>
      </c>
      <c r="H1527" s="22" t="str">
        <f t="shared" si="80"/>
        <v/>
      </c>
    </row>
    <row r="1528" ht="15.75" customHeight="1">
      <c r="A1528" s="31"/>
      <c r="G1528" s="22" t="str">
        <f t="shared" si="79"/>
        <v/>
      </c>
      <c r="H1528" s="22" t="str">
        <f t="shared" si="80"/>
        <v/>
      </c>
    </row>
    <row r="1529" ht="15.75" customHeight="1">
      <c r="A1529" s="31"/>
      <c r="G1529" s="22" t="str">
        <f t="shared" si="79"/>
        <v/>
      </c>
      <c r="H1529" s="22" t="str">
        <f t="shared" si="80"/>
        <v/>
      </c>
    </row>
    <row r="1530" ht="15.75" customHeight="1">
      <c r="A1530" s="31"/>
      <c r="G1530" s="22" t="str">
        <f t="shared" si="79"/>
        <v/>
      </c>
      <c r="H1530" s="22" t="str">
        <f t="shared" si="80"/>
        <v/>
      </c>
    </row>
    <row r="1531" ht="15.75" customHeight="1">
      <c r="A1531" s="31"/>
      <c r="G1531" s="22" t="str">
        <f t="shared" si="79"/>
        <v/>
      </c>
      <c r="H1531" s="22" t="str">
        <f t="shared" si="80"/>
        <v/>
      </c>
    </row>
    <row r="1532" ht="15.75" customHeight="1">
      <c r="A1532" s="31"/>
      <c r="G1532" s="22" t="str">
        <f t="shared" si="79"/>
        <v/>
      </c>
      <c r="H1532" s="22" t="str">
        <f t="shared" si="80"/>
        <v/>
      </c>
    </row>
    <row r="1533" ht="15.75" customHeight="1">
      <c r="A1533" s="31"/>
      <c r="G1533" s="22" t="str">
        <f t="shared" si="79"/>
        <v/>
      </c>
      <c r="H1533" s="22" t="str">
        <f t="shared" si="80"/>
        <v/>
      </c>
    </row>
    <row r="1534" ht="15.75" customHeight="1">
      <c r="A1534" s="31"/>
      <c r="G1534" s="22" t="str">
        <f t="shared" si="79"/>
        <v/>
      </c>
      <c r="H1534" s="22" t="str">
        <f t="shared" si="80"/>
        <v/>
      </c>
    </row>
    <row r="1535" ht="15.75" customHeight="1">
      <c r="A1535" s="31"/>
      <c r="G1535" s="22" t="str">
        <f t="shared" si="79"/>
        <v/>
      </c>
      <c r="H1535" s="22" t="str">
        <f t="shared" si="80"/>
        <v/>
      </c>
    </row>
    <row r="1536" ht="15.75" customHeight="1">
      <c r="A1536" s="31"/>
      <c r="G1536" s="22" t="str">
        <f t="shared" si="79"/>
        <v/>
      </c>
      <c r="H1536" s="22" t="str">
        <f t="shared" si="80"/>
        <v/>
      </c>
    </row>
    <row r="1537" ht="15.75" customHeight="1">
      <c r="A1537" s="31"/>
      <c r="G1537" s="22" t="str">
        <f t="shared" si="79"/>
        <v/>
      </c>
      <c r="H1537" s="22" t="str">
        <f t="shared" si="80"/>
        <v/>
      </c>
    </row>
    <row r="1538" ht="15.75" customHeight="1">
      <c r="A1538" s="31"/>
      <c r="G1538" s="22" t="str">
        <f t="shared" si="79"/>
        <v/>
      </c>
      <c r="H1538" s="22" t="str">
        <f t="shared" si="80"/>
        <v/>
      </c>
    </row>
    <row r="1539" ht="15.75" customHeight="1">
      <c r="A1539" s="31"/>
      <c r="G1539" s="22" t="str">
        <f t="shared" si="79"/>
        <v/>
      </c>
      <c r="H1539" s="22" t="str">
        <f t="shared" si="80"/>
        <v/>
      </c>
    </row>
    <row r="1540" ht="15.75" customHeight="1">
      <c r="A1540" s="31"/>
      <c r="G1540" s="22" t="str">
        <f t="shared" si="79"/>
        <v/>
      </c>
      <c r="H1540" s="22" t="str">
        <f t="shared" si="80"/>
        <v/>
      </c>
    </row>
    <row r="1541" ht="15.75" customHeight="1">
      <c r="A1541" s="31"/>
      <c r="G1541" s="22" t="str">
        <f t="shared" si="79"/>
        <v/>
      </c>
      <c r="H1541" s="22" t="str">
        <f t="shared" si="80"/>
        <v/>
      </c>
    </row>
    <row r="1542" ht="15.75" customHeight="1">
      <c r="A1542" s="31"/>
      <c r="G1542" s="22" t="str">
        <f t="shared" si="79"/>
        <v/>
      </c>
      <c r="H1542" s="22" t="str">
        <f t="shared" si="80"/>
        <v/>
      </c>
    </row>
    <row r="1543" ht="15.75" customHeight="1">
      <c r="A1543" s="31"/>
      <c r="G1543" s="22" t="str">
        <f t="shared" si="79"/>
        <v/>
      </c>
      <c r="H1543" s="22" t="str">
        <f t="shared" si="80"/>
        <v/>
      </c>
    </row>
    <row r="1544" ht="15.75" customHeight="1">
      <c r="A1544" s="31"/>
      <c r="G1544" s="22" t="str">
        <f t="shared" si="79"/>
        <v/>
      </c>
      <c r="H1544" s="22" t="str">
        <f t="shared" si="80"/>
        <v/>
      </c>
    </row>
    <row r="1545" ht="15.75" customHeight="1">
      <c r="A1545" s="31"/>
      <c r="G1545" s="22" t="str">
        <f t="shared" si="79"/>
        <v/>
      </c>
      <c r="H1545" s="22" t="str">
        <f t="shared" si="80"/>
        <v/>
      </c>
    </row>
    <row r="1546" ht="15.75" customHeight="1">
      <c r="A1546" s="31"/>
      <c r="G1546" s="22" t="str">
        <f t="shared" si="79"/>
        <v/>
      </c>
      <c r="H1546" s="22" t="str">
        <f t="shared" si="80"/>
        <v/>
      </c>
    </row>
    <row r="1547" ht="15.75" customHeight="1">
      <c r="A1547" s="31"/>
      <c r="G1547" s="22" t="str">
        <f t="shared" si="79"/>
        <v/>
      </c>
      <c r="H1547" s="22" t="str">
        <f t="shared" si="80"/>
        <v/>
      </c>
    </row>
    <row r="1548" ht="15.75" customHeight="1">
      <c r="A1548" s="31"/>
      <c r="G1548" s="22" t="str">
        <f t="shared" si="79"/>
        <v/>
      </c>
      <c r="H1548" s="22" t="str">
        <f t="shared" si="80"/>
        <v/>
      </c>
    </row>
    <row r="1549" ht="15.75" customHeight="1">
      <c r="A1549" s="31"/>
      <c r="G1549" s="22" t="str">
        <f t="shared" si="79"/>
        <v/>
      </c>
      <c r="H1549" s="22" t="str">
        <f t="shared" si="80"/>
        <v/>
      </c>
    </row>
    <row r="1550" ht="15.75" customHeight="1">
      <c r="A1550" s="31"/>
      <c r="G1550" s="22" t="str">
        <f t="shared" si="79"/>
        <v/>
      </c>
      <c r="H1550" s="22" t="str">
        <f t="shared" si="80"/>
        <v/>
      </c>
    </row>
    <row r="1551" ht="15.75" customHeight="1">
      <c r="A1551" s="31"/>
      <c r="G1551" s="22" t="str">
        <f t="shared" si="79"/>
        <v/>
      </c>
      <c r="H1551" s="22" t="str">
        <f t="shared" si="80"/>
        <v/>
      </c>
    </row>
    <row r="1552" ht="15.75" customHeight="1">
      <c r="A1552" s="31"/>
      <c r="G1552" s="22" t="str">
        <f t="shared" si="79"/>
        <v/>
      </c>
      <c r="H1552" s="22" t="str">
        <f t="shared" si="80"/>
        <v/>
      </c>
    </row>
    <row r="1553" ht="15.75" customHeight="1">
      <c r="A1553" s="31"/>
      <c r="G1553" s="22" t="str">
        <f t="shared" si="79"/>
        <v/>
      </c>
      <c r="H1553" s="22" t="str">
        <f t="shared" si="80"/>
        <v/>
      </c>
    </row>
    <row r="1554" ht="15.75" customHeight="1">
      <c r="A1554" s="31"/>
      <c r="G1554" s="22" t="str">
        <f t="shared" si="79"/>
        <v/>
      </c>
      <c r="H1554" s="22" t="str">
        <f t="shared" si="80"/>
        <v/>
      </c>
    </row>
    <row r="1555" ht="15.75" customHeight="1">
      <c r="A1555" s="31"/>
      <c r="G1555" s="22" t="str">
        <f t="shared" si="79"/>
        <v/>
      </c>
      <c r="H1555" s="22" t="str">
        <f t="shared" si="80"/>
        <v/>
      </c>
    </row>
    <row r="1556" ht="15.75" customHeight="1">
      <c r="A1556" s="31"/>
      <c r="G1556" s="22" t="str">
        <f t="shared" si="79"/>
        <v/>
      </c>
      <c r="H1556" s="22" t="str">
        <f t="shared" si="80"/>
        <v/>
      </c>
    </row>
    <row r="1557" ht="15.75" customHeight="1">
      <c r="A1557" s="31"/>
      <c r="G1557" s="22" t="str">
        <f t="shared" si="79"/>
        <v/>
      </c>
      <c r="H1557" s="22" t="str">
        <f t="shared" si="80"/>
        <v/>
      </c>
    </row>
    <row r="1558" ht="15.75" customHeight="1">
      <c r="A1558" s="31"/>
      <c r="G1558" s="22" t="str">
        <f t="shared" si="79"/>
        <v/>
      </c>
      <c r="H1558" s="22" t="str">
        <f t="shared" si="80"/>
        <v/>
      </c>
    </row>
    <row r="1559" ht="15.75" customHeight="1">
      <c r="A1559" s="31"/>
      <c r="G1559" s="22" t="str">
        <f t="shared" si="79"/>
        <v/>
      </c>
      <c r="H1559" s="22" t="str">
        <f t="shared" si="80"/>
        <v/>
      </c>
    </row>
    <row r="1560" ht="15.75" customHeight="1">
      <c r="A1560" s="31"/>
      <c r="G1560" s="22" t="str">
        <f t="shared" si="79"/>
        <v/>
      </c>
      <c r="H1560" s="22" t="str">
        <f t="shared" si="80"/>
        <v/>
      </c>
    </row>
    <row r="1561" ht="15.75" customHeight="1">
      <c r="A1561" s="31"/>
      <c r="G1561" s="22" t="str">
        <f t="shared" si="79"/>
        <v/>
      </c>
      <c r="H1561" s="22" t="str">
        <f t="shared" si="80"/>
        <v/>
      </c>
    </row>
    <row r="1562" ht="15.75" customHeight="1">
      <c r="A1562" s="31"/>
      <c r="G1562" s="22" t="str">
        <f t="shared" si="79"/>
        <v/>
      </c>
      <c r="H1562" s="22" t="str">
        <f t="shared" si="80"/>
        <v/>
      </c>
    </row>
    <row r="1563" ht="15.75" customHeight="1">
      <c r="A1563" s="31"/>
      <c r="G1563" s="22" t="str">
        <f t="shared" si="79"/>
        <v/>
      </c>
      <c r="H1563" s="22" t="str">
        <f t="shared" si="80"/>
        <v/>
      </c>
    </row>
    <row r="1564" ht="15.75" customHeight="1">
      <c r="A1564" s="31"/>
      <c r="G1564" s="22" t="str">
        <f t="shared" si="79"/>
        <v/>
      </c>
      <c r="H1564" s="22" t="str">
        <f t="shared" si="80"/>
        <v/>
      </c>
    </row>
    <row r="1565" ht="15.75" customHeight="1">
      <c r="A1565" s="31"/>
      <c r="G1565" s="22" t="str">
        <f t="shared" si="79"/>
        <v/>
      </c>
      <c r="H1565" s="22" t="str">
        <f t="shared" si="80"/>
        <v/>
      </c>
    </row>
    <row r="1566" ht="15.75" customHeight="1">
      <c r="A1566" s="31"/>
      <c r="G1566" s="22" t="str">
        <f t="shared" si="79"/>
        <v/>
      </c>
      <c r="H1566" s="22" t="str">
        <f t="shared" si="80"/>
        <v/>
      </c>
    </row>
    <row r="1567" ht="15.75" customHeight="1">
      <c r="A1567" s="31"/>
      <c r="G1567" s="22" t="str">
        <f t="shared" si="79"/>
        <v/>
      </c>
      <c r="H1567" s="22" t="str">
        <f t="shared" si="80"/>
        <v/>
      </c>
    </row>
    <row r="1568" ht="15.75" customHeight="1">
      <c r="A1568" s="31"/>
      <c r="G1568" s="22" t="str">
        <f t="shared" si="79"/>
        <v/>
      </c>
      <c r="H1568" s="22" t="str">
        <f t="shared" si="80"/>
        <v/>
      </c>
    </row>
    <row r="1569" ht="15.75" customHeight="1">
      <c r="A1569" s="31"/>
      <c r="G1569" s="22" t="str">
        <f t="shared" si="79"/>
        <v/>
      </c>
      <c r="H1569" s="22" t="str">
        <f t="shared" si="80"/>
        <v/>
      </c>
    </row>
    <row r="1570" ht="15.75" customHeight="1">
      <c r="A1570" s="31"/>
      <c r="G1570" s="22" t="str">
        <f t="shared" si="79"/>
        <v/>
      </c>
      <c r="H1570" s="22" t="str">
        <f t="shared" si="80"/>
        <v/>
      </c>
    </row>
    <row r="1571" ht="15.75" customHeight="1">
      <c r="A1571" s="31"/>
      <c r="G1571" s="22" t="str">
        <f t="shared" si="79"/>
        <v/>
      </c>
      <c r="H1571" s="22" t="str">
        <f t="shared" si="80"/>
        <v/>
      </c>
    </row>
    <row r="1572" ht="15.75" customHeight="1">
      <c r="A1572" s="31"/>
      <c r="G1572" s="22" t="str">
        <f t="shared" si="79"/>
        <v/>
      </c>
      <c r="H1572" s="22" t="str">
        <f t="shared" si="80"/>
        <v/>
      </c>
    </row>
    <row r="1573" ht="15.75" customHeight="1">
      <c r="A1573" s="31"/>
      <c r="G1573" s="22" t="str">
        <f t="shared" si="79"/>
        <v/>
      </c>
      <c r="H1573" s="22" t="str">
        <f t="shared" si="80"/>
        <v/>
      </c>
    </row>
    <row r="1574" ht="15.75" customHeight="1">
      <c r="A1574" s="31"/>
      <c r="G1574" s="22" t="str">
        <f t="shared" si="79"/>
        <v/>
      </c>
      <c r="H1574" s="22" t="str">
        <f t="shared" si="80"/>
        <v/>
      </c>
    </row>
    <row r="1575" ht="15.75" customHeight="1">
      <c r="A1575" s="31"/>
      <c r="G1575" s="22" t="str">
        <f t="shared" si="79"/>
        <v/>
      </c>
      <c r="H1575" s="22" t="str">
        <f t="shared" si="80"/>
        <v/>
      </c>
    </row>
    <row r="1576" ht="15.75" customHeight="1">
      <c r="A1576" s="31"/>
      <c r="G1576" s="22" t="str">
        <f t="shared" si="79"/>
        <v/>
      </c>
      <c r="H1576" s="22" t="str">
        <f t="shared" si="80"/>
        <v/>
      </c>
    </row>
    <row r="1577" ht="15.75" customHeight="1">
      <c r="A1577" s="31"/>
      <c r="G1577" s="22" t="str">
        <f t="shared" si="79"/>
        <v/>
      </c>
      <c r="H1577" s="22" t="str">
        <f t="shared" si="80"/>
        <v/>
      </c>
    </row>
    <row r="1578" ht="15.75" customHeight="1">
      <c r="A1578" s="31"/>
      <c r="G1578" s="22" t="str">
        <f t="shared" si="79"/>
        <v/>
      </c>
      <c r="H1578" s="22" t="str">
        <f t="shared" si="80"/>
        <v/>
      </c>
    </row>
    <row r="1579" ht="15.75" customHeight="1">
      <c r="A1579" s="31"/>
      <c r="G1579" s="22" t="str">
        <f t="shared" si="79"/>
        <v/>
      </c>
      <c r="H1579" s="22" t="str">
        <f t="shared" si="80"/>
        <v/>
      </c>
    </row>
    <row r="1580" ht="15.75" customHeight="1">
      <c r="A1580" s="31"/>
      <c r="G1580" s="22" t="str">
        <f t="shared" si="79"/>
        <v/>
      </c>
      <c r="H1580" s="22" t="str">
        <f t="shared" si="80"/>
        <v/>
      </c>
    </row>
    <row r="1581" ht="15.75" customHeight="1">
      <c r="A1581" s="31"/>
      <c r="G1581" s="22" t="str">
        <f t="shared" si="79"/>
        <v/>
      </c>
      <c r="H1581" s="22" t="str">
        <f t="shared" si="80"/>
        <v/>
      </c>
    </row>
    <row r="1582" ht="15.75" customHeight="1">
      <c r="A1582" s="31"/>
      <c r="G1582" s="22" t="str">
        <f t="shared" si="79"/>
        <v/>
      </c>
      <c r="H1582" s="22" t="str">
        <f t="shared" si="80"/>
        <v/>
      </c>
    </row>
    <row r="1583" ht="15.75" customHeight="1">
      <c r="A1583" s="31"/>
      <c r="G1583" s="22" t="str">
        <f t="shared" si="79"/>
        <v/>
      </c>
      <c r="H1583" s="22" t="str">
        <f t="shared" si="80"/>
        <v/>
      </c>
    </row>
    <row r="1584" ht="15.75" customHeight="1">
      <c r="A1584" s="31"/>
      <c r="G1584" s="22" t="str">
        <f t="shared" si="79"/>
        <v/>
      </c>
      <c r="H1584" s="22" t="str">
        <f t="shared" si="80"/>
        <v/>
      </c>
    </row>
    <row r="1585" ht="15.75" customHeight="1">
      <c r="A1585" s="31"/>
      <c r="G1585" s="22" t="str">
        <f t="shared" si="79"/>
        <v/>
      </c>
      <c r="H1585" s="22" t="str">
        <f t="shared" si="80"/>
        <v/>
      </c>
    </row>
    <row r="1586" ht="15.75" customHeight="1">
      <c r="A1586" s="31"/>
      <c r="G1586" s="22" t="str">
        <f t="shared" si="79"/>
        <v/>
      </c>
      <c r="H1586" s="22" t="str">
        <f t="shared" si="80"/>
        <v/>
      </c>
    </row>
    <row r="1587" ht="15.75" customHeight="1">
      <c r="A1587" s="31"/>
      <c r="G1587" s="22" t="str">
        <f t="shared" si="79"/>
        <v/>
      </c>
      <c r="H1587" s="22" t="str">
        <f t="shared" si="80"/>
        <v/>
      </c>
    </row>
    <row r="1588" ht="15.75" customHeight="1">
      <c r="A1588" s="31"/>
      <c r="G1588" s="22" t="str">
        <f t="shared" si="79"/>
        <v/>
      </c>
      <c r="H1588" s="22" t="str">
        <f t="shared" si="80"/>
        <v/>
      </c>
    </row>
    <row r="1589" ht="15.75" customHeight="1">
      <c r="A1589" s="31"/>
      <c r="G1589" s="22" t="str">
        <f t="shared" si="79"/>
        <v/>
      </c>
      <c r="H1589" s="22" t="str">
        <f t="shared" si="80"/>
        <v/>
      </c>
    </row>
    <row r="1590" ht="15.75" customHeight="1">
      <c r="A1590" s="31"/>
      <c r="G1590" s="22" t="str">
        <f t="shared" si="79"/>
        <v/>
      </c>
      <c r="H1590" s="22" t="str">
        <f t="shared" si="80"/>
        <v/>
      </c>
    </row>
    <row r="1591" ht="15.75" customHeight="1">
      <c r="A1591" s="31"/>
      <c r="G1591" s="22" t="str">
        <f t="shared" si="79"/>
        <v/>
      </c>
      <c r="H1591" s="22" t="str">
        <f t="shared" si="80"/>
        <v/>
      </c>
    </row>
    <row r="1592" ht="15.75" customHeight="1">
      <c r="A1592" s="31"/>
      <c r="G1592" s="22" t="str">
        <f t="shared" si="79"/>
        <v/>
      </c>
      <c r="H1592" s="22" t="str">
        <f t="shared" si="80"/>
        <v/>
      </c>
    </row>
    <row r="1593" ht="15.75" customHeight="1">
      <c r="A1593" s="31"/>
      <c r="G1593" s="22" t="str">
        <f t="shared" si="79"/>
        <v/>
      </c>
      <c r="H1593" s="22" t="str">
        <f t="shared" si="80"/>
        <v/>
      </c>
    </row>
    <row r="1594" ht="15.75" customHeight="1">
      <c r="A1594" s="31"/>
      <c r="G1594" s="22" t="str">
        <f t="shared" si="79"/>
        <v/>
      </c>
      <c r="H1594" s="22" t="str">
        <f t="shared" si="80"/>
        <v/>
      </c>
    </row>
    <row r="1595" ht="15.75" customHeight="1">
      <c r="A1595" s="31"/>
      <c r="G1595" s="22" t="str">
        <f t="shared" si="79"/>
        <v/>
      </c>
      <c r="H1595" s="22" t="str">
        <f t="shared" si="80"/>
        <v/>
      </c>
    </row>
    <row r="1596" ht="15.75" customHeight="1">
      <c r="A1596" s="31"/>
      <c r="G1596" s="22" t="str">
        <f t="shared" si="79"/>
        <v/>
      </c>
      <c r="H1596" s="22" t="str">
        <f t="shared" si="80"/>
        <v/>
      </c>
    </row>
    <row r="1597" ht="15.75" customHeight="1">
      <c r="A1597" s="31"/>
      <c r="G1597" s="22" t="str">
        <f t="shared" si="79"/>
        <v/>
      </c>
      <c r="H1597" s="22" t="str">
        <f t="shared" si="80"/>
        <v/>
      </c>
    </row>
    <row r="1598" ht="15.75" customHeight="1">
      <c r="A1598" s="31"/>
      <c r="G1598" s="22" t="str">
        <f t="shared" si="79"/>
        <v/>
      </c>
      <c r="H1598" s="22" t="str">
        <f t="shared" si="80"/>
        <v/>
      </c>
    </row>
    <row r="1599" ht="15.75" customHeight="1">
      <c r="A1599" s="31"/>
      <c r="G1599" s="22" t="str">
        <f t="shared" si="79"/>
        <v/>
      </c>
      <c r="H1599" s="22" t="str">
        <f t="shared" si="80"/>
        <v/>
      </c>
    </row>
    <row r="1600" ht="15.75" customHeight="1">
      <c r="A1600" s="31"/>
      <c r="G1600" s="22" t="str">
        <f t="shared" si="79"/>
        <v/>
      </c>
      <c r="H1600" s="22" t="str">
        <f t="shared" si="80"/>
        <v/>
      </c>
    </row>
    <row r="1601" ht="15.75" customHeight="1">
      <c r="A1601" s="31"/>
      <c r="G1601" s="22" t="str">
        <f t="shared" si="79"/>
        <v/>
      </c>
      <c r="H1601" s="22" t="str">
        <f t="shared" si="80"/>
        <v/>
      </c>
    </row>
    <row r="1602" ht="15.75" customHeight="1">
      <c r="A1602" s="31"/>
      <c r="G1602" s="22" t="str">
        <f t="shared" si="79"/>
        <v/>
      </c>
      <c r="H1602" s="22" t="str">
        <f t="shared" si="80"/>
        <v/>
      </c>
    </row>
    <row r="1603" ht="15.75" customHeight="1">
      <c r="A1603" s="31"/>
      <c r="G1603" s="22" t="str">
        <f t="shared" si="79"/>
        <v/>
      </c>
      <c r="H1603" s="22" t="str">
        <f t="shared" si="80"/>
        <v/>
      </c>
    </row>
    <row r="1604" ht="15.75" customHeight="1">
      <c r="A1604" s="31"/>
      <c r="G1604" s="22" t="str">
        <f t="shared" si="79"/>
        <v/>
      </c>
      <c r="H1604" s="22" t="str">
        <f t="shared" si="80"/>
        <v/>
      </c>
    </row>
    <row r="1605" ht="15.75" customHeight="1">
      <c r="A1605" s="31"/>
      <c r="G1605" s="22" t="str">
        <f t="shared" si="79"/>
        <v/>
      </c>
      <c r="H1605" s="22" t="str">
        <f t="shared" si="80"/>
        <v/>
      </c>
    </row>
    <row r="1606" ht="15.75" customHeight="1">
      <c r="A1606" s="31"/>
      <c r="G1606" s="22" t="str">
        <f t="shared" si="79"/>
        <v/>
      </c>
      <c r="H1606" s="22" t="str">
        <f t="shared" si="80"/>
        <v/>
      </c>
    </row>
    <row r="1607" ht="15.75" customHeight="1">
      <c r="A1607" s="31"/>
      <c r="G1607" s="22" t="str">
        <f t="shared" si="79"/>
        <v/>
      </c>
      <c r="H1607" s="22" t="str">
        <f t="shared" si="80"/>
        <v/>
      </c>
    </row>
    <row r="1608" ht="15.75" customHeight="1">
      <c r="A1608" s="31"/>
      <c r="G1608" s="22" t="str">
        <f t="shared" si="79"/>
        <v/>
      </c>
      <c r="H1608" s="22" t="str">
        <f t="shared" si="80"/>
        <v/>
      </c>
    </row>
    <row r="1609" ht="15.75" customHeight="1">
      <c r="A1609" s="31"/>
      <c r="G1609" s="22" t="str">
        <f t="shared" si="79"/>
        <v/>
      </c>
      <c r="H1609" s="22" t="str">
        <f t="shared" si="80"/>
        <v/>
      </c>
    </row>
    <row r="1610" ht="15.75" customHeight="1">
      <c r="A1610" s="31"/>
      <c r="G1610" s="22" t="str">
        <f t="shared" si="79"/>
        <v/>
      </c>
      <c r="H1610" s="22" t="str">
        <f t="shared" si="80"/>
        <v/>
      </c>
    </row>
    <row r="1611" ht="15.75" customHeight="1">
      <c r="A1611" s="31"/>
      <c r="G1611" s="22" t="str">
        <f t="shared" si="79"/>
        <v/>
      </c>
      <c r="H1611" s="22" t="str">
        <f t="shared" si="80"/>
        <v/>
      </c>
    </row>
    <row r="1612" ht="15.75" customHeight="1">
      <c r="A1612" s="31"/>
      <c r="G1612" s="22" t="str">
        <f t="shared" si="79"/>
        <v/>
      </c>
      <c r="H1612" s="22" t="str">
        <f t="shared" si="80"/>
        <v/>
      </c>
    </row>
    <row r="1613" ht="15.75" customHeight="1">
      <c r="A1613" s="31"/>
      <c r="G1613" s="22" t="str">
        <f t="shared" si="79"/>
        <v/>
      </c>
      <c r="H1613" s="22" t="str">
        <f t="shared" si="80"/>
        <v/>
      </c>
    </row>
    <row r="1614" ht="15.75" customHeight="1">
      <c r="A1614" s="31"/>
      <c r="G1614" s="22" t="str">
        <f t="shared" si="79"/>
        <v/>
      </c>
      <c r="H1614" s="22" t="str">
        <f t="shared" si="80"/>
        <v/>
      </c>
    </row>
    <row r="1615" ht="15.75" customHeight="1">
      <c r="A1615" s="31"/>
      <c r="G1615" s="22" t="str">
        <f t="shared" si="79"/>
        <v/>
      </c>
      <c r="H1615" s="22" t="str">
        <f t="shared" si="80"/>
        <v/>
      </c>
    </row>
    <row r="1616" ht="15.75" customHeight="1">
      <c r="A1616" s="31"/>
      <c r="G1616" s="22" t="str">
        <f t="shared" si="79"/>
        <v/>
      </c>
      <c r="H1616" s="22" t="str">
        <f t="shared" si="80"/>
        <v/>
      </c>
    </row>
    <row r="1617" ht="15.75" customHeight="1">
      <c r="A1617" s="31"/>
      <c r="G1617" s="22" t="str">
        <f t="shared" si="79"/>
        <v/>
      </c>
      <c r="H1617" s="22" t="str">
        <f t="shared" si="80"/>
        <v/>
      </c>
    </row>
    <row r="1618" ht="15.75" customHeight="1">
      <c r="A1618" s="31"/>
      <c r="G1618" s="22" t="str">
        <f t="shared" si="79"/>
        <v/>
      </c>
      <c r="H1618" s="22" t="str">
        <f t="shared" si="80"/>
        <v/>
      </c>
    </row>
    <row r="1619" ht="15.75" customHeight="1">
      <c r="A1619" s="31"/>
      <c r="G1619" s="22" t="str">
        <f t="shared" si="79"/>
        <v/>
      </c>
      <c r="H1619" s="22" t="str">
        <f t="shared" si="80"/>
        <v/>
      </c>
    </row>
    <row r="1620" ht="15.75" customHeight="1">
      <c r="A1620" s="31"/>
      <c r="G1620" s="22" t="str">
        <f t="shared" si="79"/>
        <v/>
      </c>
      <c r="H1620" s="22" t="str">
        <f t="shared" si="80"/>
        <v/>
      </c>
    </row>
    <row r="1621" ht="15.75" customHeight="1">
      <c r="A1621" s="31"/>
      <c r="G1621" s="22" t="str">
        <f t="shared" si="79"/>
        <v/>
      </c>
      <c r="H1621" s="22" t="str">
        <f t="shared" si="80"/>
        <v/>
      </c>
    </row>
    <row r="1622" ht="15.75" customHeight="1">
      <c r="A1622" s="31"/>
      <c r="G1622" s="22" t="str">
        <f t="shared" si="79"/>
        <v/>
      </c>
      <c r="H1622" s="22" t="str">
        <f t="shared" si="80"/>
        <v/>
      </c>
    </row>
    <row r="1623" ht="15.75" customHeight="1">
      <c r="A1623" s="31"/>
      <c r="G1623" s="22" t="str">
        <f t="shared" si="79"/>
        <v/>
      </c>
      <c r="H1623" s="22" t="str">
        <f t="shared" si="80"/>
        <v/>
      </c>
    </row>
    <row r="1624" ht="15.75" customHeight="1">
      <c r="A1624" s="31"/>
      <c r="G1624" s="22" t="str">
        <f t="shared" si="79"/>
        <v/>
      </c>
      <c r="H1624" s="22" t="str">
        <f t="shared" si="80"/>
        <v/>
      </c>
    </row>
    <row r="1625" ht="15.75" customHeight="1">
      <c r="A1625" s="31"/>
      <c r="G1625" s="22" t="str">
        <f t="shared" si="79"/>
        <v/>
      </c>
      <c r="H1625" s="22" t="str">
        <f t="shared" si="80"/>
        <v/>
      </c>
    </row>
    <row r="1626" ht="15.75" customHeight="1">
      <c r="A1626" s="31"/>
      <c r="G1626" s="22" t="str">
        <f t="shared" si="79"/>
        <v/>
      </c>
      <c r="H1626" s="22" t="str">
        <f t="shared" si="80"/>
        <v/>
      </c>
    </row>
    <row r="1627" ht="15.75" customHeight="1">
      <c r="A1627" s="31"/>
      <c r="G1627" s="22" t="str">
        <f t="shared" si="79"/>
        <v/>
      </c>
      <c r="H1627" s="22" t="str">
        <f t="shared" si="80"/>
        <v/>
      </c>
    </row>
    <row r="1628" ht="15.75" customHeight="1">
      <c r="A1628" s="31"/>
      <c r="G1628" s="22" t="str">
        <f t="shared" si="79"/>
        <v/>
      </c>
      <c r="H1628" s="22" t="str">
        <f t="shared" si="80"/>
        <v/>
      </c>
    </row>
    <row r="1629" ht="15.75" customHeight="1">
      <c r="A1629" s="31"/>
      <c r="G1629" s="22" t="str">
        <f t="shared" si="79"/>
        <v/>
      </c>
      <c r="H1629" s="22" t="str">
        <f t="shared" si="80"/>
        <v/>
      </c>
    </row>
    <row r="1630" ht="15.75" customHeight="1">
      <c r="A1630" s="31"/>
      <c r="G1630" s="22" t="str">
        <f t="shared" si="79"/>
        <v/>
      </c>
      <c r="H1630" s="22" t="str">
        <f t="shared" si="80"/>
        <v/>
      </c>
    </row>
    <row r="1631" ht="15.75" customHeight="1">
      <c r="A1631" s="31"/>
      <c r="G1631" s="22" t="str">
        <f t="shared" si="79"/>
        <v/>
      </c>
      <c r="H1631" s="22" t="str">
        <f t="shared" si="80"/>
        <v/>
      </c>
    </row>
    <row r="1632" ht="15.75" customHeight="1">
      <c r="A1632" s="31"/>
      <c r="G1632" s="22" t="str">
        <f t="shared" si="79"/>
        <v/>
      </c>
      <c r="H1632" s="22" t="str">
        <f t="shared" si="80"/>
        <v/>
      </c>
    </row>
    <row r="1633" ht="15.75" customHeight="1">
      <c r="A1633" s="31"/>
      <c r="G1633" s="22" t="str">
        <f t="shared" si="79"/>
        <v/>
      </c>
      <c r="H1633" s="22" t="str">
        <f t="shared" si="80"/>
        <v/>
      </c>
    </row>
    <row r="1634" ht="15.75" customHeight="1">
      <c r="A1634" s="31"/>
      <c r="G1634" s="22" t="str">
        <f t="shared" si="79"/>
        <v/>
      </c>
      <c r="H1634" s="22" t="str">
        <f t="shared" si="80"/>
        <v/>
      </c>
    </row>
    <row r="1635" ht="15.75" customHeight="1">
      <c r="A1635" s="31"/>
      <c r="G1635" s="22" t="str">
        <f t="shared" si="79"/>
        <v/>
      </c>
      <c r="H1635" s="22" t="str">
        <f t="shared" si="80"/>
        <v/>
      </c>
    </row>
    <row r="1636" ht="15.75" customHeight="1">
      <c r="A1636" s="31"/>
      <c r="G1636" s="22" t="str">
        <f t="shared" si="79"/>
        <v/>
      </c>
      <c r="H1636" s="22" t="str">
        <f t="shared" si="80"/>
        <v/>
      </c>
    </row>
    <row r="1637" ht="15.75" customHeight="1">
      <c r="A1637" s="31"/>
      <c r="G1637" s="22" t="str">
        <f t="shared" si="79"/>
        <v/>
      </c>
      <c r="H1637" s="22" t="str">
        <f t="shared" si="80"/>
        <v/>
      </c>
    </row>
    <row r="1638" ht="15.75" customHeight="1">
      <c r="A1638" s="31"/>
      <c r="G1638" s="22" t="str">
        <f t="shared" si="79"/>
        <v/>
      </c>
      <c r="H1638" s="22" t="str">
        <f t="shared" si="80"/>
        <v/>
      </c>
    </row>
    <row r="1639" ht="15.75" customHeight="1">
      <c r="A1639" s="31"/>
      <c r="G1639" s="22" t="str">
        <f t="shared" si="79"/>
        <v/>
      </c>
      <c r="H1639" s="22" t="str">
        <f t="shared" si="80"/>
        <v/>
      </c>
    </row>
    <row r="1640" ht="15.75" customHeight="1">
      <c r="A1640" s="31"/>
      <c r="G1640" s="22" t="str">
        <f t="shared" si="79"/>
        <v/>
      </c>
      <c r="H1640" s="22" t="str">
        <f t="shared" si="80"/>
        <v/>
      </c>
    </row>
    <row r="1641" ht="15.75" customHeight="1">
      <c r="A1641" s="31"/>
      <c r="G1641" s="22" t="str">
        <f t="shared" si="79"/>
        <v/>
      </c>
      <c r="H1641" s="22" t="str">
        <f t="shared" si="80"/>
        <v/>
      </c>
    </row>
    <row r="1642" ht="15.75" customHeight="1">
      <c r="A1642" s="31"/>
      <c r="G1642" s="22" t="str">
        <f t="shared" si="79"/>
        <v/>
      </c>
      <c r="H1642" s="22" t="str">
        <f t="shared" si="80"/>
        <v/>
      </c>
    </row>
    <row r="1643" ht="15.75" customHeight="1">
      <c r="A1643" s="31"/>
      <c r="G1643" s="22" t="str">
        <f t="shared" si="79"/>
        <v/>
      </c>
      <c r="H1643" s="22" t="str">
        <f t="shared" si="80"/>
        <v/>
      </c>
    </row>
    <row r="1644" ht="15.75" customHeight="1">
      <c r="A1644" s="31"/>
      <c r="G1644" s="22" t="str">
        <f t="shared" si="79"/>
        <v/>
      </c>
      <c r="H1644" s="22" t="str">
        <f t="shared" si="80"/>
        <v/>
      </c>
    </row>
    <row r="1645" ht="15.75" customHeight="1">
      <c r="A1645" s="31"/>
      <c r="G1645" s="22" t="str">
        <f t="shared" si="79"/>
        <v/>
      </c>
      <c r="H1645" s="22" t="str">
        <f t="shared" si="80"/>
        <v/>
      </c>
    </row>
    <row r="1646" ht="15.75" customHeight="1">
      <c r="A1646" s="31"/>
      <c r="G1646" s="22" t="str">
        <f t="shared" si="79"/>
        <v/>
      </c>
      <c r="H1646" s="22" t="str">
        <f t="shared" si="80"/>
        <v/>
      </c>
    </row>
    <row r="1647" ht="15.75" customHeight="1">
      <c r="A1647" s="31"/>
      <c r="G1647" s="22" t="str">
        <f t="shared" si="79"/>
        <v/>
      </c>
      <c r="H1647" s="22" t="str">
        <f t="shared" si="80"/>
        <v/>
      </c>
    </row>
    <row r="1648" ht="15.75" customHeight="1">
      <c r="A1648" s="31"/>
      <c r="G1648" s="22" t="str">
        <f t="shared" si="79"/>
        <v/>
      </c>
      <c r="H1648" s="22" t="str">
        <f t="shared" si="80"/>
        <v/>
      </c>
    </row>
    <row r="1649" ht="15.75" customHeight="1">
      <c r="A1649" s="31"/>
      <c r="G1649" s="22" t="str">
        <f t="shared" si="79"/>
        <v/>
      </c>
      <c r="H1649" s="22" t="str">
        <f t="shared" si="80"/>
        <v/>
      </c>
    </row>
    <row r="1650" ht="15.75" customHeight="1">
      <c r="A1650" s="31"/>
      <c r="G1650" s="22" t="str">
        <f t="shared" si="79"/>
        <v/>
      </c>
      <c r="H1650" s="22" t="str">
        <f t="shared" si="80"/>
        <v/>
      </c>
    </row>
    <row r="1651" ht="15.75" customHeight="1">
      <c r="A1651" s="31"/>
      <c r="G1651" s="22" t="str">
        <f t="shared" si="79"/>
        <v/>
      </c>
      <c r="H1651" s="22" t="str">
        <f t="shared" si="80"/>
        <v/>
      </c>
    </row>
    <row r="1652" ht="15.75" customHeight="1">
      <c r="A1652" s="31"/>
      <c r="G1652" s="22" t="str">
        <f t="shared" si="79"/>
        <v/>
      </c>
      <c r="H1652" s="22" t="str">
        <f t="shared" si="80"/>
        <v/>
      </c>
    </row>
    <row r="1653" ht="15.75" customHeight="1">
      <c r="A1653" s="31"/>
      <c r="G1653" s="22" t="str">
        <f t="shared" si="79"/>
        <v/>
      </c>
      <c r="H1653" s="22" t="str">
        <f t="shared" si="80"/>
        <v/>
      </c>
    </row>
    <row r="1654" ht="15.75" customHeight="1">
      <c r="A1654" s="31"/>
      <c r="G1654" s="22" t="str">
        <f t="shared" si="79"/>
        <v/>
      </c>
      <c r="H1654" s="22" t="str">
        <f t="shared" si="80"/>
        <v/>
      </c>
    </row>
    <row r="1655" ht="15.75" customHeight="1">
      <c r="A1655" s="31"/>
      <c r="G1655" s="22" t="str">
        <f t="shared" si="79"/>
        <v/>
      </c>
      <c r="H1655" s="22" t="str">
        <f t="shared" si="80"/>
        <v/>
      </c>
    </row>
    <row r="1656" ht="15.75" customHeight="1">
      <c r="A1656" s="31"/>
      <c r="G1656" s="22" t="str">
        <f t="shared" si="79"/>
        <v/>
      </c>
      <c r="H1656" s="22" t="str">
        <f t="shared" si="80"/>
        <v/>
      </c>
    </row>
    <row r="1657" ht="15.75" customHeight="1">
      <c r="A1657" s="31"/>
      <c r="G1657" s="22" t="str">
        <f t="shared" si="79"/>
        <v/>
      </c>
      <c r="H1657" s="22" t="str">
        <f t="shared" si="80"/>
        <v/>
      </c>
    </row>
    <row r="1658" ht="15.75" customHeight="1">
      <c r="A1658" s="31"/>
      <c r="G1658" s="22" t="str">
        <f t="shared" si="79"/>
        <v/>
      </c>
      <c r="H1658" s="22" t="str">
        <f t="shared" si="80"/>
        <v/>
      </c>
    </row>
    <row r="1659" ht="15.75" customHeight="1">
      <c r="A1659" s="31"/>
      <c r="G1659" s="22" t="str">
        <f t="shared" si="79"/>
        <v/>
      </c>
      <c r="H1659" s="22" t="str">
        <f t="shared" si="80"/>
        <v/>
      </c>
    </row>
    <row r="1660" ht="15.75" customHeight="1">
      <c r="A1660" s="31"/>
      <c r="G1660" s="22" t="str">
        <f t="shared" si="79"/>
        <v/>
      </c>
      <c r="H1660" s="22" t="str">
        <f t="shared" si="80"/>
        <v/>
      </c>
    </row>
    <row r="1661" ht="15.75" customHeight="1">
      <c r="A1661" s="31"/>
      <c r="G1661" s="22" t="str">
        <f t="shared" si="79"/>
        <v/>
      </c>
      <c r="H1661" s="22" t="str">
        <f t="shared" si="80"/>
        <v/>
      </c>
    </row>
    <row r="1662" ht="15.75" customHeight="1">
      <c r="A1662" s="31"/>
      <c r="G1662" s="22" t="str">
        <f t="shared" si="79"/>
        <v/>
      </c>
      <c r="H1662" s="22" t="str">
        <f t="shared" si="80"/>
        <v/>
      </c>
    </row>
    <row r="1663" ht="15.75" customHeight="1">
      <c r="A1663" s="31"/>
      <c r="G1663" s="22" t="str">
        <f t="shared" si="79"/>
        <v/>
      </c>
      <c r="H1663" s="22" t="str">
        <f t="shared" si="80"/>
        <v/>
      </c>
    </row>
    <row r="1664" ht="15.75" customHeight="1">
      <c r="A1664" s="31"/>
      <c r="G1664" s="22" t="str">
        <f t="shared" si="79"/>
        <v/>
      </c>
      <c r="H1664" s="22" t="str">
        <f t="shared" si="80"/>
        <v/>
      </c>
    </row>
    <row r="1665" ht="15.75" customHeight="1">
      <c r="A1665" s="31"/>
      <c r="G1665" s="22" t="str">
        <f t="shared" si="79"/>
        <v/>
      </c>
      <c r="H1665" s="22" t="str">
        <f t="shared" si="80"/>
        <v/>
      </c>
    </row>
    <row r="1666" ht="15.75" customHeight="1">
      <c r="A1666" s="31"/>
      <c r="G1666" s="22" t="str">
        <f t="shared" si="79"/>
        <v/>
      </c>
      <c r="H1666" s="22" t="str">
        <f t="shared" si="80"/>
        <v/>
      </c>
    </row>
    <row r="1667" ht="15.75" customHeight="1">
      <c r="A1667" s="31"/>
      <c r="G1667" s="22" t="str">
        <f t="shared" si="79"/>
        <v/>
      </c>
      <c r="H1667" s="22" t="str">
        <f t="shared" si="80"/>
        <v/>
      </c>
    </row>
    <row r="1668" ht="15.75" customHeight="1">
      <c r="A1668" s="31"/>
      <c r="G1668" s="22" t="str">
        <f t="shared" si="79"/>
        <v/>
      </c>
      <c r="H1668" s="22" t="str">
        <f t="shared" si="80"/>
        <v/>
      </c>
    </row>
    <row r="1669" ht="15.75" customHeight="1">
      <c r="A1669" s="31"/>
      <c r="H1669" s="22" t="str">
        <f t="shared" si="80"/>
        <v/>
      </c>
    </row>
    <row r="1670" ht="15.75" customHeight="1">
      <c r="A1670" s="31"/>
      <c r="H1670" s="22" t="str">
        <f t="shared" si="80"/>
        <v/>
      </c>
    </row>
    <row r="1671" ht="15.75" customHeight="1">
      <c r="A1671" s="31"/>
      <c r="H1671" s="22" t="str">
        <f t="shared" si="80"/>
        <v/>
      </c>
    </row>
    <row r="1672" ht="15.75" customHeight="1">
      <c r="A1672" s="31"/>
      <c r="H1672" s="22" t="str">
        <f t="shared" si="80"/>
        <v/>
      </c>
    </row>
    <row r="1673" ht="15.75" customHeight="1">
      <c r="A1673" s="31"/>
      <c r="H1673" s="22" t="str">
        <f t="shared" si="80"/>
        <v/>
      </c>
    </row>
    <row r="1674" ht="15.75" customHeight="1">
      <c r="A1674" s="31"/>
      <c r="H1674" s="22" t="str">
        <f t="shared" si="80"/>
        <v/>
      </c>
    </row>
    <row r="1675" ht="15.75" customHeight="1">
      <c r="A1675" s="31"/>
      <c r="H1675" s="22" t="str">
        <f t="shared" si="80"/>
        <v/>
      </c>
    </row>
    <row r="1676" ht="15.75" customHeight="1">
      <c r="A1676" s="31"/>
      <c r="H1676" s="22" t="str">
        <f t="shared" si="80"/>
        <v/>
      </c>
    </row>
    <row r="1677" ht="15.75" customHeight="1">
      <c r="A1677" s="31"/>
      <c r="H1677" s="22" t="str">
        <f t="shared" si="80"/>
        <v/>
      </c>
    </row>
    <row r="1678" ht="15.75" customHeight="1">
      <c r="A1678" s="31"/>
      <c r="H1678" s="22" t="str">
        <f t="shared" si="80"/>
        <v/>
      </c>
    </row>
    <row r="1679" ht="15.75" customHeight="1">
      <c r="A1679" s="31"/>
      <c r="H1679" s="22" t="str">
        <f t="shared" si="80"/>
        <v/>
      </c>
    </row>
    <row r="1680" ht="15.75" customHeight="1">
      <c r="A1680" s="31"/>
      <c r="H1680" s="22" t="str">
        <f t="shared" si="80"/>
        <v/>
      </c>
    </row>
    <row r="1681" ht="15.75" customHeight="1">
      <c r="A1681" s="31"/>
      <c r="H1681" s="22" t="str">
        <f t="shared" si="80"/>
        <v/>
      </c>
    </row>
    <row r="1682" ht="15.75" customHeight="1">
      <c r="A1682" s="31"/>
      <c r="H1682" s="22" t="str">
        <f t="shared" si="80"/>
        <v/>
      </c>
    </row>
    <row r="1683" ht="15.75" customHeight="1">
      <c r="A1683" s="31"/>
      <c r="H1683" s="22" t="str">
        <f t="shared" si="80"/>
        <v/>
      </c>
    </row>
    <row r="1684" ht="15.75" customHeight="1">
      <c r="A1684" s="31"/>
      <c r="H1684" s="22" t="str">
        <f t="shared" si="80"/>
        <v/>
      </c>
    </row>
    <row r="1685" ht="15.75" customHeight="1">
      <c r="A1685" s="31"/>
      <c r="H1685" s="22" t="str">
        <f t="shared" si="80"/>
        <v/>
      </c>
    </row>
    <row r="1686" ht="15.75" customHeight="1">
      <c r="A1686" s="31"/>
      <c r="H1686" s="22" t="str">
        <f t="shared" si="80"/>
        <v/>
      </c>
    </row>
    <row r="1687" ht="15.75" customHeight="1">
      <c r="A1687" s="31"/>
      <c r="H1687" s="22" t="str">
        <f t="shared" si="80"/>
        <v/>
      </c>
    </row>
    <row r="1688" ht="15.75" customHeight="1">
      <c r="A1688" s="31"/>
      <c r="H1688" s="22" t="str">
        <f t="shared" si="80"/>
        <v/>
      </c>
    </row>
    <row r="1689" ht="15.75" customHeight="1">
      <c r="A1689" s="31"/>
      <c r="H1689" s="22" t="str">
        <f t="shared" si="80"/>
        <v/>
      </c>
    </row>
    <row r="1690" ht="15.75" customHeight="1">
      <c r="A1690" s="31"/>
      <c r="H1690" s="22" t="str">
        <f t="shared" si="80"/>
        <v/>
      </c>
    </row>
    <row r="1691" ht="15.75" customHeight="1">
      <c r="A1691" s="31"/>
      <c r="H1691" s="22" t="str">
        <f t="shared" si="80"/>
        <v/>
      </c>
    </row>
    <row r="1692" ht="15.75" customHeight="1">
      <c r="A1692" s="31"/>
      <c r="H1692" s="22" t="str">
        <f t="shared" si="80"/>
        <v/>
      </c>
    </row>
    <row r="1693" ht="15.75" customHeight="1">
      <c r="A1693" s="31"/>
      <c r="H1693" s="22" t="str">
        <f t="shared" si="80"/>
        <v/>
      </c>
    </row>
    <row r="1694" ht="15.75" customHeight="1">
      <c r="A1694" s="31"/>
      <c r="H1694" s="22" t="str">
        <f t="shared" si="80"/>
        <v/>
      </c>
    </row>
    <row r="1695" ht="15.75" customHeight="1">
      <c r="A1695" s="31"/>
      <c r="H1695" s="22" t="str">
        <f t="shared" si="80"/>
        <v/>
      </c>
    </row>
    <row r="1696" ht="15.75" customHeight="1">
      <c r="A1696" s="31"/>
      <c r="H1696" s="22" t="str">
        <f t="shared" si="80"/>
        <v/>
      </c>
    </row>
    <row r="1697" ht="15.75" customHeight="1">
      <c r="A1697" s="31"/>
      <c r="H1697" s="22" t="str">
        <f t="shared" si="80"/>
        <v/>
      </c>
    </row>
    <row r="1698" ht="15.75" customHeight="1">
      <c r="A1698" s="31"/>
      <c r="H1698" s="22" t="str">
        <f t="shared" si="80"/>
        <v/>
      </c>
    </row>
    <row r="1699" ht="15.75" customHeight="1">
      <c r="A1699" s="31"/>
      <c r="H1699" s="22" t="str">
        <f t="shared" si="80"/>
        <v/>
      </c>
    </row>
    <row r="1700" ht="15.75" customHeight="1">
      <c r="A1700" s="31"/>
      <c r="H1700" s="22" t="str">
        <f t="shared" si="80"/>
        <v/>
      </c>
    </row>
    <row r="1701" ht="15.75" customHeight="1">
      <c r="A1701" s="31"/>
      <c r="H1701" s="22" t="str">
        <f t="shared" si="80"/>
        <v/>
      </c>
    </row>
    <row r="1702" ht="15.75" customHeight="1">
      <c r="A1702" s="31"/>
      <c r="H1702" s="22" t="str">
        <f t="shared" si="80"/>
        <v/>
      </c>
    </row>
    <row r="1703" ht="15.75" customHeight="1">
      <c r="A1703" s="31"/>
      <c r="H1703" s="22" t="str">
        <f t="shared" si="80"/>
        <v/>
      </c>
    </row>
    <row r="1704" ht="15.75" customHeight="1">
      <c r="A1704" s="31"/>
      <c r="H1704" s="22" t="str">
        <f t="shared" si="80"/>
        <v/>
      </c>
    </row>
    <row r="1705" ht="15.75" customHeight="1">
      <c r="A1705" s="31"/>
      <c r="H1705" s="22" t="str">
        <f t="shared" si="80"/>
        <v/>
      </c>
    </row>
    <row r="1706" ht="15.75" customHeight="1">
      <c r="A1706" s="31"/>
      <c r="H1706" s="22" t="str">
        <f t="shared" si="80"/>
        <v/>
      </c>
    </row>
    <row r="1707" ht="15.75" customHeight="1">
      <c r="A1707" s="31"/>
      <c r="H1707" s="22" t="str">
        <f t="shared" si="80"/>
        <v/>
      </c>
    </row>
    <row r="1708" ht="15.75" customHeight="1">
      <c r="A1708" s="31"/>
      <c r="H1708" s="22" t="str">
        <f t="shared" si="80"/>
        <v/>
      </c>
    </row>
    <row r="1709" ht="15.75" customHeight="1">
      <c r="A1709" s="31"/>
      <c r="H1709" s="22" t="str">
        <f t="shared" si="80"/>
        <v/>
      </c>
    </row>
    <row r="1710" ht="15.75" customHeight="1">
      <c r="A1710" s="31"/>
      <c r="H1710" s="22" t="str">
        <f t="shared" si="80"/>
        <v/>
      </c>
    </row>
    <row r="1711" ht="15.75" customHeight="1">
      <c r="A1711" s="31"/>
      <c r="H1711" s="22" t="str">
        <f t="shared" si="80"/>
        <v/>
      </c>
    </row>
    <row r="1712" ht="15.75" customHeight="1">
      <c r="A1712" s="31"/>
      <c r="H1712" s="22" t="str">
        <f t="shared" si="80"/>
        <v/>
      </c>
    </row>
    <row r="1713" ht="15.75" customHeight="1">
      <c r="A1713" s="31"/>
      <c r="H1713" s="22" t="str">
        <f t="shared" si="80"/>
        <v/>
      </c>
    </row>
    <row r="1714" ht="15.75" customHeight="1">
      <c r="A1714" s="31"/>
      <c r="H1714" s="22" t="str">
        <f t="shared" si="80"/>
        <v/>
      </c>
    </row>
    <row r="1715" ht="15.75" customHeight="1">
      <c r="A1715" s="31"/>
      <c r="H1715" s="22" t="str">
        <f t="shared" si="80"/>
        <v/>
      </c>
    </row>
    <row r="1716" ht="15.75" customHeight="1">
      <c r="A1716" s="31"/>
      <c r="H1716" s="22" t="str">
        <f t="shared" si="80"/>
        <v/>
      </c>
    </row>
    <row r="1717" ht="15.75" customHeight="1">
      <c r="A1717" s="31"/>
      <c r="H1717" s="22" t="str">
        <f t="shared" si="80"/>
        <v/>
      </c>
    </row>
    <row r="1718" ht="15.75" customHeight="1">
      <c r="A1718" s="31"/>
      <c r="H1718" s="22" t="str">
        <f t="shared" si="80"/>
        <v/>
      </c>
    </row>
    <row r="1719" ht="15.75" customHeight="1">
      <c r="A1719" s="31"/>
      <c r="H1719" s="22" t="str">
        <f t="shared" si="80"/>
        <v/>
      </c>
    </row>
    <row r="1720" ht="15.75" customHeight="1">
      <c r="A1720" s="31"/>
      <c r="H1720" s="22" t="str">
        <f t="shared" si="80"/>
        <v/>
      </c>
    </row>
    <row r="1721" ht="15.75" customHeight="1">
      <c r="A1721" s="31"/>
      <c r="H1721" s="22" t="str">
        <f t="shared" si="80"/>
        <v/>
      </c>
    </row>
    <row r="1722" ht="15.75" customHeight="1">
      <c r="A1722" s="31"/>
      <c r="H1722" s="22" t="str">
        <f t="shared" si="80"/>
        <v/>
      </c>
    </row>
    <row r="1723" ht="15.75" customHeight="1">
      <c r="A1723" s="31"/>
      <c r="H1723" s="22" t="str">
        <f t="shared" si="80"/>
        <v/>
      </c>
    </row>
    <row r="1724" ht="15.75" customHeight="1">
      <c r="A1724" s="31"/>
      <c r="H1724" s="22" t="str">
        <f t="shared" si="80"/>
        <v/>
      </c>
    </row>
    <row r="1725" ht="15.75" customHeight="1">
      <c r="A1725" s="31"/>
      <c r="H1725" s="22" t="str">
        <f t="shared" si="80"/>
        <v/>
      </c>
    </row>
    <row r="1726" ht="15.75" customHeight="1">
      <c r="A1726" s="31"/>
      <c r="H1726" s="22" t="str">
        <f t="shared" si="80"/>
        <v/>
      </c>
    </row>
    <row r="1727" ht="15.75" customHeight="1">
      <c r="A1727" s="31"/>
      <c r="H1727" s="22" t="str">
        <f t="shared" si="80"/>
        <v/>
      </c>
    </row>
    <row r="1728" ht="15.75" customHeight="1">
      <c r="A1728" s="31"/>
      <c r="H1728" s="22" t="str">
        <f t="shared" si="80"/>
        <v/>
      </c>
    </row>
    <row r="1729" ht="15.75" customHeight="1">
      <c r="A1729" s="31"/>
      <c r="H1729" s="22" t="str">
        <f t="shared" si="80"/>
        <v/>
      </c>
    </row>
    <row r="1730" ht="15.75" customHeight="1">
      <c r="A1730" s="31"/>
      <c r="H1730" s="22" t="str">
        <f t="shared" si="80"/>
        <v/>
      </c>
    </row>
    <row r="1731" ht="15.75" customHeight="1">
      <c r="A1731" s="31"/>
      <c r="H1731" s="22" t="str">
        <f t="shared" si="80"/>
        <v/>
      </c>
    </row>
    <row r="1732" ht="15.75" customHeight="1">
      <c r="A1732" s="31"/>
      <c r="H1732" s="22" t="str">
        <f t="shared" si="80"/>
        <v/>
      </c>
    </row>
    <row r="1733" ht="15.75" customHeight="1">
      <c r="A1733" s="31"/>
      <c r="H1733" s="22" t="str">
        <f t="shared" si="80"/>
        <v/>
      </c>
    </row>
    <row r="1734" ht="15.75" customHeight="1">
      <c r="A1734" s="31"/>
      <c r="H1734" s="22" t="str">
        <f t="shared" si="80"/>
        <v/>
      </c>
    </row>
    <row r="1735" ht="15.75" customHeight="1">
      <c r="A1735" s="31"/>
      <c r="H1735" s="22" t="str">
        <f t="shared" si="80"/>
        <v/>
      </c>
    </row>
    <row r="1736" ht="15.75" customHeight="1">
      <c r="A1736" s="31"/>
      <c r="H1736" s="22" t="str">
        <f t="shared" si="80"/>
        <v/>
      </c>
    </row>
    <row r="1737" ht="15.75" customHeight="1">
      <c r="A1737" s="31"/>
      <c r="H1737" s="22" t="str">
        <f t="shared" si="80"/>
        <v/>
      </c>
    </row>
    <row r="1738" ht="15.75" customHeight="1">
      <c r="A1738" s="31"/>
      <c r="H1738" s="22" t="str">
        <f t="shared" si="80"/>
        <v/>
      </c>
    </row>
    <row r="1739" ht="15.75" customHeight="1">
      <c r="A1739" s="31"/>
      <c r="H1739" s="22" t="str">
        <f t="shared" si="80"/>
        <v/>
      </c>
    </row>
    <row r="1740" ht="15.75" customHeight="1">
      <c r="A1740" s="31"/>
      <c r="H1740" s="22" t="str">
        <f t="shared" si="80"/>
        <v/>
      </c>
    </row>
    <row r="1741" ht="15.75" customHeight="1">
      <c r="A1741" s="31"/>
      <c r="H1741" s="22" t="str">
        <f t="shared" si="80"/>
        <v/>
      </c>
    </row>
    <row r="1742" ht="15.75" customHeight="1">
      <c r="A1742" s="31"/>
      <c r="H1742" s="22" t="str">
        <f t="shared" si="80"/>
        <v/>
      </c>
    </row>
    <row r="1743" ht="15.75" customHeight="1">
      <c r="A1743" s="31"/>
      <c r="H1743" s="22" t="str">
        <f t="shared" si="80"/>
        <v/>
      </c>
    </row>
    <row r="1744" ht="15.75" customHeight="1">
      <c r="A1744" s="31"/>
      <c r="H1744" s="22" t="str">
        <f t="shared" si="80"/>
        <v/>
      </c>
    </row>
    <row r="1745" ht="15.75" customHeight="1">
      <c r="A1745" s="31"/>
      <c r="H1745" s="22" t="str">
        <f t="shared" si="80"/>
        <v/>
      </c>
    </row>
    <row r="1746" ht="15.75" customHeight="1">
      <c r="A1746" s="31"/>
      <c r="H1746" s="22" t="str">
        <f t="shared" si="80"/>
        <v/>
      </c>
    </row>
    <row r="1747" ht="15.75" customHeight="1">
      <c r="A1747" s="31"/>
      <c r="H1747" s="22" t="str">
        <f t="shared" si="80"/>
        <v/>
      </c>
    </row>
    <row r="1748" ht="15.75" customHeight="1">
      <c r="A1748" s="31"/>
      <c r="H1748" s="22" t="str">
        <f t="shared" si="80"/>
        <v/>
      </c>
    </row>
    <row r="1749" ht="15.75" customHeight="1">
      <c r="A1749" s="31"/>
      <c r="H1749" s="22" t="str">
        <f t="shared" si="80"/>
        <v/>
      </c>
    </row>
    <row r="1750" ht="15.75" customHeight="1">
      <c r="A1750" s="31"/>
      <c r="H1750" s="22" t="str">
        <f t="shared" si="80"/>
        <v/>
      </c>
    </row>
    <row r="1751" ht="15.75" customHeight="1">
      <c r="A1751" s="31"/>
      <c r="H1751" s="22" t="str">
        <f t="shared" si="80"/>
        <v/>
      </c>
    </row>
    <row r="1752" ht="15.75" customHeight="1">
      <c r="A1752" s="31"/>
      <c r="H1752" s="22" t="str">
        <f t="shared" si="80"/>
        <v/>
      </c>
    </row>
    <row r="1753" ht="15.75" customHeight="1">
      <c r="A1753" s="31"/>
      <c r="H1753" s="22" t="str">
        <f t="shared" si="80"/>
        <v/>
      </c>
    </row>
    <row r="1754" ht="15.75" customHeight="1">
      <c r="A1754" s="31"/>
      <c r="H1754" s="22" t="str">
        <f t="shared" si="80"/>
        <v/>
      </c>
    </row>
    <row r="1755" ht="15.75" customHeight="1">
      <c r="A1755" s="31"/>
      <c r="H1755" s="22" t="str">
        <f t="shared" si="80"/>
        <v/>
      </c>
    </row>
    <row r="1756" ht="15.75" customHeight="1">
      <c r="A1756" s="31"/>
      <c r="H1756" s="22" t="str">
        <f t="shared" si="80"/>
        <v/>
      </c>
    </row>
    <row r="1757" ht="15.75" customHeight="1">
      <c r="A1757" s="31"/>
      <c r="H1757" s="22" t="str">
        <f t="shared" si="80"/>
        <v/>
      </c>
    </row>
    <row r="1758" ht="15.75" customHeight="1">
      <c r="A1758" s="31"/>
      <c r="H1758" s="22" t="str">
        <f t="shared" si="80"/>
        <v/>
      </c>
    </row>
    <row r="1759" ht="15.75" customHeight="1">
      <c r="A1759" s="31"/>
      <c r="H1759" s="22" t="str">
        <f t="shared" si="80"/>
        <v/>
      </c>
    </row>
    <row r="1760" ht="15.75" customHeight="1">
      <c r="A1760" s="31"/>
      <c r="H1760" s="22" t="str">
        <f t="shared" si="80"/>
        <v/>
      </c>
    </row>
    <row r="1761" ht="15.75" customHeight="1">
      <c r="A1761" s="31"/>
      <c r="H1761" s="22" t="str">
        <f t="shared" si="80"/>
        <v/>
      </c>
    </row>
    <row r="1762" ht="15.75" customHeight="1">
      <c r="A1762" s="31"/>
      <c r="H1762" s="22" t="str">
        <f t="shared" si="80"/>
        <v/>
      </c>
    </row>
    <row r="1763" ht="15.75" customHeight="1">
      <c r="A1763" s="31"/>
      <c r="H1763" s="22" t="str">
        <f t="shared" si="80"/>
        <v/>
      </c>
    </row>
    <row r="1764" ht="15.75" customHeight="1">
      <c r="A1764" s="31"/>
      <c r="H1764" s="22" t="str">
        <f t="shared" si="80"/>
        <v/>
      </c>
    </row>
    <row r="1765" ht="15.75" customHeight="1">
      <c r="A1765" s="31"/>
      <c r="H1765" s="22" t="str">
        <f t="shared" si="80"/>
        <v/>
      </c>
    </row>
    <row r="1766" ht="15.75" customHeight="1">
      <c r="A1766" s="31"/>
      <c r="H1766" s="22" t="str">
        <f t="shared" si="80"/>
        <v/>
      </c>
    </row>
    <row r="1767" ht="15.75" customHeight="1">
      <c r="A1767" s="31"/>
      <c r="H1767" s="22" t="str">
        <f t="shared" si="80"/>
        <v/>
      </c>
    </row>
    <row r="1768" ht="15.75" customHeight="1">
      <c r="A1768" s="31"/>
      <c r="H1768" s="22" t="str">
        <f t="shared" si="80"/>
        <v/>
      </c>
    </row>
    <row r="1769" ht="15.75" customHeight="1">
      <c r="A1769" s="31"/>
      <c r="H1769" s="22" t="str">
        <f t="shared" si="80"/>
        <v/>
      </c>
    </row>
    <row r="1770" ht="15.75" customHeight="1">
      <c r="A1770" s="31"/>
      <c r="H1770" s="22" t="str">
        <f t="shared" si="80"/>
        <v/>
      </c>
    </row>
    <row r="1771" ht="15.75" customHeight="1">
      <c r="A1771" s="31"/>
      <c r="H1771" s="22" t="str">
        <f t="shared" si="80"/>
        <v/>
      </c>
    </row>
    <row r="1772" ht="15.75" customHeight="1">
      <c r="A1772" s="31"/>
      <c r="H1772" s="22" t="str">
        <f t="shared" si="80"/>
        <v/>
      </c>
    </row>
    <row r="1773" ht="15.75" customHeight="1">
      <c r="A1773" s="31"/>
      <c r="H1773" s="22" t="str">
        <f t="shared" si="80"/>
        <v/>
      </c>
    </row>
    <row r="1774" ht="15.75" customHeight="1">
      <c r="A1774" s="31"/>
      <c r="H1774" s="22" t="str">
        <f t="shared" si="80"/>
        <v/>
      </c>
    </row>
    <row r="1775" ht="15.75" customHeight="1">
      <c r="A1775" s="31"/>
      <c r="H1775" s="22" t="str">
        <f t="shared" si="80"/>
        <v/>
      </c>
    </row>
    <row r="1776" ht="15.75" customHeight="1">
      <c r="A1776" s="31"/>
      <c r="H1776" s="22" t="str">
        <f t="shared" si="80"/>
        <v/>
      </c>
    </row>
    <row r="1777" ht="15.75" customHeight="1">
      <c r="A1777" s="31"/>
      <c r="H1777" s="22" t="str">
        <f t="shared" si="80"/>
        <v/>
      </c>
    </row>
    <row r="1778" ht="15.75" customHeight="1">
      <c r="A1778" s="31"/>
      <c r="H1778" s="22" t="str">
        <f t="shared" si="80"/>
        <v/>
      </c>
    </row>
    <row r="1779" ht="15.75" customHeight="1">
      <c r="A1779" s="31"/>
      <c r="H1779" s="22" t="str">
        <f t="shared" si="80"/>
        <v/>
      </c>
    </row>
    <row r="1780" ht="15.75" customHeight="1">
      <c r="A1780" s="31"/>
      <c r="H1780" s="22" t="str">
        <f t="shared" si="80"/>
        <v/>
      </c>
    </row>
    <row r="1781" ht="15.75" customHeight="1">
      <c r="A1781" s="31"/>
      <c r="H1781" s="22" t="str">
        <f t="shared" si="80"/>
        <v/>
      </c>
    </row>
    <row r="1782" ht="15.75" customHeight="1">
      <c r="A1782" s="31"/>
      <c r="H1782" s="22" t="str">
        <f t="shared" si="80"/>
        <v/>
      </c>
    </row>
    <row r="1783" ht="15.75" customHeight="1">
      <c r="A1783" s="31"/>
      <c r="H1783" s="22" t="str">
        <f t="shared" si="80"/>
        <v/>
      </c>
    </row>
    <row r="1784" ht="15.75" customHeight="1">
      <c r="A1784" s="31"/>
      <c r="H1784" s="22" t="str">
        <f t="shared" si="80"/>
        <v/>
      </c>
    </row>
    <row r="1785" ht="15.75" customHeight="1">
      <c r="A1785" s="31"/>
      <c r="H1785" s="22" t="str">
        <f t="shared" si="80"/>
        <v/>
      </c>
    </row>
    <row r="1786" ht="15.75" customHeight="1">
      <c r="A1786" s="31"/>
      <c r="H1786" s="22" t="str">
        <f t="shared" si="80"/>
        <v/>
      </c>
    </row>
    <row r="1787" ht="15.75" customHeight="1">
      <c r="A1787" s="31"/>
      <c r="H1787" s="22" t="str">
        <f t="shared" si="80"/>
        <v/>
      </c>
    </row>
    <row r="1788" ht="15.75" customHeight="1">
      <c r="A1788" s="31"/>
      <c r="H1788" s="22" t="str">
        <f t="shared" si="80"/>
        <v/>
      </c>
    </row>
    <row r="1789" ht="15.75" customHeight="1">
      <c r="A1789" s="31"/>
      <c r="H1789" s="22" t="str">
        <f t="shared" si="80"/>
        <v/>
      </c>
    </row>
    <row r="1790" ht="15.75" customHeight="1">
      <c r="A1790" s="31"/>
      <c r="H1790" s="22" t="str">
        <f t="shared" si="80"/>
        <v/>
      </c>
    </row>
    <row r="1791" ht="15.75" customHeight="1">
      <c r="A1791" s="31"/>
      <c r="H1791" s="22" t="str">
        <f t="shared" si="80"/>
        <v/>
      </c>
    </row>
    <row r="1792" ht="15.75" customHeight="1">
      <c r="A1792" s="31"/>
      <c r="H1792" s="22" t="str">
        <f t="shared" si="80"/>
        <v/>
      </c>
    </row>
    <row r="1793" ht="15.75" customHeight="1">
      <c r="A1793" s="31"/>
      <c r="H1793" s="22" t="str">
        <f t="shared" si="80"/>
        <v/>
      </c>
    </row>
    <row r="1794" ht="15.75" customHeight="1">
      <c r="A1794" s="31"/>
      <c r="H1794" s="22" t="str">
        <f t="shared" si="80"/>
        <v/>
      </c>
    </row>
    <row r="1795" ht="15.75" customHeight="1">
      <c r="A1795" s="31"/>
      <c r="H1795" s="22" t="str">
        <f t="shared" si="80"/>
        <v/>
      </c>
    </row>
    <row r="1796" ht="15.75" customHeight="1">
      <c r="A1796" s="31"/>
      <c r="H1796" s="22" t="str">
        <f t="shared" si="80"/>
        <v/>
      </c>
    </row>
    <row r="1797" ht="15.75" customHeight="1">
      <c r="A1797" s="31"/>
      <c r="H1797" s="22" t="str">
        <f t="shared" si="80"/>
        <v/>
      </c>
    </row>
    <row r="1798" ht="15.75" customHeight="1">
      <c r="A1798" s="31"/>
      <c r="H1798" s="22" t="str">
        <f t="shared" si="80"/>
        <v/>
      </c>
    </row>
    <row r="1799" ht="15.75" customHeight="1">
      <c r="A1799" s="31"/>
      <c r="H1799" s="22" t="str">
        <f t="shared" si="80"/>
        <v/>
      </c>
    </row>
    <row r="1800" ht="15.75" customHeight="1">
      <c r="A1800" s="31"/>
      <c r="H1800" s="22" t="str">
        <f t="shared" si="80"/>
        <v/>
      </c>
    </row>
    <row r="1801" ht="15.75" customHeight="1">
      <c r="A1801" s="31"/>
      <c r="H1801" s="22" t="str">
        <f t="shared" si="80"/>
        <v/>
      </c>
    </row>
    <row r="1802" ht="15.75" customHeight="1">
      <c r="A1802" s="31"/>
      <c r="H1802" s="22" t="str">
        <f t="shared" si="80"/>
        <v/>
      </c>
    </row>
    <row r="1803" ht="15.75" customHeight="1">
      <c r="A1803" s="31"/>
      <c r="H1803" s="22" t="str">
        <f t="shared" si="80"/>
        <v/>
      </c>
    </row>
    <row r="1804" ht="15.75" customHeight="1">
      <c r="A1804" s="31"/>
      <c r="H1804" s="22" t="str">
        <f t="shared" si="80"/>
        <v/>
      </c>
    </row>
    <row r="1805" ht="15.75" customHeight="1">
      <c r="A1805" s="31"/>
      <c r="H1805" s="22" t="str">
        <f t="shared" si="80"/>
        <v/>
      </c>
    </row>
    <row r="1806" ht="15.75" customHeight="1">
      <c r="A1806" s="31"/>
      <c r="H1806" s="22" t="str">
        <f t="shared" si="80"/>
        <v/>
      </c>
    </row>
    <row r="1807" ht="15.75" customHeight="1">
      <c r="A1807" s="31"/>
      <c r="H1807" s="22" t="str">
        <f t="shared" si="80"/>
        <v/>
      </c>
    </row>
    <row r="1808" ht="15.75" customHeight="1">
      <c r="A1808" s="31"/>
      <c r="H1808" s="22" t="str">
        <f t="shared" si="80"/>
        <v/>
      </c>
    </row>
    <row r="1809" ht="15.75" customHeight="1">
      <c r="A1809" s="31"/>
      <c r="H1809" s="22" t="str">
        <f t="shared" si="80"/>
        <v/>
      </c>
    </row>
    <row r="1810" ht="15.75" customHeight="1">
      <c r="A1810" s="31"/>
      <c r="H1810" s="22" t="str">
        <f t="shared" si="80"/>
        <v/>
      </c>
    </row>
    <row r="1811" ht="15.75" customHeight="1">
      <c r="A1811" s="31"/>
      <c r="H1811" s="22" t="str">
        <f t="shared" si="80"/>
        <v/>
      </c>
    </row>
    <row r="1812" ht="15.75" customHeight="1">
      <c r="A1812" s="31"/>
      <c r="H1812" s="22" t="str">
        <f t="shared" si="80"/>
        <v/>
      </c>
    </row>
    <row r="1813" ht="15.75" customHeight="1">
      <c r="A1813" s="31"/>
      <c r="H1813" s="22" t="str">
        <f t="shared" si="80"/>
        <v/>
      </c>
    </row>
    <row r="1814" ht="15.75" customHeight="1">
      <c r="A1814" s="31"/>
      <c r="H1814" s="22" t="str">
        <f t="shared" si="80"/>
        <v/>
      </c>
    </row>
    <row r="1815" ht="15.75" customHeight="1">
      <c r="A1815" s="31"/>
      <c r="H1815" s="22" t="str">
        <f t="shared" si="80"/>
        <v/>
      </c>
    </row>
    <row r="1816" ht="15.75" customHeight="1">
      <c r="A1816" s="31"/>
      <c r="H1816" s="22" t="str">
        <f t="shared" si="80"/>
        <v/>
      </c>
    </row>
    <row r="1817" ht="15.75" customHeight="1">
      <c r="A1817" s="31"/>
      <c r="H1817" s="22" t="str">
        <f t="shared" si="80"/>
        <v/>
      </c>
    </row>
    <row r="1818" ht="15.75" customHeight="1">
      <c r="A1818" s="31"/>
      <c r="H1818" s="22" t="str">
        <f t="shared" si="80"/>
        <v/>
      </c>
    </row>
    <row r="1819" ht="15.75" customHeight="1">
      <c r="A1819" s="31"/>
      <c r="H1819" s="22" t="str">
        <f t="shared" si="80"/>
        <v/>
      </c>
    </row>
    <row r="1820" ht="15.75" customHeight="1">
      <c r="A1820" s="31"/>
      <c r="H1820" s="22" t="str">
        <f t="shared" si="80"/>
        <v/>
      </c>
    </row>
    <row r="1821" ht="15.75" customHeight="1">
      <c r="A1821" s="31"/>
      <c r="H1821" s="22" t="str">
        <f t="shared" si="80"/>
        <v/>
      </c>
    </row>
    <row r="1822" ht="15.75" customHeight="1">
      <c r="A1822" s="31"/>
      <c r="H1822" s="22" t="str">
        <f t="shared" si="80"/>
        <v/>
      </c>
    </row>
    <row r="1823" ht="15.75" customHeight="1">
      <c r="A1823" s="31"/>
      <c r="H1823" s="22" t="str">
        <f t="shared" si="80"/>
        <v/>
      </c>
    </row>
    <row r="1824" ht="15.75" customHeight="1">
      <c r="A1824" s="31"/>
      <c r="H1824" s="22" t="str">
        <f t="shared" si="80"/>
        <v/>
      </c>
    </row>
    <row r="1825" ht="15.75" customHeight="1">
      <c r="H1825" s="22" t="str">
        <f t="shared" si="80"/>
        <v/>
      </c>
    </row>
    <row r="1826" ht="15.75" customHeight="1">
      <c r="H1826" s="22" t="str">
        <f t="shared" si="80"/>
        <v/>
      </c>
    </row>
    <row r="1827" ht="15.75" customHeight="1">
      <c r="H1827" s="22" t="str">
        <f t="shared" si="80"/>
        <v/>
      </c>
    </row>
    <row r="1828" ht="15.75" customHeight="1">
      <c r="H1828" s="22" t="str">
        <f t="shared" si="80"/>
        <v/>
      </c>
    </row>
    <row r="1829" ht="15.75" customHeight="1">
      <c r="H1829" s="22" t="str">
        <f t="shared" si="80"/>
        <v/>
      </c>
    </row>
    <row r="1830" ht="15.75" customHeight="1">
      <c r="H1830" s="22" t="str">
        <f t="shared" si="80"/>
        <v/>
      </c>
    </row>
    <row r="1831" ht="15.75" customHeight="1">
      <c r="H1831" s="22" t="str">
        <f t="shared" si="80"/>
        <v/>
      </c>
    </row>
    <row r="1832" ht="15.75" customHeight="1">
      <c r="H1832" s="22" t="str">
        <f t="shared" si="80"/>
        <v/>
      </c>
    </row>
    <row r="1833" ht="15.75" customHeight="1">
      <c r="H1833" s="22" t="str">
        <f t="shared" si="80"/>
        <v/>
      </c>
    </row>
    <row r="1834" ht="15.75" customHeight="1">
      <c r="H1834" s="22" t="str">
        <f t="shared" si="80"/>
        <v/>
      </c>
    </row>
    <row r="1835" ht="15.75" customHeight="1">
      <c r="H1835" s="22" t="str">
        <f t="shared" si="80"/>
        <v/>
      </c>
    </row>
    <row r="1836" ht="15.75" customHeight="1">
      <c r="H1836" s="22" t="str">
        <f t="shared" si="80"/>
        <v/>
      </c>
    </row>
    <row r="1837" ht="15.75" customHeight="1">
      <c r="H1837" s="22" t="str">
        <f t="shared" si="80"/>
        <v/>
      </c>
    </row>
    <row r="1838" ht="15.75" customHeight="1">
      <c r="H1838" s="22" t="str">
        <f t="shared" si="80"/>
        <v/>
      </c>
    </row>
    <row r="1839" ht="15.75" customHeight="1">
      <c r="H1839" s="22" t="str">
        <f t="shared" si="80"/>
        <v/>
      </c>
    </row>
    <row r="1840" ht="15.75" customHeight="1">
      <c r="H1840" s="22" t="str">
        <f t="shared" si="80"/>
        <v/>
      </c>
    </row>
    <row r="1841" ht="15.75" customHeight="1">
      <c r="H1841" s="22" t="str">
        <f t="shared" si="80"/>
        <v/>
      </c>
    </row>
    <row r="1842" ht="15.75" customHeight="1">
      <c r="H1842" s="22" t="str">
        <f t="shared" si="80"/>
        <v/>
      </c>
    </row>
    <row r="1843" ht="15.75" customHeight="1">
      <c r="H1843" s="22" t="str">
        <f t="shared" si="80"/>
        <v/>
      </c>
    </row>
    <row r="1844" ht="15.75" customHeight="1">
      <c r="H1844" s="22" t="str">
        <f t="shared" si="80"/>
        <v/>
      </c>
    </row>
    <row r="1845" ht="15.75" customHeight="1">
      <c r="H1845" s="22" t="str">
        <f t="shared" si="80"/>
        <v/>
      </c>
    </row>
    <row r="1846" ht="15.75" customHeight="1">
      <c r="H1846" s="22" t="str">
        <f t="shared" si="80"/>
        <v/>
      </c>
    </row>
    <row r="1847" ht="15.75" customHeight="1">
      <c r="H1847" s="22" t="str">
        <f t="shared" si="80"/>
        <v/>
      </c>
    </row>
    <row r="1848" ht="15.75" customHeight="1">
      <c r="H1848" s="22" t="str">
        <f t="shared" si="80"/>
        <v/>
      </c>
    </row>
    <row r="1849" ht="15.75" customHeight="1">
      <c r="H1849" s="22" t="str">
        <f t="shared" si="80"/>
        <v/>
      </c>
    </row>
    <row r="1850" ht="15.75" customHeight="1">
      <c r="H1850" s="22" t="str">
        <f t="shared" si="80"/>
        <v/>
      </c>
    </row>
    <row r="1851" ht="15.75" customHeight="1">
      <c r="H1851" s="22" t="str">
        <f t="shared" si="80"/>
        <v/>
      </c>
    </row>
    <row r="1852" ht="15.75" customHeight="1">
      <c r="H1852" s="22" t="str">
        <f t="shared" si="80"/>
        <v/>
      </c>
    </row>
    <row r="1853" ht="15.75" customHeight="1">
      <c r="H1853" s="22" t="str">
        <f t="shared" si="80"/>
        <v/>
      </c>
    </row>
    <row r="1854" ht="15.75" customHeight="1">
      <c r="H1854" s="22" t="str">
        <f t="shared" si="80"/>
        <v/>
      </c>
    </row>
    <row r="1855" ht="15.75" customHeight="1">
      <c r="H1855" s="22" t="str">
        <f t="shared" si="80"/>
        <v/>
      </c>
    </row>
    <row r="1856" ht="15.75" customHeight="1">
      <c r="H1856" s="22" t="str">
        <f t="shared" si="80"/>
        <v/>
      </c>
    </row>
    <row r="1857" ht="15.75" customHeight="1">
      <c r="H1857" s="22" t="str">
        <f t="shared" si="80"/>
        <v/>
      </c>
    </row>
    <row r="1858" ht="15.75" customHeight="1">
      <c r="H1858" s="22" t="str">
        <f t="shared" si="80"/>
        <v/>
      </c>
    </row>
    <row r="1859" ht="15.75" customHeight="1">
      <c r="H1859" s="22" t="str">
        <f t="shared" si="80"/>
        <v/>
      </c>
    </row>
    <row r="1860" ht="15.75" customHeight="1">
      <c r="H1860" s="22" t="str">
        <f t="shared" si="80"/>
        <v/>
      </c>
    </row>
    <row r="1861" ht="15.75" customHeight="1">
      <c r="H1861" s="22" t="str">
        <f t="shared" si="80"/>
        <v/>
      </c>
    </row>
    <row r="1862" ht="15.75" customHeight="1">
      <c r="H1862" s="22" t="str">
        <f t="shared" si="80"/>
        <v/>
      </c>
    </row>
    <row r="1863" ht="15.75" customHeight="1">
      <c r="H1863" s="22" t="str">
        <f t="shared" si="80"/>
        <v/>
      </c>
    </row>
    <row r="1864" ht="15.75" customHeight="1">
      <c r="H1864" s="22" t="str">
        <f t="shared" si="80"/>
        <v/>
      </c>
    </row>
    <row r="1865" ht="15.75" customHeight="1">
      <c r="H1865" s="22" t="str">
        <f t="shared" si="80"/>
        <v/>
      </c>
    </row>
    <row r="1866" ht="15.75" customHeight="1">
      <c r="H1866" s="22" t="str">
        <f t="shared" si="80"/>
        <v/>
      </c>
    </row>
    <row r="1867" ht="15.75" customHeight="1">
      <c r="H1867" s="22" t="str">
        <f t="shared" si="80"/>
        <v/>
      </c>
    </row>
    <row r="1868" ht="15.75" customHeight="1">
      <c r="H1868" s="22" t="str">
        <f t="shared" si="80"/>
        <v/>
      </c>
    </row>
    <row r="1869" ht="15.75" customHeight="1">
      <c r="H1869" s="22" t="str">
        <f t="shared" si="80"/>
        <v/>
      </c>
    </row>
    <row r="1870" ht="15.75" customHeight="1">
      <c r="H1870" s="22" t="str">
        <f t="shared" si="80"/>
        <v/>
      </c>
    </row>
    <row r="1871" ht="15.75" customHeight="1">
      <c r="H1871" s="22" t="str">
        <f t="shared" si="80"/>
        <v/>
      </c>
    </row>
    <row r="1872" ht="15.75" customHeight="1">
      <c r="H1872" s="22" t="str">
        <f t="shared" si="80"/>
        <v/>
      </c>
    </row>
    <row r="1873" ht="15.75" customHeight="1">
      <c r="H1873" s="22" t="str">
        <f t="shared" si="80"/>
        <v/>
      </c>
    </row>
    <row r="1874" ht="15.75" customHeight="1">
      <c r="H1874" s="22" t="str">
        <f t="shared" si="80"/>
        <v/>
      </c>
    </row>
    <row r="1875" ht="15.75" customHeight="1">
      <c r="H1875" s="22" t="str">
        <f t="shared" si="80"/>
        <v/>
      </c>
    </row>
    <row r="1876" ht="15.75" customHeight="1">
      <c r="H1876" s="22" t="str">
        <f t="shared" si="80"/>
        <v/>
      </c>
    </row>
    <row r="1877" ht="15.75" customHeight="1">
      <c r="H1877" s="22" t="str">
        <f t="shared" si="80"/>
        <v/>
      </c>
    </row>
    <row r="1878" ht="15.75" customHeight="1">
      <c r="H1878" s="22" t="str">
        <f t="shared" si="80"/>
        <v/>
      </c>
    </row>
    <row r="1879" ht="15.75" customHeight="1">
      <c r="H1879" s="22" t="str">
        <f t="shared" si="80"/>
        <v/>
      </c>
    </row>
    <row r="1880" ht="15.75" customHeight="1">
      <c r="H1880" s="22" t="str">
        <f t="shared" si="80"/>
        <v/>
      </c>
    </row>
    <row r="1881" ht="15.75" customHeight="1">
      <c r="H1881" s="22" t="str">
        <f t="shared" si="80"/>
        <v/>
      </c>
    </row>
    <row r="1882" ht="15.75" customHeight="1">
      <c r="H1882" s="22" t="str">
        <f t="shared" si="80"/>
        <v/>
      </c>
    </row>
    <row r="1883" ht="15.75" customHeight="1">
      <c r="H1883" s="22" t="str">
        <f t="shared" si="80"/>
        <v/>
      </c>
    </row>
    <row r="1884" ht="15.75" customHeight="1">
      <c r="H1884" s="22" t="str">
        <f t="shared" si="80"/>
        <v/>
      </c>
    </row>
    <row r="1885" ht="15.75" customHeight="1">
      <c r="H1885" s="22" t="str">
        <f t="shared" si="80"/>
        <v/>
      </c>
    </row>
    <row r="1886" ht="15.75" customHeight="1">
      <c r="H1886" s="22" t="str">
        <f t="shared" si="80"/>
        <v/>
      </c>
    </row>
    <row r="1887" ht="15.75" customHeight="1">
      <c r="H1887" s="22" t="str">
        <f t="shared" si="80"/>
        <v/>
      </c>
    </row>
    <row r="1888" ht="15.75" customHeight="1">
      <c r="H1888" s="22" t="str">
        <f t="shared" si="80"/>
        <v/>
      </c>
    </row>
    <row r="1889" ht="15.75" customHeight="1">
      <c r="H1889" s="22" t="str">
        <f t="shared" si="80"/>
        <v/>
      </c>
    </row>
    <row r="1890" ht="15.75" customHeight="1">
      <c r="H1890" s="22" t="str">
        <f t="shared" si="80"/>
        <v/>
      </c>
    </row>
    <row r="1891" ht="15.75" customHeight="1">
      <c r="H1891" s="22" t="str">
        <f t="shared" si="80"/>
        <v/>
      </c>
    </row>
    <row r="1892" ht="15.75" customHeight="1">
      <c r="H1892" s="22" t="str">
        <f t="shared" si="80"/>
        <v/>
      </c>
    </row>
    <row r="1893" ht="15.75" customHeight="1">
      <c r="H1893" s="22" t="str">
        <f t="shared" si="80"/>
        <v/>
      </c>
    </row>
    <row r="1894" ht="15.75" customHeight="1">
      <c r="H1894" s="22" t="str">
        <f t="shared" si="80"/>
        <v/>
      </c>
    </row>
    <row r="1895" ht="15.75" customHeight="1">
      <c r="H1895" s="22" t="str">
        <f t="shared" si="80"/>
        <v/>
      </c>
    </row>
    <row r="1896" ht="15.75" customHeight="1">
      <c r="H1896" s="22" t="str">
        <f t="shared" si="80"/>
        <v/>
      </c>
    </row>
    <row r="1897" ht="15.75" customHeight="1">
      <c r="H1897" s="22" t="str">
        <f t="shared" si="80"/>
        <v/>
      </c>
    </row>
    <row r="1898" ht="15.75" customHeight="1">
      <c r="H1898" s="22" t="str">
        <f t="shared" si="80"/>
        <v/>
      </c>
    </row>
    <row r="1899" ht="15.75" customHeight="1">
      <c r="H1899" s="22" t="str">
        <f t="shared" si="80"/>
        <v/>
      </c>
    </row>
    <row r="1900" ht="15.75" customHeight="1">
      <c r="H1900" s="22" t="str">
        <f t="shared" si="80"/>
        <v/>
      </c>
    </row>
    <row r="1901" ht="15.75" customHeight="1">
      <c r="H1901" s="22" t="str">
        <f t="shared" si="80"/>
        <v/>
      </c>
    </row>
    <row r="1902" ht="15.75" customHeight="1">
      <c r="H1902" s="22" t="str">
        <f t="shared" si="80"/>
        <v/>
      </c>
    </row>
    <row r="1903" ht="15.75" customHeight="1">
      <c r="H1903" s="22" t="str">
        <f t="shared" si="80"/>
        <v/>
      </c>
    </row>
    <row r="1904" ht="15.75" customHeight="1">
      <c r="H1904" s="22" t="str">
        <f t="shared" si="80"/>
        <v/>
      </c>
    </row>
    <row r="1905" ht="15.75" customHeight="1">
      <c r="H1905" s="22" t="str">
        <f t="shared" si="80"/>
        <v/>
      </c>
    </row>
    <row r="1906" ht="15.75" customHeight="1">
      <c r="H1906" s="22" t="str">
        <f t="shared" si="80"/>
        <v/>
      </c>
    </row>
    <row r="1907" ht="15.75" customHeight="1">
      <c r="H1907" s="22" t="str">
        <f t="shared" si="80"/>
        <v/>
      </c>
    </row>
    <row r="1908" ht="15.75" customHeight="1">
      <c r="H1908" s="22" t="str">
        <f t="shared" si="80"/>
        <v/>
      </c>
    </row>
    <row r="1909" ht="15.75" customHeight="1">
      <c r="H1909" s="22" t="str">
        <f t="shared" si="80"/>
        <v/>
      </c>
    </row>
    <row r="1910" ht="15.75" customHeight="1">
      <c r="H1910" s="22" t="str">
        <f t="shared" si="80"/>
        <v/>
      </c>
    </row>
    <row r="1911" ht="15.75" customHeight="1">
      <c r="H1911" s="22" t="str">
        <f t="shared" si="80"/>
        <v/>
      </c>
    </row>
    <row r="1912" ht="15.75" customHeight="1">
      <c r="H1912" s="22" t="str">
        <f t="shared" si="80"/>
        <v/>
      </c>
    </row>
    <row r="1913" ht="15.75" customHeight="1">
      <c r="H1913" s="22" t="str">
        <f t="shared" si="80"/>
        <v/>
      </c>
    </row>
    <row r="1914" ht="15.75" customHeight="1">
      <c r="H1914" s="22" t="str">
        <f t="shared" si="80"/>
        <v/>
      </c>
    </row>
    <row r="1915" ht="15.75" customHeight="1">
      <c r="H1915" s="22" t="str">
        <f t="shared" si="80"/>
        <v/>
      </c>
    </row>
    <row r="1916" ht="15.75" customHeight="1">
      <c r="H1916" s="22" t="str">
        <f t="shared" si="80"/>
        <v/>
      </c>
    </row>
    <row r="1917" ht="15.75" customHeight="1">
      <c r="H1917" s="22" t="str">
        <f t="shared" si="80"/>
        <v/>
      </c>
    </row>
    <row r="1918" ht="15.75" customHeight="1">
      <c r="H1918" s="22" t="str">
        <f t="shared" si="80"/>
        <v/>
      </c>
    </row>
    <row r="1919" ht="15.75" customHeight="1">
      <c r="H1919" s="22" t="str">
        <f t="shared" si="80"/>
        <v/>
      </c>
    </row>
    <row r="1920" ht="15.75" customHeight="1">
      <c r="H1920" s="22" t="str">
        <f t="shared" si="80"/>
        <v/>
      </c>
    </row>
    <row r="1921" ht="15.75" customHeight="1">
      <c r="H1921" s="22" t="str">
        <f t="shared" si="80"/>
        <v/>
      </c>
    </row>
    <row r="1922" ht="15.75" customHeight="1">
      <c r="H1922" s="22" t="str">
        <f t="shared" si="80"/>
        <v/>
      </c>
    </row>
    <row r="1923" ht="15.75" customHeight="1">
      <c r="H1923" s="22" t="str">
        <f t="shared" si="80"/>
        <v/>
      </c>
    </row>
    <row r="1924" ht="15.75" customHeight="1">
      <c r="H1924" s="22" t="str">
        <f t="shared" si="80"/>
        <v/>
      </c>
    </row>
    <row r="1925" ht="15.75" customHeight="1">
      <c r="H1925" s="22" t="str">
        <f t="shared" si="80"/>
        <v/>
      </c>
    </row>
    <row r="1926" ht="15.75" customHeight="1">
      <c r="H1926" s="22" t="str">
        <f t="shared" si="80"/>
        <v/>
      </c>
    </row>
    <row r="1927" ht="15.75" customHeight="1">
      <c r="H1927" s="22" t="str">
        <f t="shared" si="80"/>
        <v/>
      </c>
    </row>
    <row r="1928" ht="15.75" customHeight="1">
      <c r="H1928" s="22" t="str">
        <f t="shared" si="80"/>
        <v/>
      </c>
    </row>
    <row r="1929" ht="15.75" customHeight="1">
      <c r="H1929" s="22" t="str">
        <f t="shared" si="80"/>
        <v/>
      </c>
    </row>
    <row r="1930" ht="15.75" customHeight="1">
      <c r="H1930" s="22" t="str">
        <f t="shared" si="80"/>
        <v/>
      </c>
    </row>
    <row r="1931" ht="15.75" customHeight="1">
      <c r="H1931" s="22" t="str">
        <f t="shared" si="80"/>
        <v/>
      </c>
    </row>
    <row r="1932" ht="15.75" customHeight="1">
      <c r="H1932" s="22" t="str">
        <f t="shared" si="80"/>
        <v/>
      </c>
    </row>
    <row r="1933" ht="15.75" customHeight="1">
      <c r="H1933" s="22" t="str">
        <f t="shared" si="80"/>
        <v/>
      </c>
    </row>
    <row r="1934" ht="15.75" customHeight="1">
      <c r="H1934" s="22" t="str">
        <f t="shared" si="80"/>
        <v/>
      </c>
    </row>
    <row r="1935" ht="15.75" customHeight="1">
      <c r="H1935" s="22" t="str">
        <f t="shared" si="80"/>
        <v/>
      </c>
    </row>
    <row r="1936" ht="15.75" customHeight="1">
      <c r="H1936" s="22" t="str">
        <f t="shared" si="80"/>
        <v/>
      </c>
    </row>
    <row r="1937" ht="15.75" customHeight="1">
      <c r="H1937" s="22" t="str">
        <f t="shared" si="80"/>
        <v/>
      </c>
    </row>
    <row r="1938" ht="15.75" customHeight="1">
      <c r="H1938" s="22" t="str">
        <f t="shared" si="80"/>
        <v/>
      </c>
    </row>
    <row r="1939" ht="15.75" customHeight="1">
      <c r="H1939" s="22" t="str">
        <f t="shared" si="80"/>
        <v/>
      </c>
    </row>
    <row r="1940" ht="15.75" customHeight="1">
      <c r="H1940" s="22" t="str">
        <f t="shared" si="80"/>
        <v/>
      </c>
    </row>
    <row r="1941" ht="15.75" customHeight="1">
      <c r="H1941" s="22" t="str">
        <f t="shared" si="80"/>
        <v/>
      </c>
    </row>
    <row r="1942" ht="15.75" customHeight="1">
      <c r="H1942" s="22" t="str">
        <f t="shared" si="80"/>
        <v/>
      </c>
    </row>
    <row r="1943" ht="15.75" customHeight="1">
      <c r="H1943" s="22" t="str">
        <f t="shared" si="80"/>
        <v/>
      </c>
    </row>
    <row r="1944" ht="15.75" customHeight="1">
      <c r="H1944" s="22" t="str">
        <f t="shared" si="80"/>
        <v/>
      </c>
    </row>
    <row r="1945" ht="15.75" customHeight="1">
      <c r="H1945" s="22" t="str">
        <f t="shared" si="80"/>
        <v/>
      </c>
    </row>
    <row r="1946" ht="15.75" customHeight="1">
      <c r="H1946" s="22" t="str">
        <f t="shared" si="80"/>
        <v/>
      </c>
    </row>
    <row r="1947" ht="15.75" customHeight="1">
      <c r="H1947" s="22" t="str">
        <f t="shared" si="80"/>
        <v/>
      </c>
    </row>
    <row r="1948" ht="15.75" customHeight="1">
      <c r="H1948" s="22" t="str">
        <f t="shared" si="80"/>
        <v/>
      </c>
    </row>
    <row r="1949" ht="15.75" customHeight="1">
      <c r="H1949" s="22" t="str">
        <f t="shared" si="80"/>
        <v/>
      </c>
    </row>
    <row r="1950" ht="15.75" customHeight="1">
      <c r="H1950" s="22" t="str">
        <f t="shared" si="80"/>
        <v/>
      </c>
    </row>
    <row r="1951" ht="15.75" customHeight="1">
      <c r="H1951" s="22" t="str">
        <f t="shared" si="80"/>
        <v/>
      </c>
    </row>
    <row r="1952" ht="15.75" customHeight="1">
      <c r="H1952" s="22" t="str">
        <f t="shared" si="80"/>
        <v/>
      </c>
    </row>
    <row r="1953" ht="15.75" customHeight="1">
      <c r="H1953" s="22" t="str">
        <f t="shared" si="80"/>
        <v/>
      </c>
    </row>
    <row r="1954" ht="15.75" customHeight="1">
      <c r="H1954" s="22" t="str">
        <f t="shared" si="80"/>
        <v/>
      </c>
    </row>
    <row r="1955" ht="15.75" customHeight="1">
      <c r="H1955" s="22" t="str">
        <f t="shared" si="80"/>
        <v/>
      </c>
    </row>
    <row r="1956" ht="15.75" customHeight="1">
      <c r="H1956" s="22" t="str">
        <f t="shared" si="80"/>
        <v/>
      </c>
    </row>
    <row r="1957" ht="15.75" customHeight="1">
      <c r="H1957" s="22" t="str">
        <f t="shared" si="80"/>
        <v/>
      </c>
    </row>
    <row r="1958" ht="15.75" customHeight="1">
      <c r="H1958" s="22" t="str">
        <f t="shared" si="80"/>
        <v/>
      </c>
    </row>
    <row r="1959" ht="15.75" customHeight="1">
      <c r="H1959" s="22" t="str">
        <f t="shared" si="80"/>
        <v/>
      </c>
    </row>
    <row r="1960" ht="15.75" customHeight="1">
      <c r="H1960" s="22" t="str">
        <f t="shared" si="80"/>
        <v/>
      </c>
    </row>
    <row r="1961" ht="15.75" customHeight="1">
      <c r="H1961" s="22" t="str">
        <f t="shared" si="80"/>
        <v/>
      </c>
    </row>
    <row r="1962" ht="15.75" customHeight="1">
      <c r="H1962" s="22" t="str">
        <f t="shared" si="80"/>
        <v/>
      </c>
    </row>
    <row r="1963" ht="15.75" customHeight="1">
      <c r="H1963" s="22" t="str">
        <f t="shared" si="80"/>
        <v/>
      </c>
    </row>
    <row r="1964" ht="15.75" customHeight="1">
      <c r="H1964" s="22" t="str">
        <f t="shared" si="80"/>
        <v/>
      </c>
    </row>
    <row r="1965" ht="15.75" customHeight="1">
      <c r="H1965" s="22" t="str">
        <f t="shared" si="80"/>
        <v/>
      </c>
    </row>
    <row r="1966" ht="15.75" customHeight="1">
      <c r="H1966" s="22" t="str">
        <f t="shared" si="80"/>
        <v/>
      </c>
    </row>
    <row r="1967" ht="15.75" customHeight="1">
      <c r="H1967" s="22" t="str">
        <f t="shared" si="80"/>
        <v/>
      </c>
    </row>
    <row r="1968" ht="15.75" customHeight="1">
      <c r="H1968" s="22" t="str">
        <f t="shared" si="80"/>
        <v/>
      </c>
    </row>
    <row r="1969" ht="15.75" customHeight="1">
      <c r="H1969" s="22" t="str">
        <f t="shared" si="80"/>
        <v/>
      </c>
    </row>
    <row r="1970" ht="15.75" customHeight="1">
      <c r="H1970" s="22" t="str">
        <f t="shared" si="80"/>
        <v/>
      </c>
    </row>
    <row r="1971" ht="15.75" customHeight="1">
      <c r="H1971" s="22" t="str">
        <f t="shared" si="80"/>
        <v/>
      </c>
    </row>
    <row r="1972" ht="15.75" customHeight="1">
      <c r="H1972" s="22" t="str">
        <f t="shared" si="80"/>
        <v/>
      </c>
    </row>
    <row r="1973" ht="15.75" customHeight="1">
      <c r="H1973" s="22" t="str">
        <f t="shared" si="80"/>
        <v/>
      </c>
    </row>
    <row r="1974" ht="15.75" customHeight="1">
      <c r="H1974" s="22" t="str">
        <f t="shared" si="80"/>
        <v/>
      </c>
    </row>
    <row r="1975" ht="15.75" customHeight="1">
      <c r="H1975" s="22" t="str">
        <f t="shared" si="80"/>
        <v/>
      </c>
    </row>
    <row r="1976" ht="15.75" customHeight="1">
      <c r="H1976" s="22" t="str">
        <f t="shared" si="80"/>
        <v/>
      </c>
    </row>
    <row r="1977" ht="15.75" customHeight="1">
      <c r="H1977" s="22" t="str">
        <f t="shared" si="80"/>
        <v/>
      </c>
    </row>
    <row r="1978" ht="15.75" customHeight="1">
      <c r="H1978" s="22" t="str">
        <f t="shared" si="80"/>
        <v/>
      </c>
    </row>
    <row r="1979" ht="15.75" customHeight="1">
      <c r="H1979" s="22" t="str">
        <f t="shared" si="80"/>
        <v/>
      </c>
    </row>
    <row r="1980" ht="15.75" customHeight="1">
      <c r="H1980" s="22" t="str">
        <f t="shared" si="80"/>
        <v/>
      </c>
    </row>
    <row r="1981" ht="15.75" customHeight="1">
      <c r="H1981" s="22" t="str">
        <f t="shared" si="80"/>
        <v/>
      </c>
    </row>
    <row r="1982" ht="15.75" customHeight="1">
      <c r="H1982" s="22" t="str">
        <f t="shared" si="80"/>
        <v/>
      </c>
    </row>
    <row r="1983" ht="15.75" customHeight="1">
      <c r="H1983" s="22" t="str">
        <f t="shared" si="80"/>
        <v/>
      </c>
    </row>
    <row r="1984" ht="15.75" customHeight="1">
      <c r="H1984" s="22" t="str">
        <f t="shared" si="80"/>
        <v/>
      </c>
    </row>
    <row r="1985" ht="15.75" customHeight="1">
      <c r="H1985" s="22" t="str">
        <f t="shared" si="80"/>
        <v/>
      </c>
    </row>
    <row r="1986" ht="15.75" customHeight="1">
      <c r="H1986" s="22" t="str">
        <f t="shared" si="80"/>
        <v/>
      </c>
    </row>
    <row r="1987" ht="15.75" customHeight="1">
      <c r="H1987" s="22" t="str">
        <f t="shared" si="80"/>
        <v/>
      </c>
    </row>
    <row r="1988" ht="15.75" customHeight="1">
      <c r="H1988" s="22" t="str">
        <f t="shared" si="80"/>
        <v/>
      </c>
    </row>
    <row r="1989" ht="15.75" customHeight="1">
      <c r="H1989" s="22" t="str">
        <f t="shared" si="80"/>
        <v/>
      </c>
    </row>
    <row r="1990" ht="15.75" customHeight="1">
      <c r="H1990" s="22" t="str">
        <f t="shared" si="80"/>
        <v/>
      </c>
    </row>
    <row r="1991" ht="15.75" customHeight="1">
      <c r="H1991" s="22" t="str">
        <f t="shared" si="80"/>
        <v/>
      </c>
    </row>
    <row r="1992" ht="15.75" customHeight="1">
      <c r="H1992" s="22" t="str">
        <f t="shared" si="80"/>
        <v/>
      </c>
    </row>
    <row r="1993" ht="15.75" customHeight="1">
      <c r="H1993" s="22" t="str">
        <f t="shared" si="80"/>
        <v/>
      </c>
    </row>
    <row r="1994" ht="15.75" customHeight="1">
      <c r="H1994" s="22" t="str">
        <f t="shared" si="80"/>
        <v/>
      </c>
    </row>
    <row r="1995" ht="15.75" customHeight="1">
      <c r="H1995" s="22" t="str">
        <f t="shared" si="80"/>
        <v/>
      </c>
    </row>
    <row r="1996" ht="15.75" customHeight="1">
      <c r="H1996" s="22" t="str">
        <f t="shared" si="80"/>
        <v/>
      </c>
    </row>
    <row r="1997" ht="15.75" customHeight="1">
      <c r="H1997" s="22" t="str">
        <f t="shared" si="80"/>
        <v/>
      </c>
    </row>
    <row r="1998" ht="15.75" customHeight="1">
      <c r="H1998" s="22" t="str">
        <f t="shared" si="80"/>
        <v/>
      </c>
    </row>
    <row r="1999" ht="15.75" customHeight="1">
      <c r="H1999" s="22" t="str">
        <f t="shared" si="80"/>
        <v/>
      </c>
    </row>
    <row r="2000" ht="15.75" customHeight="1">
      <c r="H2000" s="22" t="str">
        <f t="shared" si="80"/>
        <v/>
      </c>
    </row>
    <row r="2001" ht="15.75" customHeight="1">
      <c r="H2001" s="22" t="str">
        <f t="shared" si="80"/>
        <v/>
      </c>
    </row>
    <row r="2002" ht="15.75" customHeight="1">
      <c r="H2002" s="22" t="str">
        <f t="shared" si="80"/>
        <v/>
      </c>
    </row>
    <row r="2003" ht="15.75" customHeight="1">
      <c r="H2003" s="22" t="str">
        <f t="shared" si="80"/>
        <v/>
      </c>
    </row>
    <row r="2004" ht="15.75" customHeight="1">
      <c r="H2004" s="22" t="str">
        <f t="shared" si="80"/>
        <v/>
      </c>
    </row>
    <row r="2005" ht="15.75" customHeight="1">
      <c r="H2005" s="22" t="str">
        <f t="shared" si="80"/>
        <v/>
      </c>
    </row>
    <row r="2006" ht="15.75" customHeight="1">
      <c r="H2006" s="22" t="str">
        <f t="shared" si="80"/>
        <v/>
      </c>
    </row>
    <row r="2007" ht="15.75" customHeight="1">
      <c r="H2007" s="22" t="str">
        <f t="shared" si="80"/>
        <v/>
      </c>
    </row>
    <row r="2008" ht="15.75" customHeight="1">
      <c r="H2008" s="22" t="str">
        <f t="shared" si="80"/>
        <v/>
      </c>
    </row>
    <row r="2009" ht="15.75" customHeight="1">
      <c r="H2009" s="22" t="str">
        <f t="shared" si="80"/>
        <v/>
      </c>
    </row>
    <row r="2010" ht="15.75" customHeight="1">
      <c r="H2010" s="22" t="str">
        <f t="shared" si="80"/>
        <v/>
      </c>
    </row>
    <row r="2011" ht="15.75" customHeight="1">
      <c r="H2011" s="22" t="str">
        <f t="shared" si="80"/>
        <v/>
      </c>
    </row>
    <row r="2012" ht="15.75" customHeight="1">
      <c r="H2012" s="22" t="str">
        <f t="shared" si="80"/>
        <v/>
      </c>
    </row>
    <row r="2013" ht="15.75" customHeight="1">
      <c r="H2013" s="22" t="str">
        <f t="shared" si="80"/>
        <v/>
      </c>
    </row>
    <row r="2014" ht="15.75" customHeight="1">
      <c r="H2014" s="22" t="str">
        <f t="shared" si="80"/>
        <v/>
      </c>
    </row>
    <row r="2015" ht="15.75" customHeight="1">
      <c r="H2015" s="22" t="str">
        <f t="shared" si="80"/>
        <v/>
      </c>
    </row>
    <row r="2016" ht="15.75" customHeight="1">
      <c r="H2016" s="22" t="str">
        <f t="shared" si="80"/>
        <v/>
      </c>
    </row>
    <row r="2017" ht="15.75" customHeight="1">
      <c r="H2017" s="22" t="str">
        <f t="shared" si="80"/>
        <v/>
      </c>
    </row>
    <row r="2018" ht="15.75" customHeight="1">
      <c r="H2018" s="22" t="str">
        <f t="shared" si="80"/>
        <v/>
      </c>
    </row>
    <row r="2019" ht="15.75" customHeight="1">
      <c r="H2019" s="22" t="str">
        <f t="shared" si="80"/>
        <v/>
      </c>
    </row>
    <row r="2020" ht="15.75" customHeight="1">
      <c r="H2020" s="22" t="str">
        <f t="shared" si="80"/>
        <v/>
      </c>
    </row>
    <row r="2021" ht="15.75" customHeight="1">
      <c r="H2021" s="22" t="str">
        <f t="shared" si="80"/>
        <v/>
      </c>
    </row>
    <row r="2022" ht="15.75" customHeight="1">
      <c r="H2022" s="22" t="str">
        <f t="shared" si="80"/>
        <v/>
      </c>
    </row>
    <row r="2023" ht="15.75" customHeight="1">
      <c r="H2023" s="22" t="str">
        <f t="shared" si="80"/>
        <v/>
      </c>
    </row>
    <row r="2024" ht="15.75" customHeight="1">
      <c r="H2024" s="22" t="str">
        <f t="shared" si="80"/>
        <v/>
      </c>
    </row>
    <row r="2025" ht="15.75" customHeight="1">
      <c r="H2025" s="22" t="str">
        <f t="shared" si="80"/>
        <v/>
      </c>
    </row>
    <row r="2026" ht="15.75" customHeight="1">
      <c r="H2026" s="22" t="str">
        <f t="shared" si="80"/>
        <v/>
      </c>
    </row>
    <row r="2027" ht="15.75" customHeight="1">
      <c r="H2027" s="22" t="str">
        <f t="shared" si="80"/>
        <v/>
      </c>
    </row>
    <row r="2028" ht="15.75" customHeight="1">
      <c r="H2028" s="22" t="str">
        <f t="shared" si="80"/>
        <v/>
      </c>
    </row>
    <row r="2029" ht="15.75" customHeight="1">
      <c r="H2029" s="22" t="str">
        <f t="shared" si="80"/>
        <v/>
      </c>
    </row>
    <row r="2030" ht="15.75" customHeight="1">
      <c r="H2030" s="22" t="str">
        <f t="shared" si="80"/>
        <v/>
      </c>
    </row>
    <row r="2031" ht="15.75" customHeight="1">
      <c r="H2031" s="22" t="str">
        <f t="shared" si="80"/>
        <v/>
      </c>
    </row>
    <row r="2032" ht="15.75" customHeight="1">
      <c r="H2032" s="22" t="str">
        <f t="shared" si="80"/>
        <v/>
      </c>
    </row>
    <row r="2033" ht="15.75" customHeight="1">
      <c r="H2033" s="22" t="str">
        <f t="shared" si="80"/>
        <v/>
      </c>
    </row>
    <row r="2034" ht="15.75" customHeight="1">
      <c r="H2034" s="22" t="str">
        <f t="shared" si="80"/>
        <v/>
      </c>
    </row>
    <row r="2035" ht="15.75" customHeight="1">
      <c r="H2035" s="22" t="str">
        <f t="shared" si="80"/>
        <v/>
      </c>
    </row>
    <row r="2036" ht="15.75" customHeight="1">
      <c r="H2036" s="22" t="str">
        <f t="shared" si="80"/>
        <v/>
      </c>
    </row>
    <row r="2037" ht="15.75" customHeight="1">
      <c r="H2037" s="22" t="str">
        <f t="shared" si="80"/>
        <v/>
      </c>
    </row>
    <row r="2038" ht="15.75" customHeight="1">
      <c r="H2038" s="22" t="str">
        <f t="shared" si="80"/>
        <v/>
      </c>
    </row>
    <row r="2039" ht="15.75" customHeight="1">
      <c r="H2039" s="22" t="str">
        <f t="shared" si="80"/>
        <v/>
      </c>
    </row>
    <row r="2040" ht="15.75" customHeight="1">
      <c r="H2040" s="22" t="str">
        <f t="shared" si="80"/>
        <v/>
      </c>
    </row>
    <row r="2041" ht="15.75" customHeight="1">
      <c r="H2041" s="22" t="str">
        <f t="shared" si="80"/>
        <v/>
      </c>
    </row>
    <row r="2042" ht="15.75" customHeight="1">
      <c r="H2042" s="22" t="str">
        <f t="shared" si="80"/>
        <v/>
      </c>
    </row>
    <row r="2043" ht="15.75" customHeight="1">
      <c r="H2043" s="22" t="str">
        <f t="shared" si="80"/>
        <v/>
      </c>
    </row>
    <row r="2044" ht="15.75" customHeight="1">
      <c r="H2044" s="22" t="str">
        <f t="shared" si="80"/>
        <v/>
      </c>
    </row>
    <row r="2045" ht="15.75" customHeight="1">
      <c r="H2045" s="22" t="str">
        <f t="shared" si="80"/>
        <v/>
      </c>
    </row>
    <row r="2046" ht="15.75" customHeight="1">
      <c r="H2046" s="22" t="str">
        <f t="shared" si="80"/>
        <v/>
      </c>
    </row>
    <row r="2047" ht="15.75" customHeight="1">
      <c r="H2047" s="22" t="str">
        <f t="shared" si="80"/>
        <v/>
      </c>
    </row>
    <row r="2048" ht="15.75" customHeight="1">
      <c r="H2048" s="22" t="str">
        <f t="shared" si="80"/>
        <v/>
      </c>
    </row>
    <row r="2049" ht="15.75" customHeight="1">
      <c r="H2049" s="22" t="str">
        <f t="shared" si="80"/>
        <v/>
      </c>
    </row>
    <row r="2050" ht="15.75" customHeight="1">
      <c r="H2050" s="22" t="str">
        <f t="shared" si="80"/>
        <v/>
      </c>
    </row>
    <row r="2051" ht="15.75" customHeight="1">
      <c r="H2051" s="22" t="str">
        <f t="shared" si="80"/>
        <v/>
      </c>
    </row>
    <row r="2052" ht="15.75" customHeight="1">
      <c r="H2052" s="22" t="str">
        <f t="shared" si="80"/>
        <v/>
      </c>
    </row>
    <row r="2053" ht="15.75" customHeight="1">
      <c r="H2053" s="22" t="str">
        <f t="shared" si="80"/>
        <v/>
      </c>
    </row>
    <row r="2054" ht="15.75" customHeight="1">
      <c r="H2054" s="22" t="str">
        <f t="shared" si="80"/>
        <v/>
      </c>
    </row>
    <row r="2055" ht="15.75" customHeight="1">
      <c r="H2055" s="22" t="str">
        <f t="shared" si="80"/>
        <v/>
      </c>
    </row>
    <row r="2056" ht="15.75" customHeight="1">
      <c r="H2056" s="22" t="str">
        <f t="shared" si="80"/>
        <v/>
      </c>
    </row>
    <row r="2057" ht="15.75" customHeight="1">
      <c r="H2057" s="22" t="str">
        <f t="shared" si="80"/>
        <v/>
      </c>
    </row>
    <row r="2058" ht="15.75" customHeight="1">
      <c r="H2058" s="22" t="str">
        <f t="shared" si="80"/>
        <v/>
      </c>
    </row>
    <row r="2059" ht="15.75" customHeight="1">
      <c r="H2059" s="22" t="str">
        <f t="shared" si="80"/>
        <v/>
      </c>
    </row>
    <row r="2060" ht="15.75" customHeight="1">
      <c r="H2060" s="22" t="str">
        <f t="shared" si="80"/>
        <v/>
      </c>
    </row>
    <row r="2061" ht="15.75" customHeight="1">
      <c r="H2061" s="22" t="str">
        <f t="shared" si="80"/>
        <v/>
      </c>
    </row>
    <row r="2062" ht="15.75" customHeight="1">
      <c r="H2062" s="22" t="str">
        <f t="shared" si="80"/>
        <v/>
      </c>
    </row>
    <row r="2063" ht="15.75" customHeight="1">
      <c r="H2063" s="22" t="str">
        <f t="shared" si="80"/>
        <v/>
      </c>
    </row>
    <row r="2064" ht="15.75" customHeight="1">
      <c r="H2064" s="22" t="str">
        <f t="shared" si="80"/>
        <v/>
      </c>
    </row>
    <row r="2065" ht="15.75" customHeight="1">
      <c r="H2065" s="22" t="str">
        <f t="shared" si="80"/>
        <v/>
      </c>
    </row>
    <row r="2066" ht="15.75" customHeight="1">
      <c r="H2066" s="22" t="str">
        <f t="shared" si="80"/>
        <v/>
      </c>
    </row>
    <row r="2067" ht="15.75" customHeight="1">
      <c r="H2067" s="22" t="str">
        <f t="shared" si="80"/>
        <v/>
      </c>
    </row>
    <row r="2068" ht="15.75" customHeight="1">
      <c r="H2068" s="22" t="str">
        <f t="shared" si="80"/>
        <v/>
      </c>
    </row>
    <row r="2069" ht="15.75" customHeight="1">
      <c r="H2069" s="22" t="str">
        <f t="shared" si="80"/>
        <v/>
      </c>
    </row>
    <row r="2070" ht="15.75" customHeight="1">
      <c r="H2070" s="22" t="str">
        <f t="shared" si="80"/>
        <v/>
      </c>
    </row>
    <row r="2071" ht="15.75" customHeight="1">
      <c r="H2071" s="22" t="str">
        <f t="shared" si="80"/>
        <v/>
      </c>
    </row>
    <row r="2072" ht="15.75" customHeight="1">
      <c r="H2072" s="22" t="str">
        <f t="shared" si="80"/>
        <v/>
      </c>
    </row>
    <row r="2073" ht="15.75" customHeight="1">
      <c r="H2073" s="22" t="str">
        <f t="shared" si="80"/>
        <v/>
      </c>
    </row>
    <row r="2074" ht="15.75" customHeight="1">
      <c r="H2074" s="22" t="str">
        <f t="shared" si="80"/>
        <v/>
      </c>
    </row>
    <row r="2075" ht="15.75" customHeight="1">
      <c r="H2075" s="22" t="str">
        <f t="shared" si="80"/>
        <v/>
      </c>
    </row>
    <row r="2076" ht="15.75" customHeight="1">
      <c r="H2076" s="22" t="str">
        <f t="shared" si="80"/>
        <v/>
      </c>
    </row>
    <row r="2077" ht="15.75" customHeight="1">
      <c r="H2077" s="22" t="str">
        <f t="shared" si="80"/>
        <v/>
      </c>
    </row>
    <row r="2078" ht="15.75" customHeight="1">
      <c r="H2078" s="22" t="str">
        <f t="shared" si="80"/>
        <v/>
      </c>
    </row>
    <row r="2079" ht="15.75" customHeight="1">
      <c r="H2079" s="22" t="str">
        <f t="shared" si="80"/>
        <v/>
      </c>
    </row>
    <row r="2080" ht="15.75" customHeight="1">
      <c r="H2080" s="22" t="str">
        <f t="shared" si="80"/>
        <v/>
      </c>
    </row>
    <row r="2081" ht="15.75" customHeight="1">
      <c r="H2081" s="22" t="str">
        <f t="shared" si="80"/>
        <v/>
      </c>
    </row>
    <row r="2082" ht="15.75" customHeight="1">
      <c r="H2082" s="22" t="str">
        <f t="shared" si="80"/>
        <v/>
      </c>
    </row>
    <row r="2083" ht="15.75" customHeight="1">
      <c r="H2083" s="22" t="str">
        <f t="shared" si="80"/>
        <v/>
      </c>
    </row>
    <row r="2084" ht="15.75" customHeight="1">
      <c r="H2084" s="22" t="str">
        <f t="shared" si="80"/>
        <v/>
      </c>
    </row>
    <row r="2085" ht="15.75" customHeight="1">
      <c r="H2085" s="22" t="str">
        <f t="shared" si="80"/>
        <v/>
      </c>
    </row>
    <row r="2086" ht="15.75" customHeight="1">
      <c r="H2086" s="22" t="str">
        <f t="shared" si="80"/>
        <v/>
      </c>
    </row>
    <row r="2087" ht="15.75" customHeight="1">
      <c r="H2087" s="22" t="str">
        <f t="shared" si="80"/>
        <v/>
      </c>
    </row>
    <row r="2088" ht="15.75" customHeight="1">
      <c r="H2088" s="22" t="str">
        <f t="shared" si="80"/>
        <v/>
      </c>
    </row>
    <row r="2089" ht="15.75" customHeight="1">
      <c r="H2089" s="22" t="str">
        <f t="shared" si="80"/>
        <v/>
      </c>
    </row>
    <row r="2090" ht="15.75" customHeight="1">
      <c r="H2090" s="22" t="str">
        <f t="shared" si="80"/>
        <v/>
      </c>
    </row>
    <row r="2091" ht="15.75" customHeight="1">
      <c r="H2091" s="22" t="str">
        <f t="shared" si="80"/>
        <v/>
      </c>
    </row>
    <row r="2092" ht="15.75" customHeight="1">
      <c r="H2092" s="22" t="str">
        <f t="shared" si="80"/>
        <v/>
      </c>
    </row>
    <row r="2093" ht="15.75" customHeight="1">
      <c r="H2093" s="22" t="str">
        <f t="shared" si="80"/>
        <v/>
      </c>
    </row>
    <row r="2094" ht="15.75" customHeight="1">
      <c r="H2094" s="22" t="str">
        <f t="shared" si="80"/>
        <v/>
      </c>
    </row>
    <row r="2095" ht="15.75" customHeight="1">
      <c r="H2095" s="22" t="str">
        <f t="shared" si="80"/>
        <v/>
      </c>
    </row>
    <row r="2096" ht="15.75" customHeight="1">
      <c r="H2096" s="22" t="str">
        <f t="shared" si="80"/>
        <v/>
      </c>
    </row>
    <row r="2097" ht="15.75" customHeight="1">
      <c r="H2097" s="22" t="str">
        <f t="shared" si="80"/>
        <v/>
      </c>
    </row>
    <row r="2098" ht="15.75" customHeight="1">
      <c r="H2098" s="22" t="str">
        <f t="shared" si="80"/>
        <v/>
      </c>
    </row>
    <row r="2099" ht="15.75" customHeight="1">
      <c r="H2099" s="22" t="str">
        <f t="shared" si="80"/>
        <v/>
      </c>
    </row>
    <row r="2100" ht="15.75" customHeight="1">
      <c r="H2100" s="22" t="str">
        <f t="shared" si="80"/>
        <v/>
      </c>
    </row>
    <row r="2101" ht="15.75" customHeight="1">
      <c r="H2101" s="22" t="str">
        <f t="shared" si="80"/>
        <v/>
      </c>
    </row>
    <row r="2102" ht="15.75" customHeight="1">
      <c r="H2102" s="22" t="str">
        <f t="shared" si="80"/>
        <v/>
      </c>
    </row>
    <row r="2103" ht="15.75" customHeight="1">
      <c r="H2103" s="22" t="str">
        <f t="shared" si="80"/>
        <v/>
      </c>
    </row>
    <row r="2104" ht="15.75" customHeight="1">
      <c r="H2104" s="22" t="str">
        <f t="shared" si="80"/>
        <v/>
      </c>
    </row>
    <row r="2105" ht="15.75" customHeight="1">
      <c r="H2105" s="22" t="str">
        <f t="shared" si="80"/>
        <v/>
      </c>
    </row>
    <row r="2106" ht="15.75" customHeight="1">
      <c r="H2106" s="22" t="str">
        <f t="shared" si="80"/>
        <v/>
      </c>
    </row>
    <row r="2107" ht="15.75" customHeight="1">
      <c r="H2107" s="22" t="str">
        <f t="shared" si="80"/>
        <v/>
      </c>
    </row>
    <row r="2108" ht="15.75" customHeight="1">
      <c r="H2108" s="22" t="str">
        <f t="shared" si="80"/>
        <v/>
      </c>
    </row>
    <row r="2109" ht="15.75" customHeight="1">
      <c r="H2109" s="22" t="str">
        <f t="shared" si="80"/>
        <v/>
      </c>
    </row>
    <row r="2110" ht="15.75" customHeight="1">
      <c r="H2110" s="22" t="str">
        <f t="shared" si="80"/>
        <v/>
      </c>
    </row>
    <row r="2111" ht="15.75" customHeight="1">
      <c r="H2111" s="22" t="str">
        <f t="shared" si="80"/>
        <v/>
      </c>
    </row>
    <row r="2112" ht="15.75" customHeight="1">
      <c r="H2112" s="22" t="str">
        <f t="shared" si="80"/>
        <v/>
      </c>
    </row>
    <row r="2113" ht="15.75" customHeight="1">
      <c r="H2113" s="22" t="str">
        <f t="shared" si="80"/>
        <v/>
      </c>
    </row>
    <row r="2114" ht="15.75" customHeight="1">
      <c r="H2114" s="22" t="str">
        <f t="shared" si="80"/>
        <v/>
      </c>
    </row>
    <row r="2115" ht="15.75" customHeight="1">
      <c r="H2115" s="22" t="str">
        <f t="shared" si="80"/>
        <v/>
      </c>
    </row>
    <row r="2116" ht="15.75" customHeight="1">
      <c r="H2116" s="22" t="str">
        <f t="shared" si="80"/>
        <v/>
      </c>
    </row>
    <row r="2117" ht="15.75" customHeight="1">
      <c r="H2117" s="22" t="str">
        <f t="shared" si="80"/>
        <v/>
      </c>
    </row>
  </sheetData>
  <mergeCells count="1">
    <mergeCell ref="R2:S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1.13"/>
  </cols>
  <sheetData>
    <row r="1" ht="15.75" customHeight="1">
      <c r="B1" s="22" t="s">
        <v>92</v>
      </c>
      <c r="C1" s="22" t="s">
        <v>93</v>
      </c>
      <c r="D1" s="22">
        <v>2010.0</v>
      </c>
      <c r="E1" s="22">
        <v>1.0</v>
      </c>
      <c r="F1" s="35">
        <v>15.0</v>
      </c>
      <c r="H1" s="22" t="s">
        <v>94</v>
      </c>
      <c r="I1" s="36" t="s">
        <v>148</v>
      </c>
    </row>
    <row r="2" ht="15.75" customHeight="1">
      <c r="B2" s="22"/>
      <c r="C2" s="22"/>
      <c r="D2" s="22"/>
      <c r="E2" s="22"/>
      <c r="F2" s="22"/>
    </row>
    <row r="3" ht="15.75" customHeight="1">
      <c r="B3" s="22" t="s">
        <v>97</v>
      </c>
      <c r="D3" s="22" t="s">
        <v>151</v>
      </c>
      <c r="E3" s="22"/>
      <c r="F3" s="22" t="s">
        <v>160</v>
      </c>
    </row>
    <row r="4" ht="15.75" customHeight="1">
      <c r="A4" s="22" t="str">
        <f>IFERROR(__xludf.DUMMYFUNCTION("GOOGLEFINANCE(B$3, ""price"", DATE($D1, $E1, $F1), TODAY(), $I$1)"),"Loading...")</f>
        <v>Loading...</v>
      </c>
      <c r="B4" s="22"/>
      <c r="C4" s="22" t="str">
        <f>IFERROR(__xludf.DUMMYFUNCTION("GOOGLEFINANCE(D$3, ""price"", DATE($D1, $E1, $F1), TODAY(), $I$1)"),"Loading...")</f>
        <v>Loading...</v>
      </c>
      <c r="D4" s="22"/>
      <c r="E4" s="22" t="str">
        <f>IFERROR(__xludf.DUMMYFUNCTION("GOOGLEFINANCE(F$3, ""price"", DATE($D1, $E1, $F1), TODAY(), $I$1)"),"Loading...")</f>
        <v>Loading...</v>
      </c>
      <c r="F4" s="22"/>
    </row>
    <row r="5" ht="15.75" customHeight="1">
      <c r="A5" s="31"/>
      <c r="B5" s="22"/>
      <c r="C5" s="31"/>
      <c r="D5" s="22"/>
      <c r="E5" s="31"/>
      <c r="F5" s="22"/>
    </row>
    <row r="6" ht="15.75" customHeight="1">
      <c r="A6" s="31"/>
      <c r="B6" s="22"/>
      <c r="C6" s="31"/>
      <c r="D6" s="22"/>
      <c r="E6" s="31"/>
      <c r="F6" s="22"/>
    </row>
    <row r="7" ht="15.75" customHeight="1">
      <c r="A7" s="31"/>
      <c r="B7" s="22"/>
      <c r="C7" s="31"/>
      <c r="D7" s="22"/>
      <c r="E7" s="31"/>
      <c r="F7" s="22"/>
    </row>
    <row r="8" ht="15.75" customHeight="1">
      <c r="A8" s="31"/>
      <c r="B8" s="22"/>
      <c r="C8" s="31"/>
      <c r="D8" s="22"/>
      <c r="E8" s="31"/>
      <c r="F8" s="22"/>
      <c r="I8" s="37"/>
    </row>
    <row r="9" ht="15.75" customHeight="1">
      <c r="A9" s="31"/>
      <c r="B9" s="22"/>
      <c r="C9" s="31"/>
      <c r="D9" s="22"/>
      <c r="E9" s="31"/>
      <c r="F9" s="22"/>
    </row>
    <row r="10" ht="15.75" customHeight="1">
      <c r="A10" s="31"/>
      <c r="B10" s="22"/>
      <c r="C10" s="31"/>
      <c r="D10" s="22"/>
      <c r="E10" s="31"/>
      <c r="F10" s="22"/>
    </row>
    <row r="11" ht="15.75" customHeight="1">
      <c r="A11" s="31"/>
      <c r="B11" s="22"/>
      <c r="C11" s="31"/>
      <c r="D11" s="22"/>
      <c r="E11" s="31"/>
      <c r="F11" s="22"/>
    </row>
    <row r="12" ht="15.75" customHeight="1">
      <c r="A12" s="31"/>
      <c r="B12" s="22"/>
      <c r="C12" s="31"/>
      <c r="D12" s="22"/>
      <c r="E12" s="31"/>
      <c r="F12" s="22"/>
    </row>
    <row r="13" ht="15.75" customHeight="1">
      <c r="A13" s="31"/>
      <c r="B13" s="22"/>
      <c r="C13" s="31"/>
      <c r="D13" s="22"/>
      <c r="E13" s="31"/>
      <c r="F13" s="22"/>
    </row>
    <row r="14" ht="15.75" customHeight="1">
      <c r="A14" s="31"/>
      <c r="B14" s="22"/>
      <c r="C14" s="31"/>
      <c r="D14" s="22"/>
      <c r="E14" s="31"/>
      <c r="F14" s="22"/>
    </row>
    <row r="15" ht="15.75" customHeight="1">
      <c r="A15" s="31"/>
      <c r="B15" s="22"/>
      <c r="C15" s="31"/>
      <c r="D15" s="22"/>
      <c r="E15" s="31"/>
      <c r="F15" s="22"/>
    </row>
    <row r="16" ht="15.75" customHeight="1">
      <c r="A16" s="31"/>
      <c r="B16" s="22"/>
      <c r="C16" s="31"/>
      <c r="D16" s="22"/>
      <c r="E16" s="31"/>
      <c r="F16" s="22"/>
    </row>
    <row r="17" ht="15.75" customHeight="1">
      <c r="A17" s="31"/>
      <c r="B17" s="22"/>
      <c r="C17" s="31"/>
      <c r="D17" s="22"/>
      <c r="E17" s="31"/>
      <c r="F17" s="22"/>
    </row>
    <row r="18" ht="15.75" customHeight="1">
      <c r="A18" s="31"/>
      <c r="B18" s="22"/>
      <c r="C18" s="31"/>
      <c r="D18" s="22"/>
      <c r="E18" s="31"/>
      <c r="F18" s="22"/>
    </row>
    <row r="19" ht="15.75" customHeight="1">
      <c r="A19" s="31"/>
      <c r="B19" s="22"/>
      <c r="C19" s="31"/>
      <c r="D19" s="22"/>
      <c r="E19" s="31"/>
      <c r="F19" s="22"/>
    </row>
    <row r="20" ht="15.75" customHeight="1">
      <c r="A20" s="31"/>
      <c r="B20" s="22"/>
      <c r="C20" s="31"/>
      <c r="D20" s="22"/>
      <c r="E20" s="31"/>
      <c r="F20" s="22"/>
    </row>
    <row r="21" ht="15.75" customHeight="1">
      <c r="A21" s="31"/>
      <c r="B21" s="22"/>
      <c r="C21" s="31"/>
      <c r="D21" s="22"/>
      <c r="E21" s="31"/>
      <c r="F21" s="22"/>
    </row>
    <row r="22" ht="15.75" customHeight="1">
      <c r="A22" s="31"/>
      <c r="B22" s="22"/>
      <c r="C22" s="31"/>
      <c r="D22" s="22"/>
      <c r="E22" s="31"/>
      <c r="F22" s="22"/>
    </row>
    <row r="23" ht="15.75" customHeight="1">
      <c r="A23" s="31"/>
      <c r="B23" s="22"/>
      <c r="C23" s="31"/>
      <c r="D23" s="22"/>
      <c r="E23" s="31"/>
      <c r="F23" s="22"/>
    </row>
    <row r="24" ht="15.75" customHeight="1">
      <c r="A24" s="31"/>
      <c r="B24" s="22"/>
      <c r="C24" s="31"/>
      <c r="D24" s="22"/>
      <c r="E24" s="31"/>
      <c r="F24" s="22"/>
    </row>
    <row r="25" ht="15.75" customHeight="1">
      <c r="A25" s="31"/>
      <c r="B25" s="22"/>
      <c r="C25" s="31"/>
      <c r="D25" s="22"/>
      <c r="E25" s="31"/>
      <c r="F25" s="22"/>
    </row>
    <row r="26" ht="15.75" customHeight="1">
      <c r="A26" s="31"/>
      <c r="B26" s="22"/>
      <c r="C26" s="31"/>
      <c r="D26" s="22"/>
      <c r="E26" s="31"/>
      <c r="F26" s="22"/>
    </row>
    <row r="27" ht="15.75" customHeight="1">
      <c r="A27" s="31"/>
      <c r="B27" s="22"/>
      <c r="C27" s="31"/>
      <c r="D27" s="22"/>
      <c r="E27" s="31"/>
      <c r="F27" s="22"/>
    </row>
    <row r="28" ht="15.75" customHeight="1">
      <c r="A28" s="31"/>
      <c r="B28" s="22"/>
      <c r="C28" s="31"/>
      <c r="D28" s="22"/>
      <c r="E28" s="31"/>
      <c r="F28" s="22"/>
    </row>
    <row r="29" ht="15.75" customHeight="1">
      <c r="A29" s="31"/>
      <c r="B29" s="22"/>
      <c r="C29" s="31"/>
      <c r="D29" s="22"/>
      <c r="E29" s="31"/>
      <c r="F29" s="22"/>
    </row>
    <row r="30" ht="15.75" customHeight="1">
      <c r="A30" s="31"/>
      <c r="B30" s="22"/>
      <c r="C30" s="31"/>
      <c r="D30" s="22"/>
      <c r="E30" s="31"/>
      <c r="F30" s="22"/>
    </row>
    <row r="31" ht="15.75" customHeight="1">
      <c r="A31" s="31"/>
      <c r="B31" s="22"/>
      <c r="C31" s="31"/>
      <c r="D31" s="22"/>
      <c r="E31" s="31"/>
      <c r="F31" s="22"/>
    </row>
    <row r="32" ht="15.75" customHeight="1">
      <c r="A32" s="31"/>
      <c r="B32" s="22"/>
      <c r="C32" s="31"/>
      <c r="D32" s="22"/>
      <c r="E32" s="31"/>
      <c r="F32" s="22"/>
    </row>
    <row r="33" ht="15.75" customHeight="1">
      <c r="A33" s="31"/>
      <c r="B33" s="22"/>
      <c r="C33" s="31"/>
      <c r="D33" s="22"/>
      <c r="E33" s="31"/>
      <c r="F33" s="22"/>
    </row>
    <row r="34" ht="15.75" customHeight="1">
      <c r="A34" s="31"/>
      <c r="B34" s="22"/>
      <c r="C34" s="31"/>
      <c r="D34" s="22"/>
      <c r="E34" s="31"/>
      <c r="F34" s="22"/>
    </row>
    <row r="35" ht="15.75" customHeight="1">
      <c r="A35" s="31"/>
      <c r="B35" s="22"/>
      <c r="C35" s="31"/>
      <c r="D35" s="22"/>
      <c r="E35" s="31"/>
      <c r="F35" s="22"/>
    </row>
    <row r="36" ht="15.75" customHeight="1">
      <c r="A36" s="31"/>
      <c r="B36" s="22"/>
      <c r="C36" s="31"/>
      <c r="D36" s="22"/>
      <c r="E36" s="31"/>
      <c r="F36" s="22"/>
    </row>
    <row r="37" ht="15.75" customHeight="1">
      <c r="A37" s="31"/>
      <c r="B37" s="22"/>
      <c r="C37" s="31"/>
      <c r="D37" s="22"/>
      <c r="E37" s="31"/>
      <c r="F37" s="22"/>
    </row>
    <row r="38" ht="15.75" customHeight="1">
      <c r="A38" s="31"/>
      <c r="B38" s="22"/>
      <c r="C38" s="31"/>
      <c r="D38" s="22"/>
      <c r="E38" s="31"/>
      <c r="F38" s="22"/>
    </row>
    <row r="39" ht="15.75" customHeight="1">
      <c r="A39" s="31"/>
      <c r="B39" s="22"/>
      <c r="C39" s="31"/>
      <c r="D39" s="22"/>
      <c r="E39" s="31"/>
      <c r="F39" s="22"/>
    </row>
    <row r="40" ht="15.75" customHeight="1">
      <c r="A40" s="31"/>
      <c r="B40" s="22"/>
      <c r="C40" s="31"/>
      <c r="D40" s="22"/>
      <c r="E40" s="31"/>
      <c r="F40" s="22"/>
    </row>
    <row r="41" ht="15.75" customHeight="1">
      <c r="A41" s="31"/>
      <c r="B41" s="22"/>
      <c r="C41" s="31"/>
      <c r="D41" s="22"/>
      <c r="E41" s="31"/>
      <c r="F41" s="22"/>
    </row>
    <row r="42" ht="15.75" customHeight="1">
      <c r="A42" s="31"/>
      <c r="B42" s="22"/>
      <c r="C42" s="31"/>
      <c r="D42" s="22"/>
      <c r="E42" s="31"/>
      <c r="F42" s="22"/>
    </row>
    <row r="43" ht="15.75" customHeight="1">
      <c r="A43" s="31"/>
      <c r="B43" s="22"/>
      <c r="C43" s="31"/>
      <c r="D43" s="22"/>
      <c r="E43" s="31"/>
      <c r="F43" s="22"/>
    </row>
    <row r="44" ht="15.75" customHeight="1">
      <c r="A44" s="31"/>
      <c r="B44" s="22"/>
      <c r="C44" s="31"/>
      <c r="D44" s="22"/>
      <c r="E44" s="31"/>
      <c r="F44" s="22"/>
    </row>
    <row r="45" ht="15.75" customHeight="1">
      <c r="A45" s="31"/>
      <c r="B45" s="22"/>
      <c r="C45" s="31"/>
      <c r="D45" s="22"/>
      <c r="E45" s="31"/>
      <c r="F45" s="22"/>
    </row>
    <row r="46" ht="15.75" customHeight="1">
      <c r="A46" s="31"/>
      <c r="B46" s="22"/>
      <c r="C46" s="31"/>
      <c r="D46" s="22"/>
      <c r="E46" s="31"/>
      <c r="F46" s="22"/>
    </row>
    <row r="47" ht="15.75" customHeight="1">
      <c r="A47" s="31"/>
      <c r="B47" s="22"/>
      <c r="C47" s="31"/>
      <c r="D47" s="22"/>
      <c r="E47" s="31"/>
      <c r="F47" s="22"/>
    </row>
    <row r="48" ht="15.75" customHeight="1">
      <c r="A48" s="31"/>
      <c r="B48" s="22"/>
      <c r="C48" s="31"/>
      <c r="D48" s="22"/>
      <c r="E48" s="31"/>
      <c r="F48" s="22"/>
    </row>
    <row r="49" ht="15.75" customHeight="1">
      <c r="A49" s="31"/>
      <c r="B49" s="22"/>
      <c r="C49" s="31"/>
      <c r="D49" s="22"/>
      <c r="E49" s="31"/>
      <c r="F49" s="22"/>
    </row>
    <row r="50" ht="15.75" customHeight="1">
      <c r="A50" s="31"/>
      <c r="B50" s="22"/>
      <c r="C50" s="31"/>
      <c r="D50" s="22"/>
      <c r="E50" s="31"/>
      <c r="F50" s="22"/>
    </row>
    <row r="51" ht="15.75" customHeight="1">
      <c r="A51" s="31"/>
      <c r="B51" s="22"/>
      <c r="C51" s="31"/>
      <c r="D51" s="22"/>
      <c r="E51" s="31"/>
      <c r="F51" s="22"/>
    </row>
    <row r="52" ht="15.75" customHeight="1">
      <c r="A52" s="31"/>
      <c r="B52" s="22"/>
      <c r="C52" s="31"/>
      <c r="D52" s="22"/>
      <c r="E52" s="31"/>
      <c r="F52" s="22"/>
    </row>
    <row r="53" ht="15.75" customHeight="1">
      <c r="A53" s="31"/>
      <c r="B53" s="22"/>
      <c r="C53" s="31"/>
      <c r="D53" s="22"/>
      <c r="E53" s="31"/>
      <c r="F53" s="22"/>
    </row>
    <row r="54" ht="15.75" customHeight="1">
      <c r="A54" s="31"/>
      <c r="B54" s="22"/>
      <c r="C54" s="31"/>
      <c r="D54" s="22"/>
      <c r="E54" s="31"/>
      <c r="F54" s="22"/>
    </row>
    <row r="55" ht="15.75" customHeight="1">
      <c r="A55" s="31"/>
      <c r="B55" s="22"/>
      <c r="C55" s="31"/>
      <c r="D55" s="22"/>
      <c r="E55" s="31"/>
      <c r="F55" s="22"/>
    </row>
    <row r="56" ht="15.75" customHeight="1">
      <c r="A56" s="31"/>
      <c r="B56" s="22"/>
      <c r="C56" s="31"/>
      <c r="D56" s="22"/>
      <c r="E56" s="31"/>
      <c r="F56" s="22"/>
    </row>
    <row r="57" ht="15.75" customHeight="1">
      <c r="A57" s="31"/>
      <c r="B57" s="22"/>
      <c r="C57" s="31"/>
      <c r="D57" s="22"/>
      <c r="E57" s="31"/>
      <c r="F57" s="22"/>
    </row>
    <row r="58" ht="15.75" customHeight="1">
      <c r="A58" s="31"/>
      <c r="B58" s="22"/>
      <c r="C58" s="31"/>
      <c r="D58" s="22"/>
      <c r="E58" s="31"/>
      <c r="F58" s="22"/>
    </row>
    <row r="59" ht="15.75" customHeight="1">
      <c r="A59" s="31"/>
      <c r="B59" s="22"/>
      <c r="C59" s="31"/>
      <c r="D59" s="22"/>
      <c r="E59" s="31"/>
      <c r="F59" s="22"/>
    </row>
    <row r="60" ht="15.75" customHeight="1">
      <c r="A60" s="31"/>
      <c r="B60" s="22"/>
      <c r="C60" s="31"/>
      <c r="D60" s="22"/>
      <c r="E60" s="31"/>
      <c r="F60" s="22"/>
    </row>
    <row r="61" ht="15.75" customHeight="1">
      <c r="A61" s="31"/>
      <c r="B61" s="22"/>
      <c r="C61" s="31"/>
      <c r="D61" s="22"/>
      <c r="E61" s="31"/>
      <c r="F61" s="22"/>
    </row>
    <row r="62" ht="15.75" customHeight="1">
      <c r="A62" s="31"/>
      <c r="B62" s="22"/>
      <c r="C62" s="31"/>
      <c r="D62" s="22"/>
      <c r="E62" s="31"/>
      <c r="F62" s="22"/>
    </row>
    <row r="63" ht="15.75" customHeight="1">
      <c r="A63" s="31"/>
      <c r="B63" s="22"/>
      <c r="C63" s="31"/>
      <c r="D63" s="22"/>
      <c r="E63" s="31"/>
      <c r="F63" s="22"/>
    </row>
    <row r="64" ht="15.75" customHeight="1">
      <c r="A64" s="31"/>
      <c r="B64" s="22"/>
      <c r="C64" s="31"/>
      <c r="D64" s="22"/>
      <c r="E64" s="31"/>
      <c r="F64" s="22"/>
    </row>
    <row r="65" ht="15.75" customHeight="1">
      <c r="A65" s="31"/>
      <c r="B65" s="22"/>
      <c r="C65" s="31"/>
      <c r="D65" s="22"/>
      <c r="E65" s="31"/>
      <c r="F65" s="22"/>
    </row>
    <row r="66" ht="15.75" customHeight="1">
      <c r="A66" s="31"/>
      <c r="B66" s="22"/>
      <c r="C66" s="31"/>
      <c r="D66" s="22"/>
      <c r="E66" s="31"/>
      <c r="F66" s="22"/>
    </row>
    <row r="67" ht="15.75" customHeight="1">
      <c r="A67" s="31"/>
      <c r="B67" s="22"/>
      <c r="C67" s="31"/>
      <c r="D67" s="22"/>
      <c r="E67" s="31"/>
      <c r="F67" s="22"/>
    </row>
    <row r="68" ht="15.75" customHeight="1">
      <c r="A68" s="31"/>
      <c r="B68" s="22"/>
      <c r="C68" s="31"/>
      <c r="D68" s="22"/>
      <c r="E68" s="31"/>
      <c r="F68" s="22"/>
    </row>
    <row r="69" ht="15.75" customHeight="1">
      <c r="A69" s="31"/>
      <c r="B69" s="22"/>
      <c r="C69" s="31"/>
      <c r="D69" s="22"/>
      <c r="E69" s="31"/>
      <c r="F69" s="22"/>
    </row>
    <row r="70" ht="15.75" customHeight="1">
      <c r="A70" s="31"/>
      <c r="B70" s="22"/>
      <c r="C70" s="31"/>
      <c r="D70" s="22"/>
      <c r="E70" s="31"/>
      <c r="F70" s="22"/>
    </row>
    <row r="71" ht="15.75" customHeight="1">
      <c r="A71" s="31"/>
      <c r="B71" s="22"/>
      <c r="C71" s="31"/>
      <c r="D71" s="22"/>
      <c r="E71" s="31"/>
      <c r="F71" s="22"/>
    </row>
    <row r="72" ht="15.75" customHeight="1">
      <c r="A72" s="31"/>
      <c r="B72" s="22"/>
      <c r="C72" s="31"/>
      <c r="D72" s="22"/>
      <c r="E72" s="31"/>
      <c r="F72" s="22"/>
    </row>
    <row r="73" ht="15.75" customHeight="1">
      <c r="A73" s="31"/>
      <c r="B73" s="22"/>
      <c r="C73" s="31"/>
      <c r="D73" s="22"/>
      <c r="E73" s="31"/>
      <c r="F73" s="22"/>
    </row>
    <row r="74" ht="15.75" customHeight="1">
      <c r="A74" s="31"/>
      <c r="B74" s="22"/>
      <c r="C74" s="31"/>
      <c r="D74" s="22"/>
      <c r="E74" s="31"/>
      <c r="F74" s="22"/>
    </row>
    <row r="75" ht="15.75" customHeight="1">
      <c r="A75" s="31"/>
      <c r="B75" s="22"/>
      <c r="C75" s="31"/>
      <c r="D75" s="22"/>
      <c r="E75" s="31"/>
      <c r="F75" s="22"/>
    </row>
    <row r="76" ht="15.75" customHeight="1">
      <c r="A76" s="31"/>
      <c r="B76" s="22"/>
      <c r="C76" s="31"/>
      <c r="D76" s="22"/>
      <c r="E76" s="31"/>
      <c r="F76" s="22"/>
    </row>
    <row r="77" ht="15.75" customHeight="1">
      <c r="A77" s="31"/>
      <c r="B77" s="22"/>
      <c r="C77" s="31"/>
      <c r="D77" s="22"/>
      <c r="E77" s="31"/>
      <c r="F77" s="22"/>
    </row>
    <row r="78" ht="15.75" customHeight="1">
      <c r="A78" s="31"/>
      <c r="B78" s="22"/>
      <c r="C78" s="31"/>
      <c r="D78" s="22"/>
      <c r="E78" s="31"/>
      <c r="F78" s="22"/>
    </row>
    <row r="79" ht="15.75" customHeight="1">
      <c r="A79" s="31"/>
      <c r="B79" s="22"/>
      <c r="C79" s="31"/>
      <c r="D79" s="22"/>
      <c r="E79" s="31"/>
      <c r="F79" s="22"/>
    </row>
    <row r="80" ht="15.75" customHeight="1">
      <c r="A80" s="31"/>
      <c r="B80" s="22"/>
      <c r="C80" s="31"/>
      <c r="D80" s="22"/>
      <c r="E80" s="31"/>
      <c r="F80" s="22"/>
    </row>
    <row r="81" ht="15.75" customHeight="1">
      <c r="A81" s="31"/>
      <c r="B81" s="22"/>
      <c r="C81" s="31"/>
      <c r="D81" s="22"/>
      <c r="E81" s="31"/>
      <c r="F81" s="22"/>
    </row>
    <row r="82" ht="15.75" customHeight="1">
      <c r="A82" s="31"/>
      <c r="B82" s="22"/>
      <c r="C82" s="31"/>
      <c r="D82" s="22"/>
      <c r="E82" s="31"/>
      <c r="F82" s="22"/>
    </row>
    <row r="83" ht="15.75" customHeight="1">
      <c r="A83" s="31"/>
      <c r="B83" s="22"/>
      <c r="C83" s="31"/>
      <c r="D83" s="22"/>
      <c r="E83" s="31"/>
      <c r="F83" s="22"/>
    </row>
    <row r="84" ht="15.75" customHeight="1">
      <c r="A84" s="31"/>
      <c r="B84" s="22"/>
      <c r="C84" s="31"/>
      <c r="D84" s="22"/>
      <c r="E84" s="31"/>
      <c r="F84" s="22"/>
    </row>
    <row r="85" ht="15.75" customHeight="1">
      <c r="A85" s="31"/>
      <c r="B85" s="22"/>
      <c r="C85" s="31"/>
      <c r="D85" s="22"/>
      <c r="E85" s="31"/>
      <c r="F85" s="22"/>
    </row>
    <row r="86" ht="15.75" customHeight="1">
      <c r="A86" s="31"/>
      <c r="B86" s="22"/>
      <c r="C86" s="31"/>
      <c r="D86" s="22"/>
      <c r="E86" s="31"/>
      <c r="F86" s="22"/>
    </row>
    <row r="87" ht="15.75" customHeight="1">
      <c r="A87" s="31"/>
      <c r="B87" s="22"/>
      <c r="C87" s="31"/>
      <c r="D87" s="22"/>
      <c r="E87" s="31"/>
      <c r="F87" s="22"/>
    </row>
    <row r="88" ht="15.75" customHeight="1">
      <c r="A88" s="31"/>
      <c r="B88" s="22"/>
      <c r="C88" s="31"/>
      <c r="D88" s="22"/>
      <c r="E88" s="31"/>
      <c r="F88" s="22"/>
    </row>
    <row r="89" ht="15.75" customHeight="1">
      <c r="A89" s="31"/>
      <c r="B89" s="22"/>
      <c r="C89" s="31"/>
      <c r="D89" s="22"/>
      <c r="E89" s="31"/>
      <c r="F89" s="22"/>
    </row>
    <row r="90" ht="15.75" customHeight="1">
      <c r="A90" s="31"/>
      <c r="B90" s="22"/>
      <c r="C90" s="31"/>
      <c r="D90" s="22"/>
      <c r="E90" s="31"/>
      <c r="F90" s="22"/>
    </row>
    <row r="91" ht="15.75" customHeight="1">
      <c r="A91" s="31"/>
      <c r="B91" s="22"/>
      <c r="C91" s="31"/>
      <c r="D91" s="22"/>
      <c r="E91" s="31"/>
      <c r="F91" s="22"/>
    </row>
    <row r="92" ht="15.75" customHeight="1">
      <c r="A92" s="31"/>
      <c r="B92" s="22"/>
      <c r="C92" s="31"/>
      <c r="D92" s="22"/>
      <c r="E92" s="31"/>
      <c r="F92" s="22"/>
    </row>
    <row r="93" ht="15.75" customHeight="1">
      <c r="A93" s="31"/>
      <c r="B93" s="22"/>
      <c r="C93" s="31"/>
      <c r="D93" s="22"/>
      <c r="E93" s="31"/>
      <c r="F93" s="22"/>
    </row>
    <row r="94" ht="15.75" customHeight="1">
      <c r="A94" s="31"/>
      <c r="B94" s="22"/>
      <c r="C94" s="31"/>
      <c r="D94" s="22"/>
      <c r="E94" s="31"/>
      <c r="F94" s="22"/>
    </row>
    <row r="95" ht="15.75" customHeight="1">
      <c r="A95" s="31"/>
      <c r="B95" s="22"/>
      <c r="C95" s="31"/>
      <c r="D95" s="22"/>
      <c r="E95" s="31"/>
      <c r="F95" s="22"/>
    </row>
    <row r="96" ht="15.75" customHeight="1">
      <c r="A96" s="31"/>
      <c r="B96" s="22"/>
      <c r="C96" s="31"/>
      <c r="D96" s="22"/>
      <c r="E96" s="31"/>
      <c r="F96" s="22"/>
    </row>
    <row r="97" ht="15.75" customHeight="1">
      <c r="A97" s="31"/>
      <c r="B97" s="22"/>
      <c r="C97" s="31"/>
      <c r="D97" s="22"/>
      <c r="E97" s="31"/>
      <c r="F97" s="22"/>
    </row>
    <row r="98" ht="15.75" customHeight="1">
      <c r="A98" s="31"/>
      <c r="B98" s="22"/>
      <c r="C98" s="31"/>
      <c r="D98" s="22"/>
      <c r="E98" s="31"/>
      <c r="F98" s="22"/>
    </row>
    <row r="99" ht="15.75" customHeight="1">
      <c r="A99" s="31"/>
      <c r="B99" s="22"/>
      <c r="C99" s="31"/>
      <c r="D99" s="22"/>
      <c r="E99" s="31"/>
      <c r="F99" s="22"/>
    </row>
    <row r="100" ht="15.75" customHeight="1">
      <c r="A100" s="31"/>
      <c r="B100" s="22"/>
      <c r="C100" s="31"/>
      <c r="D100" s="22"/>
      <c r="E100" s="31"/>
      <c r="F100" s="22"/>
    </row>
    <row r="101" ht="15.75" customHeight="1">
      <c r="A101" s="31"/>
      <c r="B101" s="22"/>
      <c r="C101" s="31"/>
      <c r="D101" s="22"/>
      <c r="E101" s="31"/>
      <c r="F101" s="22"/>
    </row>
    <row r="102" ht="15.75" customHeight="1">
      <c r="A102" s="31"/>
      <c r="B102" s="22"/>
      <c r="C102" s="31"/>
      <c r="D102" s="22"/>
      <c r="E102" s="31"/>
      <c r="F102" s="22"/>
    </row>
    <row r="103" ht="15.75" customHeight="1">
      <c r="A103" s="31"/>
      <c r="B103" s="22"/>
      <c r="C103" s="31"/>
      <c r="D103" s="22"/>
      <c r="E103" s="31"/>
      <c r="F103" s="22"/>
    </row>
    <row r="104" ht="15.75" customHeight="1">
      <c r="A104" s="31"/>
      <c r="B104" s="22"/>
      <c r="C104" s="31"/>
      <c r="D104" s="22"/>
      <c r="E104" s="31"/>
      <c r="F104" s="22"/>
    </row>
    <row r="105" ht="15.75" customHeight="1">
      <c r="A105" s="31"/>
      <c r="B105" s="22"/>
      <c r="C105" s="31"/>
      <c r="D105" s="22"/>
      <c r="E105" s="31"/>
      <c r="F105" s="22"/>
    </row>
    <row r="106" ht="15.75" customHeight="1">
      <c r="A106" s="31"/>
      <c r="B106" s="22"/>
      <c r="C106" s="31"/>
      <c r="D106" s="22"/>
      <c r="E106" s="31"/>
      <c r="F106" s="22"/>
    </row>
    <row r="107" ht="15.75" customHeight="1">
      <c r="A107" s="31"/>
      <c r="B107" s="22"/>
      <c r="C107" s="31"/>
      <c r="D107" s="22"/>
      <c r="E107" s="31"/>
      <c r="F107" s="22"/>
    </row>
    <row r="108" ht="15.75" customHeight="1">
      <c r="A108" s="31"/>
      <c r="B108" s="22"/>
      <c r="C108" s="31"/>
      <c r="D108" s="22"/>
      <c r="E108" s="31"/>
      <c r="F108" s="22"/>
    </row>
    <row r="109" ht="15.75" customHeight="1">
      <c r="A109" s="31"/>
      <c r="B109" s="22"/>
      <c r="C109" s="31"/>
      <c r="D109" s="22"/>
      <c r="E109" s="31"/>
      <c r="F109" s="22"/>
    </row>
    <row r="110" ht="15.75" customHeight="1">
      <c r="A110" s="31"/>
      <c r="B110" s="22"/>
      <c r="C110" s="31"/>
      <c r="D110" s="22"/>
      <c r="E110" s="31"/>
      <c r="F110" s="22"/>
    </row>
    <row r="111" ht="15.75" customHeight="1">
      <c r="A111" s="31"/>
      <c r="B111" s="22"/>
      <c r="C111" s="31"/>
      <c r="D111" s="22"/>
      <c r="E111" s="31"/>
      <c r="F111" s="22"/>
    </row>
    <row r="112" ht="15.75" customHeight="1">
      <c r="A112" s="31"/>
      <c r="B112" s="22"/>
      <c r="C112" s="31"/>
      <c r="D112" s="22"/>
      <c r="E112" s="31"/>
      <c r="F112" s="22"/>
    </row>
    <row r="113" ht="15.75" customHeight="1">
      <c r="A113" s="31"/>
      <c r="B113" s="22"/>
      <c r="C113" s="31"/>
      <c r="D113" s="22"/>
      <c r="E113" s="31"/>
      <c r="F113" s="22"/>
    </row>
    <row r="114" ht="15.75" customHeight="1">
      <c r="A114" s="31"/>
      <c r="B114" s="22"/>
      <c r="C114" s="31"/>
      <c r="D114" s="22"/>
      <c r="E114" s="31"/>
      <c r="F114" s="22"/>
    </row>
    <row r="115" ht="15.75" customHeight="1">
      <c r="A115" s="31"/>
      <c r="B115" s="22"/>
      <c r="C115" s="31"/>
      <c r="D115" s="22"/>
      <c r="E115" s="31"/>
      <c r="F115" s="22"/>
    </row>
    <row r="116" ht="15.75" customHeight="1">
      <c r="A116" s="31"/>
      <c r="B116" s="22"/>
      <c r="C116" s="31"/>
      <c r="D116" s="22"/>
      <c r="E116" s="31"/>
      <c r="F116" s="22"/>
    </row>
    <row r="117" ht="15.75" customHeight="1">
      <c r="A117" s="31"/>
      <c r="B117" s="22"/>
      <c r="C117" s="31"/>
      <c r="D117" s="22"/>
      <c r="E117" s="31"/>
      <c r="F117" s="22"/>
    </row>
    <row r="118" ht="15.75" customHeight="1">
      <c r="A118" s="31"/>
      <c r="B118" s="22"/>
      <c r="C118" s="31"/>
      <c r="D118" s="22"/>
      <c r="E118" s="31"/>
      <c r="F118" s="22"/>
    </row>
    <row r="119" ht="15.75" customHeight="1">
      <c r="A119" s="31"/>
      <c r="B119" s="22"/>
      <c r="C119" s="31"/>
      <c r="D119" s="22"/>
      <c r="E119" s="31"/>
      <c r="F119" s="22"/>
    </row>
    <row r="120" ht="15.75" customHeight="1">
      <c r="A120" s="31"/>
      <c r="B120" s="22"/>
      <c r="C120" s="31"/>
      <c r="D120" s="22"/>
      <c r="E120" s="31"/>
      <c r="F120" s="22"/>
    </row>
    <row r="121" ht="15.75" customHeight="1">
      <c r="A121" s="31"/>
      <c r="B121" s="22"/>
      <c r="C121" s="31"/>
      <c r="D121" s="22"/>
      <c r="E121" s="31"/>
      <c r="F121" s="22"/>
    </row>
    <row r="122" ht="15.75" customHeight="1">
      <c r="A122" s="31"/>
      <c r="B122" s="22"/>
      <c r="C122" s="31"/>
      <c r="D122" s="22"/>
      <c r="E122" s="31"/>
      <c r="F122" s="22"/>
    </row>
    <row r="123" ht="15.75" customHeight="1">
      <c r="A123" s="31"/>
      <c r="B123" s="22"/>
      <c r="C123" s="31"/>
      <c r="D123" s="22"/>
      <c r="E123" s="31"/>
      <c r="F123" s="22"/>
    </row>
    <row r="124" ht="15.75" customHeight="1">
      <c r="A124" s="31"/>
      <c r="B124" s="22"/>
      <c r="C124" s="31"/>
      <c r="D124" s="22"/>
      <c r="E124" s="31"/>
      <c r="F124" s="22"/>
    </row>
    <row r="125" ht="15.75" customHeight="1">
      <c r="A125" s="31"/>
      <c r="B125" s="22"/>
      <c r="C125" s="31"/>
      <c r="D125" s="22"/>
      <c r="E125" s="31"/>
      <c r="F125" s="22"/>
    </row>
    <row r="126" ht="15.75" customHeight="1">
      <c r="A126" s="31"/>
      <c r="B126" s="22"/>
      <c r="C126" s="31"/>
      <c r="D126" s="22"/>
      <c r="E126" s="31"/>
      <c r="F126" s="22"/>
    </row>
    <row r="127" ht="15.75" customHeight="1">
      <c r="A127" s="31"/>
      <c r="B127" s="22"/>
      <c r="C127" s="31"/>
      <c r="D127" s="22"/>
      <c r="E127" s="31"/>
      <c r="F127" s="22"/>
    </row>
    <row r="128" ht="15.75" customHeight="1">
      <c r="A128" s="31"/>
      <c r="B128" s="22"/>
      <c r="C128" s="31"/>
      <c r="D128" s="22"/>
      <c r="E128" s="31"/>
      <c r="F128" s="22"/>
    </row>
    <row r="129" ht="15.75" customHeight="1">
      <c r="A129" s="31"/>
      <c r="B129" s="22"/>
      <c r="C129" s="31"/>
      <c r="D129" s="22"/>
      <c r="E129" s="31"/>
      <c r="F129" s="22"/>
    </row>
    <row r="130" ht="15.75" customHeight="1">
      <c r="A130" s="31"/>
      <c r="B130" s="22"/>
      <c r="C130" s="31"/>
      <c r="D130" s="22"/>
      <c r="E130" s="31"/>
      <c r="F130" s="22"/>
    </row>
    <row r="131" ht="15.75" customHeight="1">
      <c r="A131" s="31"/>
      <c r="B131" s="22"/>
      <c r="C131" s="31"/>
      <c r="D131" s="22"/>
      <c r="E131" s="31"/>
      <c r="F131" s="22"/>
    </row>
    <row r="132" ht="15.75" customHeight="1">
      <c r="A132" s="31"/>
      <c r="B132" s="22"/>
      <c r="C132" s="31"/>
      <c r="D132" s="22"/>
      <c r="E132" s="31"/>
      <c r="F132" s="22"/>
    </row>
    <row r="133" ht="15.75" customHeight="1">
      <c r="A133" s="31"/>
      <c r="B133" s="22"/>
      <c r="C133" s="31"/>
      <c r="D133" s="22"/>
      <c r="E133" s="31"/>
      <c r="F133" s="22"/>
    </row>
    <row r="134" ht="15.75" customHeight="1">
      <c r="A134" s="31"/>
      <c r="B134" s="22"/>
      <c r="C134" s="31"/>
      <c r="D134" s="22"/>
      <c r="E134" s="31"/>
      <c r="F134" s="22"/>
    </row>
    <row r="135" ht="15.75" customHeight="1">
      <c r="A135" s="31"/>
      <c r="B135" s="22"/>
      <c r="C135" s="31"/>
      <c r="D135" s="22"/>
      <c r="E135" s="31"/>
      <c r="F135" s="22"/>
    </row>
    <row r="136" ht="15.75" customHeight="1">
      <c r="A136" s="31"/>
      <c r="B136" s="22"/>
      <c r="C136" s="31"/>
      <c r="D136" s="22"/>
      <c r="E136" s="31"/>
      <c r="F136" s="22"/>
    </row>
    <row r="137" ht="15.75" customHeight="1">
      <c r="A137" s="31"/>
      <c r="B137" s="22"/>
      <c r="C137" s="31"/>
      <c r="D137" s="22"/>
      <c r="E137" s="31"/>
      <c r="F137" s="22"/>
    </row>
    <row r="138" ht="15.75" customHeight="1">
      <c r="A138" s="31"/>
      <c r="B138" s="22"/>
      <c r="C138" s="31"/>
      <c r="D138" s="22"/>
      <c r="E138" s="31"/>
      <c r="F138" s="22"/>
    </row>
    <row r="139" ht="15.75" customHeight="1">
      <c r="A139" s="31"/>
      <c r="B139" s="22"/>
      <c r="C139" s="31"/>
      <c r="D139" s="22"/>
      <c r="E139" s="31"/>
      <c r="F139" s="22"/>
    </row>
    <row r="140" ht="15.75" customHeight="1">
      <c r="A140" s="31"/>
      <c r="B140" s="22"/>
      <c r="C140" s="31"/>
      <c r="D140" s="22"/>
      <c r="E140" s="31"/>
      <c r="F140" s="22"/>
    </row>
    <row r="141" ht="15.75" customHeight="1">
      <c r="A141" s="31"/>
      <c r="B141" s="22"/>
      <c r="C141" s="31"/>
      <c r="D141" s="22"/>
      <c r="E141" s="31"/>
      <c r="F141" s="22"/>
    </row>
    <row r="142" ht="15.75" customHeight="1">
      <c r="A142" s="31"/>
      <c r="B142" s="22"/>
      <c r="C142" s="31"/>
      <c r="D142" s="22"/>
      <c r="E142" s="31"/>
      <c r="F142" s="22"/>
    </row>
    <row r="143" ht="15.75" customHeight="1">
      <c r="A143" s="31"/>
      <c r="B143" s="22"/>
      <c r="C143" s="31"/>
      <c r="D143" s="22"/>
      <c r="E143" s="31"/>
      <c r="F143" s="22"/>
    </row>
    <row r="144" ht="15.75" customHeight="1">
      <c r="A144" s="31"/>
      <c r="B144" s="22"/>
      <c r="C144" s="31"/>
      <c r="D144" s="22"/>
      <c r="E144" s="31"/>
      <c r="F144" s="22"/>
    </row>
    <row r="145" ht="15.75" customHeight="1">
      <c r="A145" s="31"/>
      <c r="B145" s="22"/>
      <c r="C145" s="31"/>
      <c r="D145" s="22"/>
      <c r="E145" s="31"/>
      <c r="F145" s="22"/>
    </row>
    <row r="146" ht="15.75" customHeight="1">
      <c r="A146" s="31"/>
      <c r="B146" s="22"/>
      <c r="C146" s="31"/>
      <c r="D146" s="22"/>
      <c r="E146" s="31"/>
      <c r="F146" s="22"/>
    </row>
    <row r="147" ht="15.75" customHeight="1">
      <c r="A147" s="31"/>
      <c r="B147" s="22"/>
      <c r="C147" s="31"/>
      <c r="D147" s="22"/>
      <c r="E147" s="31"/>
      <c r="F147" s="22"/>
    </row>
    <row r="148" ht="15.75" customHeight="1">
      <c r="A148" s="31"/>
      <c r="B148" s="22"/>
      <c r="C148" s="31"/>
      <c r="D148" s="22"/>
      <c r="E148" s="31"/>
      <c r="F148" s="22"/>
    </row>
    <row r="149" ht="15.75" customHeight="1">
      <c r="A149" s="31"/>
      <c r="B149" s="22"/>
      <c r="C149" s="31"/>
      <c r="D149" s="22"/>
      <c r="E149" s="31"/>
      <c r="F149" s="22"/>
    </row>
    <row r="150" ht="15.75" customHeight="1">
      <c r="A150" s="31"/>
      <c r="B150" s="22"/>
      <c r="C150" s="31"/>
      <c r="D150" s="22"/>
      <c r="E150" s="31"/>
      <c r="F150" s="22"/>
    </row>
    <row r="151" ht="15.75" customHeight="1">
      <c r="A151" s="31"/>
      <c r="B151" s="22"/>
      <c r="C151" s="31"/>
      <c r="D151" s="22"/>
      <c r="E151" s="31"/>
      <c r="F151" s="22"/>
    </row>
    <row r="152" ht="15.75" customHeight="1">
      <c r="A152" s="31"/>
      <c r="B152" s="22"/>
      <c r="C152" s="31"/>
      <c r="D152" s="22"/>
      <c r="E152" s="31"/>
      <c r="F152" s="22"/>
    </row>
    <row r="153" ht="15.75" customHeight="1">
      <c r="A153" s="31"/>
      <c r="B153" s="22"/>
      <c r="C153" s="31"/>
      <c r="D153" s="22"/>
      <c r="E153" s="31"/>
      <c r="F153" s="22"/>
    </row>
    <row r="154" ht="15.75" customHeight="1">
      <c r="A154" s="31"/>
      <c r="B154" s="22"/>
      <c r="C154" s="31"/>
      <c r="D154" s="22"/>
      <c r="E154" s="31"/>
      <c r="F154" s="22"/>
    </row>
    <row r="155" ht="15.75" customHeight="1">
      <c r="A155" s="31"/>
      <c r="B155" s="22"/>
      <c r="C155" s="31"/>
      <c r="D155" s="22"/>
      <c r="E155" s="31"/>
      <c r="F155" s="22"/>
    </row>
    <row r="156" ht="15.75" customHeight="1">
      <c r="A156" s="31"/>
      <c r="B156" s="22"/>
      <c r="C156" s="31"/>
      <c r="D156" s="22"/>
      <c r="E156" s="31"/>
      <c r="F156" s="22"/>
    </row>
    <row r="157" ht="15.75" customHeight="1">
      <c r="A157" s="31"/>
      <c r="B157" s="22"/>
      <c r="C157" s="31"/>
      <c r="D157" s="22"/>
      <c r="E157" s="31"/>
      <c r="F157" s="22"/>
    </row>
    <row r="158" ht="15.75" customHeight="1">
      <c r="A158" s="31"/>
      <c r="B158" s="22"/>
      <c r="C158" s="31"/>
      <c r="D158" s="22"/>
      <c r="E158" s="31"/>
      <c r="F158" s="22"/>
    </row>
    <row r="159" ht="15.75" customHeight="1">
      <c r="A159" s="31"/>
      <c r="B159" s="22"/>
      <c r="C159" s="31"/>
      <c r="D159" s="22"/>
      <c r="E159" s="31"/>
      <c r="F159" s="22"/>
    </row>
    <row r="160" ht="15.75" customHeight="1">
      <c r="A160" s="31"/>
      <c r="B160" s="22"/>
      <c r="C160" s="31"/>
      <c r="D160" s="22"/>
      <c r="E160" s="31"/>
      <c r="F160" s="22"/>
    </row>
    <row r="161" ht="15.75" customHeight="1">
      <c r="A161" s="31"/>
      <c r="B161" s="22"/>
      <c r="C161" s="31"/>
      <c r="D161" s="22"/>
      <c r="E161" s="31"/>
      <c r="F161" s="22"/>
    </row>
    <row r="162" ht="15.75" customHeight="1">
      <c r="A162" s="31"/>
      <c r="B162" s="22"/>
      <c r="C162" s="31"/>
      <c r="D162" s="22"/>
      <c r="E162" s="31"/>
      <c r="F162" s="22"/>
    </row>
    <row r="163" ht="15.75" customHeight="1">
      <c r="A163" s="31"/>
      <c r="B163" s="22"/>
      <c r="C163" s="31"/>
      <c r="D163" s="22"/>
      <c r="E163" s="31"/>
      <c r="F163" s="22"/>
    </row>
    <row r="164" ht="15.75" customHeight="1">
      <c r="A164" s="31"/>
      <c r="B164" s="22"/>
      <c r="C164" s="31"/>
      <c r="D164" s="22"/>
      <c r="E164" s="31"/>
      <c r="F164" s="22"/>
    </row>
    <row r="165" ht="15.75" customHeight="1">
      <c r="A165" s="31"/>
      <c r="B165" s="22"/>
      <c r="C165" s="31"/>
      <c r="D165" s="22"/>
      <c r="E165" s="31"/>
      <c r="F165" s="22"/>
    </row>
    <row r="166" ht="15.75" customHeight="1">
      <c r="A166" s="31"/>
      <c r="B166" s="22"/>
      <c r="C166" s="31"/>
      <c r="D166" s="22"/>
      <c r="E166" s="31"/>
      <c r="F166" s="22"/>
    </row>
    <row r="167" ht="15.75" customHeight="1">
      <c r="A167" s="31"/>
      <c r="B167" s="22"/>
      <c r="C167" s="31"/>
      <c r="D167" s="22"/>
      <c r="E167" s="31"/>
      <c r="F167" s="22"/>
    </row>
    <row r="168" ht="15.75" customHeight="1">
      <c r="A168" s="31"/>
      <c r="B168" s="22"/>
      <c r="C168" s="31"/>
      <c r="D168" s="22"/>
      <c r="E168" s="31"/>
      <c r="F168" s="22"/>
    </row>
    <row r="169" ht="15.75" customHeight="1">
      <c r="A169" s="31"/>
      <c r="B169" s="22"/>
      <c r="C169" s="31"/>
      <c r="D169" s="22"/>
      <c r="E169" s="31"/>
      <c r="F169" s="22"/>
    </row>
    <row r="170" ht="15.75" customHeight="1">
      <c r="A170" s="31"/>
      <c r="B170" s="22"/>
      <c r="C170" s="31"/>
      <c r="D170" s="22"/>
      <c r="E170" s="31"/>
      <c r="F170" s="22"/>
    </row>
    <row r="171" ht="15.75" customHeight="1">
      <c r="A171" s="31"/>
      <c r="B171" s="22"/>
      <c r="C171" s="31"/>
      <c r="D171" s="22"/>
      <c r="E171" s="31"/>
      <c r="F171" s="22"/>
    </row>
    <row r="172" ht="15.75" customHeight="1">
      <c r="A172" s="31"/>
      <c r="B172" s="22"/>
      <c r="C172" s="31"/>
      <c r="D172" s="22"/>
      <c r="E172" s="31"/>
      <c r="F172" s="22"/>
    </row>
    <row r="173" ht="15.75" customHeight="1">
      <c r="A173" s="31"/>
      <c r="B173" s="22"/>
      <c r="C173" s="31"/>
      <c r="D173" s="22"/>
      <c r="E173" s="31"/>
      <c r="F173" s="22"/>
    </row>
    <row r="174" ht="15.75" customHeight="1">
      <c r="A174" s="31"/>
      <c r="B174" s="22"/>
      <c r="C174" s="31"/>
      <c r="D174" s="22"/>
      <c r="E174" s="31"/>
      <c r="F174" s="22"/>
    </row>
    <row r="175" ht="15.75" customHeight="1">
      <c r="A175" s="31"/>
      <c r="B175" s="22"/>
      <c r="C175" s="31"/>
      <c r="D175" s="22"/>
      <c r="E175" s="31"/>
      <c r="F175" s="22"/>
    </row>
    <row r="176" ht="15.75" customHeight="1">
      <c r="A176" s="31"/>
      <c r="B176" s="22"/>
      <c r="C176" s="31"/>
      <c r="D176" s="22"/>
      <c r="E176" s="31"/>
      <c r="F176" s="22"/>
    </row>
    <row r="177" ht="15.75" customHeight="1">
      <c r="A177" s="31"/>
      <c r="B177" s="22"/>
      <c r="C177" s="31"/>
      <c r="D177" s="22"/>
      <c r="E177" s="31"/>
      <c r="F177" s="22"/>
    </row>
    <row r="178" ht="15.75" customHeight="1">
      <c r="A178" s="31"/>
      <c r="B178" s="22"/>
      <c r="C178" s="31"/>
      <c r="D178" s="22"/>
      <c r="E178" s="31"/>
      <c r="F178" s="22"/>
    </row>
    <row r="179" ht="15.75" customHeight="1">
      <c r="A179" s="31"/>
      <c r="B179" s="22"/>
      <c r="C179" s="31"/>
      <c r="D179" s="22"/>
      <c r="E179" s="31"/>
      <c r="F179" s="22"/>
    </row>
    <row r="180" ht="15.75" customHeight="1">
      <c r="A180" s="31"/>
      <c r="B180" s="22"/>
      <c r="C180" s="31"/>
      <c r="D180" s="22"/>
      <c r="E180" s="31"/>
      <c r="F180" s="22"/>
    </row>
    <row r="181" ht="15.75" customHeight="1">
      <c r="A181" s="31"/>
      <c r="B181" s="22"/>
      <c r="C181" s="31"/>
      <c r="D181" s="22"/>
      <c r="E181" s="31"/>
      <c r="F181" s="22"/>
    </row>
    <row r="182" ht="15.75" customHeight="1">
      <c r="A182" s="31"/>
      <c r="B182" s="22"/>
      <c r="C182" s="31"/>
      <c r="D182" s="22"/>
      <c r="E182" s="31"/>
      <c r="F182" s="22"/>
    </row>
    <row r="183" ht="15.75" customHeight="1">
      <c r="A183" s="31"/>
      <c r="B183" s="22"/>
      <c r="C183" s="31"/>
      <c r="D183" s="22"/>
      <c r="E183" s="31"/>
      <c r="F183" s="22"/>
    </row>
    <row r="184" ht="15.75" customHeight="1">
      <c r="A184" s="31"/>
      <c r="B184" s="22"/>
      <c r="C184" s="31"/>
      <c r="D184" s="22"/>
      <c r="E184" s="31"/>
      <c r="F184" s="22"/>
    </row>
    <row r="185" ht="15.75" customHeight="1">
      <c r="A185" s="31"/>
      <c r="B185" s="22"/>
      <c r="C185" s="31"/>
      <c r="D185" s="22"/>
      <c r="E185" s="31"/>
      <c r="F185" s="22"/>
    </row>
    <row r="186" ht="15.75" customHeight="1">
      <c r="A186" s="31"/>
      <c r="B186" s="22"/>
      <c r="C186" s="31"/>
      <c r="D186" s="22"/>
      <c r="E186" s="31"/>
      <c r="F186" s="22"/>
    </row>
    <row r="187" ht="15.75" customHeight="1">
      <c r="A187" s="31"/>
      <c r="B187" s="22"/>
      <c r="C187" s="31"/>
      <c r="D187" s="22"/>
      <c r="E187" s="31"/>
      <c r="F187" s="22"/>
    </row>
    <row r="188" ht="15.75" customHeight="1">
      <c r="A188" s="31"/>
      <c r="B188" s="22"/>
      <c r="C188" s="31"/>
      <c r="D188" s="22"/>
      <c r="E188" s="31"/>
      <c r="F188" s="22"/>
    </row>
    <row r="189" ht="15.75" customHeight="1">
      <c r="A189" s="31"/>
      <c r="B189" s="22"/>
      <c r="C189" s="31"/>
      <c r="D189" s="22"/>
      <c r="E189" s="31"/>
      <c r="F189" s="22"/>
    </row>
    <row r="190" ht="15.75" customHeight="1">
      <c r="A190" s="31"/>
      <c r="B190" s="22"/>
      <c r="C190" s="31"/>
      <c r="D190" s="22"/>
      <c r="E190" s="31"/>
      <c r="F190" s="22"/>
    </row>
    <row r="191" ht="15.75" customHeight="1">
      <c r="A191" s="31"/>
      <c r="B191" s="22"/>
      <c r="C191" s="31"/>
      <c r="D191" s="22"/>
      <c r="E191" s="31"/>
      <c r="F191" s="22"/>
    </row>
    <row r="192" ht="15.75" customHeight="1">
      <c r="A192" s="31"/>
      <c r="B192" s="22"/>
      <c r="C192" s="31"/>
      <c r="D192" s="22"/>
      <c r="E192" s="31"/>
      <c r="F192" s="22"/>
    </row>
    <row r="193" ht="15.75" customHeight="1">
      <c r="A193" s="31"/>
      <c r="B193" s="22"/>
      <c r="C193" s="31"/>
      <c r="D193" s="22"/>
      <c r="E193" s="31"/>
      <c r="F193" s="22"/>
    </row>
    <row r="194" ht="15.75" customHeight="1">
      <c r="A194" s="31"/>
      <c r="B194" s="22"/>
      <c r="C194" s="31"/>
      <c r="D194" s="22"/>
      <c r="E194" s="31"/>
      <c r="F194" s="22"/>
    </row>
    <row r="195" ht="15.75" customHeight="1">
      <c r="A195" s="31"/>
      <c r="B195" s="22"/>
      <c r="C195" s="31"/>
      <c r="D195" s="22"/>
      <c r="E195" s="31"/>
      <c r="F195" s="22"/>
    </row>
    <row r="196" ht="15.75" customHeight="1">
      <c r="A196" s="31"/>
      <c r="B196" s="22"/>
      <c r="C196" s="31"/>
      <c r="D196" s="22"/>
      <c r="E196" s="31"/>
      <c r="F196" s="22"/>
    </row>
    <row r="197" ht="15.75" customHeight="1">
      <c r="A197" s="31"/>
      <c r="B197" s="22"/>
      <c r="C197" s="31"/>
      <c r="D197" s="22"/>
      <c r="E197" s="31"/>
      <c r="F197" s="22"/>
    </row>
    <row r="198" ht="15.75" customHeight="1">
      <c r="A198" s="31"/>
      <c r="B198" s="22"/>
      <c r="C198" s="31"/>
      <c r="D198" s="22"/>
      <c r="E198" s="31"/>
      <c r="F198" s="22"/>
    </row>
    <row r="199" ht="15.75" customHeight="1">
      <c r="A199" s="31"/>
      <c r="B199" s="22"/>
      <c r="C199" s="31"/>
      <c r="D199" s="22"/>
      <c r="E199" s="31"/>
      <c r="F199" s="22"/>
    </row>
    <row r="200" ht="15.75" customHeight="1">
      <c r="A200" s="31"/>
      <c r="B200" s="22"/>
      <c r="C200" s="31"/>
      <c r="D200" s="22"/>
      <c r="E200" s="31"/>
      <c r="F200" s="22"/>
    </row>
    <row r="201" ht="15.75" customHeight="1">
      <c r="A201" s="31"/>
      <c r="B201" s="22"/>
      <c r="C201" s="31"/>
      <c r="D201" s="22"/>
      <c r="E201" s="31"/>
      <c r="F201" s="22"/>
    </row>
    <row r="202" ht="15.75" customHeight="1">
      <c r="A202" s="31"/>
      <c r="B202" s="22"/>
      <c r="C202" s="31"/>
      <c r="D202" s="22"/>
      <c r="E202" s="31"/>
      <c r="F202" s="22"/>
    </row>
    <row r="203" ht="15.75" customHeight="1">
      <c r="A203" s="31"/>
      <c r="B203" s="22"/>
      <c r="C203" s="31"/>
      <c r="D203" s="22"/>
      <c r="E203" s="31"/>
      <c r="F203" s="22"/>
    </row>
    <row r="204" ht="15.75" customHeight="1">
      <c r="A204" s="31"/>
      <c r="B204" s="22"/>
      <c r="C204" s="31"/>
      <c r="D204" s="22"/>
      <c r="E204" s="31"/>
      <c r="F204" s="22"/>
    </row>
    <row r="205" ht="15.75" customHeight="1">
      <c r="A205" s="31"/>
      <c r="B205" s="22"/>
      <c r="C205" s="31"/>
      <c r="D205" s="22"/>
      <c r="E205" s="31"/>
      <c r="F205" s="22"/>
    </row>
    <row r="206" ht="15.75" customHeight="1">
      <c r="A206" s="31"/>
      <c r="B206" s="22"/>
      <c r="C206" s="31"/>
      <c r="D206" s="22"/>
      <c r="E206" s="31"/>
      <c r="F206" s="22"/>
    </row>
    <row r="207" ht="15.75" customHeight="1">
      <c r="A207" s="31"/>
      <c r="B207" s="22"/>
      <c r="C207" s="31"/>
      <c r="D207" s="22"/>
      <c r="E207" s="31"/>
      <c r="F207" s="22"/>
    </row>
    <row r="208" ht="15.75" customHeight="1">
      <c r="A208" s="31"/>
      <c r="B208" s="22"/>
      <c r="C208" s="31"/>
      <c r="D208" s="22"/>
      <c r="E208" s="31"/>
      <c r="F208" s="22"/>
    </row>
    <row r="209" ht="15.75" customHeight="1">
      <c r="A209" s="31"/>
      <c r="B209" s="22"/>
      <c r="C209" s="31"/>
      <c r="D209" s="22"/>
      <c r="E209" s="31"/>
      <c r="F209" s="22"/>
    </row>
    <row r="210" ht="15.75" customHeight="1">
      <c r="A210" s="31"/>
      <c r="B210" s="22"/>
      <c r="C210" s="31"/>
      <c r="D210" s="22"/>
      <c r="E210" s="31"/>
      <c r="F210" s="22"/>
    </row>
    <row r="211" ht="15.75" customHeight="1">
      <c r="A211" s="31"/>
      <c r="B211" s="22"/>
      <c r="C211" s="31"/>
      <c r="D211" s="22"/>
      <c r="E211" s="31"/>
      <c r="F211" s="22"/>
    </row>
    <row r="212" ht="15.75" customHeight="1">
      <c r="A212" s="31"/>
      <c r="B212" s="22"/>
      <c r="C212" s="31"/>
      <c r="D212" s="22"/>
      <c r="E212" s="31"/>
      <c r="F212" s="22"/>
    </row>
    <row r="213" ht="15.75" customHeight="1">
      <c r="A213" s="31"/>
      <c r="B213" s="22"/>
      <c r="C213" s="31"/>
      <c r="D213" s="22"/>
      <c r="E213" s="31"/>
      <c r="F213" s="22"/>
    </row>
    <row r="214" ht="15.75" customHeight="1">
      <c r="A214" s="31"/>
      <c r="B214" s="22"/>
      <c r="C214" s="31"/>
      <c r="D214" s="22"/>
      <c r="E214" s="31"/>
      <c r="F214" s="22"/>
    </row>
    <row r="215" ht="15.75" customHeight="1">
      <c r="A215" s="31"/>
      <c r="B215" s="22"/>
      <c r="C215" s="31"/>
      <c r="D215" s="22"/>
      <c r="E215" s="31"/>
      <c r="F215" s="22"/>
    </row>
    <row r="216" ht="15.75" customHeight="1">
      <c r="A216" s="31"/>
      <c r="B216" s="22"/>
      <c r="C216" s="31"/>
      <c r="D216" s="22"/>
      <c r="E216" s="31"/>
      <c r="F216" s="22"/>
    </row>
    <row r="217" ht="15.75" customHeight="1">
      <c r="A217" s="31"/>
      <c r="B217" s="22"/>
      <c r="C217" s="31"/>
      <c r="D217" s="22"/>
      <c r="E217" s="31"/>
      <c r="F217" s="22"/>
    </row>
    <row r="218" ht="15.75" customHeight="1">
      <c r="A218" s="31"/>
      <c r="B218" s="22"/>
      <c r="C218" s="31"/>
      <c r="D218" s="22"/>
      <c r="E218" s="31"/>
      <c r="F218" s="22"/>
    </row>
    <row r="219" ht="15.75" customHeight="1">
      <c r="A219" s="31"/>
      <c r="B219" s="22"/>
      <c r="C219" s="31"/>
      <c r="D219" s="22"/>
      <c r="E219" s="31"/>
      <c r="F219" s="22"/>
    </row>
    <row r="220" ht="15.75" customHeight="1">
      <c r="A220" s="31"/>
      <c r="B220" s="22"/>
      <c r="C220" s="31"/>
      <c r="D220" s="22"/>
      <c r="E220" s="31"/>
      <c r="F220" s="22"/>
    </row>
    <row r="221" ht="15.75" customHeight="1">
      <c r="A221" s="31"/>
      <c r="B221" s="22"/>
      <c r="C221" s="31"/>
      <c r="D221" s="22"/>
      <c r="E221" s="31"/>
      <c r="F221" s="22"/>
    </row>
    <row r="222" ht="15.75" customHeight="1">
      <c r="A222" s="31"/>
      <c r="B222" s="22"/>
      <c r="C222" s="31"/>
      <c r="D222" s="22"/>
      <c r="E222" s="31"/>
      <c r="F222" s="22"/>
    </row>
    <row r="223" ht="15.75" customHeight="1">
      <c r="A223" s="31"/>
      <c r="B223" s="22"/>
      <c r="C223" s="31"/>
      <c r="D223" s="22"/>
      <c r="E223" s="31"/>
      <c r="F223" s="22"/>
    </row>
    <row r="224" ht="15.75" customHeight="1">
      <c r="A224" s="31"/>
      <c r="B224" s="22"/>
      <c r="C224" s="31"/>
      <c r="D224" s="22"/>
      <c r="E224" s="31"/>
      <c r="F224" s="22"/>
    </row>
    <row r="225" ht="15.75" customHeight="1">
      <c r="A225" s="31"/>
      <c r="B225" s="22"/>
      <c r="C225" s="31"/>
      <c r="D225" s="22"/>
      <c r="E225" s="31"/>
      <c r="F225" s="22"/>
    </row>
    <row r="226" ht="15.75" customHeight="1">
      <c r="A226" s="31"/>
      <c r="B226" s="22"/>
      <c r="C226" s="31"/>
      <c r="D226" s="22"/>
      <c r="E226" s="31"/>
      <c r="F226" s="22"/>
    </row>
    <row r="227" ht="15.75" customHeight="1">
      <c r="A227" s="31"/>
      <c r="B227" s="22"/>
      <c r="C227" s="31"/>
      <c r="D227" s="22"/>
      <c r="E227" s="31"/>
      <c r="F227" s="22"/>
    </row>
    <row r="228" ht="15.75" customHeight="1">
      <c r="A228" s="31"/>
      <c r="B228" s="22"/>
      <c r="C228" s="31"/>
      <c r="D228" s="22"/>
      <c r="E228" s="31"/>
      <c r="F228" s="22"/>
    </row>
    <row r="229" ht="15.75" customHeight="1">
      <c r="A229" s="31"/>
      <c r="B229" s="22"/>
      <c r="C229" s="31"/>
      <c r="D229" s="22"/>
      <c r="E229" s="31"/>
      <c r="F229" s="22"/>
    </row>
    <row r="230" ht="15.75" customHeight="1">
      <c r="A230" s="31"/>
      <c r="B230" s="22"/>
      <c r="C230" s="31"/>
      <c r="D230" s="22"/>
      <c r="E230" s="31"/>
      <c r="F230" s="22"/>
    </row>
    <row r="231" ht="15.75" customHeight="1">
      <c r="A231" s="31"/>
      <c r="B231" s="22"/>
      <c r="C231" s="31"/>
      <c r="D231" s="22"/>
      <c r="E231" s="31"/>
      <c r="F231" s="22"/>
    </row>
    <row r="232" ht="15.75" customHeight="1">
      <c r="A232" s="31"/>
      <c r="B232" s="22"/>
      <c r="C232" s="31"/>
      <c r="D232" s="22"/>
      <c r="E232" s="31"/>
      <c r="F232" s="22"/>
    </row>
    <row r="233" ht="15.75" customHeight="1">
      <c r="A233" s="31"/>
      <c r="B233" s="22"/>
      <c r="C233" s="31"/>
      <c r="D233" s="22"/>
      <c r="E233" s="31"/>
      <c r="F233" s="22"/>
    </row>
    <row r="234" ht="15.75" customHeight="1">
      <c r="A234" s="31"/>
      <c r="B234" s="22"/>
      <c r="C234" s="31"/>
      <c r="D234" s="22"/>
      <c r="E234" s="31"/>
      <c r="F234" s="22"/>
    </row>
    <row r="235" ht="15.75" customHeight="1">
      <c r="A235" s="31"/>
      <c r="B235" s="22"/>
      <c r="C235" s="31"/>
      <c r="D235" s="22"/>
      <c r="E235" s="31"/>
      <c r="F235" s="22"/>
    </row>
    <row r="236" ht="15.75" customHeight="1">
      <c r="A236" s="31"/>
      <c r="B236" s="22"/>
      <c r="C236" s="31"/>
      <c r="D236" s="22"/>
      <c r="E236" s="31"/>
      <c r="F236" s="22"/>
    </row>
    <row r="237" ht="15.75" customHeight="1">
      <c r="A237" s="31"/>
      <c r="B237" s="22"/>
      <c r="C237" s="31"/>
      <c r="D237" s="22"/>
      <c r="E237" s="31"/>
      <c r="F237" s="22"/>
    </row>
    <row r="238" ht="15.75" customHeight="1">
      <c r="A238" s="31"/>
      <c r="B238" s="22"/>
      <c r="C238" s="31"/>
      <c r="D238" s="22"/>
      <c r="E238" s="31"/>
      <c r="F238" s="22"/>
    </row>
    <row r="239" ht="15.75" customHeight="1">
      <c r="A239" s="31"/>
      <c r="B239" s="22"/>
      <c r="C239" s="31"/>
      <c r="D239" s="22"/>
      <c r="E239" s="31"/>
      <c r="F239" s="22"/>
    </row>
    <row r="240" ht="15.75" customHeight="1">
      <c r="A240" s="31"/>
      <c r="B240" s="22"/>
      <c r="C240" s="31"/>
      <c r="D240" s="22"/>
      <c r="E240" s="31"/>
      <c r="F240" s="22"/>
    </row>
    <row r="241" ht="15.75" customHeight="1">
      <c r="A241" s="31"/>
      <c r="B241" s="22"/>
      <c r="C241" s="31"/>
      <c r="D241" s="22"/>
      <c r="E241" s="31"/>
      <c r="F241" s="22"/>
    </row>
    <row r="242" ht="15.75" customHeight="1">
      <c r="A242" s="31"/>
      <c r="B242" s="22"/>
      <c r="C242" s="31"/>
      <c r="D242" s="22"/>
      <c r="E242" s="31"/>
      <c r="F242" s="22"/>
    </row>
    <row r="243" ht="15.75" customHeight="1">
      <c r="A243" s="31"/>
      <c r="B243" s="22"/>
      <c r="C243" s="31"/>
      <c r="D243" s="22"/>
      <c r="E243" s="31"/>
      <c r="F243" s="22"/>
    </row>
    <row r="244" ht="15.75" customHeight="1">
      <c r="A244" s="31"/>
      <c r="B244" s="22"/>
      <c r="C244" s="31"/>
      <c r="D244" s="22"/>
      <c r="E244" s="31"/>
      <c r="F244" s="22"/>
    </row>
    <row r="245" ht="15.75" customHeight="1">
      <c r="A245" s="31"/>
      <c r="B245" s="22"/>
      <c r="C245" s="31"/>
      <c r="D245" s="22"/>
      <c r="E245" s="31"/>
      <c r="F245" s="22"/>
    </row>
    <row r="246" ht="15.75" customHeight="1">
      <c r="A246" s="31"/>
      <c r="B246" s="22"/>
      <c r="C246" s="31"/>
      <c r="D246" s="22"/>
      <c r="E246" s="31"/>
      <c r="F246" s="22"/>
    </row>
    <row r="247" ht="15.75" customHeight="1">
      <c r="A247" s="31"/>
      <c r="B247" s="22"/>
      <c r="C247" s="31"/>
      <c r="D247" s="22"/>
      <c r="E247" s="31"/>
      <c r="F247" s="22"/>
    </row>
    <row r="248" ht="15.75" customHeight="1">
      <c r="A248" s="31"/>
      <c r="B248" s="22"/>
      <c r="C248" s="31"/>
      <c r="D248" s="22"/>
      <c r="E248" s="31"/>
      <c r="F248" s="22"/>
    </row>
    <row r="249" ht="15.75" customHeight="1">
      <c r="A249" s="31"/>
      <c r="B249" s="22"/>
      <c r="C249" s="31"/>
      <c r="D249" s="22"/>
      <c r="E249" s="31"/>
      <c r="F249" s="22"/>
    </row>
    <row r="250" ht="15.75" customHeight="1">
      <c r="A250" s="31"/>
      <c r="B250" s="22"/>
      <c r="C250" s="31"/>
      <c r="D250" s="22"/>
      <c r="E250" s="31"/>
      <c r="F250" s="22"/>
    </row>
    <row r="251" ht="15.75" customHeight="1">
      <c r="A251" s="31"/>
      <c r="B251" s="22"/>
      <c r="C251" s="31"/>
      <c r="D251" s="22"/>
      <c r="E251" s="31"/>
      <c r="F251" s="22"/>
    </row>
    <row r="252" ht="15.75" customHeight="1">
      <c r="A252" s="31"/>
      <c r="B252" s="22"/>
      <c r="C252" s="31"/>
      <c r="D252" s="22"/>
      <c r="E252" s="31"/>
      <c r="F252" s="22"/>
    </row>
    <row r="253" ht="15.75" customHeight="1">
      <c r="A253" s="31"/>
      <c r="B253" s="22"/>
      <c r="C253" s="31"/>
      <c r="D253" s="22"/>
      <c r="E253" s="31"/>
      <c r="F253" s="22"/>
    </row>
    <row r="254" ht="15.75" customHeight="1">
      <c r="A254" s="31"/>
      <c r="B254" s="22"/>
      <c r="C254" s="31"/>
      <c r="D254" s="22"/>
      <c r="E254" s="31"/>
      <c r="F254" s="22"/>
    </row>
    <row r="255" ht="15.75" customHeight="1">
      <c r="A255" s="31"/>
      <c r="B255" s="22"/>
      <c r="C255" s="31"/>
      <c r="D255" s="22"/>
      <c r="E255" s="31"/>
      <c r="F255" s="22"/>
    </row>
    <row r="256" ht="15.75" customHeight="1">
      <c r="A256" s="31"/>
      <c r="B256" s="22"/>
      <c r="C256" s="31"/>
      <c r="D256" s="22"/>
      <c r="E256" s="31"/>
      <c r="F256" s="22"/>
    </row>
    <row r="257" ht="15.75" customHeight="1">
      <c r="A257" s="31"/>
      <c r="B257" s="22"/>
      <c r="C257" s="31"/>
      <c r="D257" s="22"/>
      <c r="E257" s="31"/>
      <c r="F257" s="22"/>
    </row>
    <row r="258" ht="15.75" customHeight="1">
      <c r="A258" s="31"/>
      <c r="B258" s="22"/>
      <c r="C258" s="31"/>
      <c r="D258" s="22"/>
      <c r="E258" s="31"/>
      <c r="F258" s="22"/>
    </row>
    <row r="259" ht="15.75" customHeight="1">
      <c r="A259" s="31"/>
      <c r="B259" s="22"/>
      <c r="C259" s="31"/>
      <c r="D259" s="22"/>
      <c r="E259" s="31"/>
      <c r="F259" s="22"/>
    </row>
    <row r="260" ht="15.75" customHeight="1">
      <c r="A260" s="31"/>
      <c r="B260" s="22"/>
      <c r="C260" s="31"/>
      <c r="D260" s="22"/>
      <c r="E260" s="31"/>
      <c r="F260" s="22"/>
    </row>
    <row r="261" ht="15.75" customHeight="1">
      <c r="A261" s="31"/>
      <c r="B261" s="22"/>
      <c r="C261" s="31"/>
      <c r="D261" s="22"/>
      <c r="E261" s="31"/>
      <c r="F261" s="22"/>
    </row>
    <row r="262" ht="15.75" customHeight="1">
      <c r="A262" s="31"/>
      <c r="B262" s="22"/>
      <c r="C262" s="31"/>
      <c r="D262" s="22"/>
      <c r="E262" s="31"/>
      <c r="F262" s="22"/>
    </row>
    <row r="263" ht="15.75" customHeight="1">
      <c r="A263" s="31"/>
      <c r="B263" s="22"/>
      <c r="C263" s="31"/>
      <c r="D263" s="22"/>
      <c r="E263" s="31"/>
      <c r="F263" s="22"/>
    </row>
    <row r="264" ht="15.75" customHeight="1">
      <c r="A264" s="31"/>
      <c r="B264" s="22"/>
      <c r="C264" s="31"/>
      <c r="D264" s="22"/>
      <c r="E264" s="31"/>
      <c r="F264" s="22"/>
    </row>
    <row r="265" ht="15.75" customHeight="1">
      <c r="A265" s="31"/>
      <c r="B265" s="22"/>
      <c r="C265" s="31"/>
      <c r="D265" s="22"/>
      <c r="E265" s="31"/>
      <c r="F265" s="22"/>
    </row>
    <row r="266" ht="15.75" customHeight="1">
      <c r="A266" s="31"/>
      <c r="B266" s="22"/>
      <c r="C266" s="31"/>
      <c r="D266" s="22"/>
      <c r="E266" s="31"/>
      <c r="F266" s="22"/>
    </row>
    <row r="267" ht="15.75" customHeight="1">
      <c r="A267" s="31"/>
      <c r="B267" s="22"/>
      <c r="C267" s="31"/>
      <c r="D267" s="22"/>
      <c r="E267" s="31"/>
      <c r="F267" s="22"/>
    </row>
    <row r="268" ht="15.75" customHeight="1">
      <c r="A268" s="31"/>
      <c r="B268" s="22"/>
      <c r="C268" s="31"/>
      <c r="D268" s="22"/>
      <c r="E268" s="31"/>
      <c r="F268" s="22"/>
    </row>
    <row r="269" ht="15.75" customHeight="1">
      <c r="A269" s="31"/>
      <c r="B269" s="22"/>
      <c r="C269" s="31"/>
      <c r="D269" s="22"/>
      <c r="E269" s="31"/>
      <c r="F269" s="22"/>
    </row>
    <row r="270" ht="15.75" customHeight="1">
      <c r="A270" s="31"/>
      <c r="B270" s="22"/>
      <c r="C270" s="31"/>
      <c r="D270" s="22"/>
      <c r="E270" s="31"/>
      <c r="F270" s="22"/>
    </row>
    <row r="271" ht="15.75" customHeight="1">
      <c r="A271" s="31"/>
      <c r="B271" s="22"/>
      <c r="C271" s="31"/>
      <c r="D271" s="22"/>
      <c r="E271" s="31"/>
      <c r="F271" s="22"/>
    </row>
    <row r="272" ht="15.75" customHeight="1">
      <c r="A272" s="31"/>
      <c r="B272" s="22"/>
      <c r="C272" s="31"/>
      <c r="D272" s="22"/>
      <c r="E272" s="31"/>
      <c r="F272" s="22"/>
    </row>
    <row r="273" ht="15.75" customHeight="1">
      <c r="A273" s="31"/>
      <c r="B273" s="22"/>
      <c r="C273" s="31"/>
      <c r="D273" s="22"/>
      <c r="E273" s="31"/>
      <c r="F273" s="22"/>
    </row>
    <row r="274" ht="15.75" customHeight="1">
      <c r="A274" s="31"/>
      <c r="B274" s="22"/>
      <c r="C274" s="31"/>
      <c r="D274" s="22"/>
      <c r="E274" s="31"/>
      <c r="F274" s="22"/>
    </row>
    <row r="275" ht="15.75" customHeight="1">
      <c r="A275" s="31"/>
      <c r="B275" s="22"/>
      <c r="C275" s="31"/>
      <c r="D275" s="22"/>
      <c r="E275" s="31"/>
      <c r="F275" s="22"/>
    </row>
    <row r="276" ht="15.75" customHeight="1">
      <c r="A276" s="31"/>
      <c r="B276" s="22"/>
      <c r="C276" s="31"/>
      <c r="D276" s="22"/>
      <c r="E276" s="31"/>
      <c r="F276" s="22"/>
    </row>
    <row r="277" ht="15.75" customHeight="1">
      <c r="A277" s="31"/>
      <c r="B277" s="22"/>
      <c r="C277" s="31"/>
      <c r="D277" s="22"/>
      <c r="E277" s="31"/>
      <c r="F277" s="22"/>
    </row>
    <row r="278" ht="15.75" customHeight="1">
      <c r="A278" s="31"/>
      <c r="B278" s="22"/>
      <c r="C278" s="31"/>
      <c r="D278" s="22"/>
      <c r="E278" s="31"/>
      <c r="F278" s="22"/>
    </row>
    <row r="279" ht="15.75" customHeight="1">
      <c r="A279" s="31"/>
      <c r="B279" s="22"/>
      <c r="C279" s="31"/>
      <c r="D279" s="22"/>
      <c r="E279" s="31"/>
      <c r="F279" s="22"/>
    </row>
    <row r="280" ht="15.75" customHeight="1">
      <c r="A280" s="31"/>
      <c r="B280" s="22"/>
      <c r="C280" s="31"/>
      <c r="D280" s="22"/>
      <c r="E280" s="31"/>
      <c r="F280" s="22"/>
    </row>
    <row r="281" ht="15.75" customHeight="1">
      <c r="A281" s="31"/>
      <c r="B281" s="22"/>
      <c r="C281" s="31"/>
      <c r="D281" s="22"/>
      <c r="E281" s="31"/>
      <c r="F281" s="22"/>
    </row>
    <row r="282" ht="15.75" customHeight="1">
      <c r="A282" s="31"/>
      <c r="B282" s="22"/>
      <c r="C282" s="31"/>
      <c r="D282" s="22"/>
      <c r="E282" s="31"/>
      <c r="F282" s="22"/>
    </row>
    <row r="283" ht="15.75" customHeight="1">
      <c r="A283" s="31"/>
      <c r="B283" s="22"/>
      <c r="C283" s="31"/>
      <c r="D283" s="22"/>
      <c r="E283" s="31"/>
      <c r="F283" s="22"/>
    </row>
    <row r="284" ht="15.75" customHeight="1">
      <c r="A284" s="31"/>
      <c r="B284" s="22"/>
      <c r="C284" s="31"/>
      <c r="D284" s="22"/>
      <c r="E284" s="31"/>
      <c r="F284" s="22"/>
    </row>
    <row r="285" ht="15.75" customHeight="1">
      <c r="A285" s="31"/>
      <c r="B285" s="22"/>
      <c r="C285" s="31"/>
      <c r="D285" s="22"/>
      <c r="E285" s="31"/>
      <c r="F285" s="22"/>
    </row>
    <row r="286" ht="15.75" customHeight="1">
      <c r="A286" s="31"/>
      <c r="B286" s="22"/>
      <c r="C286" s="31"/>
      <c r="D286" s="22"/>
      <c r="E286" s="31"/>
      <c r="F286" s="22"/>
    </row>
    <row r="287" ht="15.75" customHeight="1">
      <c r="A287" s="31"/>
      <c r="B287" s="22"/>
      <c r="C287" s="31"/>
      <c r="D287" s="22"/>
      <c r="E287" s="31"/>
      <c r="F287" s="22"/>
    </row>
    <row r="288" ht="15.75" customHeight="1">
      <c r="A288" s="31"/>
      <c r="B288" s="22"/>
      <c r="C288" s="31"/>
      <c r="D288" s="22"/>
      <c r="E288" s="31"/>
      <c r="F288" s="22"/>
    </row>
    <row r="289" ht="15.75" customHeight="1">
      <c r="A289" s="31"/>
      <c r="B289" s="22"/>
      <c r="C289" s="31"/>
      <c r="D289" s="22"/>
      <c r="E289" s="31"/>
      <c r="F289" s="22"/>
    </row>
    <row r="290" ht="15.75" customHeight="1">
      <c r="A290" s="31"/>
      <c r="B290" s="22"/>
      <c r="C290" s="31"/>
      <c r="D290" s="22"/>
      <c r="E290" s="31"/>
      <c r="F290" s="22"/>
    </row>
    <row r="291" ht="15.75" customHeight="1">
      <c r="A291" s="31"/>
      <c r="B291" s="22"/>
      <c r="C291" s="31"/>
      <c r="D291" s="22"/>
      <c r="E291" s="31"/>
      <c r="F291" s="22"/>
    </row>
    <row r="292" ht="15.75" customHeight="1">
      <c r="A292" s="31"/>
      <c r="B292" s="22"/>
      <c r="C292" s="31"/>
      <c r="D292" s="22"/>
      <c r="E292" s="31"/>
      <c r="F292" s="22"/>
    </row>
    <row r="293" ht="15.75" customHeight="1">
      <c r="A293" s="31"/>
      <c r="B293" s="22"/>
      <c r="C293" s="31"/>
      <c r="D293" s="22"/>
      <c r="E293" s="31"/>
      <c r="F293" s="22"/>
    </row>
    <row r="294" ht="15.75" customHeight="1">
      <c r="A294" s="31"/>
      <c r="B294" s="22"/>
      <c r="C294" s="31"/>
      <c r="D294" s="22"/>
      <c r="E294" s="31"/>
      <c r="F294" s="22"/>
    </row>
    <row r="295" ht="15.75" customHeight="1">
      <c r="A295" s="31"/>
      <c r="B295" s="22"/>
      <c r="C295" s="31"/>
      <c r="D295" s="22"/>
      <c r="E295" s="31"/>
      <c r="F295" s="22"/>
    </row>
    <row r="296" ht="15.75" customHeight="1">
      <c r="A296" s="31"/>
      <c r="B296" s="22"/>
      <c r="C296" s="31"/>
      <c r="D296" s="22"/>
      <c r="E296" s="31"/>
      <c r="F296" s="22"/>
    </row>
    <row r="297" ht="15.75" customHeight="1">
      <c r="A297" s="31"/>
      <c r="B297" s="22"/>
      <c r="C297" s="31"/>
      <c r="D297" s="22"/>
      <c r="E297" s="31"/>
      <c r="F297" s="22"/>
    </row>
    <row r="298" ht="15.75" customHeight="1">
      <c r="A298" s="31"/>
      <c r="B298" s="22"/>
      <c r="C298" s="31"/>
      <c r="D298" s="22"/>
      <c r="E298" s="31"/>
      <c r="F298" s="22"/>
    </row>
    <row r="299" ht="15.75" customHeight="1">
      <c r="A299" s="31"/>
      <c r="B299" s="22"/>
      <c r="C299" s="31"/>
      <c r="D299" s="22"/>
      <c r="E299" s="31"/>
      <c r="F299" s="22"/>
    </row>
    <row r="300" ht="15.75" customHeight="1">
      <c r="A300" s="31"/>
      <c r="B300" s="22"/>
      <c r="C300" s="31"/>
      <c r="D300" s="22"/>
      <c r="E300" s="31"/>
      <c r="F300" s="22"/>
    </row>
    <row r="301" ht="15.75" customHeight="1">
      <c r="A301" s="31"/>
      <c r="B301" s="22"/>
      <c r="C301" s="31"/>
      <c r="D301" s="22"/>
      <c r="E301" s="31"/>
      <c r="F301" s="22"/>
    </row>
    <row r="302" ht="15.75" customHeight="1">
      <c r="A302" s="31"/>
      <c r="B302" s="22"/>
      <c r="C302" s="31"/>
      <c r="D302" s="22"/>
      <c r="E302" s="31"/>
      <c r="F302" s="22"/>
    </row>
    <row r="303" ht="15.75" customHeight="1">
      <c r="A303" s="31"/>
      <c r="B303" s="22"/>
      <c r="C303" s="31"/>
      <c r="D303" s="22"/>
      <c r="E303" s="31"/>
      <c r="F303" s="22"/>
    </row>
    <row r="304" ht="15.75" customHeight="1">
      <c r="A304" s="31"/>
      <c r="B304" s="22"/>
      <c r="C304" s="31"/>
      <c r="D304" s="22"/>
      <c r="E304" s="31"/>
      <c r="F304" s="22"/>
    </row>
    <row r="305" ht="15.75" customHeight="1">
      <c r="A305" s="31"/>
      <c r="B305" s="22"/>
      <c r="C305" s="31"/>
      <c r="D305" s="22"/>
      <c r="E305" s="31"/>
      <c r="F305" s="22"/>
    </row>
    <row r="306" ht="15.75" customHeight="1">
      <c r="A306" s="31"/>
      <c r="B306" s="22"/>
      <c r="C306" s="31"/>
      <c r="D306" s="22"/>
      <c r="E306" s="31"/>
      <c r="F306" s="22"/>
    </row>
    <row r="307" ht="15.75" customHeight="1">
      <c r="A307" s="31"/>
      <c r="B307" s="22"/>
      <c r="C307" s="31"/>
      <c r="D307" s="22"/>
      <c r="E307" s="31"/>
      <c r="F307" s="22"/>
    </row>
    <row r="308" ht="15.75" customHeight="1">
      <c r="A308" s="31"/>
      <c r="B308" s="22"/>
      <c r="C308" s="31"/>
      <c r="D308" s="22"/>
      <c r="E308" s="31"/>
      <c r="F308" s="22"/>
    </row>
    <row r="309" ht="15.75" customHeight="1">
      <c r="A309" s="31"/>
      <c r="B309" s="22"/>
      <c r="C309" s="31"/>
      <c r="D309" s="22"/>
      <c r="E309" s="31"/>
      <c r="F309" s="22"/>
    </row>
    <row r="310" ht="15.75" customHeight="1">
      <c r="A310" s="31"/>
      <c r="B310" s="22"/>
      <c r="C310" s="31"/>
      <c r="D310" s="22"/>
      <c r="E310" s="31"/>
      <c r="F310" s="22"/>
    </row>
    <row r="311" ht="15.75" customHeight="1">
      <c r="A311" s="31"/>
      <c r="B311" s="22"/>
      <c r="C311" s="31"/>
      <c r="D311" s="22"/>
      <c r="E311" s="31"/>
      <c r="F311" s="22"/>
    </row>
    <row r="312" ht="15.75" customHeight="1">
      <c r="A312" s="31"/>
      <c r="B312" s="22"/>
      <c r="C312" s="31"/>
      <c r="D312" s="22"/>
      <c r="E312" s="31"/>
      <c r="F312" s="22"/>
    </row>
    <row r="313" ht="15.75" customHeight="1">
      <c r="A313" s="31"/>
      <c r="B313" s="22"/>
      <c r="C313" s="31"/>
      <c r="D313" s="22"/>
      <c r="E313" s="31"/>
      <c r="F313" s="22"/>
    </row>
    <row r="314" ht="15.75" customHeight="1">
      <c r="A314" s="31"/>
      <c r="B314" s="22"/>
      <c r="C314" s="31"/>
      <c r="D314" s="22"/>
      <c r="E314" s="31"/>
      <c r="F314" s="22"/>
    </row>
    <row r="315" ht="15.75" customHeight="1">
      <c r="A315" s="31"/>
      <c r="B315" s="22"/>
      <c r="C315" s="31"/>
      <c r="D315" s="22"/>
      <c r="E315" s="31"/>
      <c r="F315" s="22"/>
    </row>
    <row r="316" ht="15.75" customHeight="1">
      <c r="A316" s="31"/>
      <c r="B316" s="22"/>
      <c r="C316" s="31"/>
      <c r="D316" s="22"/>
      <c r="E316" s="31"/>
      <c r="F316" s="22"/>
    </row>
    <row r="317" ht="15.75" customHeight="1">
      <c r="A317" s="31"/>
      <c r="B317" s="22"/>
      <c r="C317" s="31"/>
      <c r="D317" s="22"/>
      <c r="E317" s="31"/>
      <c r="F317" s="22"/>
    </row>
    <row r="318" ht="15.75" customHeight="1">
      <c r="A318" s="31"/>
      <c r="B318" s="22"/>
      <c r="C318" s="31"/>
      <c r="D318" s="22"/>
      <c r="E318" s="31"/>
      <c r="F318" s="22"/>
    </row>
    <row r="319" ht="15.75" customHeight="1">
      <c r="A319" s="31"/>
      <c r="B319" s="22"/>
      <c r="C319" s="31"/>
      <c r="D319" s="22"/>
      <c r="E319" s="31"/>
      <c r="F319" s="22"/>
    </row>
    <row r="320" ht="15.75" customHeight="1">
      <c r="A320" s="31"/>
      <c r="B320" s="22"/>
      <c r="C320" s="31"/>
      <c r="D320" s="22"/>
      <c r="E320" s="31"/>
      <c r="F320" s="22"/>
    </row>
    <row r="321" ht="15.75" customHeight="1">
      <c r="A321" s="31"/>
      <c r="B321" s="22"/>
      <c r="C321" s="31"/>
      <c r="D321" s="22"/>
      <c r="E321" s="31"/>
      <c r="F321" s="22"/>
    </row>
    <row r="322" ht="15.75" customHeight="1">
      <c r="A322" s="31"/>
      <c r="B322" s="22"/>
      <c r="C322" s="31"/>
      <c r="D322" s="22"/>
      <c r="E322" s="31"/>
      <c r="F322" s="22"/>
    </row>
    <row r="323" ht="15.75" customHeight="1">
      <c r="A323" s="31"/>
      <c r="B323" s="22"/>
      <c r="C323" s="31"/>
      <c r="D323" s="22"/>
      <c r="E323" s="31"/>
      <c r="F323" s="22"/>
    </row>
    <row r="324" ht="15.75" customHeight="1">
      <c r="A324" s="31"/>
      <c r="B324" s="22"/>
      <c r="C324" s="31"/>
      <c r="D324" s="22"/>
      <c r="E324" s="31"/>
      <c r="F324" s="22"/>
    </row>
    <row r="325" ht="15.75" customHeight="1">
      <c r="A325" s="31"/>
      <c r="B325" s="22"/>
      <c r="C325" s="31"/>
      <c r="D325" s="22"/>
      <c r="E325" s="31"/>
      <c r="F325" s="22"/>
    </row>
    <row r="326" ht="15.75" customHeight="1">
      <c r="A326" s="31"/>
      <c r="B326" s="22"/>
      <c r="C326" s="31"/>
      <c r="D326" s="22"/>
      <c r="E326" s="31"/>
      <c r="F326" s="22"/>
    </row>
    <row r="327" ht="15.75" customHeight="1">
      <c r="A327" s="31"/>
      <c r="B327" s="22"/>
      <c r="C327" s="31"/>
      <c r="D327" s="22"/>
      <c r="E327" s="31"/>
      <c r="F327" s="22"/>
    </row>
    <row r="328" ht="15.75" customHeight="1">
      <c r="A328" s="31"/>
      <c r="B328" s="22"/>
      <c r="C328" s="31"/>
      <c r="D328" s="22"/>
      <c r="E328" s="31"/>
      <c r="F328" s="22"/>
    </row>
    <row r="329" ht="15.75" customHeight="1">
      <c r="A329" s="31"/>
      <c r="B329" s="22"/>
      <c r="C329" s="31"/>
      <c r="D329" s="22"/>
      <c r="E329" s="31"/>
      <c r="F329" s="22"/>
    </row>
    <row r="330" ht="15.75" customHeight="1">
      <c r="A330" s="31"/>
      <c r="B330" s="22"/>
      <c r="C330" s="31"/>
      <c r="D330" s="22"/>
      <c r="E330" s="31"/>
      <c r="F330" s="22"/>
    </row>
    <row r="331" ht="15.75" customHeight="1">
      <c r="A331" s="31"/>
      <c r="B331" s="22"/>
      <c r="C331" s="31"/>
      <c r="D331" s="22"/>
      <c r="E331" s="31"/>
      <c r="F331" s="22"/>
    </row>
    <row r="332" ht="15.75" customHeight="1">
      <c r="A332" s="31"/>
      <c r="B332" s="22"/>
      <c r="C332" s="31"/>
      <c r="D332" s="22"/>
      <c r="E332" s="31"/>
      <c r="F332" s="22"/>
    </row>
    <row r="333" ht="15.75" customHeight="1">
      <c r="A333" s="31"/>
      <c r="B333" s="22"/>
      <c r="C333" s="31"/>
      <c r="D333" s="22"/>
      <c r="E333" s="31"/>
      <c r="F333" s="22"/>
    </row>
    <row r="334" ht="15.75" customHeight="1">
      <c r="A334" s="31"/>
      <c r="B334" s="22"/>
      <c r="C334" s="31"/>
      <c r="D334" s="22"/>
      <c r="E334" s="31"/>
      <c r="F334" s="22"/>
    </row>
    <row r="335" ht="15.75" customHeight="1">
      <c r="A335" s="31"/>
      <c r="B335" s="22"/>
      <c r="C335" s="31"/>
      <c r="D335" s="22"/>
      <c r="E335" s="31"/>
      <c r="F335" s="22"/>
    </row>
    <row r="336" ht="15.75" customHeight="1">
      <c r="A336" s="31"/>
      <c r="B336" s="22"/>
      <c r="C336" s="31"/>
      <c r="D336" s="22"/>
      <c r="E336" s="31"/>
      <c r="F336" s="22"/>
    </row>
    <row r="337" ht="15.75" customHeight="1">
      <c r="A337" s="31"/>
      <c r="B337" s="22"/>
      <c r="C337" s="31"/>
      <c r="D337" s="22"/>
      <c r="E337" s="31"/>
      <c r="F337" s="22"/>
    </row>
    <row r="338" ht="15.75" customHeight="1">
      <c r="A338" s="31"/>
      <c r="B338" s="22"/>
      <c r="C338" s="31"/>
      <c r="D338" s="22"/>
      <c r="E338" s="31"/>
      <c r="F338" s="22"/>
    </row>
    <row r="339" ht="15.75" customHeight="1">
      <c r="A339" s="31"/>
      <c r="B339" s="22"/>
      <c r="C339" s="31"/>
      <c r="D339" s="22"/>
      <c r="E339" s="31"/>
      <c r="F339" s="22"/>
    </row>
    <row r="340" ht="15.75" customHeight="1">
      <c r="A340" s="31"/>
      <c r="B340" s="22"/>
      <c r="C340" s="31"/>
      <c r="D340" s="22"/>
      <c r="E340" s="31"/>
      <c r="F340" s="22"/>
    </row>
    <row r="341" ht="15.75" customHeight="1">
      <c r="A341" s="31"/>
      <c r="B341" s="22"/>
      <c r="C341" s="31"/>
      <c r="D341" s="22"/>
      <c r="E341" s="31"/>
      <c r="F341" s="22"/>
    </row>
    <row r="342" ht="15.75" customHeight="1">
      <c r="A342" s="31"/>
      <c r="B342" s="22"/>
      <c r="C342" s="31"/>
      <c r="D342" s="22"/>
      <c r="E342" s="31"/>
      <c r="F342" s="22"/>
    </row>
    <row r="343" ht="15.75" customHeight="1">
      <c r="A343" s="31"/>
      <c r="B343" s="22"/>
      <c r="C343" s="31"/>
      <c r="D343" s="22"/>
      <c r="E343" s="31"/>
      <c r="F343" s="22"/>
    </row>
    <row r="344" ht="15.75" customHeight="1">
      <c r="A344" s="31"/>
      <c r="B344" s="22"/>
      <c r="C344" s="31"/>
      <c r="D344" s="22"/>
      <c r="E344" s="31"/>
      <c r="F344" s="22"/>
    </row>
    <row r="345" ht="15.75" customHeight="1">
      <c r="A345" s="31"/>
      <c r="B345" s="22"/>
      <c r="C345" s="31"/>
      <c r="D345" s="22"/>
      <c r="E345" s="31"/>
      <c r="F345" s="22"/>
    </row>
    <row r="346" ht="15.75" customHeight="1">
      <c r="A346" s="31"/>
      <c r="B346" s="22"/>
      <c r="C346" s="31"/>
      <c r="D346" s="22"/>
      <c r="E346" s="31"/>
      <c r="F346" s="22"/>
    </row>
    <row r="347" ht="15.75" customHeight="1">
      <c r="A347" s="31"/>
      <c r="B347" s="22"/>
      <c r="C347" s="31"/>
      <c r="D347" s="22"/>
      <c r="E347" s="31"/>
      <c r="F347" s="22"/>
    </row>
    <row r="348" ht="15.75" customHeight="1">
      <c r="A348" s="31"/>
      <c r="B348" s="22"/>
      <c r="C348" s="31"/>
      <c r="D348" s="22"/>
      <c r="E348" s="31"/>
      <c r="F348" s="22"/>
    </row>
    <row r="349" ht="15.75" customHeight="1">
      <c r="A349" s="31"/>
      <c r="B349" s="22"/>
      <c r="C349" s="31"/>
      <c r="D349" s="22"/>
      <c r="E349" s="31"/>
      <c r="F349" s="22"/>
    </row>
    <row r="350" ht="15.75" customHeight="1">
      <c r="A350" s="31"/>
      <c r="B350" s="22"/>
      <c r="C350" s="31"/>
      <c r="D350" s="22"/>
      <c r="E350" s="31"/>
      <c r="F350" s="22"/>
    </row>
    <row r="351" ht="15.75" customHeight="1">
      <c r="A351" s="31"/>
      <c r="B351" s="22"/>
      <c r="C351" s="31"/>
      <c r="D351" s="22"/>
      <c r="E351" s="31"/>
      <c r="F351" s="22"/>
    </row>
    <row r="352" ht="15.75" customHeight="1">
      <c r="A352" s="31"/>
      <c r="B352" s="22"/>
      <c r="C352" s="31"/>
      <c r="D352" s="22"/>
      <c r="E352" s="31"/>
      <c r="F352" s="22"/>
    </row>
    <row r="353" ht="15.75" customHeight="1">
      <c r="A353" s="31"/>
      <c r="B353" s="22"/>
      <c r="C353" s="31"/>
      <c r="D353" s="22"/>
      <c r="E353" s="31"/>
      <c r="F353" s="22"/>
    </row>
    <row r="354" ht="15.75" customHeight="1">
      <c r="A354" s="31"/>
      <c r="B354" s="22"/>
      <c r="C354" s="31"/>
      <c r="D354" s="22"/>
      <c r="E354" s="31"/>
      <c r="F354" s="22"/>
    </row>
    <row r="355" ht="15.75" customHeight="1">
      <c r="A355" s="31"/>
      <c r="B355" s="22"/>
      <c r="C355" s="31"/>
      <c r="D355" s="22"/>
      <c r="E355" s="31"/>
      <c r="F355" s="22"/>
    </row>
    <row r="356" ht="15.75" customHeight="1">
      <c r="A356" s="31"/>
      <c r="B356" s="22"/>
      <c r="C356" s="31"/>
      <c r="D356" s="22"/>
      <c r="E356" s="31"/>
      <c r="F356" s="22"/>
    </row>
    <row r="357" ht="15.75" customHeight="1">
      <c r="A357" s="31"/>
      <c r="B357" s="22"/>
      <c r="C357" s="31"/>
      <c r="D357" s="22"/>
      <c r="E357" s="31"/>
      <c r="F357" s="22"/>
    </row>
    <row r="358" ht="15.75" customHeight="1">
      <c r="A358" s="31"/>
      <c r="B358" s="22"/>
      <c r="C358" s="31"/>
      <c r="D358" s="22"/>
      <c r="E358" s="31"/>
      <c r="F358" s="22"/>
    </row>
    <row r="359" ht="15.75" customHeight="1">
      <c r="A359" s="31"/>
      <c r="B359" s="22"/>
      <c r="C359" s="31"/>
      <c r="D359" s="22"/>
      <c r="E359" s="31"/>
      <c r="F359" s="22"/>
    </row>
    <row r="360" ht="15.75" customHeight="1">
      <c r="A360" s="31"/>
      <c r="B360" s="22"/>
      <c r="C360" s="31"/>
      <c r="D360" s="22"/>
      <c r="E360" s="31"/>
      <c r="F360" s="22"/>
    </row>
    <row r="361" ht="15.75" customHeight="1">
      <c r="A361" s="31"/>
      <c r="B361" s="22"/>
      <c r="C361" s="31"/>
      <c r="D361" s="22"/>
      <c r="E361" s="31"/>
      <c r="F361" s="22"/>
    </row>
    <row r="362" ht="15.75" customHeight="1">
      <c r="A362" s="31"/>
      <c r="B362" s="22"/>
      <c r="C362" s="31"/>
      <c r="D362" s="22"/>
      <c r="E362" s="31"/>
      <c r="F362" s="22"/>
    </row>
    <row r="363" ht="15.75" customHeight="1">
      <c r="A363" s="31"/>
      <c r="B363" s="22"/>
      <c r="C363" s="31"/>
      <c r="D363" s="22"/>
      <c r="E363" s="31"/>
      <c r="F363" s="22"/>
    </row>
    <row r="364" ht="15.75" customHeight="1">
      <c r="A364" s="31"/>
      <c r="B364" s="22"/>
      <c r="C364" s="31"/>
      <c r="D364" s="22"/>
      <c r="E364" s="31"/>
      <c r="F364" s="22"/>
    </row>
    <row r="365" ht="15.75" customHeight="1">
      <c r="A365" s="31"/>
      <c r="B365" s="22"/>
      <c r="C365" s="31"/>
      <c r="D365" s="22"/>
      <c r="E365" s="31"/>
      <c r="F365" s="22"/>
    </row>
    <row r="366" ht="15.75" customHeight="1">
      <c r="A366" s="31"/>
      <c r="B366" s="22"/>
      <c r="C366" s="31"/>
      <c r="D366" s="22"/>
      <c r="E366" s="31"/>
      <c r="F366" s="22"/>
    </row>
    <row r="367" ht="15.75" customHeight="1">
      <c r="A367" s="31"/>
      <c r="B367" s="22"/>
      <c r="C367" s="31"/>
      <c r="D367" s="22"/>
      <c r="E367" s="31"/>
      <c r="F367" s="22"/>
    </row>
    <row r="368" ht="15.75" customHeight="1">
      <c r="A368" s="31"/>
      <c r="B368" s="22"/>
      <c r="C368" s="31"/>
      <c r="D368" s="22"/>
      <c r="E368" s="31"/>
      <c r="F368" s="22"/>
    </row>
    <row r="369" ht="15.75" customHeight="1">
      <c r="A369" s="31"/>
      <c r="B369" s="22"/>
      <c r="C369" s="31"/>
      <c r="D369" s="22"/>
      <c r="E369" s="31"/>
      <c r="F369" s="22"/>
    </row>
    <row r="370" ht="15.75" customHeight="1">
      <c r="A370" s="31"/>
      <c r="B370" s="22"/>
      <c r="C370" s="31"/>
      <c r="D370" s="22"/>
      <c r="E370" s="31"/>
      <c r="F370" s="22"/>
    </row>
    <row r="371" ht="15.75" customHeight="1">
      <c r="A371" s="31"/>
      <c r="B371" s="22"/>
      <c r="C371" s="31"/>
      <c r="D371" s="22"/>
      <c r="E371" s="31"/>
      <c r="F371" s="22"/>
    </row>
    <row r="372" ht="15.75" customHeight="1">
      <c r="A372" s="31"/>
      <c r="B372" s="22"/>
      <c r="C372" s="31"/>
      <c r="D372" s="22"/>
      <c r="E372" s="31"/>
      <c r="F372" s="22"/>
    </row>
    <row r="373" ht="15.75" customHeight="1">
      <c r="A373" s="31"/>
      <c r="B373" s="22"/>
      <c r="C373" s="31"/>
      <c r="D373" s="22"/>
      <c r="E373" s="31"/>
      <c r="F373" s="22"/>
    </row>
    <row r="374" ht="15.75" customHeight="1">
      <c r="A374" s="31"/>
      <c r="B374" s="22"/>
      <c r="C374" s="31"/>
      <c r="D374" s="22"/>
      <c r="E374" s="31"/>
      <c r="F374" s="22"/>
    </row>
    <row r="375" ht="15.75" customHeight="1">
      <c r="A375" s="31"/>
      <c r="B375" s="22"/>
      <c r="C375" s="31"/>
      <c r="D375" s="22"/>
      <c r="E375" s="31"/>
      <c r="F375" s="22"/>
    </row>
    <row r="376" ht="15.75" customHeight="1">
      <c r="A376" s="31"/>
      <c r="B376" s="22"/>
      <c r="C376" s="31"/>
      <c r="D376" s="22"/>
      <c r="E376" s="31"/>
      <c r="F376" s="22"/>
    </row>
    <row r="377" ht="15.75" customHeight="1">
      <c r="A377" s="31"/>
      <c r="B377" s="22"/>
      <c r="C377" s="31"/>
      <c r="D377" s="22"/>
      <c r="E377" s="31"/>
      <c r="F377" s="22"/>
    </row>
    <row r="378" ht="15.75" customHeight="1">
      <c r="A378" s="31"/>
      <c r="B378" s="22"/>
      <c r="C378" s="31"/>
      <c r="D378" s="22"/>
      <c r="E378" s="31"/>
      <c r="F378" s="22"/>
    </row>
    <row r="379" ht="15.75" customHeight="1">
      <c r="A379" s="31"/>
      <c r="B379" s="22"/>
      <c r="C379" s="31"/>
      <c r="D379" s="22"/>
      <c r="E379" s="31"/>
      <c r="F379" s="22"/>
    </row>
    <row r="380" ht="15.75" customHeight="1">
      <c r="A380" s="31"/>
      <c r="B380" s="22"/>
      <c r="C380" s="31"/>
      <c r="D380" s="22"/>
      <c r="E380" s="31"/>
      <c r="F380" s="22"/>
    </row>
    <row r="381" ht="15.75" customHeight="1">
      <c r="A381" s="31"/>
      <c r="B381" s="22"/>
      <c r="C381" s="31"/>
      <c r="D381" s="22"/>
      <c r="E381" s="31"/>
      <c r="F381" s="22"/>
    </row>
    <row r="382" ht="15.75" customHeight="1">
      <c r="A382" s="31"/>
      <c r="B382" s="22"/>
      <c r="C382" s="31"/>
      <c r="D382" s="22"/>
      <c r="E382" s="31"/>
      <c r="F382" s="22"/>
    </row>
    <row r="383" ht="15.75" customHeight="1">
      <c r="A383" s="31"/>
      <c r="B383" s="22"/>
      <c r="C383" s="31"/>
      <c r="D383" s="22"/>
      <c r="E383" s="31"/>
      <c r="F383" s="22"/>
    </row>
    <row r="384" ht="15.75" customHeight="1">
      <c r="A384" s="31"/>
      <c r="B384" s="22"/>
      <c r="C384" s="31"/>
      <c r="D384" s="22"/>
      <c r="E384" s="31"/>
      <c r="F384" s="22"/>
    </row>
    <row r="385" ht="15.75" customHeight="1">
      <c r="A385" s="31"/>
      <c r="B385" s="22"/>
      <c r="C385" s="31"/>
      <c r="D385" s="22"/>
      <c r="E385" s="31"/>
      <c r="F385" s="22"/>
    </row>
    <row r="386" ht="15.75" customHeight="1">
      <c r="A386" s="31"/>
      <c r="B386" s="22"/>
      <c r="C386" s="31"/>
      <c r="D386" s="22"/>
      <c r="E386" s="31"/>
      <c r="F386" s="22"/>
    </row>
    <row r="387" ht="15.75" customHeight="1">
      <c r="A387" s="31"/>
      <c r="B387" s="22"/>
      <c r="C387" s="31"/>
      <c r="D387" s="22"/>
      <c r="E387" s="31"/>
      <c r="F387" s="22"/>
    </row>
    <row r="388" ht="15.75" customHeight="1">
      <c r="A388" s="31"/>
      <c r="B388" s="22"/>
      <c r="C388" s="31"/>
      <c r="D388" s="22"/>
      <c r="E388" s="31"/>
      <c r="F388" s="22"/>
    </row>
    <row r="389" ht="15.75" customHeight="1">
      <c r="A389" s="31"/>
      <c r="B389" s="22"/>
      <c r="C389" s="31"/>
      <c r="D389" s="22"/>
      <c r="E389" s="31"/>
      <c r="F389" s="22"/>
    </row>
    <row r="390" ht="15.75" customHeight="1">
      <c r="A390" s="31"/>
      <c r="B390" s="22"/>
      <c r="C390" s="31"/>
      <c r="D390" s="22"/>
      <c r="E390" s="31"/>
      <c r="F390" s="22"/>
    </row>
    <row r="391" ht="15.75" customHeight="1">
      <c r="A391" s="31"/>
      <c r="B391" s="22"/>
      <c r="C391" s="31"/>
      <c r="D391" s="22"/>
      <c r="E391" s="31"/>
      <c r="F391" s="22"/>
    </row>
    <row r="392" ht="15.75" customHeight="1">
      <c r="A392" s="31"/>
      <c r="B392" s="22"/>
      <c r="C392" s="31"/>
      <c r="D392" s="22"/>
      <c r="E392" s="31"/>
      <c r="F392" s="22"/>
    </row>
    <row r="393" ht="15.75" customHeight="1">
      <c r="A393" s="31"/>
      <c r="B393" s="22"/>
      <c r="C393" s="31"/>
      <c r="D393" s="22"/>
      <c r="E393" s="31"/>
      <c r="F393" s="22"/>
    </row>
    <row r="394" ht="15.75" customHeight="1">
      <c r="A394" s="31"/>
      <c r="B394" s="22"/>
      <c r="C394" s="31"/>
      <c r="D394" s="22"/>
      <c r="E394" s="31"/>
      <c r="F394" s="22"/>
    </row>
    <row r="395" ht="15.75" customHeight="1">
      <c r="A395" s="31"/>
      <c r="B395" s="22"/>
      <c r="C395" s="31"/>
      <c r="D395" s="22"/>
      <c r="E395" s="31"/>
      <c r="F395" s="22"/>
    </row>
    <row r="396" ht="15.75" customHeight="1">
      <c r="A396" s="31"/>
      <c r="B396" s="22"/>
      <c r="C396" s="31"/>
      <c r="D396" s="22"/>
      <c r="E396" s="31"/>
      <c r="F396" s="22"/>
    </row>
    <row r="397" ht="15.75" customHeight="1">
      <c r="A397" s="31"/>
      <c r="B397" s="22"/>
      <c r="C397" s="31"/>
      <c r="D397" s="22"/>
      <c r="E397" s="31"/>
      <c r="F397" s="22"/>
    </row>
    <row r="398" ht="15.75" customHeight="1">
      <c r="A398" s="31"/>
      <c r="B398" s="22"/>
      <c r="C398" s="31"/>
      <c r="D398" s="22"/>
      <c r="E398" s="31"/>
      <c r="F398" s="22"/>
    </row>
    <row r="399" ht="15.75" customHeight="1">
      <c r="A399" s="31"/>
      <c r="B399" s="22"/>
      <c r="C399" s="31"/>
      <c r="D399" s="22"/>
      <c r="E399" s="31"/>
      <c r="F399" s="22"/>
    </row>
    <row r="400" ht="15.75" customHeight="1">
      <c r="A400" s="31"/>
      <c r="B400" s="22"/>
      <c r="C400" s="31"/>
      <c r="D400" s="22"/>
      <c r="E400" s="31"/>
      <c r="F400" s="22"/>
    </row>
    <row r="401" ht="15.75" customHeight="1">
      <c r="A401" s="31"/>
      <c r="B401" s="22"/>
      <c r="C401" s="31"/>
      <c r="D401" s="22"/>
      <c r="E401" s="31"/>
      <c r="F401" s="22"/>
    </row>
    <row r="402" ht="15.75" customHeight="1">
      <c r="A402" s="31"/>
      <c r="B402" s="22"/>
      <c r="C402" s="31"/>
      <c r="D402" s="22"/>
      <c r="E402" s="31"/>
      <c r="F402" s="22"/>
    </row>
    <row r="403" ht="15.75" customHeight="1">
      <c r="A403" s="31"/>
      <c r="B403" s="22"/>
      <c r="C403" s="31"/>
      <c r="D403" s="22"/>
      <c r="E403" s="31"/>
      <c r="F403" s="22"/>
    </row>
    <row r="404" ht="15.75" customHeight="1">
      <c r="A404" s="31"/>
      <c r="B404" s="22"/>
      <c r="C404" s="31"/>
      <c r="D404" s="22"/>
      <c r="E404" s="31"/>
      <c r="F404" s="22"/>
    </row>
    <row r="405" ht="15.75" customHeight="1">
      <c r="A405" s="31"/>
      <c r="B405" s="22"/>
      <c r="C405" s="31"/>
      <c r="D405" s="22"/>
      <c r="E405" s="31"/>
      <c r="F405" s="22"/>
    </row>
    <row r="406" ht="15.75" customHeight="1">
      <c r="A406" s="31"/>
      <c r="B406" s="22"/>
      <c r="C406" s="31"/>
      <c r="D406" s="22"/>
      <c r="E406" s="31"/>
      <c r="F406" s="22"/>
    </row>
    <row r="407" ht="15.75" customHeight="1">
      <c r="A407" s="31"/>
      <c r="B407" s="22"/>
      <c r="C407" s="31"/>
      <c r="D407" s="22"/>
      <c r="E407" s="31"/>
      <c r="F407" s="22"/>
    </row>
    <row r="408" ht="15.75" customHeight="1">
      <c r="A408" s="31"/>
      <c r="B408" s="22"/>
      <c r="C408" s="31"/>
      <c r="D408" s="22"/>
      <c r="E408" s="31"/>
      <c r="F408" s="22"/>
    </row>
    <row r="409" ht="15.75" customHeight="1">
      <c r="A409" s="31"/>
      <c r="B409" s="22"/>
      <c r="C409" s="31"/>
      <c r="D409" s="22"/>
      <c r="E409" s="31"/>
      <c r="F409" s="22"/>
    </row>
    <row r="410" ht="15.75" customHeight="1">
      <c r="A410" s="31"/>
      <c r="B410" s="22"/>
      <c r="C410" s="31"/>
      <c r="D410" s="22"/>
      <c r="E410" s="31"/>
      <c r="F410" s="22"/>
    </row>
    <row r="411" ht="15.75" customHeight="1">
      <c r="A411" s="31"/>
      <c r="B411" s="22"/>
      <c r="C411" s="31"/>
      <c r="D411" s="22"/>
      <c r="E411" s="31"/>
      <c r="F411" s="22"/>
    </row>
    <row r="412" ht="15.75" customHeight="1">
      <c r="A412" s="31"/>
      <c r="B412" s="22"/>
      <c r="C412" s="31"/>
      <c r="D412" s="22"/>
      <c r="E412" s="31"/>
      <c r="F412" s="22"/>
    </row>
    <row r="413" ht="15.75" customHeight="1">
      <c r="A413" s="31"/>
      <c r="B413" s="22"/>
      <c r="C413" s="31"/>
      <c r="D413" s="22"/>
      <c r="E413" s="31"/>
      <c r="F413" s="22"/>
    </row>
    <row r="414" ht="15.75" customHeight="1">
      <c r="A414" s="31"/>
      <c r="B414" s="22"/>
      <c r="C414" s="31"/>
      <c r="D414" s="22"/>
      <c r="E414" s="31"/>
      <c r="F414" s="22"/>
    </row>
    <row r="415" ht="15.75" customHeight="1">
      <c r="A415" s="31"/>
      <c r="B415" s="22"/>
      <c r="C415" s="31"/>
      <c r="D415" s="22"/>
      <c r="E415" s="31"/>
      <c r="F415" s="22"/>
    </row>
    <row r="416" ht="15.75" customHeight="1">
      <c r="A416" s="31"/>
      <c r="B416" s="22"/>
      <c r="C416" s="31"/>
      <c r="D416" s="22"/>
      <c r="E416" s="31"/>
      <c r="F416" s="22"/>
    </row>
    <row r="417" ht="15.75" customHeight="1">
      <c r="A417" s="31"/>
      <c r="B417" s="22"/>
      <c r="C417" s="31"/>
      <c r="D417" s="22"/>
      <c r="E417" s="31"/>
      <c r="F417" s="22"/>
    </row>
    <row r="418" ht="15.75" customHeight="1">
      <c r="A418" s="31"/>
      <c r="B418" s="22"/>
      <c r="C418" s="31"/>
      <c r="D418" s="22"/>
      <c r="E418" s="31"/>
      <c r="F418" s="22"/>
    </row>
    <row r="419" ht="15.75" customHeight="1">
      <c r="A419" s="31"/>
      <c r="B419" s="22"/>
      <c r="C419" s="31"/>
      <c r="D419" s="22"/>
      <c r="E419" s="31"/>
      <c r="F419" s="22"/>
    </row>
    <row r="420" ht="15.75" customHeight="1">
      <c r="A420" s="31"/>
      <c r="B420" s="22"/>
      <c r="C420" s="31"/>
      <c r="D420" s="22"/>
      <c r="E420" s="31"/>
      <c r="F420" s="22"/>
    </row>
    <row r="421" ht="15.75" customHeight="1">
      <c r="A421" s="31"/>
      <c r="B421" s="22"/>
      <c r="C421" s="31"/>
      <c r="D421" s="22"/>
      <c r="E421" s="31"/>
      <c r="F421" s="22"/>
    </row>
    <row r="422" ht="15.75" customHeight="1">
      <c r="A422" s="31"/>
      <c r="B422" s="22"/>
      <c r="C422" s="31"/>
      <c r="D422" s="22"/>
      <c r="E422" s="31"/>
      <c r="F422" s="22"/>
    </row>
    <row r="423" ht="15.75" customHeight="1">
      <c r="A423" s="31"/>
      <c r="B423" s="22"/>
      <c r="C423" s="31"/>
      <c r="D423" s="22"/>
      <c r="E423" s="31"/>
      <c r="F423" s="22"/>
    </row>
    <row r="424" ht="15.75" customHeight="1">
      <c r="A424" s="31"/>
      <c r="B424" s="22"/>
      <c r="C424" s="31"/>
      <c r="D424" s="22"/>
      <c r="E424" s="31"/>
      <c r="F424" s="22"/>
    </row>
    <row r="425" ht="15.75" customHeight="1">
      <c r="A425" s="31"/>
      <c r="B425" s="22"/>
      <c r="C425" s="31"/>
      <c r="D425" s="22"/>
      <c r="E425" s="31"/>
      <c r="F425" s="22"/>
    </row>
    <row r="426" ht="15.75" customHeight="1">
      <c r="A426" s="31"/>
      <c r="B426" s="22"/>
      <c r="C426" s="31"/>
      <c r="D426" s="22"/>
      <c r="E426" s="31"/>
      <c r="F426" s="22"/>
    </row>
    <row r="427" ht="15.75" customHeight="1">
      <c r="A427" s="31"/>
      <c r="B427" s="22"/>
      <c r="C427" s="31"/>
      <c r="D427" s="22"/>
      <c r="E427" s="31"/>
      <c r="F427" s="22"/>
    </row>
    <row r="428" ht="15.75" customHeight="1">
      <c r="A428" s="31"/>
      <c r="B428" s="22"/>
      <c r="C428" s="31"/>
      <c r="D428" s="22"/>
      <c r="E428" s="31"/>
      <c r="F428" s="22"/>
    </row>
    <row r="429" ht="15.75" customHeight="1">
      <c r="A429" s="31"/>
      <c r="B429" s="22"/>
      <c r="C429" s="31"/>
      <c r="D429" s="22"/>
      <c r="E429" s="31"/>
      <c r="F429" s="22"/>
    </row>
    <row r="430" ht="15.75" customHeight="1">
      <c r="A430" s="31"/>
      <c r="B430" s="22"/>
      <c r="C430" s="31"/>
      <c r="D430" s="22"/>
      <c r="E430" s="31"/>
      <c r="F430" s="22"/>
    </row>
    <row r="431" ht="15.75" customHeight="1">
      <c r="A431" s="31"/>
      <c r="B431" s="22"/>
      <c r="C431" s="31"/>
      <c r="D431" s="22"/>
      <c r="E431" s="31"/>
      <c r="F431" s="22"/>
    </row>
    <row r="432" ht="15.75" customHeight="1">
      <c r="A432" s="31"/>
      <c r="B432" s="22"/>
      <c r="C432" s="31"/>
      <c r="D432" s="22"/>
      <c r="E432" s="31"/>
      <c r="F432" s="22"/>
    </row>
    <row r="433" ht="15.75" customHeight="1">
      <c r="A433" s="31"/>
      <c r="B433" s="22"/>
      <c r="C433" s="31"/>
      <c r="D433" s="22"/>
      <c r="E433" s="31"/>
      <c r="F433" s="22"/>
    </row>
    <row r="434" ht="15.75" customHeight="1">
      <c r="A434" s="31"/>
      <c r="B434" s="22"/>
      <c r="C434" s="31"/>
      <c r="D434" s="22"/>
      <c r="E434" s="31"/>
      <c r="F434" s="22"/>
    </row>
    <row r="435" ht="15.75" customHeight="1">
      <c r="A435" s="31"/>
      <c r="B435" s="22"/>
      <c r="C435" s="31"/>
      <c r="D435" s="22"/>
      <c r="E435" s="31"/>
      <c r="F435" s="22"/>
    </row>
    <row r="436" ht="15.75" customHeight="1">
      <c r="A436" s="31"/>
      <c r="B436" s="22"/>
      <c r="C436" s="31"/>
      <c r="D436" s="22"/>
      <c r="E436" s="31"/>
      <c r="F436" s="22"/>
    </row>
    <row r="437" ht="15.75" customHeight="1">
      <c r="A437" s="31"/>
      <c r="B437" s="22"/>
      <c r="C437" s="31"/>
      <c r="D437" s="22"/>
      <c r="E437" s="31"/>
      <c r="F437" s="22"/>
    </row>
    <row r="438" ht="15.75" customHeight="1">
      <c r="A438" s="31"/>
      <c r="B438" s="22"/>
      <c r="C438" s="31"/>
      <c r="D438" s="22"/>
      <c r="E438" s="31"/>
      <c r="F438" s="22"/>
    </row>
    <row r="439" ht="15.75" customHeight="1">
      <c r="A439" s="31"/>
      <c r="B439" s="22"/>
      <c r="C439" s="31"/>
      <c r="D439" s="22"/>
      <c r="E439" s="31"/>
      <c r="F439" s="22"/>
    </row>
    <row r="440" ht="15.75" customHeight="1">
      <c r="A440" s="31"/>
      <c r="B440" s="22"/>
      <c r="C440" s="31"/>
      <c r="D440" s="22"/>
      <c r="E440" s="31"/>
      <c r="F440" s="22"/>
    </row>
    <row r="441" ht="15.75" customHeight="1">
      <c r="A441" s="31"/>
      <c r="B441" s="22"/>
      <c r="C441" s="31"/>
      <c r="D441" s="22"/>
      <c r="E441" s="31"/>
      <c r="F441" s="22"/>
    </row>
    <row r="442" ht="15.75" customHeight="1">
      <c r="A442" s="31"/>
      <c r="B442" s="22"/>
      <c r="C442" s="31"/>
      <c r="D442" s="22"/>
      <c r="E442" s="31"/>
      <c r="F442" s="22"/>
    </row>
    <row r="443" ht="15.75" customHeight="1">
      <c r="A443" s="31"/>
      <c r="B443" s="22"/>
      <c r="C443" s="31"/>
      <c r="D443" s="22"/>
      <c r="E443" s="31"/>
      <c r="F443" s="22"/>
    </row>
    <row r="444" ht="15.75" customHeight="1">
      <c r="A444" s="31"/>
      <c r="B444" s="22"/>
      <c r="C444" s="31"/>
      <c r="D444" s="22"/>
      <c r="E444" s="31"/>
      <c r="F444" s="22"/>
    </row>
    <row r="445" ht="15.75" customHeight="1">
      <c r="A445" s="31"/>
      <c r="B445" s="22"/>
      <c r="C445" s="31"/>
      <c r="D445" s="22"/>
      <c r="E445" s="31"/>
      <c r="F445" s="22"/>
    </row>
    <row r="446" ht="15.75" customHeight="1">
      <c r="A446" s="31"/>
      <c r="B446" s="22"/>
      <c r="C446" s="31"/>
      <c r="D446" s="22"/>
      <c r="E446" s="31"/>
      <c r="F446" s="22"/>
    </row>
    <row r="447" ht="15.75" customHeight="1">
      <c r="A447" s="31"/>
      <c r="B447" s="22"/>
      <c r="C447" s="31"/>
      <c r="D447" s="22"/>
      <c r="E447" s="31"/>
      <c r="F447" s="22"/>
    </row>
    <row r="448" ht="15.75" customHeight="1">
      <c r="A448" s="31"/>
      <c r="B448" s="22"/>
      <c r="C448" s="31"/>
      <c r="D448" s="22"/>
      <c r="E448" s="31"/>
      <c r="F448" s="22"/>
    </row>
    <row r="449" ht="15.75" customHeight="1">
      <c r="A449" s="31"/>
      <c r="B449" s="22"/>
      <c r="C449" s="31"/>
      <c r="D449" s="22"/>
      <c r="E449" s="31"/>
      <c r="F449" s="22"/>
    </row>
    <row r="450" ht="15.75" customHeight="1">
      <c r="A450" s="31"/>
      <c r="B450" s="22"/>
      <c r="C450" s="31"/>
      <c r="D450" s="22"/>
      <c r="E450" s="31"/>
      <c r="F450" s="22"/>
    </row>
    <row r="451" ht="15.75" customHeight="1">
      <c r="A451" s="31"/>
      <c r="B451" s="22"/>
      <c r="C451" s="31"/>
      <c r="D451" s="22"/>
      <c r="E451" s="31"/>
      <c r="F451" s="22"/>
    </row>
    <row r="452" ht="15.75" customHeight="1">
      <c r="A452" s="31"/>
      <c r="B452" s="22"/>
      <c r="C452" s="31"/>
      <c r="D452" s="22"/>
      <c r="E452" s="31"/>
      <c r="F452" s="22"/>
    </row>
    <row r="453" ht="15.75" customHeight="1">
      <c r="A453" s="31"/>
      <c r="B453" s="22"/>
      <c r="C453" s="31"/>
      <c r="D453" s="22"/>
      <c r="E453" s="31"/>
      <c r="F453" s="22"/>
    </row>
    <row r="454" ht="15.75" customHeight="1">
      <c r="A454" s="31"/>
      <c r="B454" s="22"/>
      <c r="C454" s="31"/>
      <c r="D454" s="22"/>
      <c r="E454" s="31"/>
      <c r="F454" s="22"/>
    </row>
    <row r="455" ht="15.75" customHeight="1">
      <c r="A455" s="31"/>
      <c r="B455" s="22"/>
      <c r="C455" s="31"/>
      <c r="D455" s="22"/>
      <c r="E455" s="31"/>
      <c r="F455" s="22"/>
    </row>
    <row r="456" ht="15.75" customHeight="1">
      <c r="A456" s="31"/>
      <c r="B456" s="22"/>
      <c r="C456" s="31"/>
      <c r="D456" s="22"/>
      <c r="E456" s="31"/>
      <c r="F456" s="22"/>
    </row>
    <row r="457" ht="15.75" customHeight="1">
      <c r="A457" s="31"/>
      <c r="B457" s="22"/>
      <c r="C457" s="31"/>
      <c r="D457" s="22"/>
      <c r="E457" s="31"/>
      <c r="F457" s="22"/>
    </row>
    <row r="458" ht="15.75" customHeight="1">
      <c r="A458" s="31"/>
      <c r="B458" s="22"/>
      <c r="C458" s="31"/>
      <c r="D458" s="22"/>
      <c r="E458" s="31"/>
      <c r="F458" s="22"/>
    </row>
    <row r="459" ht="15.75" customHeight="1">
      <c r="A459" s="31"/>
      <c r="B459" s="22"/>
      <c r="C459" s="31"/>
      <c r="D459" s="22"/>
      <c r="E459" s="31"/>
      <c r="F459" s="22"/>
    </row>
    <row r="460" ht="15.75" customHeight="1">
      <c r="A460" s="31"/>
      <c r="B460" s="22"/>
      <c r="C460" s="31"/>
      <c r="D460" s="22"/>
      <c r="E460" s="31"/>
      <c r="F460" s="22"/>
    </row>
    <row r="461" ht="15.75" customHeight="1">
      <c r="A461" s="31"/>
      <c r="B461" s="22"/>
      <c r="C461" s="31"/>
      <c r="D461" s="22"/>
      <c r="E461" s="31"/>
      <c r="F461" s="22"/>
    </row>
    <row r="462" ht="15.75" customHeight="1">
      <c r="A462" s="31"/>
      <c r="B462" s="22"/>
      <c r="C462" s="31"/>
      <c r="D462" s="22"/>
      <c r="E462" s="31"/>
      <c r="F462" s="22"/>
    </row>
    <row r="463" ht="15.75" customHeight="1">
      <c r="A463" s="31"/>
      <c r="B463" s="22"/>
      <c r="C463" s="31"/>
      <c r="D463" s="22"/>
      <c r="E463" s="31"/>
      <c r="F463" s="22"/>
    </row>
    <row r="464" ht="15.75" customHeight="1">
      <c r="A464" s="31"/>
      <c r="B464" s="22"/>
      <c r="C464" s="31"/>
      <c r="D464" s="22"/>
      <c r="E464" s="31"/>
      <c r="F464" s="22"/>
    </row>
    <row r="465" ht="15.75" customHeight="1">
      <c r="A465" s="31"/>
      <c r="B465" s="22"/>
      <c r="C465" s="31"/>
      <c r="D465" s="22"/>
      <c r="E465" s="31"/>
      <c r="F465" s="22"/>
    </row>
    <row r="466" ht="15.75" customHeight="1">
      <c r="A466" s="31"/>
      <c r="B466" s="22"/>
      <c r="C466" s="31"/>
      <c r="D466" s="22"/>
      <c r="E466" s="31"/>
      <c r="F466" s="22"/>
    </row>
    <row r="467" ht="15.75" customHeight="1">
      <c r="A467" s="31"/>
      <c r="B467" s="22"/>
      <c r="C467" s="31"/>
      <c r="D467" s="22"/>
      <c r="E467" s="31"/>
      <c r="F467" s="22"/>
    </row>
    <row r="468" ht="15.75" customHeight="1">
      <c r="A468" s="31"/>
      <c r="B468" s="22"/>
      <c r="C468" s="31"/>
      <c r="D468" s="22"/>
      <c r="E468" s="31"/>
      <c r="F468" s="22"/>
    </row>
    <row r="469" ht="15.75" customHeight="1">
      <c r="A469" s="31"/>
      <c r="B469" s="22"/>
      <c r="C469" s="31"/>
      <c r="D469" s="22"/>
      <c r="E469" s="31"/>
      <c r="F469" s="22"/>
    </row>
    <row r="470" ht="15.75" customHeight="1">
      <c r="A470" s="31"/>
      <c r="B470" s="22"/>
      <c r="C470" s="31"/>
      <c r="D470" s="22"/>
      <c r="E470" s="31"/>
      <c r="F470" s="22"/>
    </row>
    <row r="471" ht="15.75" customHeight="1">
      <c r="A471" s="31"/>
      <c r="B471" s="22"/>
      <c r="C471" s="31"/>
      <c r="D471" s="22"/>
      <c r="E471" s="31"/>
      <c r="F471" s="22"/>
    </row>
    <row r="472" ht="15.75" customHeight="1">
      <c r="A472" s="31"/>
      <c r="B472" s="22"/>
      <c r="C472" s="31"/>
      <c r="D472" s="22"/>
      <c r="E472" s="31"/>
      <c r="F472" s="22"/>
    </row>
    <row r="473" ht="15.75" customHeight="1">
      <c r="A473" s="31"/>
      <c r="B473" s="22"/>
      <c r="C473" s="31"/>
      <c r="D473" s="22"/>
      <c r="E473" s="31"/>
      <c r="F473" s="22"/>
    </row>
    <row r="474" ht="15.75" customHeight="1">
      <c r="A474" s="31"/>
      <c r="B474" s="22"/>
      <c r="C474" s="31"/>
      <c r="D474" s="22"/>
      <c r="E474" s="31"/>
      <c r="F474" s="22"/>
    </row>
    <row r="475" ht="15.75" customHeight="1">
      <c r="A475" s="31"/>
      <c r="B475" s="22"/>
      <c r="C475" s="31"/>
      <c r="D475" s="22"/>
      <c r="E475" s="31"/>
      <c r="F475" s="22"/>
    </row>
    <row r="476" ht="15.75" customHeight="1">
      <c r="A476" s="31"/>
      <c r="B476" s="22"/>
      <c r="C476" s="31"/>
      <c r="D476" s="22"/>
      <c r="E476" s="31"/>
      <c r="F476" s="22"/>
    </row>
    <row r="477" ht="15.75" customHeight="1">
      <c r="A477" s="31"/>
      <c r="B477" s="22"/>
      <c r="C477" s="31"/>
      <c r="D477" s="22"/>
      <c r="E477" s="31"/>
      <c r="F477" s="22"/>
    </row>
    <row r="478" ht="15.75" customHeight="1">
      <c r="A478" s="31"/>
      <c r="B478" s="22"/>
      <c r="C478" s="31"/>
      <c r="D478" s="22"/>
      <c r="E478" s="31"/>
      <c r="F478" s="22"/>
    </row>
    <row r="479" ht="15.75" customHeight="1">
      <c r="A479" s="31"/>
      <c r="B479" s="22"/>
      <c r="C479" s="31"/>
      <c r="D479" s="22"/>
      <c r="E479" s="31"/>
      <c r="F479" s="22"/>
    </row>
    <row r="480" ht="15.75" customHeight="1">
      <c r="A480" s="31"/>
      <c r="B480" s="22"/>
      <c r="C480" s="31"/>
      <c r="D480" s="22"/>
      <c r="E480" s="31"/>
      <c r="F480" s="22"/>
    </row>
    <row r="481" ht="15.75" customHeight="1">
      <c r="A481" s="31"/>
      <c r="B481" s="22"/>
      <c r="C481" s="31"/>
      <c r="D481" s="22"/>
      <c r="E481" s="31"/>
      <c r="F481" s="22"/>
    </row>
    <row r="482" ht="15.75" customHeight="1">
      <c r="A482" s="31"/>
      <c r="B482" s="22"/>
      <c r="C482" s="31"/>
      <c r="D482" s="22"/>
      <c r="E482" s="31"/>
      <c r="F482" s="22"/>
    </row>
    <row r="483" ht="15.75" customHeight="1">
      <c r="A483" s="31"/>
      <c r="B483" s="22"/>
      <c r="C483" s="31"/>
      <c r="D483" s="22"/>
      <c r="E483" s="31"/>
      <c r="F483" s="22"/>
    </row>
    <row r="484" ht="15.75" customHeight="1">
      <c r="A484" s="31"/>
      <c r="B484" s="22"/>
      <c r="C484" s="31"/>
      <c r="D484" s="22"/>
      <c r="E484" s="31"/>
      <c r="F484" s="22"/>
    </row>
    <row r="485" ht="15.75" customHeight="1">
      <c r="A485" s="31"/>
      <c r="B485" s="22"/>
      <c r="C485" s="31"/>
      <c r="D485" s="22"/>
      <c r="E485" s="31"/>
      <c r="F485" s="22"/>
    </row>
    <row r="486" ht="15.75" customHeight="1">
      <c r="A486" s="31"/>
      <c r="B486" s="22"/>
      <c r="C486" s="31"/>
      <c r="D486" s="22"/>
      <c r="E486" s="31"/>
      <c r="F486" s="22"/>
    </row>
    <row r="487" ht="15.75" customHeight="1">
      <c r="A487" s="31"/>
      <c r="B487" s="22"/>
      <c r="C487" s="31"/>
      <c r="D487" s="22"/>
      <c r="E487" s="31"/>
      <c r="F487" s="22"/>
    </row>
    <row r="488" ht="15.75" customHeight="1">
      <c r="A488" s="31"/>
      <c r="B488" s="22"/>
      <c r="C488" s="31"/>
      <c r="D488" s="22"/>
      <c r="E488" s="31"/>
      <c r="F488" s="22"/>
    </row>
    <row r="489" ht="15.75" customHeight="1">
      <c r="A489" s="31"/>
      <c r="B489" s="22"/>
      <c r="C489" s="31"/>
      <c r="D489" s="22"/>
      <c r="E489" s="31"/>
      <c r="F489" s="22"/>
    </row>
    <row r="490" ht="15.75" customHeight="1">
      <c r="A490" s="31"/>
      <c r="B490" s="22"/>
      <c r="C490" s="31"/>
      <c r="D490" s="22"/>
      <c r="E490" s="31"/>
      <c r="F490" s="22"/>
    </row>
    <row r="491" ht="15.75" customHeight="1">
      <c r="A491" s="31"/>
      <c r="B491" s="22"/>
      <c r="C491" s="31"/>
      <c r="D491" s="22"/>
      <c r="E491" s="31"/>
      <c r="F491" s="22"/>
    </row>
    <row r="492" ht="15.75" customHeight="1">
      <c r="A492" s="31"/>
      <c r="B492" s="22"/>
      <c r="C492" s="31"/>
      <c r="D492" s="22"/>
      <c r="E492" s="31"/>
      <c r="F492" s="22"/>
    </row>
    <row r="493" ht="15.75" customHeight="1">
      <c r="A493" s="31"/>
      <c r="B493" s="22"/>
      <c r="C493" s="31"/>
      <c r="D493" s="22"/>
      <c r="E493" s="31"/>
      <c r="F493" s="22"/>
    </row>
    <row r="494" ht="15.75" customHeight="1">
      <c r="A494" s="31"/>
      <c r="B494" s="22"/>
      <c r="C494" s="31"/>
      <c r="D494" s="22"/>
      <c r="E494" s="31"/>
      <c r="F494" s="22"/>
    </row>
    <row r="495" ht="15.75" customHeight="1">
      <c r="A495" s="31"/>
      <c r="B495" s="22"/>
      <c r="C495" s="31"/>
      <c r="D495" s="22"/>
      <c r="E495" s="31"/>
      <c r="F495" s="22"/>
    </row>
    <row r="496" ht="15.75" customHeight="1">
      <c r="A496" s="31"/>
      <c r="B496" s="22"/>
      <c r="C496" s="31"/>
      <c r="D496" s="22"/>
      <c r="E496" s="31"/>
      <c r="F496" s="22"/>
    </row>
    <row r="497" ht="15.75" customHeight="1">
      <c r="A497" s="31"/>
      <c r="B497" s="22"/>
      <c r="C497" s="31"/>
      <c r="D497" s="22"/>
      <c r="E497" s="31"/>
      <c r="F497" s="22"/>
    </row>
    <row r="498" ht="15.75" customHeight="1">
      <c r="A498" s="31"/>
      <c r="B498" s="22"/>
      <c r="C498" s="31"/>
      <c r="D498" s="22"/>
      <c r="E498" s="31"/>
      <c r="F498" s="22"/>
    </row>
    <row r="499" ht="15.75" customHeight="1">
      <c r="A499" s="31"/>
      <c r="B499" s="22"/>
      <c r="C499" s="31"/>
      <c r="D499" s="22"/>
      <c r="E499" s="31"/>
      <c r="F499" s="22"/>
    </row>
    <row r="500" ht="15.75" customHeight="1">
      <c r="A500" s="31"/>
      <c r="B500" s="22"/>
      <c r="C500" s="31"/>
      <c r="D500" s="22"/>
      <c r="E500" s="31"/>
      <c r="F500" s="22"/>
    </row>
    <row r="501" ht="15.75" customHeight="1">
      <c r="A501" s="31"/>
      <c r="B501" s="22"/>
      <c r="C501" s="31"/>
      <c r="D501" s="22"/>
      <c r="E501" s="31"/>
      <c r="F501" s="22"/>
    </row>
    <row r="502" ht="15.75" customHeight="1">
      <c r="A502" s="31"/>
      <c r="B502" s="22"/>
      <c r="C502" s="31"/>
      <c r="D502" s="22"/>
      <c r="E502" s="31"/>
      <c r="F502" s="22"/>
    </row>
    <row r="503" ht="15.75" customHeight="1">
      <c r="A503" s="31"/>
      <c r="B503" s="22"/>
      <c r="C503" s="31"/>
      <c r="D503" s="22"/>
      <c r="E503" s="31"/>
      <c r="F503" s="22"/>
    </row>
    <row r="504" ht="15.75" customHeight="1">
      <c r="A504" s="31"/>
      <c r="B504" s="22"/>
      <c r="C504" s="31"/>
      <c r="D504" s="22"/>
      <c r="E504" s="31"/>
      <c r="F504" s="22"/>
    </row>
    <row r="505" ht="15.75" customHeight="1">
      <c r="A505" s="31"/>
      <c r="B505" s="22"/>
      <c r="C505" s="31"/>
      <c r="D505" s="22"/>
      <c r="E505" s="31"/>
      <c r="F505" s="22"/>
    </row>
    <row r="506" ht="15.75" customHeight="1">
      <c r="A506" s="31"/>
      <c r="B506" s="22"/>
      <c r="C506" s="31"/>
      <c r="D506" s="22"/>
      <c r="E506" s="31"/>
      <c r="F506" s="22"/>
    </row>
    <row r="507" ht="15.75" customHeight="1">
      <c r="A507" s="31"/>
      <c r="B507" s="22"/>
      <c r="C507" s="31"/>
      <c r="D507" s="22"/>
      <c r="E507" s="31"/>
      <c r="F507" s="22"/>
    </row>
    <row r="508" ht="15.75" customHeight="1">
      <c r="A508" s="31"/>
      <c r="B508" s="22"/>
      <c r="C508" s="31"/>
      <c r="D508" s="22"/>
      <c r="E508" s="31"/>
      <c r="F508" s="22"/>
    </row>
    <row r="509" ht="15.75" customHeight="1">
      <c r="A509" s="31"/>
      <c r="B509" s="22"/>
      <c r="C509" s="31"/>
      <c r="D509" s="22"/>
      <c r="E509" s="31"/>
      <c r="F509" s="22"/>
    </row>
    <row r="510" ht="15.75" customHeight="1">
      <c r="A510" s="31"/>
      <c r="B510" s="22"/>
      <c r="C510" s="31"/>
      <c r="D510" s="22"/>
      <c r="E510" s="31"/>
      <c r="F510" s="22"/>
    </row>
    <row r="511" ht="15.75" customHeight="1">
      <c r="A511" s="31"/>
      <c r="B511" s="22"/>
      <c r="C511" s="31"/>
      <c r="D511" s="22"/>
      <c r="E511" s="31"/>
      <c r="F511" s="22"/>
    </row>
    <row r="512" ht="15.75" customHeight="1">
      <c r="A512" s="31"/>
      <c r="B512" s="22"/>
      <c r="C512" s="31"/>
      <c r="D512" s="22"/>
      <c r="E512" s="31"/>
      <c r="F512" s="22"/>
    </row>
    <row r="513" ht="15.75" customHeight="1">
      <c r="A513" s="31"/>
      <c r="B513" s="22"/>
      <c r="C513" s="31"/>
      <c r="D513" s="22"/>
      <c r="E513" s="31"/>
      <c r="F513" s="22"/>
    </row>
    <row r="514" ht="15.75" customHeight="1">
      <c r="A514" s="31"/>
      <c r="B514" s="22"/>
      <c r="C514" s="31"/>
      <c r="D514" s="22"/>
      <c r="E514" s="31"/>
      <c r="F514" s="22"/>
    </row>
    <row r="515" ht="15.75" customHeight="1">
      <c r="A515" s="31"/>
      <c r="B515" s="22"/>
      <c r="C515" s="31"/>
      <c r="D515" s="22"/>
      <c r="E515" s="31"/>
      <c r="F515" s="22"/>
    </row>
    <row r="516" ht="15.75" customHeight="1">
      <c r="A516" s="31"/>
      <c r="B516" s="22"/>
      <c r="C516" s="31"/>
      <c r="D516" s="22"/>
      <c r="E516" s="31"/>
      <c r="F516" s="22"/>
    </row>
    <row r="517" ht="15.75" customHeight="1">
      <c r="A517" s="31"/>
      <c r="B517" s="22"/>
      <c r="C517" s="31"/>
      <c r="D517" s="22"/>
      <c r="E517" s="31"/>
      <c r="F517" s="22"/>
    </row>
    <row r="518" ht="15.75" customHeight="1">
      <c r="A518" s="31"/>
      <c r="B518" s="22"/>
      <c r="C518" s="31"/>
      <c r="D518" s="22"/>
      <c r="E518" s="31"/>
      <c r="F518" s="22"/>
    </row>
    <row r="519" ht="15.75" customHeight="1">
      <c r="A519" s="31"/>
      <c r="B519" s="22"/>
      <c r="C519" s="31"/>
      <c r="D519" s="22"/>
      <c r="E519" s="31"/>
      <c r="F519" s="22"/>
    </row>
    <row r="520" ht="15.75" customHeight="1">
      <c r="A520" s="31"/>
      <c r="B520" s="22"/>
      <c r="C520" s="31"/>
      <c r="D520" s="22"/>
      <c r="E520" s="31"/>
      <c r="F520" s="22"/>
    </row>
    <row r="521" ht="15.75" customHeight="1">
      <c r="A521" s="31"/>
      <c r="B521" s="22"/>
      <c r="C521" s="31"/>
      <c r="D521" s="22"/>
      <c r="E521" s="31"/>
      <c r="F521" s="22"/>
    </row>
    <row r="522" ht="15.75" customHeight="1">
      <c r="A522" s="31"/>
      <c r="B522" s="22"/>
      <c r="C522" s="31"/>
      <c r="D522" s="22"/>
      <c r="E522" s="31"/>
      <c r="F522" s="22"/>
    </row>
    <row r="523" ht="15.75" customHeight="1">
      <c r="A523" s="31"/>
      <c r="B523" s="22"/>
      <c r="C523" s="31"/>
      <c r="D523" s="22"/>
      <c r="E523" s="31"/>
      <c r="F523" s="22"/>
    </row>
    <row r="524" ht="15.75" customHeight="1">
      <c r="A524" s="31"/>
      <c r="B524" s="22"/>
      <c r="C524" s="31"/>
      <c r="D524" s="22"/>
      <c r="E524" s="31"/>
      <c r="F524" s="22"/>
    </row>
    <row r="525" ht="15.75" customHeight="1">
      <c r="A525" s="31"/>
      <c r="B525" s="22"/>
      <c r="C525" s="31"/>
      <c r="D525" s="22"/>
      <c r="E525" s="31"/>
      <c r="F525" s="22"/>
    </row>
    <row r="526" ht="15.75" customHeight="1">
      <c r="A526" s="31"/>
      <c r="B526" s="22"/>
      <c r="C526" s="31"/>
      <c r="D526" s="22"/>
      <c r="E526" s="31"/>
      <c r="F526" s="22"/>
    </row>
    <row r="527" ht="15.75" customHeight="1">
      <c r="A527" s="31"/>
      <c r="B527" s="22"/>
      <c r="C527" s="31"/>
      <c r="D527" s="22"/>
      <c r="E527" s="31"/>
      <c r="F527" s="22"/>
    </row>
    <row r="528" ht="15.75" customHeight="1">
      <c r="A528" s="31"/>
      <c r="B528" s="22"/>
      <c r="C528" s="31"/>
      <c r="D528" s="22"/>
      <c r="E528" s="31"/>
      <c r="F528" s="22"/>
    </row>
    <row r="529" ht="15.75" customHeight="1">
      <c r="A529" s="31"/>
      <c r="B529" s="22"/>
      <c r="C529" s="31"/>
      <c r="D529" s="22"/>
      <c r="E529" s="31"/>
      <c r="F529" s="22"/>
    </row>
    <row r="530" ht="15.75" customHeight="1">
      <c r="A530" s="31"/>
      <c r="B530" s="22"/>
      <c r="C530" s="31"/>
      <c r="D530" s="22"/>
      <c r="E530" s="31"/>
      <c r="F530" s="22"/>
    </row>
    <row r="531" ht="15.75" customHeight="1">
      <c r="A531" s="31"/>
      <c r="B531" s="22"/>
      <c r="C531" s="31"/>
      <c r="D531" s="22"/>
      <c r="E531" s="31"/>
      <c r="F531" s="22"/>
    </row>
    <row r="532" ht="15.75" customHeight="1">
      <c r="A532" s="31"/>
      <c r="B532" s="22"/>
      <c r="C532" s="31"/>
      <c r="D532" s="22"/>
      <c r="E532" s="31"/>
      <c r="F532" s="22"/>
    </row>
    <row r="533" ht="15.75" customHeight="1">
      <c r="A533" s="31"/>
      <c r="B533" s="22"/>
      <c r="C533" s="31"/>
      <c r="D533" s="22"/>
      <c r="E533" s="31"/>
      <c r="F533" s="22"/>
    </row>
    <row r="534" ht="15.75" customHeight="1">
      <c r="A534" s="31"/>
      <c r="B534" s="22"/>
      <c r="C534" s="31"/>
      <c r="D534" s="22"/>
      <c r="E534" s="31"/>
      <c r="F534" s="22"/>
    </row>
    <row r="535" ht="15.75" customHeight="1">
      <c r="A535" s="31"/>
      <c r="B535" s="22"/>
      <c r="C535" s="31"/>
      <c r="D535" s="22"/>
      <c r="E535" s="31"/>
      <c r="F535" s="22"/>
    </row>
    <row r="536" ht="15.75" customHeight="1">
      <c r="A536" s="31"/>
      <c r="B536" s="22"/>
      <c r="C536" s="31"/>
      <c r="D536" s="22"/>
      <c r="E536" s="31"/>
      <c r="F536" s="22"/>
    </row>
    <row r="537" ht="15.75" customHeight="1">
      <c r="A537" s="31"/>
      <c r="B537" s="22"/>
      <c r="C537" s="31"/>
      <c r="D537" s="22"/>
      <c r="E537" s="31"/>
      <c r="F537" s="22"/>
    </row>
    <row r="538" ht="15.75" customHeight="1">
      <c r="A538" s="31"/>
      <c r="B538" s="22"/>
      <c r="C538" s="31"/>
      <c r="D538" s="22"/>
      <c r="E538" s="31"/>
      <c r="F538" s="22"/>
    </row>
    <row r="539" ht="15.75" customHeight="1">
      <c r="A539" s="31"/>
      <c r="B539" s="22"/>
      <c r="C539" s="31"/>
      <c r="D539" s="22"/>
      <c r="E539" s="31"/>
      <c r="F539" s="22"/>
    </row>
    <row r="540" ht="15.75" customHeight="1">
      <c r="A540" s="31"/>
      <c r="B540" s="22"/>
      <c r="C540" s="31"/>
      <c r="D540" s="22"/>
      <c r="E540" s="31"/>
      <c r="F540" s="22"/>
    </row>
    <row r="541" ht="15.75" customHeight="1">
      <c r="A541" s="31"/>
      <c r="B541" s="22"/>
      <c r="C541" s="31"/>
      <c r="D541" s="22"/>
      <c r="E541" s="31"/>
      <c r="F541" s="22"/>
    </row>
    <row r="542" ht="15.75" customHeight="1">
      <c r="A542" s="31"/>
      <c r="B542" s="22"/>
      <c r="C542" s="31"/>
      <c r="D542" s="22"/>
      <c r="E542" s="31"/>
      <c r="F542" s="22"/>
    </row>
    <row r="543" ht="15.75" customHeight="1">
      <c r="A543" s="31"/>
      <c r="B543" s="22"/>
      <c r="C543" s="31"/>
      <c r="D543" s="22"/>
      <c r="E543" s="31"/>
      <c r="F543" s="22"/>
    </row>
    <row r="544" ht="15.75" customHeight="1">
      <c r="A544" s="31"/>
      <c r="B544" s="22"/>
      <c r="C544" s="31"/>
      <c r="D544" s="22"/>
      <c r="E544" s="31"/>
      <c r="F544" s="22"/>
    </row>
    <row r="545" ht="15.75" customHeight="1">
      <c r="A545" s="31"/>
      <c r="B545" s="22"/>
      <c r="C545" s="31"/>
      <c r="D545" s="22"/>
      <c r="E545" s="31"/>
      <c r="F545" s="22"/>
    </row>
    <row r="546" ht="15.75" customHeight="1">
      <c r="A546" s="31"/>
      <c r="B546" s="22"/>
      <c r="C546" s="31"/>
      <c r="D546" s="22"/>
      <c r="E546" s="31"/>
      <c r="F546" s="22"/>
    </row>
    <row r="547" ht="15.75" customHeight="1">
      <c r="A547" s="31"/>
      <c r="B547" s="22"/>
      <c r="C547" s="31"/>
      <c r="D547" s="22"/>
      <c r="E547" s="31"/>
      <c r="F547" s="22"/>
    </row>
    <row r="548" ht="15.75" customHeight="1">
      <c r="A548" s="31"/>
      <c r="B548" s="22"/>
      <c r="C548" s="31"/>
      <c r="D548" s="22"/>
      <c r="E548" s="31"/>
      <c r="F548" s="22"/>
    </row>
    <row r="549" ht="15.75" customHeight="1">
      <c r="A549" s="31"/>
      <c r="B549" s="22"/>
      <c r="C549" s="31"/>
      <c r="D549" s="22"/>
      <c r="E549" s="31"/>
      <c r="F549" s="22"/>
    </row>
    <row r="550" ht="15.75" customHeight="1">
      <c r="A550" s="31"/>
      <c r="B550" s="22"/>
      <c r="C550" s="31"/>
      <c r="D550" s="22"/>
      <c r="E550" s="31"/>
      <c r="F550" s="22"/>
    </row>
    <row r="551" ht="15.75" customHeight="1">
      <c r="A551" s="31"/>
      <c r="B551" s="22"/>
      <c r="C551" s="31"/>
      <c r="D551" s="22"/>
      <c r="E551" s="31"/>
      <c r="F551" s="22"/>
    </row>
    <row r="552" ht="15.75" customHeight="1">
      <c r="A552" s="31"/>
      <c r="B552" s="22"/>
      <c r="C552" s="31"/>
      <c r="D552" s="22"/>
      <c r="E552" s="31"/>
      <c r="F552" s="22"/>
    </row>
    <row r="553" ht="15.75" customHeight="1">
      <c r="A553" s="31"/>
      <c r="B553" s="22"/>
      <c r="C553" s="31"/>
      <c r="D553" s="22"/>
      <c r="E553" s="31"/>
      <c r="F553" s="22"/>
    </row>
    <row r="554" ht="15.75" customHeight="1">
      <c r="A554" s="31"/>
      <c r="B554" s="22"/>
      <c r="C554" s="31"/>
      <c r="D554" s="22"/>
      <c r="E554" s="31"/>
      <c r="F554" s="22"/>
    </row>
    <row r="555" ht="15.75" customHeight="1">
      <c r="A555" s="31"/>
      <c r="B555" s="22"/>
      <c r="C555" s="31"/>
      <c r="D555" s="22"/>
      <c r="E555" s="31"/>
      <c r="F555" s="22"/>
    </row>
    <row r="556" ht="15.75" customHeight="1">
      <c r="A556" s="31"/>
      <c r="B556" s="22"/>
      <c r="C556" s="31"/>
      <c r="D556" s="22"/>
      <c r="E556" s="31"/>
      <c r="F556" s="22"/>
    </row>
    <row r="557" ht="15.75" customHeight="1">
      <c r="A557" s="31"/>
      <c r="B557" s="22"/>
      <c r="C557" s="31"/>
      <c r="D557" s="22"/>
      <c r="E557" s="31"/>
      <c r="F557" s="22"/>
    </row>
    <row r="558" ht="15.75" customHeight="1">
      <c r="A558" s="31"/>
      <c r="B558" s="22"/>
      <c r="C558" s="31"/>
      <c r="D558" s="22"/>
      <c r="E558" s="31"/>
      <c r="F558" s="22"/>
    </row>
    <row r="559" ht="15.75" customHeight="1">
      <c r="A559" s="31"/>
      <c r="B559" s="22"/>
      <c r="C559" s="31"/>
      <c r="D559" s="22"/>
      <c r="E559" s="31"/>
      <c r="F559" s="22"/>
    </row>
    <row r="560" ht="15.75" customHeight="1">
      <c r="A560" s="31"/>
      <c r="B560" s="22"/>
      <c r="C560" s="31"/>
      <c r="D560" s="22"/>
      <c r="E560" s="31"/>
      <c r="F560" s="22"/>
    </row>
    <row r="561" ht="15.75" customHeight="1">
      <c r="A561" s="31"/>
      <c r="B561" s="22"/>
      <c r="C561" s="31"/>
      <c r="D561" s="22"/>
      <c r="E561" s="31"/>
      <c r="F561" s="22"/>
    </row>
    <row r="562" ht="15.75" customHeight="1">
      <c r="A562" s="31"/>
      <c r="B562" s="22"/>
      <c r="C562" s="31"/>
      <c r="D562" s="22"/>
      <c r="E562" s="31"/>
      <c r="F562" s="22"/>
    </row>
    <row r="563" ht="15.75" customHeight="1">
      <c r="A563" s="31"/>
      <c r="B563" s="22"/>
      <c r="C563" s="31"/>
      <c r="D563" s="22"/>
      <c r="E563" s="31"/>
      <c r="F563" s="22"/>
    </row>
    <row r="564" ht="15.75" customHeight="1">
      <c r="A564" s="31"/>
      <c r="B564" s="22"/>
      <c r="C564" s="31"/>
      <c r="D564" s="22"/>
      <c r="E564" s="31"/>
      <c r="F564" s="22"/>
    </row>
    <row r="565" ht="15.75" customHeight="1">
      <c r="A565" s="31"/>
      <c r="B565" s="22"/>
      <c r="C565" s="31"/>
      <c r="D565" s="22"/>
      <c r="E565" s="31"/>
      <c r="F565" s="22"/>
    </row>
    <row r="566" ht="15.75" customHeight="1">
      <c r="A566" s="31"/>
      <c r="B566" s="22"/>
      <c r="C566" s="31"/>
      <c r="D566" s="22"/>
      <c r="E566" s="31"/>
      <c r="F566" s="22"/>
    </row>
    <row r="567" ht="15.75" customHeight="1">
      <c r="A567" s="31"/>
      <c r="B567" s="22"/>
      <c r="C567" s="31"/>
      <c r="D567" s="22"/>
      <c r="E567" s="31"/>
      <c r="F567" s="22"/>
    </row>
    <row r="568" ht="15.75" customHeight="1">
      <c r="A568" s="31"/>
      <c r="B568" s="22"/>
      <c r="C568" s="31"/>
      <c r="D568" s="22"/>
      <c r="E568" s="31"/>
      <c r="F568" s="22"/>
    </row>
    <row r="569" ht="15.75" customHeight="1">
      <c r="A569" s="31"/>
      <c r="B569" s="22"/>
      <c r="C569" s="31"/>
      <c r="D569" s="22"/>
      <c r="E569" s="31"/>
      <c r="F569" s="22"/>
    </row>
    <row r="570" ht="15.75" customHeight="1">
      <c r="A570" s="31"/>
      <c r="B570" s="22"/>
      <c r="C570" s="31"/>
      <c r="D570" s="22"/>
      <c r="E570" s="31"/>
      <c r="F570" s="22"/>
    </row>
    <row r="571" ht="15.75" customHeight="1">
      <c r="A571" s="31"/>
      <c r="B571" s="22"/>
      <c r="C571" s="31"/>
      <c r="D571" s="22"/>
      <c r="E571" s="31"/>
      <c r="F571" s="22"/>
    </row>
    <row r="572" ht="15.75" customHeight="1">
      <c r="A572" s="31"/>
      <c r="B572" s="22"/>
      <c r="C572" s="31"/>
      <c r="D572" s="22"/>
      <c r="E572" s="31"/>
      <c r="F572" s="22"/>
    </row>
    <row r="573" ht="15.75" customHeight="1">
      <c r="A573" s="31"/>
      <c r="B573" s="22"/>
      <c r="C573" s="31"/>
      <c r="D573" s="22"/>
      <c r="E573" s="31"/>
      <c r="F573" s="22"/>
    </row>
    <row r="574" ht="15.75" customHeight="1">
      <c r="A574" s="31"/>
      <c r="B574" s="22"/>
      <c r="C574" s="31"/>
      <c r="D574" s="22"/>
      <c r="E574" s="31"/>
      <c r="F574" s="22"/>
    </row>
    <row r="575" ht="15.75" customHeight="1">
      <c r="A575" s="31"/>
      <c r="B575" s="22"/>
      <c r="C575" s="31"/>
      <c r="D575" s="22"/>
      <c r="E575" s="31"/>
      <c r="F575" s="22"/>
    </row>
    <row r="576" ht="15.75" customHeight="1">
      <c r="A576" s="31"/>
      <c r="B576" s="22"/>
      <c r="C576" s="31"/>
      <c r="D576" s="22"/>
      <c r="E576" s="31"/>
      <c r="F576" s="22"/>
    </row>
    <row r="577" ht="15.75" customHeight="1">
      <c r="A577" s="31"/>
      <c r="B577" s="22"/>
      <c r="C577" s="31"/>
      <c r="D577" s="22"/>
      <c r="E577" s="31"/>
      <c r="F577" s="22"/>
    </row>
    <row r="578" ht="15.75" customHeight="1">
      <c r="A578" s="31"/>
      <c r="B578" s="22"/>
      <c r="C578" s="31"/>
      <c r="D578" s="22"/>
      <c r="E578" s="31"/>
      <c r="F578" s="22"/>
    </row>
    <row r="579" ht="15.75" customHeight="1">
      <c r="A579" s="31"/>
      <c r="B579" s="22"/>
      <c r="C579" s="31"/>
      <c r="D579" s="22"/>
      <c r="E579" s="31"/>
      <c r="F579" s="22"/>
    </row>
    <row r="580" ht="15.75" customHeight="1">
      <c r="A580" s="31"/>
      <c r="B580" s="22"/>
      <c r="C580" s="31"/>
      <c r="D580" s="22"/>
      <c r="E580" s="31"/>
      <c r="F580" s="22"/>
    </row>
    <row r="581" ht="15.75" customHeight="1">
      <c r="A581" s="31"/>
      <c r="B581" s="22"/>
      <c r="C581" s="31"/>
      <c r="D581" s="22"/>
      <c r="E581" s="31"/>
      <c r="F581" s="22"/>
    </row>
    <row r="582" ht="15.75" customHeight="1">
      <c r="A582" s="31"/>
      <c r="B582" s="22"/>
      <c r="C582" s="31"/>
      <c r="D582" s="22"/>
      <c r="E582" s="31"/>
      <c r="F582" s="22"/>
    </row>
    <row r="583" ht="15.75" customHeight="1">
      <c r="A583" s="31"/>
      <c r="B583" s="22"/>
      <c r="C583" s="31"/>
      <c r="D583" s="22"/>
      <c r="E583" s="31"/>
      <c r="F583" s="22"/>
    </row>
    <row r="584" ht="15.75" customHeight="1">
      <c r="A584" s="31"/>
      <c r="B584" s="22"/>
      <c r="C584" s="31"/>
      <c r="D584" s="22"/>
      <c r="E584" s="31"/>
      <c r="F584" s="22"/>
    </row>
    <row r="585" ht="15.75" customHeight="1">
      <c r="A585" s="31"/>
      <c r="B585" s="22"/>
      <c r="C585" s="31"/>
      <c r="D585" s="22"/>
      <c r="E585" s="31"/>
      <c r="F585" s="22"/>
    </row>
    <row r="586" ht="15.75" customHeight="1">
      <c r="A586" s="31"/>
      <c r="B586" s="22"/>
      <c r="C586" s="31"/>
      <c r="D586" s="22"/>
      <c r="E586" s="31"/>
      <c r="F586" s="22"/>
    </row>
    <row r="587" ht="15.75" customHeight="1">
      <c r="A587" s="31"/>
      <c r="B587" s="22"/>
      <c r="C587" s="31"/>
      <c r="D587" s="22"/>
      <c r="E587" s="31"/>
      <c r="F587" s="22"/>
    </row>
    <row r="588" ht="15.75" customHeight="1">
      <c r="A588" s="31"/>
      <c r="B588" s="22"/>
      <c r="C588" s="31"/>
      <c r="D588" s="22"/>
      <c r="E588" s="31"/>
      <c r="F588" s="22"/>
    </row>
    <row r="589" ht="15.75" customHeight="1">
      <c r="A589" s="31"/>
      <c r="B589" s="22"/>
      <c r="C589" s="31"/>
      <c r="D589" s="22"/>
      <c r="E589" s="31"/>
      <c r="F589" s="22"/>
    </row>
    <row r="590" ht="15.75" customHeight="1">
      <c r="A590" s="31"/>
      <c r="B590" s="22"/>
      <c r="C590" s="31"/>
      <c r="D590" s="22"/>
      <c r="E590" s="31"/>
      <c r="F590" s="22"/>
    </row>
    <row r="591" ht="15.75" customHeight="1">
      <c r="A591" s="31"/>
      <c r="B591" s="22"/>
      <c r="C591" s="31"/>
      <c r="D591" s="22"/>
      <c r="E591" s="31"/>
      <c r="F591" s="22"/>
    </row>
    <row r="592" ht="15.75" customHeight="1">
      <c r="A592" s="31"/>
      <c r="B592" s="22"/>
      <c r="C592" s="31"/>
      <c r="D592" s="22"/>
      <c r="E592" s="31"/>
      <c r="F592" s="22"/>
    </row>
    <row r="593" ht="15.75" customHeight="1">
      <c r="A593" s="31"/>
      <c r="B593" s="22"/>
      <c r="C593" s="31"/>
      <c r="D593" s="22"/>
      <c r="E593" s="31"/>
      <c r="F593" s="22"/>
    </row>
    <row r="594" ht="15.75" customHeight="1">
      <c r="A594" s="31"/>
      <c r="B594" s="22"/>
      <c r="C594" s="31"/>
      <c r="D594" s="22"/>
      <c r="E594" s="31"/>
      <c r="F594" s="22"/>
    </row>
    <row r="595" ht="15.75" customHeight="1">
      <c r="A595" s="31"/>
      <c r="B595" s="22"/>
      <c r="C595" s="31"/>
      <c r="D595" s="22"/>
      <c r="E595" s="31"/>
      <c r="F595" s="22"/>
    </row>
    <row r="596" ht="15.75" customHeight="1">
      <c r="A596" s="31"/>
      <c r="B596" s="22"/>
      <c r="C596" s="31"/>
      <c r="D596" s="22"/>
      <c r="E596" s="31"/>
      <c r="F596" s="22"/>
    </row>
    <row r="597" ht="15.75" customHeight="1">
      <c r="A597" s="31"/>
      <c r="B597" s="22"/>
      <c r="C597" s="31"/>
      <c r="D597" s="22"/>
      <c r="E597" s="31"/>
      <c r="F597" s="22"/>
    </row>
    <row r="598" ht="15.75" customHeight="1">
      <c r="A598" s="31"/>
      <c r="B598" s="22"/>
      <c r="C598" s="31"/>
      <c r="D598" s="22"/>
      <c r="E598" s="31"/>
      <c r="F598" s="22"/>
    </row>
    <row r="599" ht="15.75" customHeight="1">
      <c r="A599" s="31"/>
      <c r="B599" s="22"/>
      <c r="C599" s="31"/>
      <c r="D599" s="22"/>
      <c r="E599" s="31"/>
      <c r="F599" s="22"/>
    </row>
    <row r="600" ht="15.75" customHeight="1">
      <c r="A600" s="31"/>
      <c r="B600" s="22"/>
      <c r="C600" s="31"/>
      <c r="D600" s="22"/>
      <c r="E600" s="31"/>
      <c r="F600" s="22"/>
    </row>
    <row r="601" ht="15.75" customHeight="1">
      <c r="A601" s="31"/>
      <c r="B601" s="22"/>
      <c r="C601" s="31"/>
      <c r="D601" s="22"/>
      <c r="E601" s="31"/>
      <c r="F601" s="22"/>
    </row>
    <row r="602" ht="15.75" customHeight="1">
      <c r="A602" s="31"/>
      <c r="B602" s="22"/>
      <c r="C602" s="31"/>
      <c r="D602" s="22"/>
      <c r="E602" s="31"/>
      <c r="F602" s="22"/>
    </row>
    <row r="603" ht="15.75" customHeight="1">
      <c r="A603" s="31"/>
      <c r="B603" s="22"/>
      <c r="C603" s="31"/>
      <c r="D603" s="22"/>
      <c r="E603" s="31"/>
      <c r="F603" s="22"/>
    </row>
    <row r="604" ht="15.75" customHeight="1">
      <c r="A604" s="31"/>
      <c r="B604" s="22"/>
      <c r="C604" s="31"/>
      <c r="D604" s="22"/>
      <c r="E604" s="31"/>
      <c r="F604" s="22"/>
    </row>
    <row r="605" ht="15.75" customHeight="1">
      <c r="A605" s="31"/>
      <c r="B605" s="22"/>
      <c r="C605" s="31"/>
      <c r="D605" s="22"/>
      <c r="E605" s="31"/>
      <c r="F605" s="22"/>
    </row>
    <row r="606" ht="15.75" customHeight="1">
      <c r="A606" s="31"/>
      <c r="B606" s="22"/>
      <c r="C606" s="31"/>
      <c r="D606" s="22"/>
      <c r="E606" s="31"/>
      <c r="F606" s="22"/>
    </row>
    <row r="607" ht="15.75" customHeight="1">
      <c r="A607" s="31"/>
      <c r="B607" s="22"/>
      <c r="C607" s="31"/>
      <c r="D607" s="22"/>
      <c r="E607" s="31"/>
      <c r="F607" s="22"/>
    </row>
    <row r="608" ht="15.75" customHeight="1">
      <c r="A608" s="31"/>
      <c r="B608" s="22"/>
      <c r="C608" s="31"/>
      <c r="D608" s="22"/>
      <c r="E608" s="31"/>
      <c r="F608" s="22"/>
    </row>
    <row r="609" ht="15.75" customHeight="1">
      <c r="A609" s="31"/>
      <c r="B609" s="22"/>
      <c r="C609" s="31"/>
      <c r="D609" s="22"/>
      <c r="E609" s="31"/>
      <c r="F609" s="22"/>
    </row>
    <row r="610" ht="15.75" customHeight="1">
      <c r="A610" s="31"/>
      <c r="B610" s="22"/>
      <c r="C610" s="31"/>
      <c r="D610" s="22"/>
      <c r="E610" s="31"/>
      <c r="F610" s="22"/>
    </row>
    <row r="611" ht="15.75" customHeight="1">
      <c r="A611" s="31"/>
      <c r="B611" s="22"/>
      <c r="C611" s="31"/>
      <c r="D611" s="22"/>
      <c r="E611" s="31"/>
      <c r="F611" s="22"/>
    </row>
    <row r="612" ht="15.75" customHeight="1">
      <c r="A612" s="31"/>
      <c r="B612" s="22"/>
      <c r="C612" s="31"/>
      <c r="D612" s="22"/>
      <c r="E612" s="31"/>
      <c r="F612" s="22"/>
    </row>
    <row r="613" ht="15.75" customHeight="1">
      <c r="A613" s="31"/>
      <c r="B613" s="22"/>
      <c r="C613" s="31"/>
      <c r="D613" s="22"/>
      <c r="E613" s="31"/>
      <c r="F613" s="22"/>
    </row>
    <row r="614" ht="15.75" customHeight="1">
      <c r="A614" s="31"/>
      <c r="B614" s="22"/>
      <c r="C614" s="31"/>
      <c r="D614" s="22"/>
      <c r="E614" s="31"/>
      <c r="F614" s="22"/>
    </row>
    <row r="615" ht="15.75" customHeight="1">
      <c r="A615" s="31"/>
      <c r="B615" s="22"/>
      <c r="C615" s="31"/>
      <c r="D615" s="22"/>
      <c r="E615" s="31"/>
      <c r="F615" s="22"/>
    </row>
    <row r="616" ht="15.75" customHeight="1">
      <c r="A616" s="31"/>
      <c r="B616" s="22"/>
      <c r="C616" s="31"/>
      <c r="D616" s="22"/>
      <c r="E616" s="31"/>
      <c r="F616" s="22"/>
    </row>
    <row r="617" ht="15.75" customHeight="1">
      <c r="A617" s="31"/>
      <c r="B617" s="22"/>
      <c r="C617" s="31"/>
      <c r="D617" s="22"/>
      <c r="E617" s="31"/>
      <c r="F617" s="22"/>
    </row>
    <row r="618" ht="15.75" customHeight="1">
      <c r="A618" s="31"/>
      <c r="B618" s="22"/>
      <c r="C618" s="31"/>
      <c r="D618" s="22"/>
      <c r="E618" s="31"/>
      <c r="F618" s="22"/>
    </row>
    <row r="619" ht="15.75" customHeight="1">
      <c r="A619" s="31"/>
      <c r="B619" s="22"/>
      <c r="C619" s="31"/>
      <c r="D619" s="22"/>
      <c r="E619" s="31"/>
      <c r="F619" s="22"/>
    </row>
    <row r="620" ht="15.75" customHeight="1">
      <c r="A620" s="31"/>
      <c r="B620" s="22"/>
      <c r="C620" s="31"/>
      <c r="D620" s="22"/>
      <c r="E620" s="31"/>
      <c r="F620" s="22"/>
    </row>
    <row r="621" ht="15.75" customHeight="1">
      <c r="A621" s="31"/>
      <c r="B621" s="22"/>
      <c r="C621" s="31"/>
      <c r="D621" s="22"/>
      <c r="E621" s="31"/>
      <c r="F621" s="22"/>
    </row>
    <row r="622" ht="15.75" customHeight="1">
      <c r="A622" s="31"/>
      <c r="B622" s="22"/>
      <c r="C622" s="31"/>
      <c r="D622" s="22"/>
      <c r="E622" s="31"/>
      <c r="F622" s="22"/>
    </row>
    <row r="623" ht="15.75" customHeight="1">
      <c r="A623" s="31"/>
      <c r="B623" s="22"/>
      <c r="C623" s="31"/>
      <c r="D623" s="22"/>
      <c r="E623" s="31"/>
      <c r="F623" s="22"/>
    </row>
    <row r="624" ht="15.75" customHeight="1">
      <c r="A624" s="31"/>
      <c r="B624" s="22"/>
      <c r="C624" s="31"/>
      <c r="D624" s="22"/>
      <c r="E624" s="31"/>
      <c r="F624" s="22"/>
    </row>
    <row r="625" ht="15.75" customHeight="1">
      <c r="A625" s="31"/>
      <c r="B625" s="22"/>
      <c r="C625" s="31"/>
      <c r="D625" s="22"/>
      <c r="E625" s="31"/>
      <c r="F625" s="22"/>
    </row>
    <row r="626" ht="15.75" customHeight="1">
      <c r="A626" s="31"/>
      <c r="B626" s="22"/>
      <c r="C626" s="31"/>
      <c r="D626" s="22"/>
      <c r="E626" s="31"/>
      <c r="F626" s="22"/>
    </row>
    <row r="627" ht="15.75" customHeight="1">
      <c r="A627" s="31"/>
      <c r="B627" s="22"/>
      <c r="C627" s="31"/>
      <c r="D627" s="22"/>
      <c r="E627" s="31"/>
      <c r="F627" s="22"/>
    </row>
    <row r="628" ht="15.75" customHeight="1">
      <c r="A628" s="31"/>
      <c r="B628" s="22"/>
      <c r="C628" s="31"/>
      <c r="D628" s="22"/>
      <c r="E628" s="31"/>
      <c r="F628" s="22"/>
    </row>
    <row r="629" ht="15.75" customHeight="1">
      <c r="A629" s="31"/>
      <c r="B629" s="22"/>
      <c r="C629" s="31"/>
      <c r="D629" s="22"/>
      <c r="E629" s="31"/>
      <c r="F629" s="22"/>
    </row>
    <row r="630" ht="15.75" customHeight="1">
      <c r="A630" s="31"/>
      <c r="B630" s="22"/>
      <c r="C630" s="31"/>
      <c r="D630" s="22"/>
      <c r="E630" s="31"/>
      <c r="F630" s="22"/>
    </row>
    <row r="631" ht="15.75" customHeight="1">
      <c r="A631" s="31"/>
      <c r="B631" s="22"/>
      <c r="C631" s="31"/>
      <c r="D631" s="22"/>
      <c r="E631" s="31"/>
      <c r="F631" s="22"/>
    </row>
    <row r="632" ht="15.75" customHeight="1">
      <c r="A632" s="31"/>
      <c r="B632" s="22"/>
      <c r="C632" s="31"/>
      <c r="D632" s="22"/>
      <c r="E632" s="31"/>
      <c r="F632" s="22"/>
    </row>
    <row r="633" ht="15.75" customHeight="1">
      <c r="A633" s="31"/>
      <c r="B633" s="22"/>
      <c r="C633" s="31"/>
      <c r="D633" s="22"/>
      <c r="E633" s="31"/>
      <c r="F633" s="22"/>
    </row>
    <row r="634" ht="15.75" customHeight="1">
      <c r="A634" s="31"/>
      <c r="B634" s="22"/>
      <c r="C634" s="31"/>
      <c r="D634" s="22"/>
      <c r="E634" s="31"/>
      <c r="F634" s="22"/>
    </row>
    <row r="635" ht="15.75" customHeight="1">
      <c r="A635" s="31"/>
      <c r="B635" s="22"/>
      <c r="C635" s="31"/>
      <c r="D635" s="22"/>
      <c r="E635" s="31"/>
      <c r="F635" s="22"/>
    </row>
    <row r="636" ht="15.75" customHeight="1">
      <c r="A636" s="31"/>
      <c r="B636" s="22"/>
      <c r="C636" s="31"/>
      <c r="D636" s="22"/>
      <c r="E636" s="31"/>
      <c r="F636" s="22"/>
    </row>
    <row r="637" ht="15.75" customHeight="1">
      <c r="A637" s="31"/>
      <c r="B637" s="22"/>
      <c r="C637" s="31"/>
      <c r="D637" s="22"/>
      <c r="E637" s="31"/>
      <c r="F637" s="22"/>
    </row>
    <row r="638" ht="15.75" customHeight="1">
      <c r="A638" s="31"/>
      <c r="B638" s="22"/>
      <c r="C638" s="31"/>
      <c r="D638" s="22"/>
      <c r="E638" s="31"/>
      <c r="F638" s="22"/>
    </row>
    <row r="639" ht="15.75" customHeight="1">
      <c r="A639" s="31"/>
      <c r="B639" s="22"/>
      <c r="C639" s="31"/>
      <c r="D639" s="22"/>
      <c r="E639" s="31"/>
      <c r="F639" s="22"/>
    </row>
    <row r="640" ht="15.75" customHeight="1">
      <c r="A640" s="31"/>
      <c r="B640" s="22"/>
      <c r="C640" s="31"/>
      <c r="D640" s="22"/>
      <c r="E640" s="31"/>
      <c r="F640" s="22"/>
    </row>
    <row r="641" ht="15.75" customHeight="1">
      <c r="A641" s="31"/>
      <c r="B641" s="22"/>
      <c r="C641" s="31"/>
      <c r="D641" s="22"/>
      <c r="E641" s="31"/>
      <c r="F641" s="22"/>
    </row>
    <row r="642" ht="15.75" customHeight="1">
      <c r="A642" s="31"/>
      <c r="B642" s="22"/>
      <c r="C642" s="31"/>
      <c r="D642" s="22"/>
      <c r="E642" s="31"/>
      <c r="F642" s="22"/>
    </row>
    <row r="643" ht="15.75" customHeight="1">
      <c r="A643" s="31"/>
      <c r="B643" s="22"/>
      <c r="C643" s="31"/>
      <c r="D643" s="22"/>
      <c r="E643" s="31"/>
      <c r="F643" s="22"/>
    </row>
    <row r="644" ht="15.75" customHeight="1">
      <c r="A644" s="31"/>
      <c r="B644" s="22"/>
      <c r="C644" s="31"/>
      <c r="D644" s="22"/>
      <c r="E644" s="31"/>
      <c r="F644" s="22"/>
    </row>
    <row r="645" ht="15.75" customHeight="1">
      <c r="A645" s="31"/>
      <c r="B645" s="22"/>
      <c r="C645" s="31"/>
      <c r="D645" s="22"/>
      <c r="E645" s="31"/>
      <c r="F645" s="22"/>
    </row>
    <row r="646" ht="15.75" customHeight="1">
      <c r="A646" s="31"/>
      <c r="B646" s="22"/>
      <c r="C646" s="31"/>
      <c r="D646" s="22"/>
      <c r="E646" s="31"/>
      <c r="F646" s="22"/>
    </row>
    <row r="647" ht="15.75" customHeight="1">
      <c r="A647" s="31"/>
      <c r="B647" s="22"/>
      <c r="C647" s="31"/>
      <c r="D647" s="22"/>
      <c r="E647" s="31"/>
      <c r="F647" s="22"/>
    </row>
    <row r="648" ht="15.75" customHeight="1">
      <c r="A648" s="31"/>
      <c r="B648" s="22"/>
      <c r="C648" s="31"/>
      <c r="D648" s="22"/>
      <c r="E648" s="31"/>
      <c r="F648" s="22"/>
    </row>
    <row r="649" ht="15.75" customHeight="1">
      <c r="A649" s="31"/>
      <c r="B649" s="22"/>
      <c r="C649" s="31"/>
      <c r="D649" s="22"/>
      <c r="E649" s="31"/>
      <c r="F649" s="22"/>
    </row>
    <row r="650" ht="15.75" customHeight="1">
      <c r="A650" s="31"/>
      <c r="B650" s="22"/>
      <c r="C650" s="31"/>
      <c r="D650" s="22"/>
      <c r="E650" s="31"/>
      <c r="F650" s="22"/>
    </row>
    <row r="651" ht="15.75" customHeight="1">
      <c r="A651" s="31"/>
      <c r="B651" s="22"/>
      <c r="C651" s="31"/>
      <c r="D651" s="22"/>
      <c r="E651" s="31"/>
      <c r="F651" s="22"/>
    </row>
    <row r="652" ht="15.75" customHeight="1">
      <c r="A652" s="31"/>
      <c r="B652" s="22"/>
      <c r="C652" s="31"/>
      <c r="D652" s="22"/>
      <c r="E652" s="31"/>
      <c r="F652" s="22"/>
    </row>
    <row r="653" ht="15.75" customHeight="1">
      <c r="A653" s="31"/>
      <c r="B653" s="22"/>
      <c r="C653" s="31"/>
      <c r="D653" s="22"/>
      <c r="E653" s="31"/>
      <c r="F653" s="22"/>
    </row>
    <row r="654" ht="15.75" customHeight="1">
      <c r="A654" s="31"/>
      <c r="B654" s="22"/>
      <c r="C654" s="31"/>
      <c r="D654" s="22"/>
      <c r="E654" s="31"/>
      <c r="F654" s="22"/>
    </row>
    <row r="655" ht="15.75" customHeight="1">
      <c r="A655" s="31"/>
      <c r="B655" s="22"/>
      <c r="C655" s="31"/>
      <c r="D655" s="22"/>
      <c r="E655" s="31"/>
      <c r="F655" s="22"/>
    </row>
    <row r="656" ht="15.75" customHeight="1">
      <c r="A656" s="31"/>
      <c r="B656" s="22"/>
      <c r="C656" s="31"/>
      <c r="D656" s="22"/>
      <c r="E656" s="31"/>
      <c r="F656" s="22"/>
    </row>
    <row r="657" ht="15.75" customHeight="1">
      <c r="A657" s="31"/>
      <c r="B657" s="22"/>
      <c r="C657" s="31"/>
      <c r="D657" s="22"/>
      <c r="E657" s="31"/>
      <c r="F657" s="22"/>
    </row>
    <row r="658" ht="15.75" customHeight="1">
      <c r="A658" s="31"/>
      <c r="B658" s="22"/>
      <c r="C658" s="31"/>
      <c r="D658" s="22"/>
      <c r="E658" s="31"/>
      <c r="F658" s="22"/>
    </row>
    <row r="659" ht="15.75" customHeight="1">
      <c r="A659" s="31"/>
      <c r="B659" s="22"/>
      <c r="C659" s="31"/>
      <c r="D659" s="22"/>
      <c r="E659" s="31"/>
      <c r="F659" s="22"/>
    </row>
    <row r="660" ht="15.75" customHeight="1">
      <c r="A660" s="31"/>
      <c r="B660" s="22"/>
      <c r="C660" s="31"/>
      <c r="D660" s="22"/>
      <c r="E660" s="31"/>
      <c r="F660" s="22"/>
    </row>
    <row r="661" ht="15.75" customHeight="1">
      <c r="A661" s="31"/>
      <c r="B661" s="22"/>
      <c r="C661" s="31"/>
      <c r="D661" s="22"/>
      <c r="E661" s="31"/>
      <c r="F661" s="22"/>
    </row>
    <row r="662" ht="15.75" customHeight="1">
      <c r="A662" s="31"/>
      <c r="B662" s="22"/>
      <c r="C662" s="31"/>
      <c r="D662" s="22"/>
      <c r="E662" s="31"/>
      <c r="F662" s="22"/>
    </row>
    <row r="663" ht="15.75" customHeight="1">
      <c r="A663" s="31"/>
      <c r="B663" s="22"/>
      <c r="C663" s="31"/>
      <c r="D663" s="22"/>
      <c r="E663" s="31"/>
      <c r="F663" s="22"/>
    </row>
    <row r="664" ht="15.75" customHeight="1">
      <c r="A664" s="31"/>
      <c r="B664" s="22"/>
      <c r="C664" s="31"/>
      <c r="D664" s="22"/>
      <c r="E664" s="31"/>
      <c r="F664" s="22"/>
    </row>
    <row r="665" ht="15.75" customHeight="1">
      <c r="A665" s="31"/>
      <c r="B665" s="22"/>
      <c r="C665" s="31"/>
      <c r="D665" s="22"/>
      <c r="E665" s="31"/>
      <c r="F665" s="22"/>
    </row>
    <row r="666" ht="15.75" customHeight="1">
      <c r="A666" s="31"/>
      <c r="B666" s="22"/>
      <c r="C666" s="31"/>
      <c r="D666" s="22"/>
      <c r="E666" s="31"/>
      <c r="F666" s="22"/>
    </row>
    <row r="667" ht="15.75" customHeight="1">
      <c r="A667" s="31"/>
      <c r="B667" s="22"/>
      <c r="C667" s="31"/>
      <c r="D667" s="22"/>
      <c r="E667" s="31"/>
      <c r="F667" s="22"/>
    </row>
    <row r="668" ht="15.75" customHeight="1">
      <c r="A668" s="31"/>
      <c r="B668" s="22"/>
      <c r="C668" s="31"/>
      <c r="D668" s="22"/>
      <c r="E668" s="31"/>
      <c r="F668" s="22"/>
    </row>
    <row r="669" ht="15.75" customHeight="1">
      <c r="A669" s="31"/>
      <c r="B669" s="22"/>
      <c r="C669" s="31"/>
      <c r="D669" s="22"/>
      <c r="E669" s="31"/>
      <c r="F669" s="22"/>
    </row>
    <row r="670" ht="15.75" customHeight="1">
      <c r="A670" s="31"/>
      <c r="B670" s="22"/>
      <c r="C670" s="31"/>
      <c r="D670" s="22"/>
      <c r="E670" s="31"/>
      <c r="F670" s="22"/>
    </row>
    <row r="671" ht="15.75" customHeight="1">
      <c r="A671" s="31"/>
      <c r="B671" s="22"/>
      <c r="C671" s="31"/>
      <c r="D671" s="22"/>
      <c r="E671" s="31"/>
      <c r="F671" s="22"/>
    </row>
    <row r="672" ht="15.75" customHeight="1">
      <c r="A672" s="31"/>
      <c r="B672" s="22"/>
      <c r="C672" s="31"/>
      <c r="D672" s="22"/>
      <c r="E672" s="31"/>
      <c r="F672" s="22"/>
    </row>
    <row r="673" ht="15.75" customHeight="1">
      <c r="A673" s="31"/>
      <c r="B673" s="22"/>
      <c r="C673" s="31"/>
      <c r="D673" s="22"/>
      <c r="E673" s="31"/>
      <c r="F673" s="22"/>
    </row>
    <row r="674" ht="15.75" customHeight="1">
      <c r="A674" s="31"/>
      <c r="B674" s="22"/>
      <c r="C674" s="31"/>
      <c r="D674" s="22"/>
      <c r="E674" s="31"/>
      <c r="F674" s="22"/>
    </row>
    <row r="675" ht="15.75" customHeight="1">
      <c r="A675" s="31"/>
      <c r="B675" s="22"/>
      <c r="C675" s="31"/>
      <c r="D675" s="22"/>
      <c r="E675" s="31"/>
      <c r="F675" s="22"/>
    </row>
    <row r="676" ht="15.75" customHeight="1">
      <c r="A676" s="31"/>
      <c r="B676" s="22"/>
      <c r="C676" s="31"/>
      <c r="D676" s="22"/>
      <c r="E676" s="31"/>
      <c r="F676" s="22"/>
    </row>
    <row r="677" ht="15.75" customHeight="1">
      <c r="A677" s="31"/>
      <c r="B677" s="22"/>
      <c r="C677" s="31"/>
      <c r="D677" s="22"/>
      <c r="E677" s="31"/>
      <c r="F677" s="22"/>
    </row>
    <row r="678" ht="15.75" customHeight="1">
      <c r="A678" s="31"/>
      <c r="B678" s="22"/>
      <c r="C678" s="31"/>
      <c r="D678" s="22"/>
      <c r="E678" s="31"/>
      <c r="F678" s="22"/>
    </row>
    <row r="679" ht="15.75" customHeight="1">
      <c r="A679" s="31"/>
      <c r="B679" s="22"/>
      <c r="C679" s="31"/>
      <c r="D679" s="22"/>
      <c r="E679" s="31"/>
      <c r="F679" s="22"/>
    </row>
    <row r="680" ht="15.75" customHeight="1">
      <c r="A680" s="31"/>
      <c r="B680" s="22"/>
      <c r="C680" s="31"/>
      <c r="D680" s="22"/>
      <c r="E680" s="31"/>
      <c r="F680" s="22"/>
    </row>
    <row r="681" ht="15.75" customHeight="1">
      <c r="A681" s="31"/>
      <c r="B681" s="22"/>
      <c r="C681" s="31"/>
      <c r="D681" s="22"/>
      <c r="E681" s="31"/>
      <c r="F681" s="22"/>
    </row>
    <row r="682" ht="15.75" customHeight="1">
      <c r="A682" s="31"/>
      <c r="B682" s="22"/>
      <c r="C682" s="31"/>
      <c r="D682" s="22"/>
      <c r="E682" s="31"/>
      <c r="F682" s="22"/>
    </row>
    <row r="683" ht="15.75" customHeight="1">
      <c r="A683" s="31"/>
      <c r="B683" s="22"/>
      <c r="C683" s="31"/>
      <c r="D683" s="22"/>
      <c r="E683" s="31"/>
      <c r="F683" s="22"/>
    </row>
    <row r="684" ht="15.75" customHeight="1">
      <c r="A684" s="31"/>
      <c r="B684" s="22"/>
      <c r="C684" s="31"/>
      <c r="D684" s="22"/>
      <c r="E684" s="31"/>
      <c r="F684" s="22"/>
    </row>
    <row r="685" ht="15.75" customHeight="1">
      <c r="A685" s="31"/>
      <c r="B685" s="22"/>
      <c r="C685" s="31"/>
      <c r="D685" s="22"/>
      <c r="E685" s="31"/>
      <c r="F685" s="22"/>
    </row>
    <row r="686" ht="15.75" customHeight="1">
      <c r="A686" s="31"/>
      <c r="B686" s="22"/>
      <c r="C686" s="31"/>
      <c r="D686" s="22"/>
      <c r="E686" s="31"/>
      <c r="F686" s="22"/>
    </row>
    <row r="687" ht="15.75" customHeight="1">
      <c r="A687" s="31"/>
      <c r="B687" s="22"/>
      <c r="C687" s="31"/>
      <c r="D687" s="22"/>
      <c r="E687" s="31"/>
      <c r="F687" s="22"/>
    </row>
    <row r="688" ht="15.75" customHeight="1">
      <c r="A688" s="31"/>
      <c r="B688" s="22"/>
      <c r="C688" s="31"/>
      <c r="D688" s="22"/>
      <c r="E688" s="31"/>
      <c r="F688" s="22"/>
    </row>
    <row r="689" ht="15.75" customHeight="1">
      <c r="A689" s="31"/>
      <c r="B689" s="22"/>
      <c r="C689" s="31"/>
      <c r="D689" s="22"/>
      <c r="E689" s="31"/>
      <c r="F689" s="22"/>
    </row>
    <row r="690" ht="15.75" customHeight="1">
      <c r="A690" s="31"/>
      <c r="B690" s="22"/>
      <c r="C690" s="31"/>
      <c r="D690" s="22"/>
      <c r="E690" s="31"/>
      <c r="F690" s="22"/>
    </row>
    <row r="691" ht="15.75" customHeight="1">
      <c r="A691" s="31"/>
      <c r="B691" s="22"/>
      <c r="C691" s="31"/>
      <c r="D691" s="22"/>
      <c r="E691" s="31"/>
      <c r="F691" s="22"/>
    </row>
    <row r="692" ht="15.75" customHeight="1">
      <c r="A692" s="31"/>
      <c r="B692" s="22"/>
      <c r="C692" s="31"/>
      <c r="D692" s="22"/>
      <c r="E692" s="31"/>
      <c r="F692" s="22"/>
    </row>
    <row r="693" ht="15.75" customHeight="1">
      <c r="A693" s="31"/>
      <c r="B693" s="22"/>
      <c r="C693" s="31"/>
      <c r="D693" s="22"/>
      <c r="E693" s="31"/>
      <c r="F693" s="22"/>
    </row>
    <row r="694" ht="15.75" customHeight="1">
      <c r="A694" s="31"/>
      <c r="B694" s="22"/>
      <c r="C694" s="31"/>
      <c r="D694" s="22"/>
      <c r="E694" s="31"/>
      <c r="F694" s="22"/>
    </row>
    <row r="695" ht="15.75" customHeight="1">
      <c r="A695" s="31"/>
      <c r="B695" s="22"/>
      <c r="C695" s="31"/>
      <c r="D695" s="22"/>
      <c r="E695" s="31"/>
      <c r="F695" s="22"/>
    </row>
    <row r="696" ht="15.75" customHeight="1">
      <c r="A696" s="31"/>
      <c r="B696" s="22"/>
      <c r="C696" s="31"/>
      <c r="D696" s="22"/>
      <c r="E696" s="31"/>
      <c r="F696" s="22"/>
    </row>
    <row r="697" ht="15.75" customHeight="1">
      <c r="A697" s="31"/>
      <c r="B697" s="22"/>
      <c r="C697" s="31"/>
      <c r="D697" s="22"/>
      <c r="E697" s="31"/>
      <c r="F697" s="22"/>
    </row>
    <row r="698" ht="15.75" customHeight="1">
      <c r="A698" s="31"/>
      <c r="B698" s="22"/>
      <c r="C698" s="31"/>
      <c r="D698" s="22"/>
      <c r="E698" s="31"/>
      <c r="F698" s="22"/>
    </row>
    <row r="699" ht="15.75" customHeight="1">
      <c r="A699" s="31"/>
      <c r="B699" s="22"/>
      <c r="C699" s="31"/>
      <c r="D699" s="22"/>
      <c r="E699" s="31"/>
      <c r="F699" s="22"/>
    </row>
    <row r="700" ht="15.75" customHeight="1">
      <c r="A700" s="31"/>
      <c r="B700" s="22"/>
      <c r="C700" s="31"/>
      <c r="D700" s="22"/>
      <c r="E700" s="31"/>
      <c r="F700" s="22"/>
    </row>
    <row r="701" ht="15.75" customHeight="1">
      <c r="A701" s="31"/>
      <c r="B701" s="22"/>
      <c r="C701" s="31"/>
      <c r="D701" s="22"/>
      <c r="E701" s="31"/>
      <c r="F701" s="22"/>
    </row>
    <row r="702" ht="15.75" customHeight="1">
      <c r="A702" s="31"/>
      <c r="B702" s="22"/>
      <c r="C702" s="31"/>
      <c r="D702" s="22"/>
      <c r="E702" s="31"/>
      <c r="F702" s="22"/>
    </row>
    <row r="703" ht="15.75" customHeight="1">
      <c r="A703" s="31"/>
      <c r="B703" s="22"/>
      <c r="C703" s="31"/>
      <c r="D703" s="22"/>
      <c r="E703" s="31"/>
      <c r="F703" s="22"/>
    </row>
    <row r="704" ht="15.75" customHeight="1">
      <c r="A704" s="31"/>
      <c r="B704" s="22"/>
      <c r="C704" s="31"/>
      <c r="D704" s="22"/>
      <c r="E704" s="31"/>
      <c r="F704" s="22"/>
    </row>
    <row r="705" ht="15.75" customHeight="1">
      <c r="A705" s="31"/>
      <c r="B705" s="22"/>
      <c r="C705" s="31"/>
      <c r="D705" s="22"/>
      <c r="E705" s="31"/>
      <c r="F705" s="22"/>
    </row>
    <row r="706" ht="15.75" customHeight="1">
      <c r="A706" s="31"/>
      <c r="B706" s="22"/>
      <c r="C706" s="31"/>
      <c r="D706" s="22"/>
      <c r="E706" s="31"/>
      <c r="F706" s="22"/>
    </row>
    <row r="707" ht="15.75" customHeight="1">
      <c r="A707" s="31"/>
      <c r="B707" s="22"/>
      <c r="C707" s="31"/>
      <c r="D707" s="22"/>
      <c r="E707" s="31"/>
      <c r="F707" s="22"/>
    </row>
    <row r="708" ht="15.75" customHeight="1">
      <c r="A708" s="31"/>
      <c r="B708" s="22"/>
      <c r="C708" s="31"/>
      <c r="D708" s="22"/>
      <c r="E708" s="31"/>
      <c r="F708" s="22"/>
    </row>
    <row r="709" ht="15.75" customHeight="1">
      <c r="A709" s="31"/>
      <c r="B709" s="22"/>
      <c r="C709" s="31"/>
      <c r="D709" s="22"/>
      <c r="E709" s="31"/>
      <c r="F709" s="22"/>
    </row>
    <row r="710" ht="15.75" customHeight="1">
      <c r="A710" s="31"/>
      <c r="B710" s="22"/>
      <c r="C710" s="31"/>
      <c r="D710" s="22"/>
      <c r="E710" s="31"/>
      <c r="F710" s="22"/>
    </row>
    <row r="711" ht="15.75" customHeight="1">
      <c r="A711" s="31"/>
      <c r="B711" s="22"/>
      <c r="C711" s="31"/>
      <c r="D711" s="22"/>
      <c r="E711" s="31"/>
      <c r="F711" s="22"/>
    </row>
    <row r="712" ht="15.75" customHeight="1">
      <c r="A712" s="31"/>
      <c r="B712" s="22"/>
      <c r="C712" s="31"/>
      <c r="D712" s="22"/>
      <c r="E712" s="31"/>
      <c r="F712" s="22"/>
    </row>
    <row r="713" ht="15.75" customHeight="1">
      <c r="A713" s="31"/>
      <c r="B713" s="22"/>
      <c r="C713" s="31"/>
      <c r="D713" s="22"/>
      <c r="E713" s="31"/>
      <c r="F713" s="22"/>
    </row>
    <row r="714" ht="15.75" customHeight="1">
      <c r="A714" s="31"/>
      <c r="B714" s="22"/>
      <c r="C714" s="31"/>
      <c r="D714" s="22"/>
      <c r="E714" s="31"/>
      <c r="F714" s="22"/>
    </row>
    <row r="715" ht="15.75" customHeight="1">
      <c r="A715" s="31"/>
      <c r="B715" s="22"/>
      <c r="C715" s="31"/>
      <c r="D715" s="22"/>
      <c r="E715" s="31"/>
      <c r="F715" s="22"/>
    </row>
    <row r="716" ht="15.75" customHeight="1">
      <c r="A716" s="31"/>
      <c r="B716" s="22"/>
      <c r="C716" s="31"/>
      <c r="D716" s="22"/>
      <c r="E716" s="31"/>
      <c r="F716" s="22"/>
    </row>
    <row r="717" ht="15.75" customHeight="1">
      <c r="A717" s="31"/>
      <c r="B717" s="22"/>
      <c r="C717" s="31"/>
      <c r="D717" s="22"/>
      <c r="E717" s="31"/>
      <c r="F717" s="22"/>
    </row>
    <row r="718" ht="15.75" customHeight="1">
      <c r="A718" s="31"/>
      <c r="B718" s="22"/>
      <c r="C718" s="31"/>
      <c r="D718" s="22"/>
      <c r="E718" s="31"/>
      <c r="F718" s="22"/>
    </row>
    <row r="719" ht="15.75" customHeight="1">
      <c r="A719" s="31"/>
      <c r="B719" s="22"/>
      <c r="C719" s="31"/>
      <c r="D719" s="22"/>
      <c r="E719" s="31"/>
      <c r="F719" s="22"/>
    </row>
    <row r="720" ht="15.75" customHeight="1">
      <c r="A720" s="31"/>
      <c r="B720" s="22"/>
      <c r="C720" s="31"/>
      <c r="D720" s="22"/>
      <c r="E720" s="31"/>
      <c r="F720" s="22"/>
    </row>
    <row r="721" ht="15.75" customHeight="1">
      <c r="A721" s="31"/>
      <c r="B721" s="22"/>
      <c r="C721" s="31"/>
      <c r="D721" s="22"/>
      <c r="E721" s="31"/>
      <c r="F721" s="22"/>
    </row>
    <row r="722" ht="15.75" customHeight="1">
      <c r="A722" s="31"/>
      <c r="B722" s="22"/>
      <c r="C722" s="31"/>
      <c r="D722" s="22"/>
      <c r="E722" s="31"/>
      <c r="F722" s="22"/>
    </row>
    <row r="723" ht="15.75" customHeight="1">
      <c r="A723" s="31"/>
      <c r="B723" s="22"/>
      <c r="C723" s="31"/>
      <c r="D723" s="22"/>
      <c r="E723" s="31"/>
      <c r="F723" s="22"/>
    </row>
    <row r="724" ht="15.75" customHeight="1">
      <c r="A724" s="31"/>
      <c r="B724" s="22"/>
      <c r="C724" s="31"/>
      <c r="D724" s="22"/>
      <c r="E724" s="31"/>
      <c r="F724" s="22"/>
    </row>
    <row r="725" ht="15.75" customHeight="1">
      <c r="A725" s="31"/>
      <c r="B725" s="22"/>
      <c r="C725" s="31"/>
      <c r="D725" s="22"/>
      <c r="E725" s="31"/>
      <c r="F725" s="22"/>
    </row>
    <row r="726" ht="15.75" customHeight="1">
      <c r="A726" s="31"/>
      <c r="B726" s="22"/>
      <c r="C726" s="31"/>
      <c r="D726" s="22"/>
      <c r="E726" s="31"/>
      <c r="F726" s="22"/>
    </row>
    <row r="727" ht="15.75" customHeight="1">
      <c r="A727" s="31"/>
      <c r="B727" s="22"/>
      <c r="C727" s="31"/>
      <c r="D727" s="22"/>
      <c r="E727" s="31"/>
      <c r="F727" s="22"/>
    </row>
    <row r="728" ht="15.75" customHeight="1">
      <c r="A728" s="31"/>
      <c r="B728" s="22"/>
      <c r="C728" s="31"/>
      <c r="D728" s="22"/>
      <c r="E728" s="31"/>
      <c r="F728" s="22"/>
    </row>
    <row r="729" ht="15.75" customHeight="1">
      <c r="A729" s="31"/>
      <c r="B729" s="22"/>
      <c r="C729" s="31"/>
      <c r="D729" s="22"/>
      <c r="E729" s="31"/>
      <c r="F729" s="22"/>
    </row>
    <row r="730" ht="15.75" customHeight="1">
      <c r="A730" s="31"/>
      <c r="B730" s="22"/>
      <c r="C730" s="31"/>
      <c r="D730" s="22"/>
      <c r="E730" s="31"/>
      <c r="F730" s="22"/>
    </row>
    <row r="731" ht="15.75" customHeight="1">
      <c r="A731" s="31"/>
      <c r="B731" s="22"/>
      <c r="C731" s="31"/>
      <c r="D731" s="22"/>
      <c r="E731" s="31"/>
      <c r="F731" s="22"/>
    </row>
    <row r="732" ht="15.75" customHeight="1">
      <c r="A732" s="31"/>
      <c r="B732" s="22"/>
      <c r="C732" s="31"/>
      <c r="D732" s="22"/>
      <c r="E732" s="31"/>
      <c r="F732" s="22"/>
    </row>
    <row r="733" ht="15.75" customHeight="1">
      <c r="A733" s="31"/>
      <c r="B733" s="22"/>
      <c r="C733" s="31"/>
      <c r="D733" s="22"/>
      <c r="E733" s="31"/>
      <c r="F733" s="22"/>
    </row>
    <row r="734" ht="15.75" customHeight="1">
      <c r="A734" s="31"/>
      <c r="B734" s="22"/>
      <c r="C734" s="31"/>
      <c r="D734" s="22"/>
      <c r="E734" s="31"/>
      <c r="F734" s="22"/>
    </row>
    <row r="735" ht="15.75" customHeight="1">
      <c r="A735" s="31"/>
      <c r="B735" s="22"/>
      <c r="C735" s="31"/>
      <c r="D735" s="22"/>
      <c r="E735" s="31"/>
      <c r="F735" s="22"/>
    </row>
    <row r="736" ht="15.75" customHeight="1">
      <c r="A736" s="31"/>
      <c r="B736" s="22"/>
      <c r="C736" s="31"/>
      <c r="D736" s="22"/>
      <c r="E736" s="31"/>
      <c r="F736" s="22"/>
    </row>
    <row r="737" ht="15.75" customHeight="1">
      <c r="A737" s="31"/>
      <c r="B737" s="22"/>
      <c r="C737" s="31"/>
      <c r="D737" s="22"/>
      <c r="E737" s="31"/>
      <c r="F737" s="22"/>
    </row>
    <row r="738" ht="15.75" customHeight="1">
      <c r="A738" s="31"/>
      <c r="B738" s="22"/>
      <c r="C738" s="31"/>
      <c r="D738" s="22"/>
      <c r="E738" s="31"/>
      <c r="F738" s="22"/>
    </row>
    <row r="739" ht="15.75" customHeight="1">
      <c r="A739" s="31"/>
      <c r="B739" s="22"/>
      <c r="C739" s="31"/>
      <c r="D739" s="22"/>
      <c r="E739" s="31"/>
      <c r="F739" s="22"/>
    </row>
    <row r="740" ht="15.75" customHeight="1">
      <c r="A740" s="31"/>
      <c r="B740" s="22"/>
      <c r="C740" s="31"/>
      <c r="D740" s="22"/>
      <c r="E740" s="31"/>
      <c r="F740" s="22"/>
    </row>
    <row r="741" ht="15.75" customHeight="1">
      <c r="A741" s="31"/>
      <c r="B741" s="22"/>
      <c r="C741" s="31"/>
      <c r="D741" s="22"/>
      <c r="E741" s="31"/>
      <c r="F741" s="22"/>
    </row>
    <row r="742" ht="15.75" customHeight="1">
      <c r="A742" s="31"/>
      <c r="B742" s="22"/>
      <c r="C742" s="31"/>
      <c r="D742" s="22"/>
      <c r="E742" s="31"/>
      <c r="F742" s="22"/>
    </row>
    <row r="743" ht="15.75" customHeight="1">
      <c r="A743" s="31"/>
      <c r="B743" s="22"/>
      <c r="C743" s="31"/>
      <c r="D743" s="22"/>
      <c r="E743" s="31"/>
      <c r="F743" s="22"/>
    </row>
    <row r="744" ht="15.75" customHeight="1">
      <c r="A744" s="31"/>
      <c r="B744" s="22"/>
      <c r="C744" s="31"/>
      <c r="D744" s="22"/>
      <c r="E744" s="31"/>
      <c r="F744" s="22"/>
    </row>
    <row r="745" ht="15.75" customHeight="1">
      <c r="A745" s="31"/>
      <c r="B745" s="22"/>
      <c r="C745" s="31"/>
      <c r="D745" s="22"/>
      <c r="E745" s="31"/>
      <c r="F745" s="22"/>
    </row>
    <row r="746" ht="15.75" customHeight="1">
      <c r="A746" s="31"/>
      <c r="B746" s="22"/>
      <c r="C746" s="31"/>
      <c r="D746" s="22"/>
      <c r="E746" s="31"/>
      <c r="F746" s="22"/>
    </row>
    <row r="747" ht="15.75" customHeight="1">
      <c r="A747" s="31"/>
      <c r="B747" s="22"/>
      <c r="C747" s="31"/>
      <c r="D747" s="22"/>
      <c r="E747" s="31"/>
      <c r="F747" s="22"/>
    </row>
    <row r="748" ht="15.75" customHeight="1">
      <c r="A748" s="31"/>
      <c r="B748" s="22"/>
      <c r="C748" s="31"/>
      <c r="D748" s="22"/>
      <c r="E748" s="31"/>
      <c r="F748" s="22"/>
    </row>
    <row r="749" ht="15.75" customHeight="1">
      <c r="A749" s="31"/>
      <c r="B749" s="22"/>
      <c r="C749" s="31"/>
      <c r="D749" s="22"/>
      <c r="E749" s="31"/>
      <c r="F749" s="22"/>
    </row>
    <row r="750" ht="15.75" customHeight="1">
      <c r="A750" s="31"/>
      <c r="B750" s="22"/>
      <c r="C750" s="31"/>
      <c r="D750" s="22"/>
      <c r="E750" s="31"/>
      <c r="F750" s="22"/>
    </row>
    <row r="751" ht="15.75" customHeight="1">
      <c r="A751" s="31"/>
      <c r="B751" s="22"/>
      <c r="C751" s="31"/>
      <c r="D751" s="22"/>
      <c r="E751" s="31"/>
      <c r="F751" s="22"/>
    </row>
    <row r="752" ht="15.75" customHeight="1">
      <c r="A752" s="31"/>
      <c r="B752" s="22"/>
      <c r="C752" s="31"/>
      <c r="D752" s="22"/>
      <c r="E752" s="31"/>
      <c r="F752" s="22"/>
    </row>
    <row r="753" ht="15.75" customHeight="1">
      <c r="A753" s="31"/>
      <c r="B753" s="22"/>
      <c r="C753" s="31"/>
      <c r="D753" s="22"/>
      <c r="E753" s="31"/>
      <c r="F753" s="22"/>
    </row>
    <row r="754" ht="15.75" customHeight="1">
      <c r="A754" s="31"/>
      <c r="B754" s="22"/>
      <c r="C754" s="31"/>
      <c r="D754" s="22"/>
      <c r="E754" s="31"/>
      <c r="F754" s="22"/>
    </row>
    <row r="755" ht="15.75" customHeight="1">
      <c r="A755" s="31"/>
      <c r="B755" s="22"/>
      <c r="C755" s="31"/>
      <c r="D755" s="22"/>
      <c r="E755" s="31"/>
      <c r="F755" s="22"/>
    </row>
    <row r="756" ht="15.75" customHeight="1">
      <c r="A756" s="31"/>
      <c r="B756" s="22"/>
      <c r="C756" s="31"/>
      <c r="D756" s="22"/>
      <c r="E756" s="31"/>
      <c r="F756" s="22"/>
    </row>
    <row r="757" ht="15.75" customHeight="1">
      <c r="A757" s="31"/>
      <c r="B757" s="22"/>
      <c r="C757" s="31"/>
      <c r="D757" s="22"/>
      <c r="E757" s="31"/>
      <c r="F757" s="22"/>
    </row>
    <row r="758" ht="15.75" customHeight="1">
      <c r="A758" s="31"/>
      <c r="B758" s="22"/>
      <c r="C758" s="31"/>
      <c r="D758" s="22"/>
      <c r="E758" s="31"/>
      <c r="F758" s="22"/>
    </row>
    <row r="759" ht="15.75" customHeight="1">
      <c r="A759" s="31"/>
      <c r="B759" s="22"/>
      <c r="C759" s="31"/>
      <c r="D759" s="22"/>
      <c r="E759" s="31"/>
      <c r="F759" s="22"/>
    </row>
    <row r="760" ht="15.75" customHeight="1">
      <c r="A760" s="31"/>
      <c r="B760" s="22"/>
      <c r="C760" s="31"/>
      <c r="D760" s="22"/>
      <c r="E760" s="31"/>
      <c r="F760" s="22"/>
    </row>
    <row r="761" ht="15.75" customHeight="1">
      <c r="A761" s="31"/>
      <c r="B761" s="22"/>
      <c r="C761" s="31"/>
      <c r="D761" s="22"/>
      <c r="E761" s="31"/>
      <c r="F761" s="22"/>
    </row>
    <row r="762" ht="15.75" customHeight="1">
      <c r="A762" s="31"/>
      <c r="B762" s="22"/>
      <c r="C762" s="31"/>
      <c r="D762" s="22"/>
      <c r="E762" s="31"/>
      <c r="F762" s="22"/>
    </row>
    <row r="763" ht="15.75" customHeight="1">
      <c r="A763" s="31"/>
      <c r="B763" s="22"/>
      <c r="C763" s="31"/>
      <c r="D763" s="22"/>
      <c r="E763" s="31"/>
      <c r="F763" s="22"/>
    </row>
    <row r="764" ht="15.75" customHeight="1">
      <c r="A764" s="31"/>
      <c r="B764" s="22"/>
      <c r="C764" s="31"/>
      <c r="D764" s="22"/>
      <c r="E764" s="31"/>
      <c r="F764" s="22"/>
    </row>
    <row r="765" ht="15.75" customHeight="1">
      <c r="A765" s="31"/>
      <c r="B765" s="22"/>
      <c r="C765" s="31"/>
      <c r="D765" s="22"/>
      <c r="E765" s="31"/>
      <c r="F765" s="22"/>
    </row>
    <row r="766" ht="15.75" customHeight="1">
      <c r="A766" s="31"/>
      <c r="B766" s="22"/>
      <c r="C766" s="31"/>
      <c r="D766" s="22"/>
      <c r="E766" s="31"/>
      <c r="F766" s="22"/>
    </row>
    <row r="767" ht="15.75" customHeight="1">
      <c r="A767" s="31"/>
      <c r="B767" s="22"/>
      <c r="C767" s="31"/>
      <c r="D767" s="22"/>
      <c r="E767" s="31"/>
      <c r="F767" s="22"/>
    </row>
    <row r="768" ht="15.75" customHeight="1">
      <c r="A768" s="31"/>
      <c r="B768" s="22"/>
      <c r="C768" s="31"/>
      <c r="D768" s="22"/>
      <c r="E768" s="31"/>
      <c r="F768" s="22"/>
    </row>
    <row r="769" ht="15.75" customHeight="1">
      <c r="A769" s="31"/>
      <c r="B769" s="22"/>
      <c r="C769" s="31"/>
      <c r="D769" s="22"/>
      <c r="E769" s="31"/>
      <c r="F769" s="22"/>
    </row>
    <row r="770" ht="15.75" customHeight="1">
      <c r="A770" s="31"/>
      <c r="B770" s="22"/>
      <c r="C770" s="31"/>
      <c r="D770" s="22"/>
      <c r="E770" s="31"/>
      <c r="F770" s="22"/>
    </row>
    <row r="771" ht="15.75" customHeight="1">
      <c r="A771" s="31"/>
      <c r="B771" s="22"/>
      <c r="C771" s="31"/>
      <c r="D771" s="22"/>
      <c r="E771" s="31"/>
      <c r="F771" s="22"/>
    </row>
    <row r="772" ht="15.75" customHeight="1">
      <c r="A772" s="31"/>
      <c r="B772" s="22"/>
      <c r="C772" s="31"/>
      <c r="D772" s="22"/>
      <c r="E772" s="31"/>
    </row>
    <row r="773" ht="15.75" customHeight="1">
      <c r="A773" s="31"/>
      <c r="B773" s="22"/>
      <c r="C773" s="31"/>
      <c r="D773" s="22"/>
      <c r="E773" s="31"/>
    </row>
    <row r="774" ht="15.75" customHeight="1">
      <c r="A774" s="38"/>
      <c r="C774" s="38"/>
      <c r="D774" s="22"/>
      <c r="E774" s="38"/>
    </row>
    <row r="775" ht="15.75" customHeight="1">
      <c r="A775" s="38"/>
      <c r="C775" s="38"/>
      <c r="D775" s="22"/>
      <c r="E775" s="38"/>
    </row>
    <row r="776" ht="15.75" customHeight="1">
      <c r="A776" s="38"/>
      <c r="C776" s="38"/>
      <c r="D776" s="22"/>
      <c r="E776" s="38"/>
    </row>
    <row r="777" ht="15.75" customHeight="1">
      <c r="A777" s="38"/>
      <c r="C777" s="38"/>
      <c r="E777" s="38"/>
    </row>
    <row r="778" ht="15.75" customHeight="1">
      <c r="A778" s="38"/>
      <c r="C778" s="38"/>
      <c r="E778" s="38"/>
    </row>
    <row r="779" ht="15.75" customHeight="1">
      <c r="A779" s="38"/>
      <c r="C779" s="38"/>
      <c r="E779" s="38"/>
    </row>
    <row r="780" ht="15.75" customHeight="1">
      <c r="A780" s="38"/>
      <c r="C780" s="38"/>
      <c r="E780" s="38"/>
    </row>
    <row r="781" ht="15.75" customHeight="1">
      <c r="A781" s="38"/>
      <c r="C781" s="38"/>
      <c r="E781" s="38"/>
    </row>
    <row r="782" ht="15.75" customHeight="1">
      <c r="A782" s="38"/>
      <c r="C782" s="38"/>
      <c r="E782" s="38"/>
    </row>
    <row r="783" ht="15.75" customHeight="1">
      <c r="A783" s="38"/>
      <c r="C783" s="38"/>
      <c r="E783" s="38"/>
    </row>
    <row r="784" ht="15.75" customHeight="1">
      <c r="A784" s="38"/>
      <c r="C784" s="38"/>
    </row>
    <row r="785" ht="15.75" customHeight="1">
      <c r="A785" s="38"/>
      <c r="C785" s="38"/>
    </row>
    <row r="786" ht="15.75" customHeight="1">
      <c r="A786" s="38"/>
      <c r="C786" s="38"/>
    </row>
    <row r="787" ht="15.75" customHeight="1">
      <c r="A787" s="38"/>
      <c r="C787" s="38"/>
    </row>
    <row r="788" ht="15.75" customHeight="1">
      <c r="A788" s="38"/>
      <c r="C788" s="38"/>
    </row>
    <row r="789" ht="15.75" customHeight="1">
      <c r="A789" s="38"/>
      <c r="C789" s="38"/>
    </row>
    <row r="790" ht="15.75" customHeight="1">
      <c r="A790" s="38"/>
    </row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39"/>
      <c r="B1" s="39" t="s">
        <v>92</v>
      </c>
      <c r="D1" s="22" t="s">
        <v>93</v>
      </c>
      <c r="E1" s="22">
        <v>2023.0</v>
      </c>
      <c r="F1" s="22">
        <v>10.0</v>
      </c>
      <c r="G1" s="22">
        <v>1.0</v>
      </c>
      <c r="I1" s="22" t="s">
        <v>94</v>
      </c>
      <c r="J1" s="33" t="s">
        <v>148</v>
      </c>
    </row>
    <row r="2" ht="15.75" customHeight="1">
      <c r="A2" s="39"/>
      <c r="B2" s="39" t="s">
        <v>85</v>
      </c>
      <c r="C2" s="22"/>
      <c r="D2" s="22"/>
      <c r="E2" s="22"/>
      <c r="F2" s="22"/>
      <c r="G2" s="22" t="s">
        <v>85</v>
      </c>
    </row>
    <row r="3" ht="15.75" customHeight="1">
      <c r="A3" s="39"/>
      <c r="B3" s="39" t="s">
        <v>160</v>
      </c>
      <c r="D3" s="22" t="s">
        <v>161</v>
      </c>
    </row>
    <row r="4" ht="15.75" customHeight="1">
      <c r="A4" s="39" t="str">
        <f>IFERROR(__xludf.DUMMYFUNCTION("GOOGLEFINANCE(B$3, ""price"", DATE($E1, $F1, $G1), TODAY(), $J$1)"),"Loading...")</f>
        <v>Loading...</v>
      </c>
      <c r="B4" s="39"/>
      <c r="C4" s="39" t="str">
        <f>IFERROR(__xludf.DUMMYFUNCTION("GOOGLEFINANCE(D$3, ""price"", DATE($E1, $F1, $G1), TODAY(), $J$1)"),"Loading...")</f>
        <v>Loading...</v>
      </c>
      <c r="D4" s="22"/>
      <c r="F4" s="22" t="str">
        <f>B58/B5-1</f>
        <v>#DIV/0!</v>
      </c>
      <c r="H4" s="22" t="str">
        <f>D58/D5-1</f>
        <v>#DIV/0!</v>
      </c>
    </row>
    <row r="5" ht="15.75" customHeight="1">
      <c r="A5" s="40"/>
      <c r="B5" s="41"/>
      <c r="C5" s="25"/>
      <c r="D5" s="22"/>
    </row>
    <row r="6" ht="15.75" customHeight="1">
      <c r="A6" s="40"/>
      <c r="B6" s="41"/>
      <c r="C6" s="25"/>
      <c r="D6" s="22"/>
    </row>
    <row r="7" ht="15.75" customHeight="1">
      <c r="A7" s="40"/>
      <c r="B7" s="41"/>
      <c r="C7" s="25"/>
      <c r="D7" s="22"/>
    </row>
    <row r="8" ht="15.75" customHeight="1">
      <c r="A8" s="40"/>
      <c r="B8" s="41"/>
      <c r="C8" s="25"/>
      <c r="D8" s="22"/>
    </row>
    <row r="9" ht="15.75" customHeight="1">
      <c r="A9" s="40"/>
      <c r="B9" s="41"/>
      <c r="C9" s="25"/>
      <c r="D9" s="22"/>
    </row>
    <row r="10" ht="15.75" customHeight="1">
      <c r="A10" s="25"/>
      <c r="B10" s="22"/>
      <c r="C10" s="25"/>
      <c r="D10" s="22"/>
    </row>
    <row r="11" ht="15.75" customHeight="1">
      <c r="A11" s="25"/>
      <c r="B11" s="22"/>
      <c r="C11" s="25"/>
      <c r="D11" s="22"/>
    </row>
    <row r="12" ht="15.75" customHeight="1">
      <c r="A12" s="25"/>
      <c r="B12" s="22"/>
      <c r="C12" s="25"/>
      <c r="D12" s="22"/>
    </row>
    <row r="13" ht="15.75" customHeight="1">
      <c r="A13" s="25"/>
      <c r="B13" s="22"/>
      <c r="C13" s="25"/>
      <c r="D13" s="22"/>
    </row>
    <row r="14" ht="15.75" customHeight="1">
      <c r="A14" s="25"/>
      <c r="B14" s="22"/>
      <c r="C14" s="25"/>
      <c r="D14" s="22"/>
    </row>
    <row r="15" ht="15.75" customHeight="1">
      <c r="A15" s="25"/>
      <c r="B15" s="22"/>
      <c r="C15" s="25"/>
      <c r="D15" s="22"/>
    </row>
    <row r="16" ht="15.75" customHeight="1">
      <c r="A16" s="25"/>
      <c r="B16" s="22"/>
      <c r="C16" s="25"/>
      <c r="D16" s="22"/>
    </row>
    <row r="17" ht="15.75" customHeight="1">
      <c r="A17" s="25"/>
      <c r="B17" s="22"/>
      <c r="C17" s="25"/>
      <c r="D17" s="22"/>
    </row>
    <row r="18" ht="15.75" customHeight="1">
      <c r="A18" s="25"/>
      <c r="B18" s="22"/>
      <c r="C18" s="25"/>
      <c r="D18" s="22"/>
    </row>
    <row r="19" ht="15.75" customHeight="1">
      <c r="A19" s="25"/>
      <c r="B19" s="22"/>
      <c r="C19" s="25"/>
      <c r="D19" s="22"/>
    </row>
    <row r="20" ht="15.75" customHeight="1">
      <c r="A20" s="25"/>
      <c r="B20" s="22"/>
      <c r="C20" s="25"/>
      <c r="D20" s="22"/>
    </row>
    <row r="21" ht="15.75" customHeight="1">
      <c r="A21" s="25"/>
      <c r="B21" s="22"/>
      <c r="C21" s="25"/>
      <c r="D21" s="22"/>
    </row>
    <row r="22" ht="15.75" customHeight="1">
      <c r="A22" s="25"/>
      <c r="B22" s="22"/>
      <c r="C22" s="25"/>
      <c r="D22" s="22"/>
    </row>
    <row r="23" ht="15.75" customHeight="1">
      <c r="A23" s="25"/>
      <c r="B23" s="22"/>
      <c r="C23" s="25"/>
      <c r="D23" s="22"/>
    </row>
    <row r="24" ht="15.75" customHeight="1">
      <c r="A24" s="25"/>
      <c r="B24" s="22"/>
      <c r="C24" s="25"/>
      <c r="D24" s="22"/>
    </row>
    <row r="25" ht="15.75" customHeight="1">
      <c r="A25" s="25"/>
      <c r="B25" s="22"/>
      <c r="C25" s="25"/>
      <c r="D25" s="22"/>
    </row>
    <row r="26" ht="15.75" customHeight="1">
      <c r="A26" s="25"/>
      <c r="B26" s="22"/>
      <c r="C26" s="25"/>
      <c r="D26" s="22"/>
    </row>
    <row r="27" ht="15.75" customHeight="1">
      <c r="A27" s="25"/>
      <c r="B27" s="22"/>
      <c r="C27" s="25"/>
      <c r="D27" s="22"/>
    </row>
    <row r="28" ht="15.75" customHeight="1">
      <c r="A28" s="25"/>
      <c r="B28" s="22"/>
      <c r="C28" s="25"/>
      <c r="D28" s="22"/>
    </row>
    <row r="29" ht="15.75" customHeight="1">
      <c r="A29" s="25"/>
      <c r="B29" s="22"/>
      <c r="C29" s="25"/>
      <c r="D29" s="22"/>
    </row>
    <row r="30" ht="15.75" customHeight="1">
      <c r="A30" s="25"/>
      <c r="B30" s="22"/>
      <c r="C30" s="25"/>
      <c r="D30" s="22"/>
    </row>
    <row r="31" ht="15.75" customHeight="1">
      <c r="A31" s="25"/>
      <c r="B31" s="22"/>
      <c r="C31" s="25"/>
      <c r="D31" s="22"/>
    </row>
    <row r="32" ht="15.75" customHeight="1">
      <c r="A32" s="25"/>
      <c r="B32" s="22"/>
      <c r="C32" s="25"/>
      <c r="D32" s="22"/>
    </row>
    <row r="33" ht="15.75" customHeight="1">
      <c r="A33" s="25"/>
      <c r="B33" s="22"/>
      <c r="C33" s="25"/>
      <c r="D33" s="22"/>
    </row>
    <row r="34" ht="15.75" customHeight="1">
      <c r="A34" s="25"/>
      <c r="B34" s="22"/>
      <c r="C34" s="25"/>
      <c r="D34" s="22"/>
    </row>
    <row r="35" ht="15.75" customHeight="1">
      <c r="A35" s="25"/>
      <c r="B35" s="22"/>
      <c r="C35" s="25"/>
      <c r="D35" s="22"/>
    </row>
    <row r="36" ht="15.75" customHeight="1">
      <c r="A36" s="25"/>
      <c r="B36" s="22"/>
      <c r="C36" s="25"/>
      <c r="D36" s="22"/>
    </row>
    <row r="37" ht="15.75" customHeight="1">
      <c r="A37" s="25"/>
      <c r="B37" s="22"/>
      <c r="C37" s="25"/>
      <c r="D37" s="22"/>
    </row>
    <row r="38" ht="15.75" customHeight="1">
      <c r="A38" s="25"/>
      <c r="B38" s="22"/>
      <c r="C38" s="25"/>
      <c r="D38" s="22"/>
    </row>
    <row r="39" ht="15.75" customHeight="1">
      <c r="A39" s="25"/>
      <c r="B39" s="22"/>
      <c r="C39" s="25"/>
      <c r="D39" s="22"/>
    </row>
    <row r="40" ht="15.75" customHeight="1">
      <c r="A40" s="25"/>
      <c r="B40" s="22"/>
      <c r="C40" s="25"/>
      <c r="D40" s="22"/>
    </row>
    <row r="41" ht="15.75" customHeight="1">
      <c r="A41" s="25"/>
      <c r="B41" s="22"/>
      <c r="C41" s="25"/>
      <c r="D41" s="22"/>
    </row>
    <row r="42" ht="15.75" customHeight="1">
      <c r="A42" s="25"/>
      <c r="B42" s="22"/>
      <c r="C42" s="25"/>
      <c r="D42" s="22"/>
    </row>
    <row r="43" ht="15.75" customHeight="1">
      <c r="A43" s="25"/>
      <c r="B43" s="22"/>
      <c r="C43" s="25"/>
      <c r="D43" s="22"/>
    </row>
    <row r="44" ht="15.75" customHeight="1">
      <c r="A44" s="25"/>
      <c r="B44" s="22"/>
      <c r="C44" s="25"/>
      <c r="D44" s="22"/>
    </row>
    <row r="45" ht="15.75" customHeight="1">
      <c r="A45" s="25"/>
      <c r="B45" s="22"/>
      <c r="C45" s="25"/>
      <c r="D45" s="22"/>
    </row>
    <row r="46" ht="15.75" customHeight="1">
      <c r="A46" s="25"/>
      <c r="B46" s="22"/>
      <c r="C46" s="25"/>
      <c r="D46" s="22"/>
    </row>
    <row r="47" ht="15.75" customHeight="1">
      <c r="A47" s="25"/>
      <c r="B47" s="22"/>
      <c r="C47" s="25"/>
      <c r="D47" s="22"/>
    </row>
    <row r="48" ht="15.75" customHeight="1">
      <c r="A48" s="25"/>
      <c r="B48" s="22"/>
      <c r="C48" s="25"/>
      <c r="D48" s="22"/>
    </row>
    <row r="49" ht="15.75" customHeight="1">
      <c r="A49" s="25"/>
      <c r="B49" s="22"/>
      <c r="C49" s="25"/>
      <c r="D49" s="22"/>
    </row>
    <row r="50" ht="15.75" customHeight="1">
      <c r="A50" s="25"/>
      <c r="B50" s="22"/>
      <c r="C50" s="25"/>
      <c r="D50" s="22"/>
    </row>
    <row r="51" ht="15.75" customHeight="1">
      <c r="A51" s="25"/>
      <c r="B51" s="22"/>
      <c r="C51" s="25"/>
      <c r="D51" s="22"/>
    </row>
    <row r="52" ht="15.75" customHeight="1">
      <c r="A52" s="25"/>
      <c r="B52" s="22"/>
      <c r="C52" s="25"/>
      <c r="D52" s="22"/>
    </row>
    <row r="53" ht="15.75" customHeight="1">
      <c r="A53" s="25"/>
      <c r="B53" s="22"/>
      <c r="C53" s="25"/>
      <c r="D53" s="22"/>
    </row>
    <row r="54" ht="15.75" customHeight="1">
      <c r="A54" s="25"/>
      <c r="B54" s="22"/>
      <c r="C54" s="25"/>
      <c r="D54" s="22"/>
    </row>
    <row r="55" ht="15.75" customHeight="1">
      <c r="A55" s="25"/>
      <c r="B55" s="22"/>
      <c r="C55" s="25"/>
      <c r="D55" s="22"/>
    </row>
    <row r="56" ht="15.75" customHeight="1">
      <c r="A56" s="25"/>
      <c r="B56" s="22"/>
      <c r="C56" s="25"/>
      <c r="D56" s="22"/>
    </row>
    <row r="57" ht="15.75" customHeight="1">
      <c r="A57" s="25"/>
      <c r="B57" s="22"/>
      <c r="C57" s="25"/>
      <c r="D57" s="22"/>
    </row>
    <row r="58" ht="15.75" customHeight="1">
      <c r="A58" s="25"/>
      <c r="B58" s="22"/>
      <c r="C58" s="25"/>
      <c r="D58" s="22"/>
    </row>
    <row r="59" ht="15.75" customHeight="1">
      <c r="A59" s="25"/>
      <c r="B59" s="22"/>
      <c r="C59" s="25"/>
      <c r="D59" s="2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0"/>
    <col customWidth="1" min="6" max="6" width="20.75"/>
    <col customWidth="1" min="7" max="7" width="24.0"/>
    <col customWidth="1" min="9" max="9" width="17.63"/>
    <col customWidth="1" min="10" max="10" width="16.88"/>
    <col customWidth="1" min="11" max="11" width="17.5"/>
  </cols>
  <sheetData>
    <row r="1" ht="15.75" customHeight="1">
      <c r="A1" s="22" t="str">
        <f>'EQUITY BACKTEST'!A4</f>
        <v>Loading...</v>
      </c>
      <c r="B1" s="22" t="s">
        <v>96</v>
      </c>
      <c r="C1" s="22" t="s">
        <v>162</v>
      </c>
      <c r="D1" s="22" t="s">
        <v>163</v>
      </c>
      <c r="E1" s="22" t="s">
        <v>164</v>
      </c>
      <c r="F1" s="22" t="s">
        <v>165</v>
      </c>
      <c r="G1" s="22" t="s">
        <v>166</v>
      </c>
      <c r="H1" s="22" t="s">
        <v>167</v>
      </c>
      <c r="I1" s="22" t="s">
        <v>168</v>
      </c>
      <c r="J1" s="22" t="s">
        <v>169</v>
      </c>
      <c r="K1" s="22" t="s">
        <v>170</v>
      </c>
      <c r="L1" s="22">
        <v>-0.05</v>
      </c>
    </row>
    <row r="2" ht="15.75" customHeight="1">
      <c r="A2" s="31" t="str">
        <f>'EQUITY BACKTEST'!A5</f>
        <v/>
      </c>
      <c r="B2" s="22" t="str">
        <f>'EQUITY BACKTEST'!B5</f>
        <v/>
      </c>
      <c r="C2" s="22" t="str">
        <f>1/'EQUITY BACKTEST'!E5</f>
        <v>#DIV/0!</v>
      </c>
      <c r="I2" s="22" t="str">
        <f t="shared" ref="I2:I1775" si="1">IF($H2="Crash",100*E2,NA())</f>
        <v>#N/A</v>
      </c>
      <c r="J2" s="22" t="str">
        <f t="shared" ref="J2:J1775" si="2">IF($H2="Crash",100*D2,NA())</f>
        <v>#N/A</v>
      </c>
      <c r="K2" s="22" t="str">
        <f t="array" ref="K2">IF(H2="Crash",MATCH(TRUE, B3:B100 &gt;= B2, 0),"")</f>
        <v/>
      </c>
      <c r="N2" s="22" t="str">
        <f>MEDIAN(K2:K1000)</f>
        <v>#NUM!</v>
      </c>
    </row>
    <row r="3" ht="15.75" customHeight="1">
      <c r="A3" s="31" t="str">
        <f>'EQUITY BACKTEST'!A6</f>
        <v/>
      </c>
      <c r="B3" s="22" t="str">
        <f>'EQUITY BACKTEST'!B6</f>
        <v/>
      </c>
      <c r="C3" s="22" t="str">
        <f>1/'EQUITY BACKTEST'!E6</f>
        <v>#DIV/0!</v>
      </c>
      <c r="E3" s="22" t="str">
        <f t="shared" ref="E3:E1343" si="3">IF(A3&lt;&gt;"", (B3 - B2) / B2, "")</f>
        <v/>
      </c>
      <c r="H3" s="22" t="str">
        <f t="shared" ref="H3:H1343" si="4">IF(E3 &lt; $L$1, "Crash", "")</f>
        <v/>
      </c>
      <c r="I3" s="22" t="str">
        <f t="shared" si="1"/>
        <v>#N/A</v>
      </c>
      <c r="J3" s="22" t="str">
        <f t="shared" si="2"/>
        <v>#N/A</v>
      </c>
      <c r="K3" s="22" t="str">
        <f t="array" ref="K3">IF(H3="Crash",MATCH(TRUE, B4:B101 &gt;= B2, 0),"")</f>
        <v/>
      </c>
      <c r="L3" s="42" t="str">
        <f>AVERAGEIF($I$6:$I$10000, "&lt;&gt;")</f>
        <v>#N/A</v>
      </c>
      <c r="N3" s="22">
        <f>MAX(K2:K1000)</f>
        <v>0</v>
      </c>
    </row>
    <row r="4" ht="15.75" customHeight="1">
      <c r="A4" s="31" t="str">
        <f>'EQUITY BACKTEST'!A7</f>
        <v/>
      </c>
      <c r="B4" s="22" t="str">
        <f>'EQUITY BACKTEST'!B7</f>
        <v/>
      </c>
      <c r="C4" s="22" t="str">
        <f>1/'EQUITY BACKTEST'!E7</f>
        <v>#DIV/0!</v>
      </c>
      <c r="E4" s="22" t="str">
        <f t="shared" si="3"/>
        <v/>
      </c>
      <c r="H4" s="22" t="str">
        <f t="shared" si="4"/>
        <v/>
      </c>
      <c r="I4" s="22" t="str">
        <f t="shared" si="1"/>
        <v>#N/A</v>
      </c>
      <c r="J4" s="22" t="str">
        <f t="shared" si="2"/>
        <v>#N/A</v>
      </c>
      <c r="K4" s="22" t="str">
        <f t="array" ref="K4">IF(H4="Crash",MATCH(TRUE, B5:B102 &gt;= B3, 0),"")</f>
        <v/>
      </c>
    </row>
    <row r="5" ht="15.75" customHeight="1">
      <c r="A5" s="31" t="str">
        <f>'EQUITY BACKTEST'!A8</f>
        <v/>
      </c>
      <c r="B5" s="22" t="str">
        <f>'EQUITY BACKTEST'!B8</f>
        <v/>
      </c>
      <c r="C5" s="22" t="str">
        <f>1/'EQUITY BACKTEST'!E8</f>
        <v>#DIV/0!</v>
      </c>
      <c r="E5" s="22" t="str">
        <f t="shared" si="3"/>
        <v/>
      </c>
      <c r="H5" s="22" t="str">
        <f t="shared" si="4"/>
        <v/>
      </c>
      <c r="I5" s="22" t="str">
        <f t="shared" si="1"/>
        <v>#N/A</v>
      </c>
      <c r="J5" s="22" t="str">
        <f t="shared" si="2"/>
        <v>#N/A</v>
      </c>
      <c r="K5" s="22" t="str">
        <f t="array" ref="K5">IF(H5="Crash",MATCH(TRUE, B6:B103 &gt;= B4, 0),"")</f>
        <v/>
      </c>
    </row>
    <row r="6" ht="15.75" customHeight="1">
      <c r="A6" s="31" t="str">
        <f>'EQUITY BACKTEST'!A9</f>
        <v/>
      </c>
      <c r="B6" s="22" t="str">
        <f>'EQUITY BACKTEST'!B9</f>
        <v/>
      </c>
      <c r="C6" s="22" t="str">
        <f>1/'EQUITY BACKTEST'!E9</f>
        <v>#DIV/0!</v>
      </c>
      <c r="E6" s="22" t="str">
        <f t="shared" si="3"/>
        <v/>
      </c>
      <c r="H6" s="22" t="str">
        <f t="shared" si="4"/>
        <v/>
      </c>
      <c r="I6" s="22" t="str">
        <f t="shared" si="1"/>
        <v>#N/A</v>
      </c>
      <c r="J6" s="22" t="str">
        <f t="shared" si="2"/>
        <v>#N/A</v>
      </c>
      <c r="K6" s="22" t="str">
        <f t="array" ref="K6">IF(H6="Crash",MATCH(TRUE, B7:B104 &gt;= B5, 0),"")</f>
        <v/>
      </c>
    </row>
    <row r="7" ht="15.75" customHeight="1">
      <c r="A7" s="31" t="str">
        <f>'EQUITY BACKTEST'!A10</f>
        <v/>
      </c>
      <c r="B7" s="22" t="str">
        <f>'EQUITY BACKTEST'!B10</f>
        <v/>
      </c>
      <c r="C7" s="22" t="str">
        <f>1/'EQUITY BACKTEST'!E10</f>
        <v>#DIV/0!</v>
      </c>
      <c r="E7" s="22" t="str">
        <f t="shared" si="3"/>
        <v/>
      </c>
      <c r="H7" s="22" t="str">
        <f t="shared" si="4"/>
        <v/>
      </c>
      <c r="I7" s="22" t="str">
        <f t="shared" si="1"/>
        <v>#N/A</v>
      </c>
      <c r="J7" s="22" t="str">
        <f t="shared" si="2"/>
        <v>#N/A</v>
      </c>
      <c r="K7" s="22" t="str">
        <f t="array" ref="K7">IF(H7="Crash",MATCH(TRUE, B8:B105 &gt;= B6, 0),"")</f>
        <v/>
      </c>
    </row>
    <row r="8" ht="15.75" customHeight="1">
      <c r="A8" s="31" t="str">
        <f>'EQUITY BACKTEST'!A11</f>
        <v/>
      </c>
      <c r="B8" s="22" t="str">
        <f>'EQUITY BACKTEST'!B11</f>
        <v/>
      </c>
      <c r="C8" s="22" t="str">
        <f>1/'EQUITY BACKTEST'!E11</f>
        <v>#DIV/0!</v>
      </c>
      <c r="E8" s="22" t="str">
        <f t="shared" si="3"/>
        <v/>
      </c>
      <c r="H8" s="22" t="str">
        <f t="shared" si="4"/>
        <v/>
      </c>
      <c r="I8" s="22" t="str">
        <f t="shared" si="1"/>
        <v>#N/A</v>
      </c>
      <c r="J8" s="22" t="str">
        <f t="shared" si="2"/>
        <v>#N/A</v>
      </c>
      <c r="K8" s="22" t="str">
        <f t="array" ref="K8">IF(H8="Crash",MATCH(TRUE, B9:B106 &gt;= B7, 0),"")</f>
        <v/>
      </c>
    </row>
    <row r="9" ht="15.75" customHeight="1">
      <c r="A9" s="31" t="str">
        <f>'EQUITY BACKTEST'!A12</f>
        <v/>
      </c>
      <c r="B9" s="22" t="str">
        <f>'EQUITY BACKTEST'!B12</f>
        <v/>
      </c>
      <c r="C9" s="22" t="str">
        <f>1/'EQUITY BACKTEST'!E12</f>
        <v>#DIV/0!</v>
      </c>
      <c r="E9" s="22" t="str">
        <f t="shared" si="3"/>
        <v/>
      </c>
      <c r="H9" s="22" t="str">
        <f t="shared" si="4"/>
        <v/>
      </c>
      <c r="I9" s="22" t="str">
        <f t="shared" si="1"/>
        <v>#N/A</v>
      </c>
      <c r="J9" s="22" t="str">
        <f t="shared" si="2"/>
        <v>#N/A</v>
      </c>
      <c r="K9" s="22" t="str">
        <f t="array" ref="K9">IF(H9="Crash",MATCH(TRUE, B10:B107 &gt;= B8, 0),"")</f>
        <v/>
      </c>
    </row>
    <row r="10" ht="15.75" customHeight="1">
      <c r="A10" s="31" t="str">
        <f>'EQUITY BACKTEST'!A13</f>
        <v/>
      </c>
      <c r="B10" s="22" t="str">
        <f>'EQUITY BACKTEST'!B13</f>
        <v/>
      </c>
      <c r="C10" s="22" t="str">
        <f>1/'EQUITY BACKTEST'!E13</f>
        <v>#DIV/0!</v>
      </c>
      <c r="E10" s="22" t="str">
        <f t="shared" si="3"/>
        <v/>
      </c>
      <c r="H10" s="22" t="str">
        <f t="shared" si="4"/>
        <v/>
      </c>
      <c r="I10" s="22" t="str">
        <f t="shared" si="1"/>
        <v>#N/A</v>
      </c>
      <c r="J10" s="22" t="str">
        <f t="shared" si="2"/>
        <v>#N/A</v>
      </c>
      <c r="K10" s="22" t="str">
        <f t="array" ref="K10">IF(H10="Crash",MATCH(TRUE, B11:B108 &gt;= B9, 0),"")</f>
        <v/>
      </c>
    </row>
    <row r="11" ht="15.75" customHeight="1">
      <c r="A11" s="31" t="str">
        <f>'EQUITY BACKTEST'!A14</f>
        <v/>
      </c>
      <c r="B11" s="22" t="str">
        <f>'EQUITY BACKTEST'!B14</f>
        <v/>
      </c>
      <c r="C11" s="22" t="str">
        <f>1/'EQUITY BACKTEST'!E14</f>
        <v>#DIV/0!</v>
      </c>
      <c r="E11" s="22" t="str">
        <f t="shared" si="3"/>
        <v/>
      </c>
      <c r="H11" s="22" t="str">
        <f t="shared" si="4"/>
        <v/>
      </c>
      <c r="I11" s="22" t="str">
        <f t="shared" si="1"/>
        <v>#N/A</v>
      </c>
      <c r="J11" s="22" t="str">
        <f t="shared" si="2"/>
        <v>#N/A</v>
      </c>
      <c r="K11" s="22" t="str">
        <f t="array" ref="K11">IF(H11="Crash",MATCH(TRUE, B12:B109 &gt;= B10, 0),"")</f>
        <v/>
      </c>
    </row>
    <row r="12" ht="15.75" customHeight="1">
      <c r="A12" s="31" t="str">
        <f>'EQUITY BACKTEST'!A15</f>
        <v/>
      </c>
      <c r="B12" s="22" t="str">
        <f>'EQUITY BACKTEST'!B15</f>
        <v/>
      </c>
      <c r="C12" s="22" t="str">
        <f>1/'EQUITY BACKTEST'!E15</f>
        <v>#DIV/0!</v>
      </c>
      <c r="E12" s="22" t="str">
        <f t="shared" si="3"/>
        <v/>
      </c>
      <c r="H12" s="22" t="str">
        <f t="shared" si="4"/>
        <v/>
      </c>
      <c r="I12" s="22" t="str">
        <f t="shared" si="1"/>
        <v>#N/A</v>
      </c>
      <c r="J12" s="22" t="str">
        <f t="shared" si="2"/>
        <v>#N/A</v>
      </c>
      <c r="K12" s="22" t="str">
        <f t="array" ref="K12">IF(H12="Crash",MATCH(TRUE, B13:B110 &gt;= B11, 0),"")</f>
        <v/>
      </c>
    </row>
    <row r="13" ht="15.75" customHeight="1">
      <c r="A13" s="31" t="str">
        <f>'EQUITY BACKTEST'!A16</f>
        <v/>
      </c>
      <c r="B13" s="22" t="str">
        <f>'EQUITY BACKTEST'!B16</f>
        <v/>
      </c>
      <c r="C13" s="22" t="str">
        <f>1/'EQUITY BACKTEST'!E16</f>
        <v>#DIV/0!</v>
      </c>
      <c r="E13" s="22" t="str">
        <f t="shared" si="3"/>
        <v/>
      </c>
      <c r="H13" s="22" t="str">
        <f t="shared" si="4"/>
        <v/>
      </c>
      <c r="I13" s="22" t="str">
        <f t="shared" si="1"/>
        <v>#N/A</v>
      </c>
      <c r="J13" s="22" t="str">
        <f t="shared" si="2"/>
        <v>#N/A</v>
      </c>
      <c r="K13" s="22" t="str">
        <f t="array" ref="K13">IF(H13="Crash",MATCH(TRUE, B14:B111 &gt;= B12, 0),"")</f>
        <v/>
      </c>
    </row>
    <row r="14" ht="15.75" customHeight="1">
      <c r="A14" s="31" t="str">
        <f>'EQUITY BACKTEST'!A17</f>
        <v/>
      </c>
      <c r="B14" s="22" t="str">
        <f>'EQUITY BACKTEST'!B17</f>
        <v/>
      </c>
      <c r="C14" s="22" t="str">
        <f>1/'EQUITY BACKTEST'!E17</f>
        <v>#DIV/0!</v>
      </c>
      <c r="D14" s="22" t="str">
        <f t="shared" ref="D14:D925" si="5">CORREL($B2:$B14,$C2:$C14)</f>
        <v>#DIV/0!</v>
      </c>
      <c r="E14" s="22" t="str">
        <f t="shared" si="3"/>
        <v/>
      </c>
      <c r="H14" s="22" t="str">
        <f t="shared" si="4"/>
        <v/>
      </c>
      <c r="I14" s="22" t="str">
        <f t="shared" si="1"/>
        <v>#N/A</v>
      </c>
      <c r="J14" s="22" t="str">
        <f t="shared" si="2"/>
        <v>#N/A</v>
      </c>
      <c r="K14" s="22" t="str">
        <f t="array" ref="K14">IF(H14="Crash",MATCH(TRUE, B15:B112 &gt;= B13, 0),"")</f>
        <v/>
      </c>
    </row>
    <row r="15" ht="15.75" customHeight="1">
      <c r="A15" s="31" t="str">
        <f>'EQUITY BACKTEST'!A18</f>
        <v/>
      </c>
      <c r="B15" s="22" t="str">
        <f>'EQUITY BACKTEST'!B18</f>
        <v/>
      </c>
      <c r="C15" s="22" t="str">
        <f>1/'EQUITY BACKTEST'!E18</f>
        <v>#DIV/0!</v>
      </c>
      <c r="D15" s="22" t="str">
        <f t="shared" si="5"/>
        <v>#DIV/0!</v>
      </c>
      <c r="E15" s="22" t="str">
        <f t="shared" si="3"/>
        <v/>
      </c>
      <c r="H15" s="22" t="str">
        <f t="shared" si="4"/>
        <v/>
      </c>
      <c r="I15" s="22" t="str">
        <f t="shared" si="1"/>
        <v>#N/A</v>
      </c>
      <c r="J15" s="22" t="str">
        <f t="shared" si="2"/>
        <v>#N/A</v>
      </c>
      <c r="K15" s="22" t="str">
        <f t="array" ref="K15">IF(H15="Crash",MATCH(TRUE, B16:B113 &gt;= B14, 0),"")</f>
        <v/>
      </c>
    </row>
    <row r="16" ht="15.75" customHeight="1">
      <c r="A16" s="31" t="str">
        <f>'EQUITY BACKTEST'!A19</f>
        <v/>
      </c>
      <c r="B16" s="22" t="str">
        <f>'EQUITY BACKTEST'!B19</f>
        <v/>
      </c>
      <c r="C16" s="22" t="str">
        <f>1/'EQUITY BACKTEST'!E19</f>
        <v>#DIV/0!</v>
      </c>
      <c r="D16" s="22" t="str">
        <f t="shared" si="5"/>
        <v>#DIV/0!</v>
      </c>
      <c r="E16" s="22" t="str">
        <f t="shared" si="3"/>
        <v/>
      </c>
      <c r="H16" s="22" t="str">
        <f t="shared" si="4"/>
        <v/>
      </c>
      <c r="I16" s="22" t="str">
        <f t="shared" si="1"/>
        <v>#N/A</v>
      </c>
      <c r="J16" s="22" t="str">
        <f t="shared" si="2"/>
        <v>#N/A</v>
      </c>
      <c r="K16" s="22" t="str">
        <f t="array" ref="K16">IF(H16="Crash",MATCH(TRUE, B17:B114 &gt;= B15, 0),"")</f>
        <v/>
      </c>
    </row>
    <row r="17" ht="15.75" customHeight="1">
      <c r="A17" s="31" t="str">
        <f>'EQUITY BACKTEST'!A20</f>
        <v/>
      </c>
      <c r="B17" s="22" t="str">
        <f>'EQUITY BACKTEST'!B20</f>
        <v/>
      </c>
      <c r="C17" s="22" t="str">
        <f>1/'EQUITY BACKTEST'!E20</f>
        <v>#DIV/0!</v>
      </c>
      <c r="D17" s="22" t="str">
        <f t="shared" si="5"/>
        <v>#DIV/0!</v>
      </c>
      <c r="E17" s="22" t="str">
        <f t="shared" si="3"/>
        <v/>
      </c>
      <c r="H17" s="22" t="str">
        <f t="shared" si="4"/>
        <v/>
      </c>
      <c r="I17" s="22" t="str">
        <f t="shared" si="1"/>
        <v>#N/A</v>
      </c>
      <c r="J17" s="22" t="str">
        <f t="shared" si="2"/>
        <v>#N/A</v>
      </c>
      <c r="K17" s="22" t="str">
        <f t="array" ref="K17">IF(H17="Crash",MATCH(TRUE, B18:B115 &gt;= B16, 0),"")</f>
        <v/>
      </c>
    </row>
    <row r="18" ht="15.75" customHeight="1">
      <c r="A18" s="31" t="str">
        <f>'EQUITY BACKTEST'!A21</f>
        <v/>
      </c>
      <c r="B18" s="22" t="str">
        <f>'EQUITY BACKTEST'!B21</f>
        <v/>
      </c>
      <c r="C18" s="22" t="str">
        <f>1/'EQUITY BACKTEST'!E21</f>
        <v>#DIV/0!</v>
      </c>
      <c r="D18" s="22" t="str">
        <f t="shared" si="5"/>
        <v>#DIV/0!</v>
      </c>
      <c r="E18" s="22" t="str">
        <f t="shared" si="3"/>
        <v/>
      </c>
      <c r="H18" s="22" t="str">
        <f t="shared" si="4"/>
        <v/>
      </c>
      <c r="I18" s="22" t="str">
        <f t="shared" si="1"/>
        <v>#N/A</v>
      </c>
      <c r="J18" s="22" t="str">
        <f t="shared" si="2"/>
        <v>#N/A</v>
      </c>
      <c r="K18" s="22" t="str">
        <f t="array" ref="K18">IF(H18="Crash",MATCH(TRUE, B19:B116 &gt;= B17, 0),"")</f>
        <v/>
      </c>
    </row>
    <row r="19" ht="15.75" customHeight="1">
      <c r="A19" s="31" t="str">
        <f>'EQUITY BACKTEST'!A22</f>
        <v/>
      </c>
      <c r="B19" s="22" t="str">
        <f>'EQUITY BACKTEST'!B22</f>
        <v/>
      </c>
      <c r="C19" s="22" t="str">
        <f>1/'EQUITY BACKTEST'!E22</f>
        <v>#DIV/0!</v>
      </c>
      <c r="D19" s="22" t="str">
        <f t="shared" si="5"/>
        <v>#DIV/0!</v>
      </c>
      <c r="E19" s="22" t="str">
        <f t="shared" si="3"/>
        <v/>
      </c>
      <c r="H19" s="22" t="str">
        <f t="shared" si="4"/>
        <v/>
      </c>
      <c r="I19" s="22" t="str">
        <f t="shared" si="1"/>
        <v>#N/A</v>
      </c>
      <c r="J19" s="22" t="str">
        <f t="shared" si="2"/>
        <v>#N/A</v>
      </c>
      <c r="K19" s="22" t="str">
        <f t="array" ref="K19">IF(H19="Crash",MATCH(TRUE, B20:B117 &gt;= B18, 0),"")</f>
        <v/>
      </c>
    </row>
    <row r="20" ht="15.75" customHeight="1">
      <c r="A20" s="31" t="str">
        <f>'EQUITY BACKTEST'!A23</f>
        <v/>
      </c>
      <c r="B20" s="22" t="str">
        <f>'EQUITY BACKTEST'!B23</f>
        <v/>
      </c>
      <c r="C20" s="22" t="str">
        <f>1/'EQUITY BACKTEST'!E23</f>
        <v>#DIV/0!</v>
      </c>
      <c r="D20" s="22" t="str">
        <f t="shared" si="5"/>
        <v>#DIV/0!</v>
      </c>
      <c r="E20" s="22" t="str">
        <f t="shared" si="3"/>
        <v/>
      </c>
      <c r="H20" s="22" t="str">
        <f t="shared" si="4"/>
        <v/>
      </c>
      <c r="I20" s="22" t="str">
        <f t="shared" si="1"/>
        <v>#N/A</v>
      </c>
      <c r="J20" s="22" t="str">
        <f t="shared" si="2"/>
        <v>#N/A</v>
      </c>
      <c r="K20" s="22" t="str">
        <f t="array" ref="K20">IF(H20="Crash",MATCH(TRUE, B21:B118 &gt;= B19, 0),"")</f>
        <v/>
      </c>
    </row>
    <row r="21" ht="15.75" customHeight="1">
      <c r="A21" s="31" t="str">
        <f>'EQUITY BACKTEST'!A24</f>
        <v/>
      </c>
      <c r="B21" s="22" t="str">
        <f>'EQUITY BACKTEST'!B24</f>
        <v/>
      </c>
      <c r="C21" s="22" t="str">
        <f>1/'EQUITY BACKTEST'!E24</f>
        <v>#DIV/0!</v>
      </c>
      <c r="D21" s="22" t="str">
        <f t="shared" si="5"/>
        <v>#DIV/0!</v>
      </c>
      <c r="E21" s="22" t="str">
        <f t="shared" si="3"/>
        <v/>
      </c>
      <c r="H21" s="22" t="str">
        <f t="shared" si="4"/>
        <v/>
      </c>
      <c r="I21" s="22" t="str">
        <f t="shared" si="1"/>
        <v>#N/A</v>
      </c>
      <c r="J21" s="22" t="str">
        <f t="shared" si="2"/>
        <v>#N/A</v>
      </c>
      <c r="K21" s="22" t="str">
        <f t="array" ref="K21">IF(H21="Crash",MATCH(TRUE, B22:B119 &gt;= B20, 0),"")</f>
        <v/>
      </c>
    </row>
    <row r="22" ht="15.75" customHeight="1">
      <c r="A22" s="31" t="str">
        <f>'EQUITY BACKTEST'!A25</f>
        <v/>
      </c>
      <c r="B22" s="22" t="str">
        <f>'EQUITY BACKTEST'!B25</f>
        <v/>
      </c>
      <c r="C22" s="22" t="str">
        <f>1/'EQUITY BACKTEST'!E25</f>
        <v>#DIV/0!</v>
      </c>
      <c r="D22" s="22" t="str">
        <f t="shared" si="5"/>
        <v>#DIV/0!</v>
      </c>
      <c r="E22" s="22" t="str">
        <f t="shared" si="3"/>
        <v/>
      </c>
      <c r="H22" s="22" t="str">
        <f t="shared" si="4"/>
        <v/>
      </c>
      <c r="I22" s="22" t="str">
        <f t="shared" si="1"/>
        <v>#N/A</v>
      </c>
      <c r="J22" s="22" t="str">
        <f t="shared" si="2"/>
        <v>#N/A</v>
      </c>
      <c r="K22" s="22" t="str">
        <f t="array" ref="K22">IF(H22="Crash",MATCH(TRUE, B23:B120 &gt;= B21, 0),"")</f>
        <v/>
      </c>
    </row>
    <row r="23" ht="15.75" customHeight="1">
      <c r="A23" s="31" t="str">
        <f>'EQUITY BACKTEST'!A26</f>
        <v/>
      </c>
      <c r="B23" s="22" t="str">
        <f>'EQUITY BACKTEST'!B26</f>
        <v/>
      </c>
      <c r="C23" s="22" t="str">
        <f>1/'EQUITY BACKTEST'!E26</f>
        <v>#DIV/0!</v>
      </c>
      <c r="D23" s="22" t="str">
        <f t="shared" si="5"/>
        <v>#DIV/0!</v>
      </c>
      <c r="E23" s="22" t="str">
        <f t="shared" si="3"/>
        <v/>
      </c>
      <c r="H23" s="22" t="str">
        <f t="shared" si="4"/>
        <v/>
      </c>
      <c r="I23" s="22" t="str">
        <f t="shared" si="1"/>
        <v>#N/A</v>
      </c>
      <c r="J23" s="22" t="str">
        <f t="shared" si="2"/>
        <v>#N/A</v>
      </c>
      <c r="K23" s="22" t="str">
        <f t="array" ref="K23">IF(H23="Crash",MATCH(TRUE, B24:B121 &gt;= B22, 0),"")</f>
        <v/>
      </c>
    </row>
    <row r="24" ht="15.75" customHeight="1">
      <c r="A24" s="31" t="str">
        <f>'EQUITY BACKTEST'!A27</f>
        <v/>
      </c>
      <c r="B24" s="22" t="str">
        <f>'EQUITY BACKTEST'!B27</f>
        <v/>
      </c>
      <c r="C24" s="22" t="str">
        <f>1/'EQUITY BACKTEST'!E27</f>
        <v>#DIV/0!</v>
      </c>
      <c r="D24" s="22" t="str">
        <f t="shared" si="5"/>
        <v>#DIV/0!</v>
      </c>
      <c r="E24" s="22" t="str">
        <f t="shared" si="3"/>
        <v/>
      </c>
      <c r="H24" s="22" t="str">
        <f t="shared" si="4"/>
        <v/>
      </c>
      <c r="I24" s="22" t="str">
        <f t="shared" si="1"/>
        <v>#N/A</v>
      </c>
      <c r="J24" s="22" t="str">
        <f t="shared" si="2"/>
        <v>#N/A</v>
      </c>
      <c r="K24" s="22" t="str">
        <f t="array" ref="K24">IF(H24="Crash",MATCH(TRUE, B25:B122 &gt;= B23, 0),"")</f>
        <v/>
      </c>
    </row>
    <row r="25" ht="15.75" customHeight="1">
      <c r="A25" s="31" t="str">
        <f>'EQUITY BACKTEST'!A28</f>
        <v/>
      </c>
      <c r="B25" s="22" t="str">
        <f>'EQUITY BACKTEST'!B28</f>
        <v/>
      </c>
      <c r="C25" s="22" t="str">
        <f>1/'EQUITY BACKTEST'!E28</f>
        <v>#DIV/0!</v>
      </c>
      <c r="D25" s="22" t="str">
        <f t="shared" si="5"/>
        <v>#DIV/0!</v>
      </c>
      <c r="E25" s="22" t="str">
        <f t="shared" si="3"/>
        <v/>
      </c>
      <c r="H25" s="22" t="str">
        <f t="shared" si="4"/>
        <v/>
      </c>
      <c r="I25" s="22" t="str">
        <f t="shared" si="1"/>
        <v>#N/A</v>
      </c>
      <c r="J25" s="22" t="str">
        <f t="shared" si="2"/>
        <v>#N/A</v>
      </c>
      <c r="K25" s="22" t="str">
        <f t="array" ref="K25">IF(H25="Crash",MATCH(TRUE, B26:B123 &gt;= B24, 0),"")</f>
        <v/>
      </c>
    </row>
    <row r="26" ht="15.75" customHeight="1">
      <c r="A26" s="31" t="str">
        <f>'EQUITY BACKTEST'!A29</f>
        <v/>
      </c>
      <c r="B26" s="22" t="str">
        <f>'EQUITY BACKTEST'!B29</f>
        <v/>
      </c>
      <c r="C26" s="22" t="str">
        <f>1/'EQUITY BACKTEST'!E29</f>
        <v>#DIV/0!</v>
      </c>
      <c r="D26" s="22" t="str">
        <f t="shared" si="5"/>
        <v>#DIV/0!</v>
      </c>
      <c r="E26" s="22" t="str">
        <f t="shared" si="3"/>
        <v/>
      </c>
      <c r="H26" s="22" t="str">
        <f t="shared" si="4"/>
        <v/>
      </c>
      <c r="I26" s="22" t="str">
        <f t="shared" si="1"/>
        <v>#N/A</v>
      </c>
      <c r="J26" s="22" t="str">
        <f t="shared" si="2"/>
        <v>#N/A</v>
      </c>
      <c r="K26" s="22" t="str">
        <f t="array" ref="K26">IF(H26="Crash",MATCH(TRUE, B27:B124 &gt;= B25, 0),"")</f>
        <v/>
      </c>
    </row>
    <row r="27" ht="15.75" customHeight="1">
      <c r="A27" s="31" t="str">
        <f>'EQUITY BACKTEST'!A30</f>
        <v/>
      </c>
      <c r="B27" s="22" t="str">
        <f>'EQUITY BACKTEST'!B30</f>
        <v/>
      </c>
      <c r="C27" s="22" t="str">
        <f>1/'EQUITY BACKTEST'!E30</f>
        <v>#DIV/0!</v>
      </c>
      <c r="D27" s="22" t="str">
        <f t="shared" si="5"/>
        <v>#DIV/0!</v>
      </c>
      <c r="E27" s="22" t="str">
        <f t="shared" si="3"/>
        <v/>
      </c>
      <c r="H27" s="22" t="str">
        <f t="shared" si="4"/>
        <v/>
      </c>
      <c r="I27" s="22" t="str">
        <f t="shared" si="1"/>
        <v>#N/A</v>
      </c>
      <c r="J27" s="22" t="str">
        <f t="shared" si="2"/>
        <v>#N/A</v>
      </c>
      <c r="K27" s="22" t="str">
        <f t="array" ref="K27">IF(H27="Crash",MATCH(TRUE, B28:B125 &gt;= B26, 0),"")</f>
        <v/>
      </c>
    </row>
    <row r="28" ht="15.75" customHeight="1">
      <c r="A28" s="31" t="str">
        <f>'EQUITY BACKTEST'!A31</f>
        <v/>
      </c>
      <c r="B28" s="22" t="str">
        <f>'EQUITY BACKTEST'!B31</f>
        <v/>
      </c>
      <c r="C28" s="22" t="str">
        <f>1/'EQUITY BACKTEST'!E31</f>
        <v>#DIV/0!</v>
      </c>
      <c r="D28" s="22" t="str">
        <f t="shared" si="5"/>
        <v>#DIV/0!</v>
      </c>
      <c r="E28" s="22" t="str">
        <f t="shared" si="3"/>
        <v/>
      </c>
      <c r="H28" s="22" t="str">
        <f t="shared" si="4"/>
        <v/>
      </c>
      <c r="I28" s="22" t="str">
        <f t="shared" si="1"/>
        <v>#N/A</v>
      </c>
      <c r="J28" s="22" t="str">
        <f t="shared" si="2"/>
        <v>#N/A</v>
      </c>
      <c r="K28" s="22" t="str">
        <f t="array" ref="K28">IF(H28="Crash",MATCH(TRUE, B29:B126 &gt;= B27, 0),"")</f>
        <v/>
      </c>
    </row>
    <row r="29" ht="15.75" customHeight="1">
      <c r="A29" s="31" t="str">
        <f>'EQUITY BACKTEST'!A32</f>
        <v/>
      </c>
      <c r="B29" s="22" t="str">
        <f>'EQUITY BACKTEST'!B32</f>
        <v/>
      </c>
      <c r="C29" s="22" t="str">
        <f>1/'EQUITY BACKTEST'!E32</f>
        <v>#DIV/0!</v>
      </c>
      <c r="D29" s="22" t="str">
        <f t="shared" si="5"/>
        <v>#DIV/0!</v>
      </c>
      <c r="E29" s="22" t="str">
        <f t="shared" si="3"/>
        <v/>
      </c>
      <c r="H29" s="22" t="str">
        <f t="shared" si="4"/>
        <v/>
      </c>
      <c r="I29" s="22" t="str">
        <f t="shared" si="1"/>
        <v>#N/A</v>
      </c>
      <c r="J29" s="22" t="str">
        <f t="shared" si="2"/>
        <v>#N/A</v>
      </c>
      <c r="K29" s="22" t="str">
        <f t="array" ref="K29">IF(H29="Crash",MATCH(TRUE, B30:B127 &gt;= B28, 0),"")</f>
        <v/>
      </c>
    </row>
    <row r="30" ht="15.75" customHeight="1">
      <c r="A30" s="31" t="str">
        <f>'EQUITY BACKTEST'!A33</f>
        <v/>
      </c>
      <c r="B30" s="22" t="str">
        <f>'EQUITY BACKTEST'!B33</f>
        <v/>
      </c>
      <c r="C30" s="22" t="str">
        <f>1/'EQUITY BACKTEST'!E33</f>
        <v>#DIV/0!</v>
      </c>
      <c r="D30" s="22" t="str">
        <f t="shared" si="5"/>
        <v>#DIV/0!</v>
      </c>
      <c r="E30" s="22" t="str">
        <f t="shared" si="3"/>
        <v/>
      </c>
      <c r="H30" s="22" t="str">
        <f t="shared" si="4"/>
        <v/>
      </c>
      <c r="I30" s="22" t="str">
        <f t="shared" si="1"/>
        <v>#N/A</v>
      </c>
      <c r="J30" s="22" t="str">
        <f t="shared" si="2"/>
        <v>#N/A</v>
      </c>
      <c r="K30" s="22" t="str">
        <f t="array" ref="K30">IF(H30="Crash",MATCH(TRUE, B31:B128 &gt;= B29, 0),"")</f>
        <v/>
      </c>
    </row>
    <row r="31" ht="15.75" customHeight="1">
      <c r="A31" s="31" t="str">
        <f>'EQUITY BACKTEST'!A34</f>
        <v/>
      </c>
      <c r="B31" s="22" t="str">
        <f>'EQUITY BACKTEST'!B34</f>
        <v/>
      </c>
      <c r="C31" s="22" t="str">
        <f>1/'EQUITY BACKTEST'!E34</f>
        <v>#DIV/0!</v>
      </c>
      <c r="D31" s="22" t="str">
        <f t="shared" si="5"/>
        <v>#DIV/0!</v>
      </c>
      <c r="E31" s="22" t="str">
        <f t="shared" si="3"/>
        <v/>
      </c>
      <c r="H31" s="22" t="str">
        <f t="shared" si="4"/>
        <v/>
      </c>
      <c r="I31" s="22" t="str">
        <f t="shared" si="1"/>
        <v>#N/A</v>
      </c>
      <c r="J31" s="22" t="str">
        <f t="shared" si="2"/>
        <v>#N/A</v>
      </c>
      <c r="K31" s="22" t="str">
        <f t="array" ref="K31">IF(H31="Crash",MATCH(TRUE, B32:B129 &gt;= B30, 0),"")</f>
        <v/>
      </c>
    </row>
    <row r="32" ht="15.75" customHeight="1">
      <c r="A32" s="31" t="str">
        <f>'EQUITY BACKTEST'!A35</f>
        <v/>
      </c>
      <c r="B32" s="22" t="str">
        <f>'EQUITY BACKTEST'!B35</f>
        <v/>
      </c>
      <c r="C32" s="22" t="str">
        <f>1/'EQUITY BACKTEST'!E35</f>
        <v>#DIV/0!</v>
      </c>
      <c r="D32" s="22" t="str">
        <f t="shared" si="5"/>
        <v>#DIV/0!</v>
      </c>
      <c r="E32" s="22" t="str">
        <f t="shared" si="3"/>
        <v/>
      </c>
      <c r="H32" s="22" t="str">
        <f t="shared" si="4"/>
        <v/>
      </c>
      <c r="I32" s="22" t="str">
        <f t="shared" si="1"/>
        <v>#N/A</v>
      </c>
      <c r="J32" s="22" t="str">
        <f t="shared" si="2"/>
        <v>#N/A</v>
      </c>
      <c r="K32" s="22" t="str">
        <f t="array" ref="K32">IF(H32="Crash",MATCH(TRUE, B33:B130 &gt;= B31, 0),"")</f>
        <v/>
      </c>
    </row>
    <row r="33" ht="15.75" customHeight="1">
      <c r="A33" s="31" t="str">
        <f>'EQUITY BACKTEST'!A36</f>
        <v/>
      </c>
      <c r="B33" s="22" t="str">
        <f>'EQUITY BACKTEST'!B36</f>
        <v/>
      </c>
      <c r="C33" s="22" t="str">
        <f>1/'EQUITY BACKTEST'!E36</f>
        <v>#DIV/0!</v>
      </c>
      <c r="D33" s="22" t="str">
        <f t="shared" si="5"/>
        <v>#DIV/0!</v>
      </c>
      <c r="E33" s="22" t="str">
        <f t="shared" si="3"/>
        <v/>
      </c>
      <c r="H33" s="22" t="str">
        <f t="shared" si="4"/>
        <v/>
      </c>
      <c r="I33" s="22" t="str">
        <f t="shared" si="1"/>
        <v>#N/A</v>
      </c>
      <c r="J33" s="22" t="str">
        <f t="shared" si="2"/>
        <v>#N/A</v>
      </c>
      <c r="K33" s="22" t="str">
        <f t="array" ref="K33">IF(H33="Crash",MATCH(TRUE, B34:B131 &gt;= B32, 0),"")</f>
        <v/>
      </c>
    </row>
    <row r="34" ht="15.75" customHeight="1">
      <c r="A34" s="31" t="str">
        <f>'EQUITY BACKTEST'!A37</f>
        <v/>
      </c>
      <c r="B34" s="22" t="str">
        <f>'EQUITY BACKTEST'!B37</f>
        <v/>
      </c>
      <c r="C34" s="22" t="str">
        <f>1/'EQUITY BACKTEST'!E37</f>
        <v>#DIV/0!</v>
      </c>
      <c r="D34" s="22" t="str">
        <f t="shared" si="5"/>
        <v>#DIV/0!</v>
      </c>
      <c r="E34" s="22" t="str">
        <f t="shared" si="3"/>
        <v/>
      </c>
      <c r="H34" s="22" t="str">
        <f t="shared" si="4"/>
        <v/>
      </c>
      <c r="I34" s="22" t="str">
        <f t="shared" si="1"/>
        <v>#N/A</v>
      </c>
      <c r="J34" s="22" t="str">
        <f t="shared" si="2"/>
        <v>#N/A</v>
      </c>
      <c r="K34" s="22" t="str">
        <f t="array" ref="K34">IF(H34="Crash",MATCH(TRUE, B35:B132 &gt;= B33, 0),"")</f>
        <v/>
      </c>
    </row>
    <row r="35" ht="15.75" customHeight="1">
      <c r="A35" s="31" t="str">
        <f>'EQUITY BACKTEST'!A38</f>
        <v/>
      </c>
      <c r="B35" s="22" t="str">
        <f>'EQUITY BACKTEST'!B38</f>
        <v/>
      </c>
      <c r="C35" s="22" t="str">
        <f>1/'EQUITY BACKTEST'!E38</f>
        <v>#DIV/0!</v>
      </c>
      <c r="D35" s="22" t="str">
        <f t="shared" si="5"/>
        <v>#DIV/0!</v>
      </c>
      <c r="E35" s="22" t="str">
        <f t="shared" si="3"/>
        <v/>
      </c>
      <c r="H35" s="22" t="str">
        <f t="shared" si="4"/>
        <v/>
      </c>
      <c r="I35" s="22" t="str">
        <f t="shared" si="1"/>
        <v>#N/A</v>
      </c>
      <c r="J35" s="22" t="str">
        <f t="shared" si="2"/>
        <v>#N/A</v>
      </c>
      <c r="K35" s="22" t="str">
        <f t="array" ref="K35">IF(H35="Crash",MATCH(TRUE, B36:B133 &gt;= B34, 0),"")</f>
        <v/>
      </c>
    </row>
    <row r="36" ht="15.75" customHeight="1">
      <c r="A36" s="31" t="str">
        <f>'EQUITY BACKTEST'!A39</f>
        <v/>
      </c>
      <c r="B36" s="22" t="str">
        <f>'EQUITY BACKTEST'!B39</f>
        <v/>
      </c>
      <c r="C36" s="22" t="str">
        <f>1/'EQUITY BACKTEST'!E39</f>
        <v>#DIV/0!</v>
      </c>
      <c r="D36" s="22" t="str">
        <f t="shared" si="5"/>
        <v>#DIV/0!</v>
      </c>
      <c r="E36" s="22" t="str">
        <f t="shared" si="3"/>
        <v/>
      </c>
      <c r="H36" s="22" t="str">
        <f t="shared" si="4"/>
        <v/>
      </c>
      <c r="I36" s="22" t="str">
        <f t="shared" si="1"/>
        <v>#N/A</v>
      </c>
      <c r="J36" s="22" t="str">
        <f t="shared" si="2"/>
        <v>#N/A</v>
      </c>
      <c r="K36" s="22" t="str">
        <f t="array" ref="K36">IF(H36="Crash",MATCH(TRUE, B37:B134 &gt;= B35, 0),"")</f>
        <v/>
      </c>
    </row>
    <row r="37" ht="15.75" customHeight="1">
      <c r="A37" s="31" t="str">
        <f>'EQUITY BACKTEST'!A40</f>
        <v/>
      </c>
      <c r="B37" s="22" t="str">
        <f>'EQUITY BACKTEST'!B40</f>
        <v/>
      </c>
      <c r="C37" s="22" t="str">
        <f>1/'EQUITY BACKTEST'!E40</f>
        <v>#DIV/0!</v>
      </c>
      <c r="D37" s="22" t="str">
        <f t="shared" si="5"/>
        <v>#DIV/0!</v>
      </c>
      <c r="E37" s="22" t="str">
        <f t="shared" si="3"/>
        <v/>
      </c>
      <c r="H37" s="22" t="str">
        <f t="shared" si="4"/>
        <v/>
      </c>
      <c r="I37" s="22" t="str">
        <f t="shared" si="1"/>
        <v>#N/A</v>
      </c>
      <c r="J37" s="22" t="str">
        <f t="shared" si="2"/>
        <v>#N/A</v>
      </c>
      <c r="K37" s="22" t="str">
        <f t="array" ref="K37">IF(H37="Crash",MATCH(TRUE, B38:B135 &gt;= B36, 0),"")</f>
        <v/>
      </c>
    </row>
    <row r="38" ht="15.75" customHeight="1">
      <c r="A38" s="31" t="str">
        <f>'EQUITY BACKTEST'!A41</f>
        <v/>
      </c>
      <c r="B38" s="22" t="str">
        <f>'EQUITY BACKTEST'!B41</f>
        <v/>
      </c>
      <c r="C38" s="22" t="str">
        <f>1/'EQUITY BACKTEST'!E41</f>
        <v>#DIV/0!</v>
      </c>
      <c r="D38" s="22" t="str">
        <f t="shared" si="5"/>
        <v>#DIV/0!</v>
      </c>
      <c r="E38" s="22" t="str">
        <f t="shared" si="3"/>
        <v/>
      </c>
      <c r="H38" s="22" t="str">
        <f t="shared" si="4"/>
        <v/>
      </c>
      <c r="I38" s="22" t="str">
        <f t="shared" si="1"/>
        <v>#N/A</v>
      </c>
      <c r="J38" s="22" t="str">
        <f t="shared" si="2"/>
        <v>#N/A</v>
      </c>
      <c r="K38" s="22" t="str">
        <f t="array" ref="K38">IF(H38="Crash",MATCH(TRUE, B39:B136 &gt;= B37, 0),"")</f>
        <v/>
      </c>
    </row>
    <row r="39" ht="15.75" customHeight="1">
      <c r="A39" s="31" t="str">
        <f>'EQUITY BACKTEST'!A42</f>
        <v/>
      </c>
      <c r="B39" s="22" t="str">
        <f>'EQUITY BACKTEST'!B42</f>
        <v/>
      </c>
      <c r="C39" s="22" t="str">
        <f>1/'EQUITY BACKTEST'!E42</f>
        <v>#DIV/0!</v>
      </c>
      <c r="D39" s="22" t="str">
        <f t="shared" si="5"/>
        <v>#DIV/0!</v>
      </c>
      <c r="E39" s="22" t="str">
        <f t="shared" si="3"/>
        <v/>
      </c>
      <c r="H39" s="22" t="str">
        <f t="shared" si="4"/>
        <v/>
      </c>
      <c r="I39" s="22" t="str">
        <f t="shared" si="1"/>
        <v>#N/A</v>
      </c>
      <c r="J39" s="22" t="str">
        <f t="shared" si="2"/>
        <v>#N/A</v>
      </c>
      <c r="K39" s="22" t="str">
        <f t="array" ref="K39">IF(H39="Crash",MATCH(TRUE, B40:B137 &gt;= B38, 0),"")</f>
        <v/>
      </c>
    </row>
    <row r="40" ht="15.75" customHeight="1">
      <c r="A40" s="31" t="str">
        <f>'EQUITY BACKTEST'!A43</f>
        <v/>
      </c>
      <c r="B40" s="22" t="str">
        <f>'EQUITY BACKTEST'!B43</f>
        <v/>
      </c>
      <c r="C40" s="22" t="str">
        <f>1/'EQUITY BACKTEST'!E43</f>
        <v>#DIV/0!</v>
      </c>
      <c r="D40" s="22" t="str">
        <f t="shared" si="5"/>
        <v>#DIV/0!</v>
      </c>
      <c r="E40" s="22" t="str">
        <f t="shared" si="3"/>
        <v/>
      </c>
      <c r="H40" s="22" t="str">
        <f t="shared" si="4"/>
        <v/>
      </c>
      <c r="I40" s="22" t="str">
        <f t="shared" si="1"/>
        <v>#N/A</v>
      </c>
      <c r="J40" s="22" t="str">
        <f t="shared" si="2"/>
        <v>#N/A</v>
      </c>
      <c r="K40" s="22" t="str">
        <f t="array" ref="K40">IF(H40="Crash",MATCH(TRUE, B41:B138 &gt;= B39, 0),"")</f>
        <v/>
      </c>
    </row>
    <row r="41" ht="15.75" customHeight="1">
      <c r="A41" s="31" t="str">
        <f>'EQUITY BACKTEST'!A44</f>
        <v/>
      </c>
      <c r="B41" s="22" t="str">
        <f>'EQUITY BACKTEST'!B44</f>
        <v/>
      </c>
      <c r="C41" s="22" t="str">
        <f>1/'EQUITY BACKTEST'!E44</f>
        <v>#DIV/0!</v>
      </c>
      <c r="D41" s="22" t="str">
        <f t="shared" si="5"/>
        <v>#DIV/0!</v>
      </c>
      <c r="E41" s="22" t="str">
        <f t="shared" si="3"/>
        <v/>
      </c>
      <c r="H41" s="22" t="str">
        <f t="shared" si="4"/>
        <v/>
      </c>
      <c r="I41" s="22" t="str">
        <f t="shared" si="1"/>
        <v>#N/A</v>
      </c>
      <c r="J41" s="22" t="str">
        <f t="shared" si="2"/>
        <v>#N/A</v>
      </c>
      <c r="K41" s="22" t="str">
        <f t="array" ref="K41">IF(H41="Crash",MATCH(TRUE, B42:B139 &gt;= B40, 0),"")</f>
        <v/>
      </c>
    </row>
    <row r="42" ht="15.75" customHeight="1">
      <c r="A42" s="31" t="str">
        <f>'EQUITY BACKTEST'!A45</f>
        <v/>
      </c>
      <c r="B42" s="22" t="str">
        <f>'EQUITY BACKTEST'!B45</f>
        <v/>
      </c>
      <c r="C42" s="22" t="str">
        <f>1/'EQUITY BACKTEST'!E45</f>
        <v>#DIV/0!</v>
      </c>
      <c r="D42" s="22" t="str">
        <f t="shared" si="5"/>
        <v>#DIV/0!</v>
      </c>
      <c r="E42" s="22" t="str">
        <f t="shared" si="3"/>
        <v/>
      </c>
      <c r="H42" s="22" t="str">
        <f t="shared" si="4"/>
        <v/>
      </c>
      <c r="I42" s="22" t="str">
        <f t="shared" si="1"/>
        <v>#N/A</v>
      </c>
      <c r="J42" s="22" t="str">
        <f t="shared" si="2"/>
        <v>#N/A</v>
      </c>
      <c r="K42" s="22" t="str">
        <f t="array" ref="K42">IF(H42="Crash",MATCH(TRUE, B43:B140 &gt;= B41, 0),"")</f>
        <v/>
      </c>
    </row>
    <row r="43" ht="15.75" customHeight="1">
      <c r="A43" s="31" t="str">
        <f>'EQUITY BACKTEST'!A46</f>
        <v/>
      </c>
      <c r="B43" s="22" t="str">
        <f>'EQUITY BACKTEST'!B46</f>
        <v/>
      </c>
      <c r="C43" s="22" t="str">
        <f>1/'EQUITY BACKTEST'!E46</f>
        <v>#DIV/0!</v>
      </c>
      <c r="D43" s="22" t="str">
        <f t="shared" si="5"/>
        <v>#DIV/0!</v>
      </c>
      <c r="E43" s="22" t="str">
        <f t="shared" si="3"/>
        <v/>
      </c>
      <c r="H43" s="22" t="str">
        <f t="shared" si="4"/>
        <v/>
      </c>
      <c r="I43" s="22" t="str">
        <f t="shared" si="1"/>
        <v>#N/A</v>
      </c>
      <c r="J43" s="22" t="str">
        <f t="shared" si="2"/>
        <v>#N/A</v>
      </c>
      <c r="K43" s="22" t="str">
        <f t="array" ref="K43">IF(H43="Crash",MATCH(TRUE, B44:B141 &gt;= B42, 0),"")</f>
        <v/>
      </c>
    </row>
    <row r="44" ht="15.75" customHeight="1">
      <c r="A44" s="31" t="str">
        <f>'EQUITY BACKTEST'!A47</f>
        <v/>
      </c>
      <c r="B44" s="22" t="str">
        <f>'EQUITY BACKTEST'!B47</f>
        <v/>
      </c>
      <c r="C44" s="22" t="str">
        <f>1/'EQUITY BACKTEST'!E47</f>
        <v>#DIV/0!</v>
      </c>
      <c r="D44" s="22" t="str">
        <f t="shared" si="5"/>
        <v>#DIV/0!</v>
      </c>
      <c r="E44" s="22" t="str">
        <f t="shared" si="3"/>
        <v/>
      </c>
      <c r="H44" s="22" t="str">
        <f t="shared" si="4"/>
        <v/>
      </c>
      <c r="I44" s="22" t="str">
        <f t="shared" si="1"/>
        <v>#N/A</v>
      </c>
      <c r="J44" s="22" t="str">
        <f t="shared" si="2"/>
        <v>#N/A</v>
      </c>
      <c r="K44" s="22" t="str">
        <f t="array" ref="K44">IF(H44="Crash",MATCH(TRUE, B45:B142 &gt;= B43, 0),"")</f>
        <v/>
      </c>
    </row>
    <row r="45" ht="15.75" customHeight="1">
      <c r="A45" s="31" t="str">
        <f>'EQUITY BACKTEST'!A48</f>
        <v/>
      </c>
      <c r="B45" s="22" t="str">
        <f>'EQUITY BACKTEST'!B48</f>
        <v/>
      </c>
      <c r="C45" s="22" t="str">
        <f>1/'EQUITY BACKTEST'!E48</f>
        <v>#DIV/0!</v>
      </c>
      <c r="D45" s="22" t="str">
        <f t="shared" si="5"/>
        <v>#DIV/0!</v>
      </c>
      <c r="E45" s="22" t="str">
        <f t="shared" si="3"/>
        <v/>
      </c>
      <c r="H45" s="22" t="str">
        <f t="shared" si="4"/>
        <v/>
      </c>
      <c r="I45" s="22" t="str">
        <f t="shared" si="1"/>
        <v>#N/A</v>
      </c>
      <c r="J45" s="22" t="str">
        <f t="shared" si="2"/>
        <v>#N/A</v>
      </c>
      <c r="K45" s="22" t="str">
        <f t="array" ref="K45">IF(H45="Crash",MATCH(TRUE, B46:B143 &gt;= B44, 0),"")</f>
        <v/>
      </c>
    </row>
    <row r="46" ht="15.75" customHeight="1">
      <c r="A46" s="31" t="str">
        <f>'EQUITY BACKTEST'!A49</f>
        <v/>
      </c>
      <c r="B46" s="22" t="str">
        <f>'EQUITY BACKTEST'!B49</f>
        <v/>
      </c>
      <c r="C46" s="22" t="str">
        <f>1/'EQUITY BACKTEST'!E49</f>
        <v>#DIV/0!</v>
      </c>
      <c r="D46" s="22" t="str">
        <f t="shared" si="5"/>
        <v>#DIV/0!</v>
      </c>
      <c r="E46" s="22" t="str">
        <f t="shared" si="3"/>
        <v/>
      </c>
      <c r="H46" s="22" t="str">
        <f t="shared" si="4"/>
        <v/>
      </c>
      <c r="I46" s="22" t="str">
        <f t="shared" si="1"/>
        <v>#N/A</v>
      </c>
      <c r="J46" s="22" t="str">
        <f t="shared" si="2"/>
        <v>#N/A</v>
      </c>
      <c r="K46" s="22" t="str">
        <f t="array" ref="K46">IF(H46="Crash",MATCH(TRUE, B47:B144 &gt;= B45, 0),"")</f>
        <v/>
      </c>
    </row>
    <row r="47" ht="15.75" customHeight="1">
      <c r="A47" s="31" t="str">
        <f>'EQUITY BACKTEST'!A50</f>
        <v/>
      </c>
      <c r="B47" s="22" t="str">
        <f>'EQUITY BACKTEST'!B50</f>
        <v/>
      </c>
      <c r="C47" s="22" t="str">
        <f>1/'EQUITY BACKTEST'!E50</f>
        <v>#DIV/0!</v>
      </c>
      <c r="D47" s="22" t="str">
        <f t="shared" si="5"/>
        <v>#DIV/0!</v>
      </c>
      <c r="E47" s="22" t="str">
        <f t="shared" si="3"/>
        <v/>
      </c>
      <c r="H47" s="22" t="str">
        <f t="shared" si="4"/>
        <v/>
      </c>
      <c r="I47" s="22" t="str">
        <f t="shared" si="1"/>
        <v>#N/A</v>
      </c>
      <c r="J47" s="22" t="str">
        <f t="shared" si="2"/>
        <v>#N/A</v>
      </c>
      <c r="K47" s="22" t="str">
        <f t="array" ref="K47">IF(H47="Crash",MATCH(TRUE, B48:B145 &gt;= B46, 0),"")</f>
        <v/>
      </c>
    </row>
    <row r="48" ht="15.75" customHeight="1">
      <c r="A48" s="31" t="str">
        <f>'EQUITY BACKTEST'!A51</f>
        <v/>
      </c>
      <c r="B48" s="22" t="str">
        <f>'EQUITY BACKTEST'!B51</f>
        <v/>
      </c>
      <c r="C48" s="22" t="str">
        <f>1/'EQUITY BACKTEST'!E51</f>
        <v>#DIV/0!</v>
      </c>
      <c r="D48" s="22" t="str">
        <f t="shared" si="5"/>
        <v>#DIV/0!</v>
      </c>
      <c r="E48" s="22" t="str">
        <f t="shared" si="3"/>
        <v/>
      </c>
      <c r="H48" s="22" t="str">
        <f t="shared" si="4"/>
        <v/>
      </c>
      <c r="I48" s="22" t="str">
        <f t="shared" si="1"/>
        <v>#N/A</v>
      </c>
      <c r="J48" s="22" t="str">
        <f t="shared" si="2"/>
        <v>#N/A</v>
      </c>
      <c r="K48" s="22" t="str">
        <f t="array" ref="K48">IF(H48="Crash",MATCH(TRUE, B49:B146 &gt;= B47, 0),"")</f>
        <v/>
      </c>
    </row>
    <row r="49" ht="15.75" customHeight="1">
      <c r="A49" s="31" t="str">
        <f>'EQUITY BACKTEST'!A52</f>
        <v/>
      </c>
      <c r="B49" s="22" t="str">
        <f>'EQUITY BACKTEST'!B52</f>
        <v/>
      </c>
      <c r="C49" s="22" t="str">
        <f>1/'EQUITY BACKTEST'!E52</f>
        <v>#DIV/0!</v>
      </c>
      <c r="D49" s="22" t="str">
        <f t="shared" si="5"/>
        <v>#DIV/0!</v>
      </c>
      <c r="E49" s="22" t="str">
        <f t="shared" si="3"/>
        <v/>
      </c>
      <c r="H49" s="22" t="str">
        <f t="shared" si="4"/>
        <v/>
      </c>
      <c r="I49" s="22" t="str">
        <f t="shared" si="1"/>
        <v>#N/A</v>
      </c>
      <c r="J49" s="22" t="str">
        <f t="shared" si="2"/>
        <v>#N/A</v>
      </c>
      <c r="K49" s="22" t="str">
        <f t="array" ref="K49">IF(H49="Crash",MATCH(TRUE, B50:B147 &gt;= B48, 0),"")</f>
        <v/>
      </c>
    </row>
    <row r="50" ht="15.75" customHeight="1">
      <c r="A50" s="31" t="str">
        <f>'EQUITY BACKTEST'!A53</f>
        <v/>
      </c>
      <c r="B50" s="22" t="str">
        <f>'EQUITY BACKTEST'!B53</f>
        <v/>
      </c>
      <c r="C50" s="22" t="str">
        <f>1/'EQUITY BACKTEST'!E53</f>
        <v>#DIV/0!</v>
      </c>
      <c r="D50" s="22" t="str">
        <f t="shared" si="5"/>
        <v>#DIV/0!</v>
      </c>
      <c r="E50" s="22" t="str">
        <f t="shared" si="3"/>
        <v/>
      </c>
      <c r="H50" s="22" t="str">
        <f t="shared" si="4"/>
        <v/>
      </c>
      <c r="I50" s="22" t="str">
        <f t="shared" si="1"/>
        <v>#N/A</v>
      </c>
      <c r="J50" s="22" t="str">
        <f t="shared" si="2"/>
        <v>#N/A</v>
      </c>
      <c r="K50" s="22" t="str">
        <f t="array" ref="K50">IF(H50="Crash",MATCH(TRUE, B51:B148 &gt;= B49, 0),"")</f>
        <v/>
      </c>
    </row>
    <row r="51" ht="15.75" customHeight="1">
      <c r="A51" s="31" t="str">
        <f>'EQUITY BACKTEST'!A54</f>
        <v/>
      </c>
      <c r="B51" s="22" t="str">
        <f>'EQUITY BACKTEST'!B54</f>
        <v/>
      </c>
      <c r="C51" s="22" t="str">
        <f>1/'EQUITY BACKTEST'!E54</f>
        <v>#DIV/0!</v>
      </c>
      <c r="D51" s="22" t="str">
        <f t="shared" si="5"/>
        <v>#DIV/0!</v>
      </c>
      <c r="E51" s="22" t="str">
        <f t="shared" si="3"/>
        <v/>
      </c>
      <c r="H51" s="22" t="str">
        <f t="shared" si="4"/>
        <v/>
      </c>
      <c r="I51" s="22" t="str">
        <f t="shared" si="1"/>
        <v>#N/A</v>
      </c>
      <c r="J51" s="22" t="str">
        <f t="shared" si="2"/>
        <v>#N/A</v>
      </c>
      <c r="K51" s="22" t="str">
        <f t="array" ref="K51">IF(H51="Crash",MATCH(TRUE, B52:B149 &gt;= B50, 0),"")</f>
        <v/>
      </c>
    </row>
    <row r="52" ht="15.75" customHeight="1">
      <c r="A52" s="31" t="str">
        <f>'EQUITY BACKTEST'!A55</f>
        <v/>
      </c>
      <c r="B52" s="22" t="str">
        <f>'EQUITY BACKTEST'!B55</f>
        <v/>
      </c>
      <c r="C52" s="22" t="str">
        <f>1/'EQUITY BACKTEST'!E55</f>
        <v>#DIV/0!</v>
      </c>
      <c r="D52" s="22" t="str">
        <f t="shared" si="5"/>
        <v>#DIV/0!</v>
      </c>
      <c r="E52" s="22" t="str">
        <f t="shared" si="3"/>
        <v/>
      </c>
      <c r="H52" s="22" t="str">
        <f t="shared" si="4"/>
        <v/>
      </c>
      <c r="I52" s="22" t="str">
        <f t="shared" si="1"/>
        <v>#N/A</v>
      </c>
      <c r="J52" s="22" t="str">
        <f t="shared" si="2"/>
        <v>#N/A</v>
      </c>
      <c r="K52" s="22" t="str">
        <f t="array" ref="K52">IF(H52="Crash",MATCH(TRUE, B53:B150 &gt;= B51, 0),"")</f>
        <v/>
      </c>
    </row>
    <row r="53" ht="15.75" customHeight="1">
      <c r="A53" s="31" t="str">
        <f>'EQUITY BACKTEST'!A56</f>
        <v/>
      </c>
      <c r="B53" s="22" t="str">
        <f>'EQUITY BACKTEST'!B56</f>
        <v/>
      </c>
      <c r="C53" s="22" t="str">
        <f>1/'EQUITY BACKTEST'!E56</f>
        <v>#DIV/0!</v>
      </c>
      <c r="D53" s="22" t="str">
        <f t="shared" si="5"/>
        <v>#DIV/0!</v>
      </c>
      <c r="E53" s="22" t="str">
        <f t="shared" si="3"/>
        <v/>
      </c>
      <c r="H53" s="22" t="str">
        <f t="shared" si="4"/>
        <v/>
      </c>
      <c r="I53" s="22" t="str">
        <f t="shared" si="1"/>
        <v>#N/A</v>
      </c>
      <c r="J53" s="22" t="str">
        <f t="shared" si="2"/>
        <v>#N/A</v>
      </c>
      <c r="K53" s="22" t="str">
        <f t="array" ref="K53">IF(H53="Crash",MATCH(TRUE, B54:B151 &gt;= B52, 0),"")</f>
        <v/>
      </c>
    </row>
    <row r="54" ht="15.75" customHeight="1">
      <c r="A54" s="31" t="str">
        <f>'EQUITY BACKTEST'!A57</f>
        <v/>
      </c>
      <c r="B54" s="22" t="str">
        <f>'EQUITY BACKTEST'!B57</f>
        <v/>
      </c>
      <c r="C54" s="22" t="str">
        <f>1/'EQUITY BACKTEST'!E57</f>
        <v>#DIV/0!</v>
      </c>
      <c r="D54" s="22" t="str">
        <f t="shared" si="5"/>
        <v>#DIV/0!</v>
      </c>
      <c r="E54" s="22" t="str">
        <f t="shared" si="3"/>
        <v/>
      </c>
      <c r="F54" s="22" t="str">
        <f t="shared" ref="F54:F1343" si="6">B54/B2-1</f>
        <v>#DIV/0!</v>
      </c>
      <c r="H54" s="22" t="str">
        <f t="shared" si="4"/>
        <v/>
      </c>
      <c r="I54" s="22" t="str">
        <f t="shared" si="1"/>
        <v>#N/A</v>
      </c>
      <c r="J54" s="22" t="str">
        <f t="shared" si="2"/>
        <v>#N/A</v>
      </c>
      <c r="K54" s="22" t="str">
        <f t="array" ref="K54">IF(H54="Crash",MATCH(TRUE, B55:B152 &gt;= B53, 0),"")</f>
        <v/>
      </c>
    </row>
    <row r="55" ht="15.75" customHeight="1">
      <c r="A55" s="31" t="str">
        <f>'EQUITY BACKTEST'!A58</f>
        <v/>
      </c>
      <c r="B55" s="22" t="str">
        <f>'EQUITY BACKTEST'!B58</f>
        <v/>
      </c>
      <c r="C55" s="22" t="str">
        <f>1/'EQUITY BACKTEST'!E58</f>
        <v>#DIV/0!</v>
      </c>
      <c r="D55" s="22" t="str">
        <f t="shared" si="5"/>
        <v>#DIV/0!</v>
      </c>
      <c r="E55" s="22" t="str">
        <f t="shared" si="3"/>
        <v/>
      </c>
      <c r="F55" s="22" t="str">
        <f t="shared" si="6"/>
        <v>#DIV/0!</v>
      </c>
      <c r="H55" s="22" t="str">
        <f t="shared" si="4"/>
        <v/>
      </c>
      <c r="I55" s="22" t="str">
        <f t="shared" si="1"/>
        <v>#N/A</v>
      </c>
      <c r="J55" s="22" t="str">
        <f t="shared" si="2"/>
        <v>#N/A</v>
      </c>
      <c r="K55" s="22" t="str">
        <f t="array" ref="K55">IF(H55="Crash",MATCH(TRUE, B56:B153 &gt;= B54, 0),"")</f>
        <v/>
      </c>
    </row>
    <row r="56" ht="15.75" customHeight="1">
      <c r="A56" s="31" t="str">
        <f>'EQUITY BACKTEST'!A59</f>
        <v/>
      </c>
      <c r="B56" s="22" t="str">
        <f>'EQUITY BACKTEST'!B59</f>
        <v/>
      </c>
      <c r="C56" s="22" t="str">
        <f>1/'EQUITY BACKTEST'!E59</f>
        <v>#DIV/0!</v>
      </c>
      <c r="D56" s="22" t="str">
        <f t="shared" si="5"/>
        <v>#DIV/0!</v>
      </c>
      <c r="E56" s="22" t="str">
        <f t="shared" si="3"/>
        <v/>
      </c>
      <c r="F56" s="22" t="str">
        <f t="shared" si="6"/>
        <v>#DIV/0!</v>
      </c>
      <c r="H56" s="22" t="str">
        <f t="shared" si="4"/>
        <v/>
      </c>
      <c r="I56" s="22" t="str">
        <f t="shared" si="1"/>
        <v>#N/A</v>
      </c>
      <c r="J56" s="22" t="str">
        <f t="shared" si="2"/>
        <v>#N/A</v>
      </c>
      <c r="K56" s="22" t="str">
        <f t="array" ref="K56">IF(H56="Crash",MATCH(TRUE, B57:B154 &gt;= B55, 0),"")</f>
        <v/>
      </c>
    </row>
    <row r="57" ht="15.75" customHeight="1">
      <c r="A57" s="31" t="str">
        <f>'EQUITY BACKTEST'!A60</f>
        <v/>
      </c>
      <c r="B57" s="22" t="str">
        <f>'EQUITY BACKTEST'!B60</f>
        <v/>
      </c>
      <c r="C57" s="22" t="str">
        <f>1/'EQUITY BACKTEST'!E60</f>
        <v>#DIV/0!</v>
      </c>
      <c r="D57" s="22" t="str">
        <f t="shared" si="5"/>
        <v>#DIV/0!</v>
      </c>
      <c r="E57" s="22" t="str">
        <f t="shared" si="3"/>
        <v/>
      </c>
      <c r="F57" s="22" t="str">
        <f t="shared" si="6"/>
        <v>#DIV/0!</v>
      </c>
      <c r="H57" s="22" t="str">
        <f t="shared" si="4"/>
        <v/>
      </c>
      <c r="I57" s="22" t="str">
        <f t="shared" si="1"/>
        <v>#N/A</v>
      </c>
      <c r="J57" s="22" t="str">
        <f t="shared" si="2"/>
        <v>#N/A</v>
      </c>
      <c r="K57" s="22" t="str">
        <f t="array" ref="K57">IF(H57="Crash",MATCH(TRUE, B58:B155 &gt;= B56, 0),"")</f>
        <v/>
      </c>
    </row>
    <row r="58" ht="15.75" customHeight="1">
      <c r="A58" s="31" t="str">
        <f>'EQUITY BACKTEST'!A61</f>
        <v/>
      </c>
      <c r="B58" s="22" t="str">
        <f>'EQUITY BACKTEST'!B61</f>
        <v/>
      </c>
      <c r="C58" s="22" t="str">
        <f>1/'EQUITY BACKTEST'!E61</f>
        <v>#DIV/0!</v>
      </c>
      <c r="D58" s="22" t="str">
        <f t="shared" si="5"/>
        <v>#DIV/0!</v>
      </c>
      <c r="E58" s="22" t="str">
        <f t="shared" si="3"/>
        <v/>
      </c>
      <c r="F58" s="22" t="str">
        <f t="shared" si="6"/>
        <v>#DIV/0!</v>
      </c>
      <c r="H58" s="22" t="str">
        <f t="shared" si="4"/>
        <v/>
      </c>
      <c r="I58" s="22" t="str">
        <f t="shared" si="1"/>
        <v>#N/A</v>
      </c>
      <c r="J58" s="22" t="str">
        <f t="shared" si="2"/>
        <v>#N/A</v>
      </c>
      <c r="K58" s="22" t="str">
        <f t="array" ref="K58">IF(H58="Crash",MATCH(TRUE, B59:B156 &gt;= B57, 0),"")</f>
        <v/>
      </c>
    </row>
    <row r="59" ht="15.75" customHeight="1">
      <c r="A59" s="31" t="str">
        <f>'EQUITY BACKTEST'!A62</f>
        <v/>
      </c>
      <c r="B59" s="22" t="str">
        <f>'EQUITY BACKTEST'!B62</f>
        <v/>
      </c>
      <c r="C59" s="22" t="str">
        <f>1/'EQUITY BACKTEST'!E62</f>
        <v>#DIV/0!</v>
      </c>
      <c r="D59" s="22" t="str">
        <f t="shared" si="5"/>
        <v>#DIV/0!</v>
      </c>
      <c r="E59" s="22" t="str">
        <f t="shared" si="3"/>
        <v/>
      </c>
      <c r="F59" s="22" t="str">
        <f t="shared" si="6"/>
        <v>#DIV/0!</v>
      </c>
      <c r="H59" s="22" t="str">
        <f t="shared" si="4"/>
        <v/>
      </c>
      <c r="I59" s="22" t="str">
        <f t="shared" si="1"/>
        <v>#N/A</v>
      </c>
      <c r="J59" s="22" t="str">
        <f t="shared" si="2"/>
        <v>#N/A</v>
      </c>
      <c r="K59" s="22" t="str">
        <f t="array" ref="K59">IF(H59="Crash",MATCH(TRUE, B60:B157 &gt;= B58, 0),"")</f>
        <v/>
      </c>
    </row>
    <row r="60" ht="15.75" customHeight="1">
      <c r="A60" s="31" t="str">
        <f>'EQUITY BACKTEST'!A63</f>
        <v/>
      </c>
      <c r="B60" s="22" t="str">
        <f>'EQUITY BACKTEST'!B63</f>
        <v/>
      </c>
      <c r="C60" s="22" t="str">
        <f>1/'EQUITY BACKTEST'!E63</f>
        <v>#DIV/0!</v>
      </c>
      <c r="D60" s="22" t="str">
        <f t="shared" si="5"/>
        <v>#DIV/0!</v>
      </c>
      <c r="E60" s="22" t="str">
        <f t="shared" si="3"/>
        <v/>
      </c>
      <c r="F60" s="22" t="str">
        <f t="shared" si="6"/>
        <v>#DIV/0!</v>
      </c>
      <c r="H60" s="22" t="str">
        <f t="shared" si="4"/>
        <v/>
      </c>
      <c r="I60" s="22" t="str">
        <f t="shared" si="1"/>
        <v>#N/A</v>
      </c>
      <c r="J60" s="22" t="str">
        <f t="shared" si="2"/>
        <v>#N/A</v>
      </c>
      <c r="K60" s="22" t="str">
        <f t="array" ref="K60">IF(H60="Crash",MATCH(TRUE, B61:B158 &gt;= B59, 0),"")</f>
        <v/>
      </c>
    </row>
    <row r="61" ht="15.75" customHeight="1">
      <c r="A61" s="31" t="str">
        <f>'EQUITY BACKTEST'!A64</f>
        <v/>
      </c>
      <c r="B61" s="22" t="str">
        <f>'EQUITY BACKTEST'!B64</f>
        <v/>
      </c>
      <c r="C61" s="22" t="str">
        <f>1/'EQUITY BACKTEST'!E64</f>
        <v>#DIV/0!</v>
      </c>
      <c r="D61" s="22" t="str">
        <f t="shared" si="5"/>
        <v>#DIV/0!</v>
      </c>
      <c r="E61" s="22" t="str">
        <f t="shared" si="3"/>
        <v/>
      </c>
      <c r="F61" s="22" t="str">
        <f t="shared" si="6"/>
        <v>#DIV/0!</v>
      </c>
      <c r="H61" s="22" t="str">
        <f t="shared" si="4"/>
        <v/>
      </c>
      <c r="I61" s="22" t="str">
        <f t="shared" si="1"/>
        <v>#N/A</v>
      </c>
      <c r="J61" s="22" t="str">
        <f t="shared" si="2"/>
        <v>#N/A</v>
      </c>
      <c r="K61" s="22" t="str">
        <f t="array" ref="K61">IF(H61="Crash",MATCH(TRUE, B62:B159 &gt;= B60, 0),"")</f>
        <v/>
      </c>
    </row>
    <row r="62" ht="15.75" customHeight="1">
      <c r="A62" s="31" t="str">
        <f>'EQUITY BACKTEST'!A65</f>
        <v/>
      </c>
      <c r="B62" s="22" t="str">
        <f>'EQUITY BACKTEST'!B65</f>
        <v/>
      </c>
      <c r="C62" s="22" t="str">
        <f>1/'EQUITY BACKTEST'!E65</f>
        <v>#DIV/0!</v>
      </c>
      <c r="D62" s="22" t="str">
        <f t="shared" si="5"/>
        <v>#DIV/0!</v>
      </c>
      <c r="E62" s="22" t="str">
        <f t="shared" si="3"/>
        <v/>
      </c>
      <c r="F62" s="22" t="str">
        <f t="shared" si="6"/>
        <v>#DIV/0!</v>
      </c>
      <c r="H62" s="22" t="str">
        <f t="shared" si="4"/>
        <v/>
      </c>
      <c r="I62" s="22" t="str">
        <f t="shared" si="1"/>
        <v>#N/A</v>
      </c>
      <c r="J62" s="22" t="str">
        <f t="shared" si="2"/>
        <v>#N/A</v>
      </c>
      <c r="K62" s="22" t="str">
        <f t="array" ref="K62">IF(H62="Crash",MATCH(TRUE, B63:B160 &gt;= B61, 0),"")</f>
        <v/>
      </c>
    </row>
    <row r="63" ht="15.75" customHeight="1">
      <c r="A63" s="31" t="str">
        <f>'EQUITY BACKTEST'!A66</f>
        <v/>
      </c>
      <c r="B63" s="22" t="str">
        <f>'EQUITY BACKTEST'!B66</f>
        <v/>
      </c>
      <c r="C63" s="22" t="str">
        <f>1/'EQUITY BACKTEST'!E66</f>
        <v>#DIV/0!</v>
      </c>
      <c r="D63" s="22" t="str">
        <f t="shared" si="5"/>
        <v>#DIV/0!</v>
      </c>
      <c r="E63" s="22" t="str">
        <f t="shared" si="3"/>
        <v/>
      </c>
      <c r="F63" s="22" t="str">
        <f t="shared" si="6"/>
        <v>#DIV/0!</v>
      </c>
      <c r="H63" s="22" t="str">
        <f t="shared" si="4"/>
        <v/>
      </c>
      <c r="I63" s="22" t="str">
        <f t="shared" si="1"/>
        <v>#N/A</v>
      </c>
      <c r="J63" s="22" t="str">
        <f t="shared" si="2"/>
        <v>#N/A</v>
      </c>
      <c r="K63" s="22" t="str">
        <f t="array" ref="K63">IF(H63="Crash",MATCH(TRUE, B64:B161 &gt;= B62, 0),"")</f>
        <v/>
      </c>
    </row>
    <row r="64" ht="15.75" customHeight="1">
      <c r="A64" s="31" t="str">
        <f>'EQUITY BACKTEST'!A67</f>
        <v/>
      </c>
      <c r="B64" s="22" t="str">
        <f>'EQUITY BACKTEST'!B67</f>
        <v/>
      </c>
      <c r="C64" s="22" t="str">
        <f>1/'EQUITY BACKTEST'!E67</f>
        <v>#DIV/0!</v>
      </c>
      <c r="D64" s="22" t="str">
        <f t="shared" si="5"/>
        <v>#DIV/0!</v>
      </c>
      <c r="E64" s="22" t="str">
        <f t="shared" si="3"/>
        <v/>
      </c>
      <c r="F64" s="22" t="str">
        <f t="shared" si="6"/>
        <v>#DIV/0!</v>
      </c>
      <c r="H64" s="22" t="str">
        <f t="shared" si="4"/>
        <v/>
      </c>
      <c r="I64" s="22" t="str">
        <f t="shared" si="1"/>
        <v>#N/A</v>
      </c>
      <c r="J64" s="22" t="str">
        <f t="shared" si="2"/>
        <v>#N/A</v>
      </c>
      <c r="K64" s="22" t="str">
        <f t="array" ref="K64">IF(H64="Crash",MATCH(TRUE, B65:B162 &gt;= B63, 0),"")</f>
        <v/>
      </c>
    </row>
    <row r="65" ht="15.75" customHeight="1">
      <c r="A65" s="31" t="str">
        <f>'EQUITY BACKTEST'!A68</f>
        <v/>
      </c>
      <c r="B65" s="22" t="str">
        <f>'EQUITY BACKTEST'!B68</f>
        <v/>
      </c>
      <c r="C65" s="22" t="str">
        <f>1/'EQUITY BACKTEST'!E68</f>
        <v>#DIV/0!</v>
      </c>
      <c r="D65" s="22" t="str">
        <f t="shared" si="5"/>
        <v>#DIV/0!</v>
      </c>
      <c r="E65" s="22" t="str">
        <f t="shared" si="3"/>
        <v/>
      </c>
      <c r="F65" s="22" t="str">
        <f t="shared" si="6"/>
        <v>#DIV/0!</v>
      </c>
      <c r="H65" s="22" t="str">
        <f t="shared" si="4"/>
        <v/>
      </c>
      <c r="I65" s="22" t="str">
        <f t="shared" si="1"/>
        <v>#N/A</v>
      </c>
      <c r="J65" s="22" t="str">
        <f t="shared" si="2"/>
        <v>#N/A</v>
      </c>
      <c r="K65" s="22" t="str">
        <f t="array" ref="K65">IF(H65="Crash",MATCH(TRUE, B66:B163 &gt;= B64, 0),"")</f>
        <v/>
      </c>
    </row>
    <row r="66" ht="15.75" customHeight="1">
      <c r="A66" s="31" t="str">
        <f>'EQUITY BACKTEST'!A69</f>
        <v/>
      </c>
      <c r="B66" s="22" t="str">
        <f>'EQUITY BACKTEST'!B69</f>
        <v/>
      </c>
      <c r="C66" s="22" t="str">
        <f>1/'EQUITY BACKTEST'!E69</f>
        <v>#DIV/0!</v>
      </c>
      <c r="D66" s="22" t="str">
        <f t="shared" si="5"/>
        <v>#DIV/0!</v>
      </c>
      <c r="E66" s="22" t="str">
        <f t="shared" si="3"/>
        <v/>
      </c>
      <c r="F66" s="22" t="str">
        <f t="shared" si="6"/>
        <v>#DIV/0!</v>
      </c>
      <c r="H66" s="22" t="str">
        <f t="shared" si="4"/>
        <v/>
      </c>
      <c r="I66" s="22" t="str">
        <f t="shared" si="1"/>
        <v>#N/A</v>
      </c>
      <c r="J66" s="22" t="str">
        <f t="shared" si="2"/>
        <v>#N/A</v>
      </c>
      <c r="K66" s="22" t="str">
        <f t="array" ref="K66">IF(H66="Crash",MATCH(TRUE, B67:B164 &gt;= B65, 0),"")</f>
        <v/>
      </c>
    </row>
    <row r="67" ht="15.75" customHeight="1">
      <c r="A67" s="31" t="str">
        <f>'EQUITY BACKTEST'!A70</f>
        <v/>
      </c>
      <c r="B67" s="22" t="str">
        <f>'EQUITY BACKTEST'!B70</f>
        <v/>
      </c>
      <c r="C67" s="22" t="str">
        <f>1/'EQUITY BACKTEST'!E70</f>
        <v>#DIV/0!</v>
      </c>
      <c r="D67" s="22" t="str">
        <f t="shared" si="5"/>
        <v>#DIV/0!</v>
      </c>
      <c r="E67" s="22" t="str">
        <f t="shared" si="3"/>
        <v/>
      </c>
      <c r="F67" s="22" t="str">
        <f t="shared" si="6"/>
        <v>#DIV/0!</v>
      </c>
      <c r="H67" s="22" t="str">
        <f t="shared" si="4"/>
        <v/>
      </c>
      <c r="I67" s="22" t="str">
        <f t="shared" si="1"/>
        <v>#N/A</v>
      </c>
      <c r="J67" s="22" t="str">
        <f t="shared" si="2"/>
        <v>#N/A</v>
      </c>
      <c r="K67" s="22" t="str">
        <f t="array" ref="K67">IF(H67="Crash",MATCH(TRUE, B68:B165 &gt;= B66, 0),"")</f>
        <v/>
      </c>
    </row>
    <row r="68" ht="15.75" customHeight="1">
      <c r="A68" s="31" t="str">
        <f>'EQUITY BACKTEST'!A71</f>
        <v/>
      </c>
      <c r="B68" s="22" t="str">
        <f>'EQUITY BACKTEST'!B71</f>
        <v/>
      </c>
      <c r="C68" s="22" t="str">
        <f>1/'EQUITY BACKTEST'!E71</f>
        <v>#DIV/0!</v>
      </c>
      <c r="D68" s="22" t="str">
        <f t="shared" si="5"/>
        <v>#DIV/0!</v>
      </c>
      <c r="E68" s="22" t="str">
        <f t="shared" si="3"/>
        <v/>
      </c>
      <c r="F68" s="22" t="str">
        <f t="shared" si="6"/>
        <v>#DIV/0!</v>
      </c>
      <c r="H68" s="22" t="str">
        <f t="shared" si="4"/>
        <v/>
      </c>
      <c r="I68" s="22" t="str">
        <f t="shared" si="1"/>
        <v>#N/A</v>
      </c>
      <c r="J68" s="22" t="str">
        <f t="shared" si="2"/>
        <v>#N/A</v>
      </c>
      <c r="K68" s="22" t="str">
        <f t="array" ref="K68">IF(H68="Crash",MATCH(TRUE, B69:B166 &gt;= B67, 0),"")</f>
        <v/>
      </c>
    </row>
    <row r="69" ht="15.75" customHeight="1">
      <c r="A69" s="31" t="str">
        <f>'EQUITY BACKTEST'!A72</f>
        <v/>
      </c>
      <c r="B69" s="22" t="str">
        <f>'EQUITY BACKTEST'!B72</f>
        <v/>
      </c>
      <c r="C69" s="22" t="str">
        <f>1/'EQUITY BACKTEST'!E72</f>
        <v>#DIV/0!</v>
      </c>
      <c r="D69" s="22" t="str">
        <f t="shared" si="5"/>
        <v>#DIV/0!</v>
      </c>
      <c r="E69" s="22" t="str">
        <f t="shared" si="3"/>
        <v/>
      </c>
      <c r="F69" s="22" t="str">
        <f t="shared" si="6"/>
        <v>#DIV/0!</v>
      </c>
      <c r="H69" s="22" t="str">
        <f t="shared" si="4"/>
        <v/>
      </c>
      <c r="I69" s="22" t="str">
        <f t="shared" si="1"/>
        <v>#N/A</v>
      </c>
      <c r="J69" s="22" t="str">
        <f t="shared" si="2"/>
        <v>#N/A</v>
      </c>
      <c r="K69" s="22" t="str">
        <f t="array" ref="K69">IF(H69="Crash",MATCH(TRUE, B70:B167 &gt;= B68, 0),"")</f>
        <v/>
      </c>
    </row>
    <row r="70" ht="15.75" customHeight="1">
      <c r="A70" s="31" t="str">
        <f>'EQUITY BACKTEST'!A73</f>
        <v/>
      </c>
      <c r="B70" s="22" t="str">
        <f>'EQUITY BACKTEST'!B73</f>
        <v/>
      </c>
      <c r="C70" s="22" t="str">
        <f>1/'EQUITY BACKTEST'!E73</f>
        <v>#DIV/0!</v>
      </c>
      <c r="D70" s="22" t="str">
        <f t="shared" si="5"/>
        <v>#DIV/0!</v>
      </c>
      <c r="E70" s="22" t="str">
        <f t="shared" si="3"/>
        <v/>
      </c>
      <c r="F70" s="22" t="str">
        <f t="shared" si="6"/>
        <v>#DIV/0!</v>
      </c>
      <c r="H70" s="22" t="str">
        <f t="shared" si="4"/>
        <v/>
      </c>
      <c r="I70" s="22" t="str">
        <f t="shared" si="1"/>
        <v>#N/A</v>
      </c>
      <c r="J70" s="22" t="str">
        <f t="shared" si="2"/>
        <v>#N/A</v>
      </c>
      <c r="K70" s="22" t="str">
        <f t="array" ref="K70">IF(H70="Crash",MATCH(TRUE, B71:B168 &gt;= B69, 0),"")</f>
        <v/>
      </c>
    </row>
    <row r="71" ht="15.75" customHeight="1">
      <c r="A71" s="31" t="str">
        <f>'EQUITY BACKTEST'!A74</f>
        <v/>
      </c>
      <c r="B71" s="22" t="str">
        <f>'EQUITY BACKTEST'!B74</f>
        <v/>
      </c>
      <c r="C71" s="22" t="str">
        <f>1/'EQUITY BACKTEST'!E74</f>
        <v>#DIV/0!</v>
      </c>
      <c r="D71" s="22" t="str">
        <f t="shared" si="5"/>
        <v>#DIV/0!</v>
      </c>
      <c r="E71" s="22" t="str">
        <f t="shared" si="3"/>
        <v/>
      </c>
      <c r="F71" s="22" t="str">
        <f t="shared" si="6"/>
        <v>#DIV/0!</v>
      </c>
      <c r="H71" s="22" t="str">
        <f t="shared" si="4"/>
        <v/>
      </c>
      <c r="I71" s="22" t="str">
        <f t="shared" si="1"/>
        <v>#N/A</v>
      </c>
      <c r="J71" s="22" t="str">
        <f t="shared" si="2"/>
        <v>#N/A</v>
      </c>
      <c r="K71" s="22" t="str">
        <f t="array" ref="K71">IF(H71="Crash",MATCH(TRUE, B72:B169 &gt;= B70, 0),"")</f>
        <v/>
      </c>
    </row>
    <row r="72" ht="15.75" customHeight="1">
      <c r="A72" s="31" t="str">
        <f>'EQUITY BACKTEST'!A75</f>
        <v/>
      </c>
      <c r="B72" s="22" t="str">
        <f>'EQUITY BACKTEST'!B75</f>
        <v/>
      </c>
      <c r="C72" s="22" t="str">
        <f>1/'EQUITY BACKTEST'!E75</f>
        <v>#DIV/0!</v>
      </c>
      <c r="D72" s="22" t="str">
        <f t="shared" si="5"/>
        <v>#DIV/0!</v>
      </c>
      <c r="E72" s="22" t="str">
        <f t="shared" si="3"/>
        <v/>
      </c>
      <c r="F72" s="22" t="str">
        <f t="shared" si="6"/>
        <v>#DIV/0!</v>
      </c>
      <c r="H72" s="22" t="str">
        <f t="shared" si="4"/>
        <v/>
      </c>
      <c r="I72" s="22" t="str">
        <f t="shared" si="1"/>
        <v>#N/A</v>
      </c>
      <c r="J72" s="22" t="str">
        <f t="shared" si="2"/>
        <v>#N/A</v>
      </c>
      <c r="K72" s="22" t="str">
        <f t="array" ref="K72">IF(H72="Crash",MATCH(TRUE, B73:B170 &gt;= B71, 0),"")</f>
        <v/>
      </c>
    </row>
    <row r="73" ht="15.75" customHeight="1">
      <c r="A73" s="31" t="str">
        <f>'EQUITY BACKTEST'!A76</f>
        <v/>
      </c>
      <c r="B73" s="22" t="str">
        <f>'EQUITY BACKTEST'!B76</f>
        <v/>
      </c>
      <c r="C73" s="22" t="str">
        <f>1/'EQUITY BACKTEST'!E76</f>
        <v>#DIV/0!</v>
      </c>
      <c r="D73" s="22" t="str">
        <f t="shared" si="5"/>
        <v>#DIV/0!</v>
      </c>
      <c r="E73" s="22" t="str">
        <f t="shared" si="3"/>
        <v/>
      </c>
      <c r="F73" s="22" t="str">
        <f t="shared" si="6"/>
        <v>#DIV/0!</v>
      </c>
      <c r="H73" s="22" t="str">
        <f t="shared" si="4"/>
        <v/>
      </c>
      <c r="I73" s="22" t="str">
        <f t="shared" si="1"/>
        <v>#N/A</v>
      </c>
      <c r="J73" s="22" t="str">
        <f t="shared" si="2"/>
        <v>#N/A</v>
      </c>
      <c r="K73" s="22" t="str">
        <f t="array" ref="K73">IF(H73="Crash",MATCH(TRUE, B74:B171 &gt;= B72, 0),"")</f>
        <v/>
      </c>
    </row>
    <row r="74" ht="15.75" customHeight="1">
      <c r="A74" s="31" t="str">
        <f>'EQUITY BACKTEST'!A77</f>
        <v/>
      </c>
      <c r="B74" s="22" t="str">
        <f>'EQUITY BACKTEST'!B77</f>
        <v/>
      </c>
      <c r="C74" s="22" t="str">
        <f>1/'EQUITY BACKTEST'!E77</f>
        <v>#DIV/0!</v>
      </c>
      <c r="D74" s="22" t="str">
        <f t="shared" si="5"/>
        <v>#DIV/0!</v>
      </c>
      <c r="E74" s="22" t="str">
        <f t="shared" si="3"/>
        <v/>
      </c>
      <c r="F74" s="22" t="str">
        <f t="shared" si="6"/>
        <v>#DIV/0!</v>
      </c>
      <c r="H74" s="22" t="str">
        <f t="shared" si="4"/>
        <v/>
      </c>
      <c r="I74" s="22" t="str">
        <f t="shared" si="1"/>
        <v>#N/A</v>
      </c>
      <c r="J74" s="22" t="str">
        <f t="shared" si="2"/>
        <v>#N/A</v>
      </c>
      <c r="K74" s="22" t="str">
        <f t="array" ref="K74">IF(H74="Crash",MATCH(TRUE, B75:B172 &gt;= B73, 0),"")</f>
        <v/>
      </c>
    </row>
    <row r="75" ht="15.75" customHeight="1">
      <c r="A75" s="31" t="str">
        <f>'EQUITY BACKTEST'!A78</f>
        <v/>
      </c>
      <c r="B75" s="22" t="str">
        <f>'EQUITY BACKTEST'!B78</f>
        <v/>
      </c>
      <c r="C75" s="22" t="str">
        <f>1/'EQUITY BACKTEST'!E78</f>
        <v>#DIV/0!</v>
      </c>
      <c r="D75" s="22" t="str">
        <f t="shared" si="5"/>
        <v>#DIV/0!</v>
      </c>
      <c r="E75" s="22" t="str">
        <f t="shared" si="3"/>
        <v/>
      </c>
      <c r="F75" s="22" t="str">
        <f t="shared" si="6"/>
        <v>#DIV/0!</v>
      </c>
      <c r="H75" s="22" t="str">
        <f t="shared" si="4"/>
        <v/>
      </c>
      <c r="I75" s="22" t="str">
        <f t="shared" si="1"/>
        <v>#N/A</v>
      </c>
      <c r="J75" s="22" t="str">
        <f t="shared" si="2"/>
        <v>#N/A</v>
      </c>
      <c r="K75" s="22" t="str">
        <f t="array" ref="K75">IF(H75="Crash",MATCH(TRUE, B76:B173 &gt;= B74, 0),"")</f>
        <v/>
      </c>
    </row>
    <row r="76" ht="15.75" customHeight="1">
      <c r="A76" s="31" t="str">
        <f>'EQUITY BACKTEST'!A79</f>
        <v/>
      </c>
      <c r="B76" s="22" t="str">
        <f>'EQUITY BACKTEST'!B79</f>
        <v/>
      </c>
      <c r="C76" s="22" t="str">
        <f>1/'EQUITY BACKTEST'!E79</f>
        <v>#DIV/0!</v>
      </c>
      <c r="D76" s="22" t="str">
        <f t="shared" si="5"/>
        <v>#DIV/0!</v>
      </c>
      <c r="E76" s="22" t="str">
        <f t="shared" si="3"/>
        <v/>
      </c>
      <c r="F76" s="22" t="str">
        <f t="shared" si="6"/>
        <v>#DIV/0!</v>
      </c>
      <c r="H76" s="22" t="str">
        <f t="shared" si="4"/>
        <v/>
      </c>
      <c r="I76" s="22" t="str">
        <f t="shared" si="1"/>
        <v>#N/A</v>
      </c>
      <c r="J76" s="22" t="str">
        <f t="shared" si="2"/>
        <v>#N/A</v>
      </c>
      <c r="K76" s="22" t="str">
        <f t="array" ref="K76">IF(H76="Crash",MATCH(TRUE, B77:B174 &gt;= B75, 0),"")</f>
        <v/>
      </c>
    </row>
    <row r="77" ht="15.75" customHeight="1">
      <c r="A77" s="31" t="str">
        <f>'EQUITY BACKTEST'!A80</f>
        <v/>
      </c>
      <c r="B77" s="22" t="str">
        <f>'EQUITY BACKTEST'!B80</f>
        <v/>
      </c>
      <c r="C77" s="22" t="str">
        <f>1/'EQUITY BACKTEST'!E80</f>
        <v>#DIV/0!</v>
      </c>
      <c r="D77" s="22" t="str">
        <f t="shared" si="5"/>
        <v>#DIV/0!</v>
      </c>
      <c r="E77" s="22" t="str">
        <f t="shared" si="3"/>
        <v/>
      </c>
      <c r="F77" s="22" t="str">
        <f t="shared" si="6"/>
        <v>#DIV/0!</v>
      </c>
      <c r="H77" s="22" t="str">
        <f t="shared" si="4"/>
        <v/>
      </c>
      <c r="I77" s="22" t="str">
        <f t="shared" si="1"/>
        <v>#N/A</v>
      </c>
      <c r="J77" s="22" t="str">
        <f t="shared" si="2"/>
        <v>#N/A</v>
      </c>
      <c r="K77" s="22" t="str">
        <f t="array" ref="K77">IF(H77="Crash",MATCH(TRUE, B78:B175 &gt;= B76, 0),"")</f>
        <v/>
      </c>
    </row>
    <row r="78" ht="15.75" customHeight="1">
      <c r="A78" s="31" t="str">
        <f>'EQUITY BACKTEST'!A81</f>
        <v/>
      </c>
      <c r="B78" s="22" t="str">
        <f>'EQUITY BACKTEST'!B81</f>
        <v/>
      </c>
      <c r="C78" s="22" t="str">
        <f>1/'EQUITY BACKTEST'!E81</f>
        <v>#DIV/0!</v>
      </c>
      <c r="D78" s="22" t="str">
        <f t="shared" si="5"/>
        <v>#DIV/0!</v>
      </c>
      <c r="E78" s="22" t="str">
        <f t="shared" si="3"/>
        <v/>
      </c>
      <c r="F78" s="22" t="str">
        <f t="shared" si="6"/>
        <v>#DIV/0!</v>
      </c>
      <c r="H78" s="22" t="str">
        <f t="shared" si="4"/>
        <v/>
      </c>
      <c r="I78" s="22" t="str">
        <f t="shared" si="1"/>
        <v>#N/A</v>
      </c>
      <c r="J78" s="22" t="str">
        <f t="shared" si="2"/>
        <v>#N/A</v>
      </c>
      <c r="K78" s="22" t="str">
        <f t="array" ref="K78">IF(H78="Crash",MATCH(TRUE, B79:B176 &gt;= B77, 0),"")</f>
        <v/>
      </c>
    </row>
    <row r="79" ht="15.75" customHeight="1">
      <c r="A79" s="31" t="str">
        <f>'EQUITY BACKTEST'!A82</f>
        <v/>
      </c>
      <c r="B79" s="22" t="str">
        <f>'EQUITY BACKTEST'!B82</f>
        <v/>
      </c>
      <c r="C79" s="22" t="str">
        <f>1/'EQUITY BACKTEST'!E82</f>
        <v>#DIV/0!</v>
      </c>
      <c r="D79" s="22" t="str">
        <f t="shared" si="5"/>
        <v>#DIV/0!</v>
      </c>
      <c r="E79" s="22" t="str">
        <f t="shared" si="3"/>
        <v/>
      </c>
      <c r="F79" s="22" t="str">
        <f t="shared" si="6"/>
        <v>#DIV/0!</v>
      </c>
      <c r="H79" s="22" t="str">
        <f t="shared" si="4"/>
        <v/>
      </c>
      <c r="I79" s="22" t="str">
        <f t="shared" si="1"/>
        <v>#N/A</v>
      </c>
      <c r="J79" s="22" t="str">
        <f t="shared" si="2"/>
        <v>#N/A</v>
      </c>
      <c r="K79" s="22" t="str">
        <f t="array" ref="K79">IF(H79="Crash",MATCH(TRUE, B80:B177 &gt;= B78, 0),"")</f>
        <v/>
      </c>
    </row>
    <row r="80" ht="15.75" customHeight="1">
      <c r="A80" s="31" t="str">
        <f>'EQUITY BACKTEST'!A83</f>
        <v/>
      </c>
      <c r="B80" s="22" t="str">
        <f>'EQUITY BACKTEST'!B83</f>
        <v/>
      </c>
      <c r="C80" s="22" t="str">
        <f>1/'EQUITY BACKTEST'!E83</f>
        <v>#DIV/0!</v>
      </c>
      <c r="D80" s="22" t="str">
        <f t="shared" si="5"/>
        <v>#DIV/0!</v>
      </c>
      <c r="E80" s="22" t="str">
        <f t="shared" si="3"/>
        <v/>
      </c>
      <c r="F80" s="22" t="str">
        <f t="shared" si="6"/>
        <v>#DIV/0!</v>
      </c>
      <c r="H80" s="22" t="str">
        <f t="shared" si="4"/>
        <v/>
      </c>
      <c r="I80" s="22" t="str">
        <f t="shared" si="1"/>
        <v>#N/A</v>
      </c>
      <c r="J80" s="22" t="str">
        <f t="shared" si="2"/>
        <v>#N/A</v>
      </c>
      <c r="K80" s="22" t="str">
        <f t="array" ref="K80">IF(H80="Crash",MATCH(TRUE, B81:B178 &gt;= B79, 0),"")</f>
        <v/>
      </c>
    </row>
    <row r="81" ht="15.75" customHeight="1">
      <c r="A81" s="31" t="str">
        <f>'EQUITY BACKTEST'!A84</f>
        <v/>
      </c>
      <c r="B81" s="22" t="str">
        <f>'EQUITY BACKTEST'!B84</f>
        <v/>
      </c>
      <c r="C81" s="22" t="str">
        <f>1/'EQUITY BACKTEST'!E84</f>
        <v>#DIV/0!</v>
      </c>
      <c r="D81" s="22" t="str">
        <f t="shared" si="5"/>
        <v>#DIV/0!</v>
      </c>
      <c r="E81" s="22" t="str">
        <f t="shared" si="3"/>
        <v/>
      </c>
      <c r="F81" s="22" t="str">
        <f t="shared" si="6"/>
        <v>#DIV/0!</v>
      </c>
      <c r="H81" s="22" t="str">
        <f t="shared" si="4"/>
        <v/>
      </c>
      <c r="I81" s="22" t="str">
        <f t="shared" si="1"/>
        <v>#N/A</v>
      </c>
      <c r="J81" s="22" t="str">
        <f t="shared" si="2"/>
        <v>#N/A</v>
      </c>
      <c r="K81" s="22" t="str">
        <f t="array" ref="K81">IF(H81="Crash",MATCH(TRUE, B82:B179 &gt;= B80, 0),"")</f>
        <v/>
      </c>
    </row>
    <row r="82" ht="15.75" customHeight="1">
      <c r="A82" s="31" t="str">
        <f>'EQUITY BACKTEST'!A85</f>
        <v/>
      </c>
      <c r="B82" s="22" t="str">
        <f>'EQUITY BACKTEST'!B85</f>
        <v/>
      </c>
      <c r="C82" s="22" t="str">
        <f>1/'EQUITY BACKTEST'!E85</f>
        <v>#DIV/0!</v>
      </c>
      <c r="D82" s="22" t="str">
        <f t="shared" si="5"/>
        <v>#DIV/0!</v>
      </c>
      <c r="E82" s="22" t="str">
        <f t="shared" si="3"/>
        <v/>
      </c>
      <c r="F82" s="22" t="str">
        <f t="shared" si="6"/>
        <v>#DIV/0!</v>
      </c>
      <c r="H82" s="22" t="str">
        <f t="shared" si="4"/>
        <v/>
      </c>
      <c r="I82" s="22" t="str">
        <f t="shared" si="1"/>
        <v>#N/A</v>
      </c>
      <c r="J82" s="22" t="str">
        <f t="shared" si="2"/>
        <v>#N/A</v>
      </c>
      <c r="K82" s="22" t="str">
        <f t="array" ref="K82">IF(H82="Crash",MATCH(TRUE, B83:B180 &gt;= B81, 0),"")</f>
        <v/>
      </c>
    </row>
    <row r="83" ht="15.75" customHeight="1">
      <c r="A83" s="31" t="str">
        <f>'EQUITY BACKTEST'!A86</f>
        <v/>
      </c>
      <c r="B83" s="22" t="str">
        <f>'EQUITY BACKTEST'!B86</f>
        <v/>
      </c>
      <c r="C83" s="22" t="str">
        <f>1/'EQUITY BACKTEST'!E86</f>
        <v>#DIV/0!</v>
      </c>
      <c r="D83" s="22" t="str">
        <f t="shared" si="5"/>
        <v>#DIV/0!</v>
      </c>
      <c r="E83" s="22" t="str">
        <f t="shared" si="3"/>
        <v/>
      </c>
      <c r="F83" s="22" t="str">
        <f t="shared" si="6"/>
        <v>#DIV/0!</v>
      </c>
      <c r="H83" s="22" t="str">
        <f t="shared" si="4"/>
        <v/>
      </c>
      <c r="I83" s="22" t="str">
        <f t="shared" si="1"/>
        <v>#N/A</v>
      </c>
      <c r="J83" s="22" t="str">
        <f t="shared" si="2"/>
        <v>#N/A</v>
      </c>
      <c r="K83" s="22" t="str">
        <f t="array" ref="K83">IF(H83="Crash",MATCH(TRUE, B84:B181 &gt;= B82, 0),"")</f>
        <v/>
      </c>
    </row>
    <row r="84" ht="15.75" customHeight="1">
      <c r="A84" s="31" t="str">
        <f>'EQUITY BACKTEST'!A87</f>
        <v/>
      </c>
      <c r="B84" s="22" t="str">
        <f>'EQUITY BACKTEST'!B87</f>
        <v/>
      </c>
      <c r="C84" s="22" t="str">
        <f>1/'EQUITY BACKTEST'!E87</f>
        <v>#DIV/0!</v>
      </c>
      <c r="D84" s="22" t="str">
        <f t="shared" si="5"/>
        <v>#DIV/0!</v>
      </c>
      <c r="E84" s="22" t="str">
        <f t="shared" si="3"/>
        <v/>
      </c>
      <c r="F84" s="22" t="str">
        <f t="shared" si="6"/>
        <v>#DIV/0!</v>
      </c>
      <c r="H84" s="22" t="str">
        <f t="shared" si="4"/>
        <v/>
      </c>
      <c r="I84" s="22" t="str">
        <f t="shared" si="1"/>
        <v>#N/A</v>
      </c>
      <c r="J84" s="22" t="str">
        <f t="shared" si="2"/>
        <v>#N/A</v>
      </c>
      <c r="K84" s="22" t="str">
        <f t="array" ref="K84">IF(H84="Crash",MATCH(TRUE, B85:B182 &gt;= B83, 0),"")</f>
        <v/>
      </c>
    </row>
    <row r="85" ht="15.75" customHeight="1">
      <c r="A85" s="31" t="str">
        <f>'EQUITY BACKTEST'!A88</f>
        <v/>
      </c>
      <c r="B85" s="22" t="str">
        <f>'EQUITY BACKTEST'!B88</f>
        <v/>
      </c>
      <c r="C85" s="22" t="str">
        <f>1/'EQUITY BACKTEST'!E88</f>
        <v>#DIV/0!</v>
      </c>
      <c r="D85" s="22" t="str">
        <f t="shared" si="5"/>
        <v>#DIV/0!</v>
      </c>
      <c r="E85" s="22" t="str">
        <f t="shared" si="3"/>
        <v/>
      </c>
      <c r="F85" s="22" t="str">
        <f t="shared" si="6"/>
        <v>#DIV/0!</v>
      </c>
      <c r="H85" s="22" t="str">
        <f t="shared" si="4"/>
        <v/>
      </c>
      <c r="I85" s="22" t="str">
        <f t="shared" si="1"/>
        <v>#N/A</v>
      </c>
      <c r="J85" s="22" t="str">
        <f t="shared" si="2"/>
        <v>#N/A</v>
      </c>
      <c r="K85" s="22" t="str">
        <f t="array" ref="K85">IF(H85="Crash",MATCH(TRUE, B86:B183 &gt;= B84, 0),"")</f>
        <v/>
      </c>
    </row>
    <row r="86" ht="15.75" customHeight="1">
      <c r="A86" s="31" t="str">
        <f>'EQUITY BACKTEST'!A89</f>
        <v/>
      </c>
      <c r="B86" s="22" t="str">
        <f>'EQUITY BACKTEST'!B89</f>
        <v/>
      </c>
      <c r="C86" s="22" t="str">
        <f>1/'EQUITY BACKTEST'!E89</f>
        <v>#DIV/0!</v>
      </c>
      <c r="D86" s="22" t="str">
        <f t="shared" si="5"/>
        <v>#DIV/0!</v>
      </c>
      <c r="E86" s="22" t="str">
        <f t="shared" si="3"/>
        <v/>
      </c>
      <c r="F86" s="22" t="str">
        <f t="shared" si="6"/>
        <v>#DIV/0!</v>
      </c>
      <c r="H86" s="22" t="str">
        <f t="shared" si="4"/>
        <v/>
      </c>
      <c r="I86" s="22" t="str">
        <f t="shared" si="1"/>
        <v>#N/A</v>
      </c>
      <c r="J86" s="22" t="str">
        <f t="shared" si="2"/>
        <v>#N/A</v>
      </c>
      <c r="K86" s="22" t="str">
        <f t="array" ref="K86">IF(H86="Crash",MATCH(TRUE, B87:B184 &gt;= B85, 0),"")</f>
        <v/>
      </c>
    </row>
    <row r="87" ht="15.75" customHeight="1">
      <c r="A87" s="31" t="str">
        <f>'EQUITY BACKTEST'!A90</f>
        <v/>
      </c>
      <c r="B87" s="22" t="str">
        <f>'EQUITY BACKTEST'!B90</f>
        <v/>
      </c>
      <c r="C87" s="22" t="str">
        <f>1/'EQUITY BACKTEST'!E90</f>
        <v>#DIV/0!</v>
      </c>
      <c r="D87" s="22" t="str">
        <f t="shared" si="5"/>
        <v>#DIV/0!</v>
      </c>
      <c r="E87" s="22" t="str">
        <f t="shared" si="3"/>
        <v/>
      </c>
      <c r="F87" s="22" t="str">
        <f t="shared" si="6"/>
        <v>#DIV/0!</v>
      </c>
      <c r="H87" s="22" t="str">
        <f t="shared" si="4"/>
        <v/>
      </c>
      <c r="I87" s="22" t="str">
        <f t="shared" si="1"/>
        <v>#N/A</v>
      </c>
      <c r="J87" s="22" t="str">
        <f t="shared" si="2"/>
        <v>#N/A</v>
      </c>
      <c r="K87" s="22" t="str">
        <f t="array" ref="K87">IF(H87="Crash",MATCH(TRUE, B88:B185 &gt;= B86, 0),"")</f>
        <v/>
      </c>
    </row>
    <row r="88" ht="15.75" customHeight="1">
      <c r="A88" s="31" t="str">
        <f>'EQUITY BACKTEST'!A91</f>
        <v/>
      </c>
      <c r="B88" s="22" t="str">
        <f>'EQUITY BACKTEST'!B91</f>
        <v/>
      </c>
      <c r="C88" s="22" t="str">
        <f>1/'EQUITY BACKTEST'!E91</f>
        <v>#DIV/0!</v>
      </c>
      <c r="D88" s="22" t="str">
        <f t="shared" si="5"/>
        <v>#DIV/0!</v>
      </c>
      <c r="E88" s="22" t="str">
        <f t="shared" si="3"/>
        <v/>
      </c>
      <c r="F88" s="22" t="str">
        <f t="shared" si="6"/>
        <v>#DIV/0!</v>
      </c>
      <c r="H88" s="22" t="str">
        <f t="shared" si="4"/>
        <v/>
      </c>
      <c r="I88" s="22" t="str">
        <f t="shared" si="1"/>
        <v>#N/A</v>
      </c>
      <c r="J88" s="22" t="str">
        <f t="shared" si="2"/>
        <v>#N/A</v>
      </c>
      <c r="K88" s="22" t="str">
        <f t="array" ref="K88">IF(H88="Crash",MATCH(TRUE, B89:B186 &gt;= B87, 0),"")</f>
        <v/>
      </c>
    </row>
    <row r="89" ht="15.75" customHeight="1">
      <c r="A89" s="31" t="str">
        <f>'EQUITY BACKTEST'!A92</f>
        <v/>
      </c>
      <c r="B89" s="22" t="str">
        <f>'EQUITY BACKTEST'!B92</f>
        <v/>
      </c>
      <c r="C89" s="22" t="str">
        <f>1/'EQUITY BACKTEST'!E92</f>
        <v>#DIV/0!</v>
      </c>
      <c r="D89" s="22" t="str">
        <f t="shared" si="5"/>
        <v>#DIV/0!</v>
      </c>
      <c r="E89" s="22" t="str">
        <f t="shared" si="3"/>
        <v/>
      </c>
      <c r="F89" s="22" t="str">
        <f t="shared" si="6"/>
        <v>#DIV/0!</v>
      </c>
      <c r="H89" s="22" t="str">
        <f t="shared" si="4"/>
        <v/>
      </c>
      <c r="I89" s="22" t="str">
        <f t="shared" si="1"/>
        <v>#N/A</v>
      </c>
      <c r="J89" s="22" t="str">
        <f t="shared" si="2"/>
        <v>#N/A</v>
      </c>
      <c r="K89" s="22" t="str">
        <f t="array" ref="K89">IF(H89="Crash",MATCH(TRUE, B90:B187 &gt;= B88, 0),"")</f>
        <v/>
      </c>
    </row>
    <row r="90" ht="15.75" customHeight="1">
      <c r="A90" s="31" t="str">
        <f>'EQUITY BACKTEST'!A93</f>
        <v/>
      </c>
      <c r="B90" s="22" t="str">
        <f>'EQUITY BACKTEST'!B93</f>
        <v/>
      </c>
      <c r="C90" s="22" t="str">
        <f>1/'EQUITY BACKTEST'!E93</f>
        <v>#DIV/0!</v>
      </c>
      <c r="D90" s="22" t="str">
        <f t="shared" si="5"/>
        <v>#DIV/0!</v>
      </c>
      <c r="E90" s="22" t="str">
        <f t="shared" si="3"/>
        <v/>
      </c>
      <c r="F90" s="22" t="str">
        <f t="shared" si="6"/>
        <v>#DIV/0!</v>
      </c>
      <c r="H90" s="22" t="str">
        <f t="shared" si="4"/>
        <v/>
      </c>
      <c r="I90" s="22" t="str">
        <f t="shared" si="1"/>
        <v>#N/A</v>
      </c>
      <c r="J90" s="22" t="str">
        <f t="shared" si="2"/>
        <v>#N/A</v>
      </c>
      <c r="K90" s="22" t="str">
        <f t="array" ref="K90">IF(H90="Crash",MATCH(TRUE, B91:B188 &gt;= B89, 0),"")</f>
        <v/>
      </c>
    </row>
    <row r="91" ht="15.75" customHeight="1">
      <c r="A91" s="31" t="str">
        <f>'EQUITY BACKTEST'!A94</f>
        <v/>
      </c>
      <c r="B91" s="22" t="str">
        <f>'EQUITY BACKTEST'!B94</f>
        <v/>
      </c>
      <c r="C91" s="22" t="str">
        <f>1/'EQUITY BACKTEST'!E94</f>
        <v>#DIV/0!</v>
      </c>
      <c r="D91" s="22" t="str">
        <f t="shared" si="5"/>
        <v>#DIV/0!</v>
      </c>
      <c r="E91" s="22" t="str">
        <f t="shared" si="3"/>
        <v/>
      </c>
      <c r="F91" s="22" t="str">
        <f t="shared" si="6"/>
        <v>#DIV/0!</v>
      </c>
      <c r="H91" s="22" t="str">
        <f t="shared" si="4"/>
        <v/>
      </c>
      <c r="I91" s="22" t="str">
        <f t="shared" si="1"/>
        <v>#N/A</v>
      </c>
      <c r="J91" s="22" t="str">
        <f t="shared" si="2"/>
        <v>#N/A</v>
      </c>
      <c r="K91" s="22" t="str">
        <f t="array" ref="K91">IF(H91="Crash",MATCH(TRUE, B92:B189 &gt;= B90, 0),"")</f>
        <v/>
      </c>
    </row>
    <row r="92" ht="15.75" customHeight="1">
      <c r="A92" s="31" t="str">
        <f>'EQUITY BACKTEST'!A95</f>
        <v/>
      </c>
      <c r="B92" s="22" t="str">
        <f>'EQUITY BACKTEST'!B95</f>
        <v/>
      </c>
      <c r="C92" s="22" t="str">
        <f>1/'EQUITY BACKTEST'!E95</f>
        <v>#DIV/0!</v>
      </c>
      <c r="D92" s="22" t="str">
        <f t="shared" si="5"/>
        <v>#DIV/0!</v>
      </c>
      <c r="E92" s="22" t="str">
        <f t="shared" si="3"/>
        <v/>
      </c>
      <c r="F92" s="22" t="str">
        <f t="shared" si="6"/>
        <v>#DIV/0!</v>
      </c>
      <c r="H92" s="22" t="str">
        <f t="shared" si="4"/>
        <v/>
      </c>
      <c r="I92" s="22" t="str">
        <f t="shared" si="1"/>
        <v>#N/A</v>
      </c>
      <c r="J92" s="22" t="str">
        <f t="shared" si="2"/>
        <v>#N/A</v>
      </c>
      <c r="K92" s="22" t="str">
        <f t="array" ref="K92">IF(H92="Crash",MATCH(TRUE, B93:B190 &gt;= B91, 0),"")</f>
        <v/>
      </c>
    </row>
    <row r="93" ht="15.75" customHeight="1">
      <c r="A93" s="31" t="str">
        <f>'EQUITY BACKTEST'!A96</f>
        <v/>
      </c>
      <c r="B93" s="22" t="str">
        <f>'EQUITY BACKTEST'!B96</f>
        <v/>
      </c>
      <c r="C93" s="22" t="str">
        <f>1/'EQUITY BACKTEST'!E96</f>
        <v>#DIV/0!</v>
      </c>
      <c r="D93" s="22" t="str">
        <f t="shared" si="5"/>
        <v>#DIV/0!</v>
      </c>
      <c r="E93" s="22" t="str">
        <f t="shared" si="3"/>
        <v/>
      </c>
      <c r="F93" s="22" t="str">
        <f t="shared" si="6"/>
        <v>#DIV/0!</v>
      </c>
      <c r="H93" s="22" t="str">
        <f t="shared" si="4"/>
        <v/>
      </c>
      <c r="I93" s="22" t="str">
        <f t="shared" si="1"/>
        <v>#N/A</v>
      </c>
      <c r="J93" s="22" t="str">
        <f t="shared" si="2"/>
        <v>#N/A</v>
      </c>
      <c r="K93" s="22" t="str">
        <f t="array" ref="K93">IF(H93="Crash",MATCH(TRUE, B94:B191 &gt;= B92, 0),"")</f>
        <v/>
      </c>
    </row>
    <row r="94" ht="15.75" customHeight="1">
      <c r="A94" s="31" t="str">
        <f>'EQUITY BACKTEST'!A97</f>
        <v/>
      </c>
      <c r="B94" s="22" t="str">
        <f>'EQUITY BACKTEST'!B97</f>
        <v/>
      </c>
      <c r="C94" s="22" t="str">
        <f>1/'EQUITY BACKTEST'!E97</f>
        <v>#DIV/0!</v>
      </c>
      <c r="D94" s="22" t="str">
        <f t="shared" si="5"/>
        <v>#DIV/0!</v>
      </c>
      <c r="E94" s="22" t="str">
        <f t="shared" si="3"/>
        <v/>
      </c>
      <c r="F94" s="22" t="str">
        <f t="shared" si="6"/>
        <v>#DIV/0!</v>
      </c>
      <c r="H94" s="22" t="str">
        <f t="shared" si="4"/>
        <v/>
      </c>
      <c r="I94" s="22" t="str">
        <f t="shared" si="1"/>
        <v>#N/A</v>
      </c>
      <c r="J94" s="22" t="str">
        <f t="shared" si="2"/>
        <v>#N/A</v>
      </c>
      <c r="K94" s="22" t="str">
        <f t="array" ref="K94">IF(H94="Crash",MATCH(TRUE, B95:B192 &gt;= B93, 0),"")</f>
        <v/>
      </c>
    </row>
    <row r="95" ht="15.75" customHeight="1">
      <c r="A95" s="31" t="str">
        <f>'EQUITY BACKTEST'!A98</f>
        <v/>
      </c>
      <c r="B95" s="22" t="str">
        <f>'EQUITY BACKTEST'!B98</f>
        <v/>
      </c>
      <c r="C95" s="22" t="str">
        <f>1/'EQUITY BACKTEST'!E98</f>
        <v>#DIV/0!</v>
      </c>
      <c r="D95" s="22" t="str">
        <f t="shared" si="5"/>
        <v>#DIV/0!</v>
      </c>
      <c r="E95" s="22" t="str">
        <f t="shared" si="3"/>
        <v/>
      </c>
      <c r="F95" s="22" t="str">
        <f t="shared" si="6"/>
        <v>#DIV/0!</v>
      </c>
      <c r="H95" s="22" t="str">
        <f t="shared" si="4"/>
        <v/>
      </c>
      <c r="I95" s="22" t="str">
        <f t="shared" si="1"/>
        <v>#N/A</v>
      </c>
      <c r="J95" s="22" t="str">
        <f t="shared" si="2"/>
        <v>#N/A</v>
      </c>
      <c r="K95" s="22" t="str">
        <f t="array" ref="K95">IF(H95="Crash",MATCH(TRUE, B96:B193 &gt;= B94, 0),"")</f>
        <v/>
      </c>
    </row>
    <row r="96" ht="15.75" customHeight="1">
      <c r="A96" s="31" t="str">
        <f>'EQUITY BACKTEST'!A99</f>
        <v/>
      </c>
      <c r="B96" s="22" t="str">
        <f>'EQUITY BACKTEST'!B99</f>
        <v/>
      </c>
      <c r="C96" s="22" t="str">
        <f>1/'EQUITY BACKTEST'!E99</f>
        <v>#DIV/0!</v>
      </c>
      <c r="D96" s="22" t="str">
        <f t="shared" si="5"/>
        <v>#DIV/0!</v>
      </c>
      <c r="E96" s="22" t="str">
        <f t="shared" si="3"/>
        <v/>
      </c>
      <c r="F96" s="22" t="str">
        <f t="shared" si="6"/>
        <v>#DIV/0!</v>
      </c>
      <c r="H96" s="22" t="str">
        <f t="shared" si="4"/>
        <v/>
      </c>
      <c r="I96" s="22" t="str">
        <f t="shared" si="1"/>
        <v>#N/A</v>
      </c>
      <c r="J96" s="22" t="str">
        <f t="shared" si="2"/>
        <v>#N/A</v>
      </c>
      <c r="K96" s="22" t="str">
        <f t="array" ref="K96">IF(H96="Crash",MATCH(TRUE, B97:B194 &gt;= B95, 0),"")</f>
        <v/>
      </c>
    </row>
    <row r="97" ht="15.75" customHeight="1">
      <c r="A97" s="31" t="str">
        <f>'EQUITY BACKTEST'!A100</f>
        <v/>
      </c>
      <c r="B97" s="22" t="str">
        <f>'EQUITY BACKTEST'!B100</f>
        <v/>
      </c>
      <c r="C97" s="22" t="str">
        <f>1/'EQUITY BACKTEST'!E100</f>
        <v>#DIV/0!</v>
      </c>
      <c r="D97" s="22" t="str">
        <f t="shared" si="5"/>
        <v>#DIV/0!</v>
      </c>
      <c r="E97" s="22" t="str">
        <f t="shared" si="3"/>
        <v/>
      </c>
      <c r="F97" s="22" t="str">
        <f t="shared" si="6"/>
        <v>#DIV/0!</v>
      </c>
      <c r="H97" s="22" t="str">
        <f t="shared" si="4"/>
        <v/>
      </c>
      <c r="I97" s="22" t="str">
        <f t="shared" si="1"/>
        <v>#N/A</v>
      </c>
      <c r="J97" s="22" t="str">
        <f t="shared" si="2"/>
        <v>#N/A</v>
      </c>
      <c r="K97" s="22" t="str">
        <f t="array" ref="K97">IF(H97="Crash",MATCH(TRUE, B98:B195 &gt;= B96, 0),"")</f>
        <v/>
      </c>
    </row>
    <row r="98" ht="15.75" customHeight="1">
      <c r="A98" s="31" t="str">
        <f>'EQUITY BACKTEST'!A101</f>
        <v/>
      </c>
      <c r="B98" s="22" t="str">
        <f>'EQUITY BACKTEST'!B101</f>
        <v/>
      </c>
      <c r="C98" s="22" t="str">
        <f>1/'EQUITY BACKTEST'!E101</f>
        <v>#DIV/0!</v>
      </c>
      <c r="D98" s="22" t="str">
        <f t="shared" si="5"/>
        <v>#DIV/0!</v>
      </c>
      <c r="E98" s="22" t="str">
        <f t="shared" si="3"/>
        <v/>
      </c>
      <c r="F98" s="22" t="str">
        <f t="shared" si="6"/>
        <v>#DIV/0!</v>
      </c>
      <c r="H98" s="22" t="str">
        <f t="shared" si="4"/>
        <v/>
      </c>
      <c r="I98" s="22" t="str">
        <f t="shared" si="1"/>
        <v>#N/A</v>
      </c>
      <c r="J98" s="22" t="str">
        <f t="shared" si="2"/>
        <v>#N/A</v>
      </c>
      <c r="K98" s="22" t="str">
        <f t="array" ref="K98">IF(H98="Crash",MATCH(TRUE, B99:B196 &gt;= B97, 0),"")</f>
        <v/>
      </c>
    </row>
    <row r="99" ht="15.75" customHeight="1">
      <c r="A99" s="31" t="str">
        <f>'EQUITY BACKTEST'!A102</f>
        <v/>
      </c>
      <c r="B99" s="22" t="str">
        <f>'EQUITY BACKTEST'!B102</f>
        <v/>
      </c>
      <c r="C99" s="22" t="str">
        <f>1/'EQUITY BACKTEST'!E102</f>
        <v>#DIV/0!</v>
      </c>
      <c r="D99" s="22" t="str">
        <f t="shared" si="5"/>
        <v>#DIV/0!</v>
      </c>
      <c r="E99" s="22" t="str">
        <f t="shared" si="3"/>
        <v/>
      </c>
      <c r="F99" s="22" t="str">
        <f t="shared" si="6"/>
        <v>#DIV/0!</v>
      </c>
      <c r="H99" s="22" t="str">
        <f t="shared" si="4"/>
        <v/>
      </c>
      <c r="I99" s="22" t="str">
        <f t="shared" si="1"/>
        <v>#N/A</v>
      </c>
      <c r="J99" s="22" t="str">
        <f t="shared" si="2"/>
        <v>#N/A</v>
      </c>
      <c r="K99" s="22" t="str">
        <f t="array" ref="K99">IF(H99="Crash",MATCH(TRUE, B100:B197 &gt;= B98, 0),"")</f>
        <v/>
      </c>
    </row>
    <row r="100" ht="15.75" customHeight="1">
      <c r="A100" s="31" t="str">
        <f>'EQUITY BACKTEST'!A103</f>
        <v/>
      </c>
      <c r="B100" s="22" t="str">
        <f>'EQUITY BACKTEST'!B103</f>
        <v/>
      </c>
      <c r="C100" s="22" t="str">
        <f>1/'EQUITY BACKTEST'!E103</f>
        <v>#DIV/0!</v>
      </c>
      <c r="D100" s="22" t="str">
        <f t="shared" si="5"/>
        <v>#DIV/0!</v>
      </c>
      <c r="E100" s="22" t="str">
        <f t="shared" si="3"/>
        <v/>
      </c>
      <c r="F100" s="22" t="str">
        <f t="shared" si="6"/>
        <v>#DIV/0!</v>
      </c>
      <c r="H100" s="22" t="str">
        <f t="shared" si="4"/>
        <v/>
      </c>
      <c r="I100" s="22" t="str">
        <f t="shared" si="1"/>
        <v>#N/A</v>
      </c>
      <c r="J100" s="22" t="str">
        <f t="shared" si="2"/>
        <v>#N/A</v>
      </c>
      <c r="K100" s="22" t="str">
        <f t="array" ref="K100">IF(H100="Crash",MATCH(TRUE, B101:B198 &gt;= B99, 0),"")</f>
        <v/>
      </c>
    </row>
    <row r="101" ht="15.75" customHeight="1">
      <c r="A101" s="31" t="str">
        <f>'EQUITY BACKTEST'!A104</f>
        <v/>
      </c>
      <c r="B101" s="22" t="str">
        <f>'EQUITY BACKTEST'!B104</f>
        <v/>
      </c>
      <c r="C101" s="22" t="str">
        <f>1/'EQUITY BACKTEST'!E104</f>
        <v>#DIV/0!</v>
      </c>
      <c r="D101" s="22" t="str">
        <f t="shared" si="5"/>
        <v>#DIV/0!</v>
      </c>
      <c r="E101" s="22" t="str">
        <f t="shared" si="3"/>
        <v/>
      </c>
      <c r="F101" s="22" t="str">
        <f t="shared" si="6"/>
        <v>#DIV/0!</v>
      </c>
      <c r="H101" s="22" t="str">
        <f t="shared" si="4"/>
        <v/>
      </c>
      <c r="I101" s="22" t="str">
        <f t="shared" si="1"/>
        <v>#N/A</v>
      </c>
      <c r="J101" s="22" t="str">
        <f t="shared" si="2"/>
        <v>#N/A</v>
      </c>
      <c r="K101" s="22" t="str">
        <f t="array" ref="K101">IF(H101="Crash",MATCH(TRUE, B102:B199 &gt;= B100, 0),"")</f>
        <v/>
      </c>
    </row>
    <row r="102" ht="15.75" customHeight="1">
      <c r="A102" s="31" t="str">
        <f>'EQUITY BACKTEST'!A105</f>
        <v/>
      </c>
      <c r="B102" s="22" t="str">
        <f>'EQUITY BACKTEST'!B105</f>
        <v/>
      </c>
      <c r="C102" s="22" t="str">
        <f>1/'EQUITY BACKTEST'!E105</f>
        <v>#DIV/0!</v>
      </c>
      <c r="D102" s="22" t="str">
        <f t="shared" si="5"/>
        <v>#DIV/0!</v>
      </c>
      <c r="E102" s="22" t="str">
        <f t="shared" si="3"/>
        <v/>
      </c>
      <c r="F102" s="22" t="str">
        <f t="shared" si="6"/>
        <v>#DIV/0!</v>
      </c>
      <c r="H102" s="22" t="str">
        <f t="shared" si="4"/>
        <v/>
      </c>
      <c r="I102" s="22" t="str">
        <f t="shared" si="1"/>
        <v>#N/A</v>
      </c>
      <c r="J102" s="22" t="str">
        <f t="shared" si="2"/>
        <v>#N/A</v>
      </c>
      <c r="K102" s="22" t="str">
        <f t="array" ref="K102">IF(H102="Crash",MATCH(TRUE, B103:B200 &gt;= B101, 0),"")</f>
        <v/>
      </c>
    </row>
    <row r="103" ht="15.75" customHeight="1">
      <c r="A103" s="31" t="str">
        <f>'EQUITY BACKTEST'!A106</f>
        <v/>
      </c>
      <c r="B103" s="22" t="str">
        <f>'EQUITY BACKTEST'!B106</f>
        <v/>
      </c>
      <c r="C103" s="22" t="str">
        <f>1/'EQUITY BACKTEST'!E106</f>
        <v>#DIV/0!</v>
      </c>
      <c r="D103" s="22" t="str">
        <f t="shared" si="5"/>
        <v>#DIV/0!</v>
      </c>
      <c r="E103" s="22" t="str">
        <f t="shared" si="3"/>
        <v/>
      </c>
      <c r="F103" s="22" t="str">
        <f t="shared" si="6"/>
        <v>#DIV/0!</v>
      </c>
      <c r="H103" s="22" t="str">
        <f t="shared" si="4"/>
        <v/>
      </c>
      <c r="I103" s="22" t="str">
        <f t="shared" si="1"/>
        <v>#N/A</v>
      </c>
      <c r="J103" s="22" t="str">
        <f t="shared" si="2"/>
        <v>#N/A</v>
      </c>
      <c r="K103" s="22" t="str">
        <f t="array" ref="K103">IF(H103="Crash",MATCH(TRUE, B104:B201 &gt;= B102, 0),"")</f>
        <v/>
      </c>
    </row>
    <row r="104" ht="15.75" customHeight="1">
      <c r="A104" s="31" t="str">
        <f>'EQUITY BACKTEST'!A107</f>
        <v/>
      </c>
      <c r="B104" s="22" t="str">
        <f>'EQUITY BACKTEST'!B107</f>
        <v/>
      </c>
      <c r="C104" s="22" t="str">
        <f>1/'EQUITY BACKTEST'!E107</f>
        <v>#DIV/0!</v>
      </c>
      <c r="D104" s="22" t="str">
        <f t="shared" si="5"/>
        <v>#DIV/0!</v>
      </c>
      <c r="E104" s="22" t="str">
        <f t="shared" si="3"/>
        <v/>
      </c>
      <c r="F104" s="22" t="str">
        <f t="shared" si="6"/>
        <v>#DIV/0!</v>
      </c>
      <c r="H104" s="22" t="str">
        <f t="shared" si="4"/>
        <v/>
      </c>
      <c r="I104" s="22" t="str">
        <f t="shared" si="1"/>
        <v>#N/A</v>
      </c>
      <c r="J104" s="22" t="str">
        <f t="shared" si="2"/>
        <v>#N/A</v>
      </c>
      <c r="K104" s="22" t="str">
        <f t="array" ref="K104">IF(H104="Crash",MATCH(TRUE, B105:B202 &gt;= B103, 0),"")</f>
        <v/>
      </c>
    </row>
    <row r="105" ht="15.75" customHeight="1">
      <c r="A105" s="31" t="str">
        <f>'EQUITY BACKTEST'!A108</f>
        <v/>
      </c>
      <c r="B105" s="22" t="str">
        <f>'EQUITY BACKTEST'!B108</f>
        <v/>
      </c>
      <c r="C105" s="22" t="str">
        <f>1/'EQUITY BACKTEST'!E108</f>
        <v>#DIV/0!</v>
      </c>
      <c r="D105" s="22" t="str">
        <f t="shared" si="5"/>
        <v>#DIV/0!</v>
      </c>
      <c r="E105" s="22" t="str">
        <f t="shared" si="3"/>
        <v/>
      </c>
      <c r="F105" s="22" t="str">
        <f t="shared" si="6"/>
        <v>#DIV/0!</v>
      </c>
      <c r="H105" s="22" t="str">
        <f t="shared" si="4"/>
        <v/>
      </c>
      <c r="I105" s="22" t="str">
        <f t="shared" si="1"/>
        <v>#N/A</v>
      </c>
      <c r="J105" s="22" t="str">
        <f t="shared" si="2"/>
        <v>#N/A</v>
      </c>
      <c r="K105" s="22" t="str">
        <f t="array" ref="K105">IF(H105="Crash",MATCH(TRUE, B106:B203 &gt;= B104, 0),"")</f>
        <v/>
      </c>
    </row>
    <row r="106" ht="15.75" customHeight="1">
      <c r="A106" s="31" t="str">
        <f>'EQUITY BACKTEST'!A109</f>
        <v/>
      </c>
      <c r="B106" s="22" t="str">
        <f>'EQUITY BACKTEST'!B109</f>
        <v/>
      </c>
      <c r="C106" s="22" t="str">
        <f>1/'EQUITY BACKTEST'!E109</f>
        <v>#DIV/0!</v>
      </c>
      <c r="D106" s="22" t="str">
        <f t="shared" si="5"/>
        <v>#DIV/0!</v>
      </c>
      <c r="E106" s="22" t="str">
        <f t="shared" si="3"/>
        <v/>
      </c>
      <c r="F106" s="22" t="str">
        <f t="shared" si="6"/>
        <v>#DIV/0!</v>
      </c>
      <c r="H106" s="22" t="str">
        <f t="shared" si="4"/>
        <v/>
      </c>
      <c r="I106" s="22" t="str">
        <f t="shared" si="1"/>
        <v>#N/A</v>
      </c>
      <c r="J106" s="22" t="str">
        <f t="shared" si="2"/>
        <v>#N/A</v>
      </c>
      <c r="K106" s="22" t="str">
        <f t="array" ref="K106">IF(H106="Crash",MATCH(TRUE, B107:B204 &gt;= B105, 0),"")</f>
        <v/>
      </c>
    </row>
    <row r="107" ht="15.75" customHeight="1">
      <c r="A107" s="31" t="str">
        <f>'EQUITY BACKTEST'!A110</f>
        <v/>
      </c>
      <c r="B107" s="22" t="str">
        <f>'EQUITY BACKTEST'!B110</f>
        <v/>
      </c>
      <c r="C107" s="22" t="str">
        <f>1/'EQUITY BACKTEST'!E110</f>
        <v>#DIV/0!</v>
      </c>
      <c r="D107" s="22" t="str">
        <f t="shared" si="5"/>
        <v>#DIV/0!</v>
      </c>
      <c r="E107" s="22" t="str">
        <f t="shared" si="3"/>
        <v/>
      </c>
      <c r="F107" s="22" t="str">
        <f t="shared" si="6"/>
        <v>#DIV/0!</v>
      </c>
      <c r="H107" s="22" t="str">
        <f t="shared" si="4"/>
        <v/>
      </c>
      <c r="I107" s="22" t="str">
        <f t="shared" si="1"/>
        <v>#N/A</v>
      </c>
      <c r="J107" s="22" t="str">
        <f t="shared" si="2"/>
        <v>#N/A</v>
      </c>
      <c r="K107" s="22" t="str">
        <f t="array" ref="K107">IF(H107="Crash",MATCH(TRUE, B108:B205 &gt;= B106, 0),"")</f>
        <v/>
      </c>
    </row>
    <row r="108" ht="15.75" customHeight="1">
      <c r="A108" s="31" t="str">
        <f>'EQUITY BACKTEST'!A111</f>
        <v/>
      </c>
      <c r="B108" s="22" t="str">
        <f>'EQUITY BACKTEST'!B111</f>
        <v/>
      </c>
      <c r="C108" s="22" t="str">
        <f>1/'EQUITY BACKTEST'!E111</f>
        <v>#DIV/0!</v>
      </c>
      <c r="D108" s="22" t="str">
        <f t="shared" si="5"/>
        <v>#DIV/0!</v>
      </c>
      <c r="E108" s="22" t="str">
        <f t="shared" si="3"/>
        <v/>
      </c>
      <c r="F108" s="22" t="str">
        <f t="shared" si="6"/>
        <v>#DIV/0!</v>
      </c>
      <c r="H108" s="22" t="str">
        <f t="shared" si="4"/>
        <v/>
      </c>
      <c r="I108" s="22" t="str">
        <f t="shared" si="1"/>
        <v>#N/A</v>
      </c>
      <c r="J108" s="22" t="str">
        <f t="shared" si="2"/>
        <v>#N/A</v>
      </c>
      <c r="K108" s="22" t="str">
        <f t="array" ref="K108">IF(H108="Crash",MATCH(TRUE, B109:B206 &gt;= B107, 0),"")</f>
        <v/>
      </c>
    </row>
    <row r="109" ht="15.75" customHeight="1">
      <c r="A109" s="31" t="str">
        <f>'EQUITY BACKTEST'!A112</f>
        <v/>
      </c>
      <c r="B109" s="22" t="str">
        <f>'EQUITY BACKTEST'!B112</f>
        <v/>
      </c>
      <c r="C109" s="22" t="str">
        <f>1/'EQUITY BACKTEST'!E112</f>
        <v>#DIV/0!</v>
      </c>
      <c r="D109" s="22" t="str">
        <f t="shared" si="5"/>
        <v>#DIV/0!</v>
      </c>
      <c r="E109" s="22" t="str">
        <f t="shared" si="3"/>
        <v/>
      </c>
      <c r="F109" s="22" t="str">
        <f t="shared" si="6"/>
        <v>#DIV/0!</v>
      </c>
      <c r="H109" s="22" t="str">
        <f t="shared" si="4"/>
        <v/>
      </c>
      <c r="I109" s="22" t="str">
        <f t="shared" si="1"/>
        <v>#N/A</v>
      </c>
      <c r="J109" s="22" t="str">
        <f t="shared" si="2"/>
        <v>#N/A</v>
      </c>
      <c r="K109" s="22" t="str">
        <f t="array" ref="K109">IF(H109="Crash",MATCH(TRUE, B110:B207 &gt;= B108, 0),"")</f>
        <v/>
      </c>
    </row>
    <row r="110" ht="15.75" customHeight="1">
      <c r="A110" s="31" t="str">
        <f>'EQUITY BACKTEST'!A113</f>
        <v/>
      </c>
      <c r="B110" s="22" t="str">
        <f>'EQUITY BACKTEST'!B113</f>
        <v/>
      </c>
      <c r="C110" s="22" t="str">
        <f>1/'EQUITY BACKTEST'!E113</f>
        <v>#DIV/0!</v>
      </c>
      <c r="D110" s="22" t="str">
        <f t="shared" si="5"/>
        <v>#DIV/0!</v>
      </c>
      <c r="E110" s="22" t="str">
        <f t="shared" si="3"/>
        <v/>
      </c>
      <c r="F110" s="22" t="str">
        <f t="shared" si="6"/>
        <v>#DIV/0!</v>
      </c>
      <c r="H110" s="22" t="str">
        <f t="shared" si="4"/>
        <v/>
      </c>
      <c r="I110" s="22" t="str">
        <f t="shared" si="1"/>
        <v>#N/A</v>
      </c>
      <c r="J110" s="22" t="str">
        <f t="shared" si="2"/>
        <v>#N/A</v>
      </c>
      <c r="K110" s="22" t="str">
        <f t="array" ref="K110">IF(H110="Crash",MATCH(TRUE, B111:B208 &gt;= B109, 0),"")</f>
        <v/>
      </c>
    </row>
    <row r="111" ht="15.75" customHeight="1">
      <c r="A111" s="31" t="str">
        <f>'EQUITY BACKTEST'!A114</f>
        <v/>
      </c>
      <c r="B111" s="22" t="str">
        <f>'EQUITY BACKTEST'!B114</f>
        <v/>
      </c>
      <c r="C111" s="22" t="str">
        <f>1/'EQUITY BACKTEST'!E114</f>
        <v>#DIV/0!</v>
      </c>
      <c r="D111" s="22" t="str">
        <f t="shared" si="5"/>
        <v>#DIV/0!</v>
      </c>
      <c r="E111" s="22" t="str">
        <f t="shared" si="3"/>
        <v/>
      </c>
      <c r="F111" s="22" t="str">
        <f t="shared" si="6"/>
        <v>#DIV/0!</v>
      </c>
      <c r="H111" s="22" t="str">
        <f t="shared" si="4"/>
        <v/>
      </c>
      <c r="I111" s="22" t="str">
        <f t="shared" si="1"/>
        <v>#N/A</v>
      </c>
      <c r="J111" s="22" t="str">
        <f t="shared" si="2"/>
        <v>#N/A</v>
      </c>
      <c r="K111" s="22" t="str">
        <f t="array" ref="K111">IF(H111="Crash",MATCH(TRUE, B112:B209 &gt;= B110, 0),"")</f>
        <v/>
      </c>
    </row>
    <row r="112" ht="15.75" customHeight="1">
      <c r="A112" s="31" t="str">
        <f>'EQUITY BACKTEST'!A115</f>
        <v/>
      </c>
      <c r="B112" s="22" t="str">
        <f>'EQUITY BACKTEST'!B115</f>
        <v/>
      </c>
      <c r="C112" s="22" t="str">
        <f>1/'EQUITY BACKTEST'!E115</f>
        <v>#DIV/0!</v>
      </c>
      <c r="D112" s="22" t="str">
        <f t="shared" si="5"/>
        <v>#DIV/0!</v>
      </c>
      <c r="E112" s="22" t="str">
        <f t="shared" si="3"/>
        <v/>
      </c>
      <c r="F112" s="22" t="str">
        <f t="shared" si="6"/>
        <v>#DIV/0!</v>
      </c>
      <c r="H112" s="22" t="str">
        <f t="shared" si="4"/>
        <v/>
      </c>
      <c r="I112" s="22" t="str">
        <f t="shared" si="1"/>
        <v>#N/A</v>
      </c>
      <c r="J112" s="22" t="str">
        <f t="shared" si="2"/>
        <v>#N/A</v>
      </c>
      <c r="K112" s="22" t="str">
        <f t="array" ref="K112">IF(H112="Crash",MATCH(TRUE, B113:B210 &gt;= B111, 0),"")</f>
        <v/>
      </c>
    </row>
    <row r="113" ht="15.75" customHeight="1">
      <c r="A113" s="31" t="str">
        <f>'EQUITY BACKTEST'!A116</f>
        <v/>
      </c>
      <c r="B113" s="22" t="str">
        <f>'EQUITY BACKTEST'!B116</f>
        <v/>
      </c>
      <c r="C113" s="22" t="str">
        <f>1/'EQUITY BACKTEST'!E116</f>
        <v>#DIV/0!</v>
      </c>
      <c r="D113" s="22" t="str">
        <f t="shared" si="5"/>
        <v>#DIV/0!</v>
      </c>
      <c r="E113" s="22" t="str">
        <f t="shared" si="3"/>
        <v/>
      </c>
      <c r="F113" s="22" t="str">
        <f t="shared" si="6"/>
        <v>#DIV/0!</v>
      </c>
      <c r="H113" s="22" t="str">
        <f t="shared" si="4"/>
        <v/>
      </c>
      <c r="I113" s="22" t="str">
        <f t="shared" si="1"/>
        <v>#N/A</v>
      </c>
      <c r="J113" s="22" t="str">
        <f t="shared" si="2"/>
        <v>#N/A</v>
      </c>
      <c r="K113" s="22" t="str">
        <f t="array" ref="K113">IF(H113="Crash",MATCH(TRUE, B114:B211 &gt;= B112, 0),"")</f>
        <v/>
      </c>
    </row>
    <row r="114" ht="15.75" customHeight="1">
      <c r="A114" s="31" t="str">
        <f>'EQUITY BACKTEST'!A117</f>
        <v/>
      </c>
      <c r="B114" s="22" t="str">
        <f>'EQUITY BACKTEST'!B117</f>
        <v/>
      </c>
      <c r="C114" s="22" t="str">
        <f>1/'EQUITY BACKTEST'!E117</f>
        <v>#DIV/0!</v>
      </c>
      <c r="D114" s="22" t="str">
        <f t="shared" si="5"/>
        <v>#DIV/0!</v>
      </c>
      <c r="E114" s="22" t="str">
        <f t="shared" si="3"/>
        <v/>
      </c>
      <c r="F114" s="22" t="str">
        <f t="shared" si="6"/>
        <v>#DIV/0!</v>
      </c>
      <c r="H114" s="22" t="str">
        <f t="shared" si="4"/>
        <v/>
      </c>
      <c r="I114" s="22" t="str">
        <f t="shared" si="1"/>
        <v>#N/A</v>
      </c>
      <c r="J114" s="22" t="str">
        <f t="shared" si="2"/>
        <v>#N/A</v>
      </c>
      <c r="K114" s="22" t="str">
        <f t="array" ref="K114">IF(H114="Crash",MATCH(TRUE, B115:B212 &gt;= B113, 0),"")</f>
        <v/>
      </c>
    </row>
    <row r="115" ht="15.75" customHeight="1">
      <c r="A115" s="31" t="str">
        <f>'EQUITY BACKTEST'!A118</f>
        <v/>
      </c>
      <c r="B115" s="22" t="str">
        <f>'EQUITY BACKTEST'!B118</f>
        <v/>
      </c>
      <c r="C115" s="22" t="str">
        <f>1/'EQUITY BACKTEST'!E118</f>
        <v>#DIV/0!</v>
      </c>
      <c r="D115" s="22" t="str">
        <f t="shared" si="5"/>
        <v>#DIV/0!</v>
      </c>
      <c r="E115" s="22" t="str">
        <f t="shared" si="3"/>
        <v/>
      </c>
      <c r="F115" s="22" t="str">
        <f t="shared" si="6"/>
        <v>#DIV/0!</v>
      </c>
      <c r="H115" s="22" t="str">
        <f t="shared" si="4"/>
        <v/>
      </c>
      <c r="I115" s="22" t="str">
        <f t="shared" si="1"/>
        <v>#N/A</v>
      </c>
      <c r="J115" s="22" t="str">
        <f t="shared" si="2"/>
        <v>#N/A</v>
      </c>
      <c r="K115" s="22" t="str">
        <f t="array" ref="K115">IF(H115="Crash",MATCH(TRUE, B116:B213 &gt;= B114, 0),"")</f>
        <v/>
      </c>
    </row>
    <row r="116" ht="15.75" customHeight="1">
      <c r="A116" s="31" t="str">
        <f>'EQUITY BACKTEST'!A119</f>
        <v/>
      </c>
      <c r="B116" s="22" t="str">
        <f>'EQUITY BACKTEST'!B119</f>
        <v/>
      </c>
      <c r="C116" s="22" t="str">
        <f>1/'EQUITY BACKTEST'!E119</f>
        <v>#DIV/0!</v>
      </c>
      <c r="D116" s="22" t="str">
        <f t="shared" si="5"/>
        <v>#DIV/0!</v>
      </c>
      <c r="E116" s="22" t="str">
        <f t="shared" si="3"/>
        <v/>
      </c>
      <c r="F116" s="22" t="str">
        <f t="shared" si="6"/>
        <v>#DIV/0!</v>
      </c>
      <c r="H116" s="22" t="str">
        <f t="shared" si="4"/>
        <v/>
      </c>
      <c r="I116" s="22" t="str">
        <f t="shared" si="1"/>
        <v>#N/A</v>
      </c>
      <c r="J116" s="22" t="str">
        <f t="shared" si="2"/>
        <v>#N/A</v>
      </c>
      <c r="K116" s="22" t="str">
        <f t="array" ref="K116">IF(H116="Crash",MATCH(TRUE, B117:B214 &gt;= B115, 0),"")</f>
        <v/>
      </c>
    </row>
    <row r="117" ht="15.75" customHeight="1">
      <c r="A117" s="31" t="str">
        <f>'EQUITY BACKTEST'!A120</f>
        <v/>
      </c>
      <c r="B117" s="22" t="str">
        <f>'EQUITY BACKTEST'!B120</f>
        <v/>
      </c>
      <c r="C117" s="22" t="str">
        <f>1/'EQUITY BACKTEST'!E120</f>
        <v>#DIV/0!</v>
      </c>
      <c r="D117" s="22" t="str">
        <f t="shared" si="5"/>
        <v>#DIV/0!</v>
      </c>
      <c r="E117" s="22" t="str">
        <f t="shared" si="3"/>
        <v/>
      </c>
      <c r="F117" s="22" t="str">
        <f t="shared" si="6"/>
        <v>#DIV/0!</v>
      </c>
      <c r="H117" s="22" t="str">
        <f t="shared" si="4"/>
        <v/>
      </c>
      <c r="I117" s="22" t="str">
        <f t="shared" si="1"/>
        <v>#N/A</v>
      </c>
      <c r="J117" s="22" t="str">
        <f t="shared" si="2"/>
        <v>#N/A</v>
      </c>
      <c r="K117" s="22" t="str">
        <f t="array" ref="K117">IF(H117="Crash",MATCH(TRUE, B118:B215 &gt;= B116, 0),"")</f>
        <v/>
      </c>
    </row>
    <row r="118" ht="15.75" customHeight="1">
      <c r="A118" s="31" t="str">
        <f>'EQUITY BACKTEST'!A121</f>
        <v/>
      </c>
      <c r="B118" s="22" t="str">
        <f>'EQUITY BACKTEST'!B121</f>
        <v/>
      </c>
      <c r="C118" s="22" t="str">
        <f>1/'EQUITY BACKTEST'!E121</f>
        <v>#DIV/0!</v>
      </c>
      <c r="D118" s="22" t="str">
        <f t="shared" si="5"/>
        <v>#DIV/0!</v>
      </c>
      <c r="E118" s="22" t="str">
        <f t="shared" si="3"/>
        <v/>
      </c>
      <c r="F118" s="22" t="str">
        <f t="shared" si="6"/>
        <v>#DIV/0!</v>
      </c>
      <c r="H118" s="22" t="str">
        <f t="shared" si="4"/>
        <v/>
      </c>
      <c r="I118" s="22" t="str">
        <f t="shared" si="1"/>
        <v>#N/A</v>
      </c>
      <c r="J118" s="22" t="str">
        <f t="shared" si="2"/>
        <v>#N/A</v>
      </c>
      <c r="K118" s="22" t="str">
        <f t="array" ref="K118">IF(H118="Crash",MATCH(TRUE, B119:B216 &gt;= B117, 0),"")</f>
        <v/>
      </c>
    </row>
    <row r="119" ht="15.75" customHeight="1">
      <c r="A119" s="31" t="str">
        <f>'EQUITY BACKTEST'!A122</f>
        <v/>
      </c>
      <c r="B119" s="22" t="str">
        <f>'EQUITY BACKTEST'!B122</f>
        <v/>
      </c>
      <c r="C119" s="22" t="str">
        <f>1/'EQUITY BACKTEST'!E122</f>
        <v>#DIV/0!</v>
      </c>
      <c r="D119" s="22" t="str">
        <f t="shared" si="5"/>
        <v>#DIV/0!</v>
      </c>
      <c r="E119" s="22" t="str">
        <f t="shared" si="3"/>
        <v/>
      </c>
      <c r="F119" s="22" t="str">
        <f t="shared" si="6"/>
        <v>#DIV/0!</v>
      </c>
      <c r="H119" s="22" t="str">
        <f t="shared" si="4"/>
        <v/>
      </c>
      <c r="I119" s="22" t="str">
        <f t="shared" si="1"/>
        <v>#N/A</v>
      </c>
      <c r="J119" s="22" t="str">
        <f t="shared" si="2"/>
        <v>#N/A</v>
      </c>
      <c r="K119" s="22" t="str">
        <f t="array" ref="K119">IF(H119="Crash",MATCH(TRUE, B120:B217 &gt;= B118, 0),"")</f>
        <v/>
      </c>
    </row>
    <row r="120" ht="15.75" customHeight="1">
      <c r="A120" s="31" t="str">
        <f>'EQUITY BACKTEST'!A123</f>
        <v/>
      </c>
      <c r="B120" s="22" t="str">
        <f>'EQUITY BACKTEST'!B123</f>
        <v/>
      </c>
      <c r="C120" s="22" t="str">
        <f>1/'EQUITY BACKTEST'!E123</f>
        <v>#DIV/0!</v>
      </c>
      <c r="D120" s="22" t="str">
        <f t="shared" si="5"/>
        <v>#DIV/0!</v>
      </c>
      <c r="E120" s="22" t="str">
        <f t="shared" si="3"/>
        <v/>
      </c>
      <c r="F120" s="22" t="str">
        <f t="shared" si="6"/>
        <v>#DIV/0!</v>
      </c>
      <c r="H120" s="22" t="str">
        <f t="shared" si="4"/>
        <v/>
      </c>
      <c r="I120" s="22" t="str">
        <f t="shared" si="1"/>
        <v>#N/A</v>
      </c>
      <c r="J120" s="22" t="str">
        <f t="shared" si="2"/>
        <v>#N/A</v>
      </c>
      <c r="K120" s="22" t="str">
        <f t="array" ref="K120">IF(H120="Crash",MATCH(TRUE, B121:B218 &gt;= B119, 0),"")</f>
        <v/>
      </c>
    </row>
    <row r="121" ht="15.75" customHeight="1">
      <c r="A121" s="31" t="str">
        <f>'EQUITY BACKTEST'!A124</f>
        <v/>
      </c>
      <c r="B121" s="22" t="str">
        <f>'EQUITY BACKTEST'!B124</f>
        <v/>
      </c>
      <c r="C121" s="22" t="str">
        <f>1/'EQUITY BACKTEST'!E124</f>
        <v>#DIV/0!</v>
      </c>
      <c r="D121" s="22" t="str">
        <f t="shared" si="5"/>
        <v>#DIV/0!</v>
      </c>
      <c r="E121" s="22" t="str">
        <f t="shared" si="3"/>
        <v/>
      </c>
      <c r="F121" s="22" t="str">
        <f t="shared" si="6"/>
        <v>#DIV/0!</v>
      </c>
      <c r="H121" s="22" t="str">
        <f t="shared" si="4"/>
        <v/>
      </c>
      <c r="I121" s="22" t="str">
        <f t="shared" si="1"/>
        <v>#N/A</v>
      </c>
      <c r="J121" s="22" t="str">
        <f t="shared" si="2"/>
        <v>#N/A</v>
      </c>
      <c r="K121" s="22" t="str">
        <f t="array" ref="K121">IF(H121="Crash",MATCH(TRUE, B122:B219 &gt;= B120, 0),"")</f>
        <v/>
      </c>
    </row>
    <row r="122" ht="15.75" customHeight="1">
      <c r="A122" s="31" t="str">
        <f>'EQUITY BACKTEST'!A125</f>
        <v/>
      </c>
      <c r="B122" s="22" t="str">
        <f>'EQUITY BACKTEST'!B125</f>
        <v/>
      </c>
      <c r="C122" s="22" t="str">
        <f>1/'EQUITY BACKTEST'!E125</f>
        <v>#DIV/0!</v>
      </c>
      <c r="D122" s="22" t="str">
        <f t="shared" si="5"/>
        <v>#DIV/0!</v>
      </c>
      <c r="E122" s="22" t="str">
        <f t="shared" si="3"/>
        <v/>
      </c>
      <c r="F122" s="22" t="str">
        <f t="shared" si="6"/>
        <v>#DIV/0!</v>
      </c>
      <c r="H122" s="22" t="str">
        <f t="shared" si="4"/>
        <v/>
      </c>
      <c r="I122" s="22" t="str">
        <f t="shared" si="1"/>
        <v>#N/A</v>
      </c>
      <c r="J122" s="22" t="str">
        <f t="shared" si="2"/>
        <v>#N/A</v>
      </c>
      <c r="K122" s="22" t="str">
        <f t="array" ref="K122">IF(H122="Crash",MATCH(TRUE, B123:B220 &gt;= B121, 0),"")</f>
        <v/>
      </c>
    </row>
    <row r="123" ht="15.75" customHeight="1">
      <c r="A123" s="31" t="str">
        <f>'EQUITY BACKTEST'!A126</f>
        <v/>
      </c>
      <c r="B123" s="22" t="str">
        <f>'EQUITY BACKTEST'!B126</f>
        <v/>
      </c>
      <c r="C123" s="22" t="str">
        <f>1/'EQUITY BACKTEST'!E126</f>
        <v>#DIV/0!</v>
      </c>
      <c r="D123" s="22" t="str">
        <f t="shared" si="5"/>
        <v>#DIV/0!</v>
      </c>
      <c r="E123" s="22" t="str">
        <f t="shared" si="3"/>
        <v/>
      </c>
      <c r="F123" s="22" t="str">
        <f t="shared" si="6"/>
        <v>#DIV/0!</v>
      </c>
      <c r="H123" s="22" t="str">
        <f t="shared" si="4"/>
        <v/>
      </c>
      <c r="I123" s="22" t="str">
        <f t="shared" si="1"/>
        <v>#N/A</v>
      </c>
      <c r="J123" s="22" t="str">
        <f t="shared" si="2"/>
        <v>#N/A</v>
      </c>
      <c r="K123" s="22" t="str">
        <f t="array" ref="K123">IF(H123="Crash",MATCH(TRUE, B124:B221 &gt;= B122, 0),"")</f>
        <v/>
      </c>
    </row>
    <row r="124" ht="15.75" customHeight="1">
      <c r="A124" s="31" t="str">
        <f>'EQUITY BACKTEST'!A127</f>
        <v/>
      </c>
      <c r="B124" s="22" t="str">
        <f>'EQUITY BACKTEST'!B127</f>
        <v/>
      </c>
      <c r="C124" s="22" t="str">
        <f>1/'EQUITY BACKTEST'!E127</f>
        <v>#DIV/0!</v>
      </c>
      <c r="D124" s="22" t="str">
        <f t="shared" si="5"/>
        <v>#DIV/0!</v>
      </c>
      <c r="E124" s="22" t="str">
        <f t="shared" si="3"/>
        <v/>
      </c>
      <c r="F124" s="22" t="str">
        <f t="shared" si="6"/>
        <v>#DIV/0!</v>
      </c>
      <c r="H124" s="22" t="str">
        <f t="shared" si="4"/>
        <v/>
      </c>
      <c r="I124" s="22" t="str">
        <f t="shared" si="1"/>
        <v>#N/A</v>
      </c>
      <c r="J124" s="22" t="str">
        <f t="shared" si="2"/>
        <v>#N/A</v>
      </c>
      <c r="K124" s="22" t="str">
        <f t="array" ref="K124">IF(H124="Crash",MATCH(TRUE, B125:B222 &gt;= B123, 0),"")</f>
        <v/>
      </c>
    </row>
    <row r="125" ht="15.75" customHeight="1">
      <c r="A125" s="31" t="str">
        <f>'EQUITY BACKTEST'!A128</f>
        <v/>
      </c>
      <c r="B125" s="22" t="str">
        <f>'EQUITY BACKTEST'!B128</f>
        <v/>
      </c>
      <c r="C125" s="22" t="str">
        <f>1/'EQUITY BACKTEST'!E128</f>
        <v>#DIV/0!</v>
      </c>
      <c r="D125" s="22" t="str">
        <f t="shared" si="5"/>
        <v>#DIV/0!</v>
      </c>
      <c r="E125" s="22" t="str">
        <f t="shared" si="3"/>
        <v/>
      </c>
      <c r="F125" s="22" t="str">
        <f t="shared" si="6"/>
        <v>#DIV/0!</v>
      </c>
      <c r="H125" s="22" t="str">
        <f t="shared" si="4"/>
        <v/>
      </c>
      <c r="I125" s="22" t="str">
        <f t="shared" si="1"/>
        <v>#N/A</v>
      </c>
      <c r="J125" s="22" t="str">
        <f t="shared" si="2"/>
        <v>#N/A</v>
      </c>
      <c r="K125" s="22" t="str">
        <f t="array" ref="K125">IF(H125="Crash",MATCH(TRUE, B126:B223 &gt;= B124, 0),"")</f>
        <v/>
      </c>
    </row>
    <row r="126" ht="15.75" customHeight="1">
      <c r="A126" s="31" t="str">
        <f>'EQUITY BACKTEST'!A129</f>
        <v/>
      </c>
      <c r="B126" s="22" t="str">
        <f>'EQUITY BACKTEST'!B129</f>
        <v/>
      </c>
      <c r="C126" s="22" t="str">
        <f>1/'EQUITY BACKTEST'!E129</f>
        <v>#DIV/0!</v>
      </c>
      <c r="D126" s="22" t="str">
        <f t="shared" si="5"/>
        <v>#DIV/0!</v>
      </c>
      <c r="E126" s="22" t="str">
        <f t="shared" si="3"/>
        <v/>
      </c>
      <c r="F126" s="22" t="str">
        <f t="shared" si="6"/>
        <v>#DIV/0!</v>
      </c>
      <c r="H126" s="22" t="str">
        <f t="shared" si="4"/>
        <v/>
      </c>
      <c r="I126" s="22" t="str">
        <f t="shared" si="1"/>
        <v>#N/A</v>
      </c>
      <c r="J126" s="22" t="str">
        <f t="shared" si="2"/>
        <v>#N/A</v>
      </c>
      <c r="K126" s="22" t="str">
        <f t="array" ref="K126">IF(H126="Crash",MATCH(TRUE, B127:B224 &gt;= B125, 0),"")</f>
        <v/>
      </c>
    </row>
    <row r="127" ht="15.75" customHeight="1">
      <c r="A127" s="31" t="str">
        <f>'EQUITY BACKTEST'!A130</f>
        <v/>
      </c>
      <c r="B127" s="22" t="str">
        <f>'EQUITY BACKTEST'!B130</f>
        <v/>
      </c>
      <c r="C127" s="22" t="str">
        <f>1/'EQUITY BACKTEST'!E130</f>
        <v>#DIV/0!</v>
      </c>
      <c r="D127" s="22" t="str">
        <f t="shared" si="5"/>
        <v>#DIV/0!</v>
      </c>
      <c r="E127" s="22" t="str">
        <f t="shared" si="3"/>
        <v/>
      </c>
      <c r="F127" s="22" t="str">
        <f t="shared" si="6"/>
        <v>#DIV/0!</v>
      </c>
      <c r="H127" s="22" t="str">
        <f t="shared" si="4"/>
        <v/>
      </c>
      <c r="I127" s="22" t="str">
        <f t="shared" si="1"/>
        <v>#N/A</v>
      </c>
      <c r="J127" s="22" t="str">
        <f t="shared" si="2"/>
        <v>#N/A</v>
      </c>
      <c r="K127" s="22" t="str">
        <f t="array" ref="K127">IF(H127="Crash",MATCH(TRUE, B128:B225 &gt;= B126, 0),"")</f>
        <v/>
      </c>
    </row>
    <row r="128" ht="15.75" customHeight="1">
      <c r="A128" s="31" t="str">
        <f>'EQUITY BACKTEST'!A131</f>
        <v/>
      </c>
      <c r="B128" s="22" t="str">
        <f>'EQUITY BACKTEST'!B131</f>
        <v/>
      </c>
      <c r="C128" s="22" t="str">
        <f>1/'EQUITY BACKTEST'!E131</f>
        <v>#DIV/0!</v>
      </c>
      <c r="D128" s="22" t="str">
        <f t="shared" si="5"/>
        <v>#DIV/0!</v>
      </c>
      <c r="E128" s="22" t="str">
        <f t="shared" si="3"/>
        <v/>
      </c>
      <c r="F128" s="22" t="str">
        <f t="shared" si="6"/>
        <v>#DIV/0!</v>
      </c>
      <c r="H128" s="22" t="str">
        <f t="shared" si="4"/>
        <v/>
      </c>
      <c r="I128" s="22" t="str">
        <f t="shared" si="1"/>
        <v>#N/A</v>
      </c>
      <c r="J128" s="22" t="str">
        <f t="shared" si="2"/>
        <v>#N/A</v>
      </c>
      <c r="K128" s="22" t="str">
        <f t="array" ref="K128">IF(H128="Crash",MATCH(TRUE, B129:B226 &gt;= B127, 0),"")</f>
        <v/>
      </c>
    </row>
    <row r="129" ht="15.75" customHeight="1">
      <c r="A129" s="31" t="str">
        <f>'EQUITY BACKTEST'!A132</f>
        <v/>
      </c>
      <c r="B129" s="22" t="str">
        <f>'EQUITY BACKTEST'!B132</f>
        <v/>
      </c>
      <c r="C129" s="22" t="str">
        <f>1/'EQUITY BACKTEST'!E132</f>
        <v>#DIV/0!</v>
      </c>
      <c r="D129" s="22" t="str">
        <f t="shared" si="5"/>
        <v>#DIV/0!</v>
      </c>
      <c r="E129" s="22" t="str">
        <f t="shared" si="3"/>
        <v/>
      </c>
      <c r="F129" s="22" t="str">
        <f t="shared" si="6"/>
        <v>#DIV/0!</v>
      </c>
      <c r="H129" s="22" t="str">
        <f t="shared" si="4"/>
        <v/>
      </c>
      <c r="I129" s="22" t="str">
        <f t="shared" si="1"/>
        <v>#N/A</v>
      </c>
      <c r="J129" s="22" t="str">
        <f t="shared" si="2"/>
        <v>#N/A</v>
      </c>
      <c r="K129" s="22" t="str">
        <f t="array" ref="K129">IF(H129="Crash",MATCH(TRUE, B130:B227 &gt;= B128, 0),"")</f>
        <v/>
      </c>
    </row>
    <row r="130" ht="15.75" customHeight="1">
      <c r="A130" s="31" t="str">
        <f>'EQUITY BACKTEST'!A133</f>
        <v/>
      </c>
      <c r="B130" s="22" t="str">
        <f>'EQUITY BACKTEST'!B133</f>
        <v/>
      </c>
      <c r="C130" s="22" t="str">
        <f>1/'EQUITY BACKTEST'!E133</f>
        <v>#DIV/0!</v>
      </c>
      <c r="D130" s="22" t="str">
        <f t="shared" si="5"/>
        <v>#DIV/0!</v>
      </c>
      <c r="E130" s="22" t="str">
        <f t="shared" si="3"/>
        <v/>
      </c>
      <c r="F130" s="22" t="str">
        <f t="shared" si="6"/>
        <v>#DIV/0!</v>
      </c>
      <c r="H130" s="22" t="str">
        <f t="shared" si="4"/>
        <v/>
      </c>
      <c r="I130" s="22" t="str">
        <f t="shared" si="1"/>
        <v>#N/A</v>
      </c>
      <c r="J130" s="22" t="str">
        <f t="shared" si="2"/>
        <v>#N/A</v>
      </c>
      <c r="K130" s="22" t="str">
        <f t="array" ref="K130">IF(H130="Crash",MATCH(TRUE, B131:B228 &gt;= B129, 0),"")</f>
        <v/>
      </c>
    </row>
    <row r="131" ht="15.75" customHeight="1">
      <c r="A131" s="31" t="str">
        <f>'EQUITY BACKTEST'!A134</f>
        <v/>
      </c>
      <c r="B131" s="22" t="str">
        <f>'EQUITY BACKTEST'!B134</f>
        <v/>
      </c>
      <c r="C131" s="22" t="str">
        <f>1/'EQUITY BACKTEST'!E134</f>
        <v>#DIV/0!</v>
      </c>
      <c r="D131" s="22" t="str">
        <f t="shared" si="5"/>
        <v>#DIV/0!</v>
      </c>
      <c r="E131" s="22" t="str">
        <f t="shared" si="3"/>
        <v/>
      </c>
      <c r="F131" s="22" t="str">
        <f t="shared" si="6"/>
        <v>#DIV/0!</v>
      </c>
      <c r="H131" s="22" t="str">
        <f t="shared" si="4"/>
        <v/>
      </c>
      <c r="I131" s="22" t="str">
        <f t="shared" si="1"/>
        <v>#N/A</v>
      </c>
      <c r="J131" s="22" t="str">
        <f t="shared" si="2"/>
        <v>#N/A</v>
      </c>
      <c r="K131" s="22" t="str">
        <f t="array" ref="K131">IF(H131="Crash",MATCH(TRUE, B132:B229 &gt;= B130, 0),"")</f>
        <v/>
      </c>
    </row>
    <row r="132" ht="15.75" customHeight="1">
      <c r="A132" s="31" t="str">
        <f>'EQUITY BACKTEST'!A135</f>
        <v/>
      </c>
      <c r="B132" s="22" t="str">
        <f>'EQUITY BACKTEST'!B135</f>
        <v/>
      </c>
      <c r="C132" s="22" t="str">
        <f>1/'EQUITY BACKTEST'!E135</f>
        <v>#DIV/0!</v>
      </c>
      <c r="D132" s="22" t="str">
        <f t="shared" si="5"/>
        <v>#DIV/0!</v>
      </c>
      <c r="E132" s="22" t="str">
        <f t="shared" si="3"/>
        <v/>
      </c>
      <c r="F132" s="22" t="str">
        <f t="shared" si="6"/>
        <v>#DIV/0!</v>
      </c>
      <c r="H132" s="22" t="str">
        <f t="shared" si="4"/>
        <v/>
      </c>
      <c r="I132" s="22" t="str">
        <f t="shared" si="1"/>
        <v>#N/A</v>
      </c>
      <c r="J132" s="22" t="str">
        <f t="shared" si="2"/>
        <v>#N/A</v>
      </c>
      <c r="K132" s="22" t="str">
        <f t="array" ref="K132">IF(H132="Crash",MATCH(TRUE, B133:B230 &gt;= B131, 0),"")</f>
        <v/>
      </c>
    </row>
    <row r="133" ht="15.75" customHeight="1">
      <c r="A133" s="31" t="str">
        <f>'EQUITY BACKTEST'!A136</f>
        <v/>
      </c>
      <c r="B133" s="22" t="str">
        <f>'EQUITY BACKTEST'!B136</f>
        <v/>
      </c>
      <c r="C133" s="22" t="str">
        <f>1/'EQUITY BACKTEST'!E136</f>
        <v>#DIV/0!</v>
      </c>
      <c r="D133" s="22" t="str">
        <f t="shared" si="5"/>
        <v>#DIV/0!</v>
      </c>
      <c r="E133" s="22" t="str">
        <f t="shared" si="3"/>
        <v/>
      </c>
      <c r="F133" s="22" t="str">
        <f t="shared" si="6"/>
        <v>#DIV/0!</v>
      </c>
      <c r="H133" s="22" t="str">
        <f t="shared" si="4"/>
        <v/>
      </c>
      <c r="I133" s="22" t="str">
        <f t="shared" si="1"/>
        <v>#N/A</v>
      </c>
      <c r="J133" s="22" t="str">
        <f t="shared" si="2"/>
        <v>#N/A</v>
      </c>
      <c r="K133" s="22" t="str">
        <f t="array" ref="K133">IF(H133="Crash",MATCH(TRUE, B134:B231 &gt;= B132, 0),"")</f>
        <v/>
      </c>
    </row>
    <row r="134" ht="15.75" customHeight="1">
      <c r="A134" s="31" t="str">
        <f>'EQUITY BACKTEST'!A137</f>
        <v/>
      </c>
      <c r="B134" s="22" t="str">
        <f>'EQUITY BACKTEST'!B137</f>
        <v/>
      </c>
      <c r="C134" s="22" t="str">
        <f>1/'EQUITY BACKTEST'!E137</f>
        <v>#DIV/0!</v>
      </c>
      <c r="D134" s="22" t="str">
        <f t="shared" si="5"/>
        <v>#DIV/0!</v>
      </c>
      <c r="E134" s="22" t="str">
        <f t="shared" si="3"/>
        <v/>
      </c>
      <c r="F134" s="22" t="str">
        <f t="shared" si="6"/>
        <v>#DIV/0!</v>
      </c>
      <c r="H134" s="22" t="str">
        <f t="shared" si="4"/>
        <v/>
      </c>
      <c r="I134" s="22" t="str">
        <f t="shared" si="1"/>
        <v>#N/A</v>
      </c>
      <c r="J134" s="22" t="str">
        <f t="shared" si="2"/>
        <v>#N/A</v>
      </c>
      <c r="K134" s="22" t="str">
        <f t="array" ref="K134">IF(H134="Crash",MATCH(TRUE, B135:B232 &gt;= B133, 0),"")</f>
        <v/>
      </c>
    </row>
    <row r="135" ht="15.75" customHeight="1">
      <c r="A135" s="31" t="str">
        <f>'EQUITY BACKTEST'!A138</f>
        <v/>
      </c>
      <c r="B135" s="22" t="str">
        <f>'EQUITY BACKTEST'!B138</f>
        <v/>
      </c>
      <c r="C135" s="22" t="str">
        <f>1/'EQUITY BACKTEST'!E138</f>
        <v>#DIV/0!</v>
      </c>
      <c r="D135" s="22" t="str">
        <f t="shared" si="5"/>
        <v>#DIV/0!</v>
      </c>
      <c r="E135" s="22" t="str">
        <f t="shared" si="3"/>
        <v/>
      </c>
      <c r="F135" s="22" t="str">
        <f t="shared" si="6"/>
        <v>#DIV/0!</v>
      </c>
      <c r="H135" s="22" t="str">
        <f t="shared" si="4"/>
        <v/>
      </c>
      <c r="I135" s="22" t="str">
        <f t="shared" si="1"/>
        <v>#N/A</v>
      </c>
      <c r="J135" s="22" t="str">
        <f t="shared" si="2"/>
        <v>#N/A</v>
      </c>
      <c r="K135" s="22" t="str">
        <f t="array" ref="K135">IF(H135="Crash",MATCH(TRUE, B136:B233 &gt;= B134, 0),"")</f>
        <v/>
      </c>
    </row>
    <row r="136" ht="15.75" customHeight="1">
      <c r="A136" s="31" t="str">
        <f>'EQUITY BACKTEST'!A139</f>
        <v/>
      </c>
      <c r="B136" s="22" t="str">
        <f>'EQUITY BACKTEST'!B139</f>
        <v/>
      </c>
      <c r="C136" s="22" t="str">
        <f>1/'EQUITY BACKTEST'!E139</f>
        <v>#DIV/0!</v>
      </c>
      <c r="D136" s="22" t="str">
        <f t="shared" si="5"/>
        <v>#DIV/0!</v>
      </c>
      <c r="E136" s="22" t="str">
        <f t="shared" si="3"/>
        <v/>
      </c>
      <c r="F136" s="22" t="str">
        <f t="shared" si="6"/>
        <v>#DIV/0!</v>
      </c>
      <c r="H136" s="22" t="str">
        <f t="shared" si="4"/>
        <v/>
      </c>
      <c r="I136" s="22" t="str">
        <f t="shared" si="1"/>
        <v>#N/A</v>
      </c>
      <c r="J136" s="22" t="str">
        <f t="shared" si="2"/>
        <v>#N/A</v>
      </c>
      <c r="K136" s="22" t="str">
        <f t="array" ref="K136">IF(H136="Crash",MATCH(TRUE, B137:B234 &gt;= B135, 0),"")</f>
        <v/>
      </c>
    </row>
    <row r="137" ht="15.75" customHeight="1">
      <c r="A137" s="31" t="str">
        <f>'EQUITY BACKTEST'!A140</f>
        <v/>
      </c>
      <c r="B137" s="22" t="str">
        <f>'EQUITY BACKTEST'!B140</f>
        <v/>
      </c>
      <c r="C137" s="22" t="str">
        <f>1/'EQUITY BACKTEST'!E140</f>
        <v>#DIV/0!</v>
      </c>
      <c r="D137" s="22" t="str">
        <f t="shared" si="5"/>
        <v>#DIV/0!</v>
      </c>
      <c r="E137" s="22" t="str">
        <f t="shared" si="3"/>
        <v/>
      </c>
      <c r="F137" s="22" t="str">
        <f t="shared" si="6"/>
        <v>#DIV/0!</v>
      </c>
      <c r="H137" s="22" t="str">
        <f t="shared" si="4"/>
        <v/>
      </c>
      <c r="I137" s="22" t="str">
        <f t="shared" si="1"/>
        <v>#N/A</v>
      </c>
      <c r="J137" s="22" t="str">
        <f t="shared" si="2"/>
        <v>#N/A</v>
      </c>
      <c r="K137" s="22" t="str">
        <f t="array" ref="K137">IF(H137="Crash",MATCH(TRUE, B138:B235 &gt;= B136, 0),"")</f>
        <v/>
      </c>
    </row>
    <row r="138" ht="15.75" customHeight="1">
      <c r="A138" s="31" t="str">
        <f>'EQUITY BACKTEST'!A141</f>
        <v/>
      </c>
      <c r="B138" s="22" t="str">
        <f>'EQUITY BACKTEST'!B141</f>
        <v/>
      </c>
      <c r="C138" s="22" t="str">
        <f>1/'EQUITY BACKTEST'!E141</f>
        <v>#DIV/0!</v>
      </c>
      <c r="D138" s="22" t="str">
        <f t="shared" si="5"/>
        <v>#DIV/0!</v>
      </c>
      <c r="E138" s="22" t="str">
        <f t="shared" si="3"/>
        <v/>
      </c>
      <c r="F138" s="22" t="str">
        <f t="shared" si="6"/>
        <v>#DIV/0!</v>
      </c>
      <c r="H138" s="22" t="str">
        <f t="shared" si="4"/>
        <v/>
      </c>
      <c r="I138" s="22" t="str">
        <f t="shared" si="1"/>
        <v>#N/A</v>
      </c>
      <c r="J138" s="22" t="str">
        <f t="shared" si="2"/>
        <v>#N/A</v>
      </c>
      <c r="K138" s="22" t="str">
        <f t="array" ref="K138">IF(H138="Crash",MATCH(TRUE, B139:B236 &gt;= B137, 0),"")</f>
        <v/>
      </c>
    </row>
    <row r="139" ht="15.75" customHeight="1">
      <c r="A139" s="31" t="str">
        <f>'EQUITY BACKTEST'!A142</f>
        <v/>
      </c>
      <c r="B139" s="22" t="str">
        <f>'EQUITY BACKTEST'!B142</f>
        <v/>
      </c>
      <c r="C139" s="22" t="str">
        <f>1/'EQUITY BACKTEST'!E142</f>
        <v>#DIV/0!</v>
      </c>
      <c r="D139" s="22" t="str">
        <f t="shared" si="5"/>
        <v>#DIV/0!</v>
      </c>
      <c r="E139" s="22" t="str">
        <f t="shared" si="3"/>
        <v/>
      </c>
      <c r="F139" s="22" t="str">
        <f t="shared" si="6"/>
        <v>#DIV/0!</v>
      </c>
      <c r="H139" s="22" t="str">
        <f t="shared" si="4"/>
        <v/>
      </c>
      <c r="I139" s="22" t="str">
        <f t="shared" si="1"/>
        <v>#N/A</v>
      </c>
      <c r="J139" s="22" t="str">
        <f t="shared" si="2"/>
        <v>#N/A</v>
      </c>
      <c r="K139" s="22" t="str">
        <f t="array" ref="K139">IF(H139="Crash",MATCH(TRUE, B140:B237 &gt;= B138, 0),"")</f>
        <v/>
      </c>
    </row>
    <row r="140" ht="15.75" customHeight="1">
      <c r="A140" s="31" t="str">
        <f>'EQUITY BACKTEST'!A143</f>
        <v/>
      </c>
      <c r="B140" s="22" t="str">
        <f>'EQUITY BACKTEST'!B143</f>
        <v/>
      </c>
      <c r="C140" s="22" t="str">
        <f>1/'EQUITY BACKTEST'!E143</f>
        <v>#DIV/0!</v>
      </c>
      <c r="D140" s="22" t="str">
        <f t="shared" si="5"/>
        <v>#DIV/0!</v>
      </c>
      <c r="E140" s="22" t="str">
        <f t="shared" si="3"/>
        <v/>
      </c>
      <c r="F140" s="22" t="str">
        <f t="shared" si="6"/>
        <v>#DIV/0!</v>
      </c>
      <c r="H140" s="22" t="str">
        <f t="shared" si="4"/>
        <v/>
      </c>
      <c r="I140" s="22" t="str">
        <f t="shared" si="1"/>
        <v>#N/A</v>
      </c>
      <c r="J140" s="22" t="str">
        <f t="shared" si="2"/>
        <v>#N/A</v>
      </c>
      <c r="K140" s="22" t="str">
        <f t="array" ref="K140">IF(H140="Crash",MATCH(TRUE, B141:B238 &gt;= B139, 0),"")</f>
        <v/>
      </c>
    </row>
    <row r="141" ht="15.75" customHeight="1">
      <c r="A141" s="31" t="str">
        <f>'EQUITY BACKTEST'!A144</f>
        <v/>
      </c>
      <c r="B141" s="22" t="str">
        <f>'EQUITY BACKTEST'!B144</f>
        <v/>
      </c>
      <c r="C141" s="22" t="str">
        <f>1/'EQUITY BACKTEST'!E144</f>
        <v>#DIV/0!</v>
      </c>
      <c r="D141" s="22" t="str">
        <f t="shared" si="5"/>
        <v>#DIV/0!</v>
      </c>
      <c r="E141" s="22" t="str">
        <f t="shared" si="3"/>
        <v/>
      </c>
      <c r="F141" s="22" t="str">
        <f t="shared" si="6"/>
        <v>#DIV/0!</v>
      </c>
      <c r="H141" s="22" t="str">
        <f t="shared" si="4"/>
        <v/>
      </c>
      <c r="I141" s="22" t="str">
        <f t="shared" si="1"/>
        <v>#N/A</v>
      </c>
      <c r="J141" s="22" t="str">
        <f t="shared" si="2"/>
        <v>#N/A</v>
      </c>
      <c r="K141" s="22" t="str">
        <f t="array" ref="K141">IF(H141="Crash",MATCH(TRUE, B142:B239 &gt;= B140, 0),"")</f>
        <v/>
      </c>
    </row>
    <row r="142" ht="15.75" customHeight="1">
      <c r="A142" s="31" t="str">
        <f>'EQUITY BACKTEST'!A145</f>
        <v/>
      </c>
      <c r="B142" s="22" t="str">
        <f>'EQUITY BACKTEST'!B145</f>
        <v/>
      </c>
      <c r="C142" s="22" t="str">
        <f>1/'EQUITY BACKTEST'!E145</f>
        <v>#DIV/0!</v>
      </c>
      <c r="D142" s="22" t="str">
        <f t="shared" si="5"/>
        <v>#DIV/0!</v>
      </c>
      <c r="E142" s="22" t="str">
        <f t="shared" si="3"/>
        <v/>
      </c>
      <c r="F142" s="22" t="str">
        <f t="shared" si="6"/>
        <v>#DIV/0!</v>
      </c>
      <c r="H142" s="22" t="str">
        <f t="shared" si="4"/>
        <v/>
      </c>
      <c r="I142" s="22" t="str">
        <f t="shared" si="1"/>
        <v>#N/A</v>
      </c>
      <c r="J142" s="22" t="str">
        <f t="shared" si="2"/>
        <v>#N/A</v>
      </c>
      <c r="K142" s="22" t="str">
        <f t="array" ref="K142">IF(H142="Crash",MATCH(TRUE, B143:B240 &gt;= B141, 0),"")</f>
        <v/>
      </c>
    </row>
    <row r="143" ht="15.75" customHeight="1">
      <c r="A143" s="31" t="str">
        <f>'EQUITY BACKTEST'!A146</f>
        <v/>
      </c>
      <c r="B143" s="22" t="str">
        <f>'EQUITY BACKTEST'!B146</f>
        <v/>
      </c>
      <c r="C143" s="22" t="str">
        <f>1/'EQUITY BACKTEST'!E146</f>
        <v>#DIV/0!</v>
      </c>
      <c r="D143" s="22" t="str">
        <f t="shared" si="5"/>
        <v>#DIV/0!</v>
      </c>
      <c r="E143" s="22" t="str">
        <f t="shared" si="3"/>
        <v/>
      </c>
      <c r="F143" s="22" t="str">
        <f t="shared" si="6"/>
        <v>#DIV/0!</v>
      </c>
      <c r="H143" s="22" t="str">
        <f t="shared" si="4"/>
        <v/>
      </c>
      <c r="I143" s="22" t="str">
        <f t="shared" si="1"/>
        <v>#N/A</v>
      </c>
      <c r="J143" s="22" t="str">
        <f t="shared" si="2"/>
        <v>#N/A</v>
      </c>
      <c r="K143" s="22" t="str">
        <f t="array" ref="K143">IF(H143="Crash",MATCH(TRUE, B144:B241 &gt;= B142, 0),"")</f>
        <v/>
      </c>
    </row>
    <row r="144" ht="15.75" customHeight="1">
      <c r="A144" s="31" t="str">
        <f>'EQUITY BACKTEST'!A147</f>
        <v/>
      </c>
      <c r="B144" s="22" t="str">
        <f>'EQUITY BACKTEST'!B147</f>
        <v/>
      </c>
      <c r="C144" s="22" t="str">
        <f>1/'EQUITY BACKTEST'!E147</f>
        <v>#DIV/0!</v>
      </c>
      <c r="D144" s="22" t="str">
        <f t="shared" si="5"/>
        <v>#DIV/0!</v>
      </c>
      <c r="E144" s="22" t="str">
        <f t="shared" si="3"/>
        <v/>
      </c>
      <c r="F144" s="22" t="str">
        <f t="shared" si="6"/>
        <v>#DIV/0!</v>
      </c>
      <c r="H144" s="22" t="str">
        <f t="shared" si="4"/>
        <v/>
      </c>
      <c r="I144" s="22" t="str">
        <f t="shared" si="1"/>
        <v>#N/A</v>
      </c>
      <c r="J144" s="22" t="str">
        <f t="shared" si="2"/>
        <v>#N/A</v>
      </c>
      <c r="K144" s="22" t="str">
        <f t="array" ref="K144">IF(H144="Crash",MATCH(TRUE, B145:B242 &gt;= B143, 0),"")</f>
        <v/>
      </c>
    </row>
    <row r="145" ht="15.75" customHeight="1">
      <c r="A145" s="31" t="str">
        <f>'EQUITY BACKTEST'!A148</f>
        <v/>
      </c>
      <c r="B145" s="22" t="str">
        <f>'EQUITY BACKTEST'!B148</f>
        <v/>
      </c>
      <c r="C145" s="22" t="str">
        <f>1/'EQUITY BACKTEST'!E148</f>
        <v>#DIV/0!</v>
      </c>
      <c r="D145" s="22" t="str">
        <f t="shared" si="5"/>
        <v>#DIV/0!</v>
      </c>
      <c r="E145" s="22" t="str">
        <f t="shared" si="3"/>
        <v/>
      </c>
      <c r="F145" s="22" t="str">
        <f t="shared" si="6"/>
        <v>#DIV/0!</v>
      </c>
      <c r="H145" s="22" t="str">
        <f t="shared" si="4"/>
        <v/>
      </c>
      <c r="I145" s="22" t="str">
        <f t="shared" si="1"/>
        <v>#N/A</v>
      </c>
      <c r="J145" s="22" t="str">
        <f t="shared" si="2"/>
        <v>#N/A</v>
      </c>
      <c r="K145" s="22" t="str">
        <f t="array" ref="K145">IF(H145="Crash",MATCH(TRUE, B146:B243 &gt;= B144, 0),"")</f>
        <v/>
      </c>
    </row>
    <row r="146" ht="15.75" customHeight="1">
      <c r="A146" s="31" t="str">
        <f>'EQUITY BACKTEST'!A149</f>
        <v/>
      </c>
      <c r="B146" s="22" t="str">
        <f>'EQUITY BACKTEST'!B149</f>
        <v/>
      </c>
      <c r="C146" s="22" t="str">
        <f>1/'EQUITY BACKTEST'!E149</f>
        <v>#DIV/0!</v>
      </c>
      <c r="D146" s="22" t="str">
        <f t="shared" si="5"/>
        <v>#DIV/0!</v>
      </c>
      <c r="E146" s="22" t="str">
        <f t="shared" si="3"/>
        <v/>
      </c>
      <c r="F146" s="22" t="str">
        <f t="shared" si="6"/>
        <v>#DIV/0!</v>
      </c>
      <c r="H146" s="22" t="str">
        <f t="shared" si="4"/>
        <v/>
      </c>
      <c r="I146" s="22" t="str">
        <f t="shared" si="1"/>
        <v>#N/A</v>
      </c>
      <c r="J146" s="22" t="str">
        <f t="shared" si="2"/>
        <v>#N/A</v>
      </c>
      <c r="K146" s="22" t="str">
        <f t="array" ref="K146">IF(H146="Crash",MATCH(TRUE, B147:B244 &gt;= B145, 0),"")</f>
        <v/>
      </c>
    </row>
    <row r="147" ht="15.75" customHeight="1">
      <c r="A147" s="31" t="str">
        <f>'EQUITY BACKTEST'!A150</f>
        <v/>
      </c>
      <c r="B147" s="22" t="str">
        <f>'EQUITY BACKTEST'!B150</f>
        <v/>
      </c>
      <c r="C147" s="22" t="str">
        <f>1/'EQUITY BACKTEST'!E150</f>
        <v>#DIV/0!</v>
      </c>
      <c r="D147" s="22" t="str">
        <f t="shared" si="5"/>
        <v>#DIV/0!</v>
      </c>
      <c r="E147" s="22" t="str">
        <f t="shared" si="3"/>
        <v/>
      </c>
      <c r="F147" s="22" t="str">
        <f t="shared" si="6"/>
        <v>#DIV/0!</v>
      </c>
      <c r="H147" s="22" t="str">
        <f t="shared" si="4"/>
        <v/>
      </c>
      <c r="I147" s="22" t="str">
        <f t="shared" si="1"/>
        <v>#N/A</v>
      </c>
      <c r="J147" s="22" t="str">
        <f t="shared" si="2"/>
        <v>#N/A</v>
      </c>
      <c r="K147" s="22" t="str">
        <f t="array" ref="K147">IF(H147="Crash",MATCH(TRUE, B148:B245 &gt;= B146, 0),"")</f>
        <v/>
      </c>
    </row>
    <row r="148" ht="15.75" customHeight="1">
      <c r="A148" s="31" t="str">
        <f>'EQUITY BACKTEST'!A151</f>
        <v/>
      </c>
      <c r="B148" s="22" t="str">
        <f>'EQUITY BACKTEST'!B151</f>
        <v/>
      </c>
      <c r="C148" s="22" t="str">
        <f>1/'EQUITY BACKTEST'!E151</f>
        <v>#DIV/0!</v>
      </c>
      <c r="D148" s="22" t="str">
        <f t="shared" si="5"/>
        <v>#DIV/0!</v>
      </c>
      <c r="E148" s="22" t="str">
        <f t="shared" si="3"/>
        <v/>
      </c>
      <c r="F148" s="22" t="str">
        <f t="shared" si="6"/>
        <v>#DIV/0!</v>
      </c>
      <c r="H148" s="22" t="str">
        <f t="shared" si="4"/>
        <v/>
      </c>
      <c r="I148" s="22" t="str">
        <f t="shared" si="1"/>
        <v>#N/A</v>
      </c>
      <c r="J148" s="22" t="str">
        <f t="shared" si="2"/>
        <v>#N/A</v>
      </c>
      <c r="K148" s="22" t="str">
        <f t="array" ref="K148">IF(H148="Crash",MATCH(TRUE, B149:B246 &gt;= B147, 0),"")</f>
        <v/>
      </c>
    </row>
    <row r="149" ht="15.75" customHeight="1">
      <c r="A149" s="31" t="str">
        <f>'EQUITY BACKTEST'!A152</f>
        <v/>
      </c>
      <c r="B149" s="22" t="str">
        <f>'EQUITY BACKTEST'!B152</f>
        <v/>
      </c>
      <c r="C149" s="22" t="str">
        <f>1/'EQUITY BACKTEST'!E152</f>
        <v>#DIV/0!</v>
      </c>
      <c r="D149" s="22" t="str">
        <f t="shared" si="5"/>
        <v>#DIV/0!</v>
      </c>
      <c r="E149" s="22" t="str">
        <f t="shared" si="3"/>
        <v/>
      </c>
      <c r="F149" s="22" t="str">
        <f t="shared" si="6"/>
        <v>#DIV/0!</v>
      </c>
      <c r="H149" s="22" t="str">
        <f t="shared" si="4"/>
        <v/>
      </c>
      <c r="I149" s="22" t="str">
        <f t="shared" si="1"/>
        <v>#N/A</v>
      </c>
      <c r="J149" s="22" t="str">
        <f t="shared" si="2"/>
        <v>#N/A</v>
      </c>
      <c r="K149" s="22" t="str">
        <f t="array" ref="K149">IF(H149="Crash",MATCH(TRUE, B150:B247 &gt;= B148, 0),"")</f>
        <v/>
      </c>
    </row>
    <row r="150" ht="15.75" customHeight="1">
      <c r="A150" s="31" t="str">
        <f>'EQUITY BACKTEST'!A153</f>
        <v/>
      </c>
      <c r="B150" s="22" t="str">
        <f>'EQUITY BACKTEST'!B153</f>
        <v/>
      </c>
      <c r="C150" s="22" t="str">
        <f>1/'EQUITY BACKTEST'!E153</f>
        <v>#DIV/0!</v>
      </c>
      <c r="D150" s="22" t="str">
        <f t="shared" si="5"/>
        <v>#DIV/0!</v>
      </c>
      <c r="E150" s="22" t="str">
        <f t="shared" si="3"/>
        <v/>
      </c>
      <c r="F150" s="22" t="str">
        <f t="shared" si="6"/>
        <v>#DIV/0!</v>
      </c>
      <c r="H150" s="22" t="str">
        <f t="shared" si="4"/>
        <v/>
      </c>
      <c r="I150" s="22" t="str">
        <f t="shared" si="1"/>
        <v>#N/A</v>
      </c>
      <c r="J150" s="22" t="str">
        <f t="shared" si="2"/>
        <v>#N/A</v>
      </c>
      <c r="K150" s="22" t="str">
        <f t="array" ref="K150">IF(H150="Crash",MATCH(TRUE, B151:B248 &gt;= B149, 0),"")</f>
        <v/>
      </c>
    </row>
    <row r="151" ht="15.75" customHeight="1">
      <c r="A151" s="31" t="str">
        <f>'EQUITY BACKTEST'!A154</f>
        <v/>
      </c>
      <c r="B151" s="22" t="str">
        <f>'EQUITY BACKTEST'!B154</f>
        <v/>
      </c>
      <c r="C151" s="22" t="str">
        <f>1/'EQUITY BACKTEST'!E154</f>
        <v>#DIV/0!</v>
      </c>
      <c r="D151" s="22" t="str">
        <f t="shared" si="5"/>
        <v>#DIV/0!</v>
      </c>
      <c r="E151" s="22" t="str">
        <f t="shared" si="3"/>
        <v/>
      </c>
      <c r="F151" s="22" t="str">
        <f t="shared" si="6"/>
        <v>#DIV/0!</v>
      </c>
      <c r="H151" s="22" t="str">
        <f t="shared" si="4"/>
        <v/>
      </c>
      <c r="I151" s="22" t="str">
        <f t="shared" si="1"/>
        <v>#N/A</v>
      </c>
      <c r="J151" s="22" t="str">
        <f t="shared" si="2"/>
        <v>#N/A</v>
      </c>
      <c r="K151" s="22" t="str">
        <f t="array" ref="K151">IF(H151="Crash",MATCH(TRUE, B152:B249 &gt;= B150, 0),"")</f>
        <v/>
      </c>
    </row>
    <row r="152" ht="15.75" customHeight="1">
      <c r="A152" s="31" t="str">
        <f>'EQUITY BACKTEST'!A155</f>
        <v/>
      </c>
      <c r="B152" s="22" t="str">
        <f>'EQUITY BACKTEST'!B155</f>
        <v/>
      </c>
      <c r="C152" s="22" t="str">
        <f>1/'EQUITY BACKTEST'!E155</f>
        <v>#DIV/0!</v>
      </c>
      <c r="D152" s="22" t="str">
        <f t="shared" si="5"/>
        <v>#DIV/0!</v>
      </c>
      <c r="E152" s="22" t="str">
        <f t="shared" si="3"/>
        <v/>
      </c>
      <c r="F152" s="22" t="str">
        <f t="shared" si="6"/>
        <v>#DIV/0!</v>
      </c>
      <c r="H152" s="22" t="str">
        <f t="shared" si="4"/>
        <v/>
      </c>
      <c r="I152" s="22" t="str">
        <f t="shared" si="1"/>
        <v>#N/A</v>
      </c>
      <c r="J152" s="22" t="str">
        <f t="shared" si="2"/>
        <v>#N/A</v>
      </c>
      <c r="K152" s="22" t="str">
        <f t="array" ref="K152">IF(H152="Crash",MATCH(TRUE, B153:B250 &gt;= B151, 0),"")</f>
        <v/>
      </c>
    </row>
    <row r="153" ht="15.75" customHeight="1">
      <c r="A153" s="31" t="str">
        <f>'EQUITY BACKTEST'!A156</f>
        <v/>
      </c>
      <c r="B153" s="22" t="str">
        <f>'EQUITY BACKTEST'!B156</f>
        <v/>
      </c>
      <c r="C153" s="22" t="str">
        <f>1/'EQUITY BACKTEST'!E156</f>
        <v>#DIV/0!</v>
      </c>
      <c r="D153" s="22" t="str">
        <f t="shared" si="5"/>
        <v>#DIV/0!</v>
      </c>
      <c r="E153" s="22" t="str">
        <f t="shared" si="3"/>
        <v/>
      </c>
      <c r="F153" s="22" t="str">
        <f t="shared" si="6"/>
        <v>#DIV/0!</v>
      </c>
      <c r="H153" s="22" t="str">
        <f t="shared" si="4"/>
        <v/>
      </c>
      <c r="I153" s="22" t="str">
        <f t="shared" si="1"/>
        <v>#N/A</v>
      </c>
      <c r="J153" s="22" t="str">
        <f t="shared" si="2"/>
        <v>#N/A</v>
      </c>
      <c r="K153" s="22" t="str">
        <f t="array" ref="K153">IF(H153="Crash",MATCH(TRUE, B154:B251 &gt;= B152, 0),"")</f>
        <v/>
      </c>
    </row>
    <row r="154" ht="15.75" customHeight="1">
      <c r="A154" s="31" t="str">
        <f>'EQUITY BACKTEST'!A157</f>
        <v/>
      </c>
      <c r="B154" s="22" t="str">
        <f>'EQUITY BACKTEST'!B157</f>
        <v/>
      </c>
      <c r="C154" s="22" t="str">
        <f>1/'EQUITY BACKTEST'!E157</f>
        <v>#DIV/0!</v>
      </c>
      <c r="D154" s="22" t="str">
        <f t="shared" si="5"/>
        <v>#DIV/0!</v>
      </c>
      <c r="E154" s="22" t="str">
        <f t="shared" si="3"/>
        <v/>
      </c>
      <c r="F154" s="22" t="str">
        <f t="shared" si="6"/>
        <v>#DIV/0!</v>
      </c>
      <c r="H154" s="22" t="str">
        <f t="shared" si="4"/>
        <v/>
      </c>
      <c r="I154" s="22" t="str">
        <f t="shared" si="1"/>
        <v>#N/A</v>
      </c>
      <c r="J154" s="22" t="str">
        <f t="shared" si="2"/>
        <v>#N/A</v>
      </c>
      <c r="K154" s="22" t="str">
        <f t="array" ref="K154">IF(H154="Crash",MATCH(TRUE, B155:B252 &gt;= B153, 0),"")</f>
        <v/>
      </c>
    </row>
    <row r="155" ht="15.75" customHeight="1">
      <c r="A155" s="31" t="str">
        <f>'EQUITY BACKTEST'!A158</f>
        <v/>
      </c>
      <c r="B155" s="22" t="str">
        <f>'EQUITY BACKTEST'!B158</f>
        <v/>
      </c>
      <c r="C155" s="22" t="str">
        <f>1/'EQUITY BACKTEST'!E158</f>
        <v>#DIV/0!</v>
      </c>
      <c r="D155" s="22" t="str">
        <f t="shared" si="5"/>
        <v>#DIV/0!</v>
      </c>
      <c r="E155" s="22" t="str">
        <f t="shared" si="3"/>
        <v/>
      </c>
      <c r="F155" s="22" t="str">
        <f t="shared" si="6"/>
        <v>#DIV/0!</v>
      </c>
      <c r="H155" s="22" t="str">
        <f t="shared" si="4"/>
        <v/>
      </c>
      <c r="I155" s="22" t="str">
        <f t="shared" si="1"/>
        <v>#N/A</v>
      </c>
      <c r="J155" s="22" t="str">
        <f t="shared" si="2"/>
        <v>#N/A</v>
      </c>
      <c r="K155" s="22" t="str">
        <f t="array" ref="K155">IF(H155="Crash",MATCH(TRUE, B156:B253 &gt;= B154, 0),"")</f>
        <v/>
      </c>
    </row>
    <row r="156" ht="15.75" customHeight="1">
      <c r="A156" s="31" t="str">
        <f>'EQUITY BACKTEST'!A159</f>
        <v/>
      </c>
      <c r="B156" s="22" t="str">
        <f>'EQUITY BACKTEST'!B159</f>
        <v/>
      </c>
      <c r="C156" s="22" t="str">
        <f>1/'EQUITY BACKTEST'!E159</f>
        <v>#DIV/0!</v>
      </c>
      <c r="D156" s="22" t="str">
        <f t="shared" si="5"/>
        <v>#DIV/0!</v>
      </c>
      <c r="E156" s="22" t="str">
        <f t="shared" si="3"/>
        <v/>
      </c>
      <c r="F156" s="22" t="str">
        <f t="shared" si="6"/>
        <v>#DIV/0!</v>
      </c>
      <c r="H156" s="22" t="str">
        <f t="shared" si="4"/>
        <v/>
      </c>
      <c r="I156" s="22" t="str">
        <f t="shared" si="1"/>
        <v>#N/A</v>
      </c>
      <c r="J156" s="22" t="str">
        <f t="shared" si="2"/>
        <v>#N/A</v>
      </c>
      <c r="K156" s="22" t="str">
        <f t="array" ref="K156">IF(H156="Crash",MATCH(TRUE, B157:B254 &gt;= B155, 0),"")</f>
        <v/>
      </c>
    </row>
    <row r="157" ht="15.75" customHeight="1">
      <c r="A157" s="31" t="str">
        <f>'EQUITY BACKTEST'!A160</f>
        <v/>
      </c>
      <c r="B157" s="22" t="str">
        <f>'EQUITY BACKTEST'!B160</f>
        <v/>
      </c>
      <c r="C157" s="22" t="str">
        <f>1/'EQUITY BACKTEST'!E160</f>
        <v>#DIV/0!</v>
      </c>
      <c r="D157" s="22" t="str">
        <f t="shared" si="5"/>
        <v>#DIV/0!</v>
      </c>
      <c r="E157" s="22" t="str">
        <f t="shared" si="3"/>
        <v/>
      </c>
      <c r="F157" s="22" t="str">
        <f t="shared" si="6"/>
        <v>#DIV/0!</v>
      </c>
      <c r="H157" s="22" t="str">
        <f t="shared" si="4"/>
        <v/>
      </c>
      <c r="I157" s="22" t="str">
        <f t="shared" si="1"/>
        <v>#N/A</v>
      </c>
      <c r="J157" s="22" t="str">
        <f t="shared" si="2"/>
        <v>#N/A</v>
      </c>
      <c r="K157" s="22" t="str">
        <f t="array" ref="K157">IF(H157="Crash",MATCH(TRUE, B158:B255 &gt;= B156, 0),"")</f>
        <v/>
      </c>
    </row>
    <row r="158" ht="15.75" customHeight="1">
      <c r="A158" s="31" t="str">
        <f>'EQUITY BACKTEST'!A161</f>
        <v/>
      </c>
      <c r="B158" s="22" t="str">
        <f>'EQUITY BACKTEST'!B161</f>
        <v/>
      </c>
      <c r="C158" s="22" t="str">
        <f>1/'EQUITY BACKTEST'!E161</f>
        <v>#DIV/0!</v>
      </c>
      <c r="D158" s="22" t="str">
        <f t="shared" si="5"/>
        <v>#DIV/0!</v>
      </c>
      <c r="E158" s="22" t="str">
        <f t="shared" si="3"/>
        <v/>
      </c>
      <c r="F158" s="22" t="str">
        <f t="shared" si="6"/>
        <v>#DIV/0!</v>
      </c>
      <c r="H158" s="22" t="str">
        <f t="shared" si="4"/>
        <v/>
      </c>
      <c r="I158" s="22" t="str">
        <f t="shared" si="1"/>
        <v>#N/A</v>
      </c>
      <c r="J158" s="22" t="str">
        <f t="shared" si="2"/>
        <v>#N/A</v>
      </c>
      <c r="K158" s="22" t="str">
        <f t="array" ref="K158">IF(H158="Crash",MATCH(TRUE, B159:B256 &gt;= B157, 0),"")</f>
        <v/>
      </c>
    </row>
    <row r="159" ht="15.75" customHeight="1">
      <c r="A159" s="31" t="str">
        <f>'EQUITY BACKTEST'!A162</f>
        <v/>
      </c>
      <c r="B159" s="22" t="str">
        <f>'EQUITY BACKTEST'!B162</f>
        <v/>
      </c>
      <c r="C159" s="22" t="str">
        <f>1/'EQUITY BACKTEST'!E162</f>
        <v>#DIV/0!</v>
      </c>
      <c r="D159" s="22" t="str">
        <f t="shared" si="5"/>
        <v>#DIV/0!</v>
      </c>
      <c r="E159" s="22" t="str">
        <f t="shared" si="3"/>
        <v/>
      </c>
      <c r="F159" s="22" t="str">
        <f t="shared" si="6"/>
        <v>#DIV/0!</v>
      </c>
      <c r="H159" s="22" t="str">
        <f t="shared" si="4"/>
        <v/>
      </c>
      <c r="I159" s="22" t="str">
        <f t="shared" si="1"/>
        <v>#N/A</v>
      </c>
      <c r="J159" s="22" t="str">
        <f t="shared" si="2"/>
        <v>#N/A</v>
      </c>
      <c r="K159" s="22" t="str">
        <f t="array" ref="K159">IF(H159="Crash",MATCH(TRUE, B160:B257 &gt;= B158, 0),"")</f>
        <v/>
      </c>
    </row>
    <row r="160" ht="15.75" customHeight="1">
      <c r="A160" s="31" t="str">
        <f>'EQUITY BACKTEST'!A163</f>
        <v/>
      </c>
      <c r="B160" s="22" t="str">
        <f>'EQUITY BACKTEST'!B163</f>
        <v/>
      </c>
      <c r="C160" s="22" t="str">
        <f>1/'EQUITY BACKTEST'!E163</f>
        <v>#DIV/0!</v>
      </c>
      <c r="D160" s="22" t="str">
        <f t="shared" si="5"/>
        <v>#DIV/0!</v>
      </c>
      <c r="E160" s="22" t="str">
        <f t="shared" si="3"/>
        <v/>
      </c>
      <c r="F160" s="22" t="str">
        <f t="shared" si="6"/>
        <v>#DIV/0!</v>
      </c>
      <c r="H160" s="22" t="str">
        <f t="shared" si="4"/>
        <v/>
      </c>
      <c r="I160" s="22" t="str">
        <f t="shared" si="1"/>
        <v>#N/A</v>
      </c>
      <c r="J160" s="22" t="str">
        <f t="shared" si="2"/>
        <v>#N/A</v>
      </c>
      <c r="K160" s="22" t="str">
        <f t="array" ref="K160">IF(H160="Crash",MATCH(TRUE, B161:B258 &gt;= B159, 0),"")</f>
        <v/>
      </c>
    </row>
    <row r="161" ht="15.75" customHeight="1">
      <c r="A161" s="31" t="str">
        <f>'EQUITY BACKTEST'!A164</f>
        <v/>
      </c>
      <c r="B161" s="22" t="str">
        <f>'EQUITY BACKTEST'!B164</f>
        <v/>
      </c>
      <c r="C161" s="22" t="str">
        <f>1/'EQUITY BACKTEST'!E164</f>
        <v>#DIV/0!</v>
      </c>
      <c r="D161" s="22" t="str">
        <f t="shared" si="5"/>
        <v>#DIV/0!</v>
      </c>
      <c r="E161" s="22" t="str">
        <f t="shared" si="3"/>
        <v/>
      </c>
      <c r="F161" s="22" t="str">
        <f t="shared" si="6"/>
        <v>#DIV/0!</v>
      </c>
      <c r="H161" s="22" t="str">
        <f t="shared" si="4"/>
        <v/>
      </c>
      <c r="I161" s="22" t="str">
        <f t="shared" si="1"/>
        <v>#N/A</v>
      </c>
      <c r="J161" s="22" t="str">
        <f t="shared" si="2"/>
        <v>#N/A</v>
      </c>
      <c r="K161" s="22" t="str">
        <f t="array" ref="K161">IF(H161="Crash",MATCH(TRUE, B162:B259 &gt;= B160, 0),"")</f>
        <v/>
      </c>
    </row>
    <row r="162" ht="15.75" customHeight="1">
      <c r="A162" s="31" t="str">
        <f>'EQUITY BACKTEST'!A165</f>
        <v/>
      </c>
      <c r="B162" s="22" t="str">
        <f>'EQUITY BACKTEST'!B165</f>
        <v/>
      </c>
      <c r="C162" s="22" t="str">
        <f>1/'EQUITY BACKTEST'!E165</f>
        <v>#DIV/0!</v>
      </c>
      <c r="D162" s="22" t="str">
        <f t="shared" si="5"/>
        <v>#DIV/0!</v>
      </c>
      <c r="E162" s="22" t="str">
        <f t="shared" si="3"/>
        <v/>
      </c>
      <c r="F162" s="22" t="str">
        <f t="shared" si="6"/>
        <v>#DIV/0!</v>
      </c>
      <c r="H162" s="22" t="str">
        <f t="shared" si="4"/>
        <v/>
      </c>
      <c r="I162" s="22" t="str">
        <f t="shared" si="1"/>
        <v>#N/A</v>
      </c>
      <c r="J162" s="22" t="str">
        <f t="shared" si="2"/>
        <v>#N/A</v>
      </c>
      <c r="K162" s="22" t="str">
        <f t="array" ref="K162">IF(H162="Crash",MATCH(TRUE, B163:B260 &gt;= B161, 0),"")</f>
        <v/>
      </c>
    </row>
    <row r="163" ht="15.75" customHeight="1">
      <c r="A163" s="31" t="str">
        <f>'EQUITY BACKTEST'!A166</f>
        <v/>
      </c>
      <c r="B163" s="22" t="str">
        <f>'EQUITY BACKTEST'!B166</f>
        <v/>
      </c>
      <c r="C163" s="22" t="str">
        <f>1/'EQUITY BACKTEST'!E166</f>
        <v>#DIV/0!</v>
      </c>
      <c r="D163" s="22" t="str">
        <f t="shared" si="5"/>
        <v>#DIV/0!</v>
      </c>
      <c r="E163" s="22" t="str">
        <f t="shared" si="3"/>
        <v/>
      </c>
      <c r="F163" s="22" t="str">
        <f t="shared" si="6"/>
        <v>#DIV/0!</v>
      </c>
      <c r="H163" s="22" t="str">
        <f t="shared" si="4"/>
        <v/>
      </c>
      <c r="I163" s="22" t="str">
        <f t="shared" si="1"/>
        <v>#N/A</v>
      </c>
      <c r="J163" s="22" t="str">
        <f t="shared" si="2"/>
        <v>#N/A</v>
      </c>
      <c r="K163" s="22" t="str">
        <f t="array" ref="K163">IF(H163="Crash",MATCH(TRUE, B164:B261 &gt;= B162, 0),"")</f>
        <v/>
      </c>
    </row>
    <row r="164" ht="15.75" customHeight="1">
      <c r="A164" s="31" t="str">
        <f>'EQUITY BACKTEST'!A167</f>
        <v/>
      </c>
      <c r="B164" s="22" t="str">
        <f>'EQUITY BACKTEST'!B167</f>
        <v/>
      </c>
      <c r="C164" s="22" t="str">
        <f>1/'EQUITY BACKTEST'!E167</f>
        <v>#DIV/0!</v>
      </c>
      <c r="D164" s="22" t="str">
        <f t="shared" si="5"/>
        <v>#DIV/0!</v>
      </c>
      <c r="E164" s="22" t="str">
        <f t="shared" si="3"/>
        <v/>
      </c>
      <c r="F164" s="22" t="str">
        <f t="shared" si="6"/>
        <v>#DIV/0!</v>
      </c>
      <c r="H164" s="22" t="str">
        <f t="shared" si="4"/>
        <v/>
      </c>
      <c r="I164" s="22" t="str">
        <f t="shared" si="1"/>
        <v>#N/A</v>
      </c>
      <c r="J164" s="22" t="str">
        <f t="shared" si="2"/>
        <v>#N/A</v>
      </c>
      <c r="K164" s="22" t="str">
        <f t="array" ref="K164">IF(H164="Crash",MATCH(TRUE, B165:B262 &gt;= B163, 0),"")</f>
        <v/>
      </c>
    </row>
    <row r="165" ht="15.75" customHeight="1">
      <c r="A165" s="31" t="str">
        <f>'EQUITY BACKTEST'!A168</f>
        <v/>
      </c>
      <c r="B165" s="22" t="str">
        <f>'EQUITY BACKTEST'!B168</f>
        <v/>
      </c>
      <c r="C165" s="22" t="str">
        <f>1/'EQUITY BACKTEST'!E168</f>
        <v>#DIV/0!</v>
      </c>
      <c r="D165" s="22" t="str">
        <f t="shared" si="5"/>
        <v>#DIV/0!</v>
      </c>
      <c r="E165" s="22" t="str">
        <f t="shared" si="3"/>
        <v/>
      </c>
      <c r="F165" s="22" t="str">
        <f t="shared" si="6"/>
        <v>#DIV/0!</v>
      </c>
      <c r="H165" s="22" t="str">
        <f t="shared" si="4"/>
        <v/>
      </c>
      <c r="I165" s="22" t="str">
        <f t="shared" si="1"/>
        <v>#N/A</v>
      </c>
      <c r="J165" s="22" t="str">
        <f t="shared" si="2"/>
        <v>#N/A</v>
      </c>
      <c r="K165" s="22" t="str">
        <f t="array" ref="K165">IF(H165="Crash",MATCH(TRUE, B166:B263 &gt;= B164, 0),"")</f>
        <v/>
      </c>
    </row>
    <row r="166" ht="15.75" customHeight="1">
      <c r="A166" s="31" t="str">
        <f>'EQUITY BACKTEST'!A169</f>
        <v/>
      </c>
      <c r="B166" s="22" t="str">
        <f>'EQUITY BACKTEST'!B169</f>
        <v/>
      </c>
      <c r="C166" s="22" t="str">
        <f>1/'EQUITY BACKTEST'!E169</f>
        <v>#DIV/0!</v>
      </c>
      <c r="D166" s="22" t="str">
        <f t="shared" si="5"/>
        <v>#DIV/0!</v>
      </c>
      <c r="E166" s="22" t="str">
        <f t="shared" si="3"/>
        <v/>
      </c>
      <c r="F166" s="22" t="str">
        <f t="shared" si="6"/>
        <v>#DIV/0!</v>
      </c>
      <c r="H166" s="22" t="str">
        <f t="shared" si="4"/>
        <v/>
      </c>
      <c r="I166" s="22" t="str">
        <f t="shared" si="1"/>
        <v>#N/A</v>
      </c>
      <c r="J166" s="22" t="str">
        <f t="shared" si="2"/>
        <v>#N/A</v>
      </c>
      <c r="K166" s="22" t="str">
        <f t="array" ref="K166">IF(H166="Crash",MATCH(TRUE, B167:B264 &gt;= B165, 0),"")</f>
        <v/>
      </c>
    </row>
    <row r="167" ht="15.75" customHeight="1">
      <c r="A167" s="31" t="str">
        <f>'EQUITY BACKTEST'!A170</f>
        <v/>
      </c>
      <c r="B167" s="22" t="str">
        <f>'EQUITY BACKTEST'!B170</f>
        <v/>
      </c>
      <c r="C167" s="22" t="str">
        <f>1/'EQUITY BACKTEST'!E170</f>
        <v>#DIV/0!</v>
      </c>
      <c r="D167" s="22" t="str">
        <f t="shared" si="5"/>
        <v>#DIV/0!</v>
      </c>
      <c r="E167" s="22" t="str">
        <f t="shared" si="3"/>
        <v/>
      </c>
      <c r="F167" s="22" t="str">
        <f t="shared" si="6"/>
        <v>#DIV/0!</v>
      </c>
      <c r="H167" s="22" t="str">
        <f t="shared" si="4"/>
        <v/>
      </c>
      <c r="I167" s="22" t="str">
        <f t="shared" si="1"/>
        <v>#N/A</v>
      </c>
      <c r="J167" s="22" t="str">
        <f t="shared" si="2"/>
        <v>#N/A</v>
      </c>
      <c r="K167" s="22" t="str">
        <f t="array" ref="K167">IF(H167="Crash",MATCH(TRUE, B168:B265 &gt;= B166, 0),"")</f>
        <v/>
      </c>
    </row>
    <row r="168" ht="15.75" customHeight="1">
      <c r="A168" s="31" t="str">
        <f>'EQUITY BACKTEST'!A171</f>
        <v/>
      </c>
      <c r="B168" s="22" t="str">
        <f>'EQUITY BACKTEST'!B171</f>
        <v/>
      </c>
      <c r="C168" s="22" t="str">
        <f>1/'EQUITY BACKTEST'!E171</f>
        <v>#DIV/0!</v>
      </c>
      <c r="D168" s="22" t="str">
        <f t="shared" si="5"/>
        <v>#DIV/0!</v>
      </c>
      <c r="E168" s="22" t="str">
        <f t="shared" si="3"/>
        <v/>
      </c>
      <c r="F168" s="22" t="str">
        <f t="shared" si="6"/>
        <v>#DIV/0!</v>
      </c>
      <c r="H168" s="22" t="str">
        <f t="shared" si="4"/>
        <v/>
      </c>
      <c r="I168" s="22" t="str">
        <f t="shared" si="1"/>
        <v>#N/A</v>
      </c>
      <c r="J168" s="22" t="str">
        <f t="shared" si="2"/>
        <v>#N/A</v>
      </c>
      <c r="K168" s="22" t="str">
        <f t="array" ref="K168">IF(H168="Crash",MATCH(TRUE, B169:B266 &gt;= B167, 0),"")</f>
        <v/>
      </c>
    </row>
    <row r="169" ht="15.75" customHeight="1">
      <c r="A169" s="31" t="str">
        <f>'EQUITY BACKTEST'!A172</f>
        <v/>
      </c>
      <c r="B169" s="22" t="str">
        <f>'EQUITY BACKTEST'!B172</f>
        <v/>
      </c>
      <c r="C169" s="22" t="str">
        <f>1/'EQUITY BACKTEST'!E172</f>
        <v>#DIV/0!</v>
      </c>
      <c r="D169" s="22" t="str">
        <f t="shared" si="5"/>
        <v>#DIV/0!</v>
      </c>
      <c r="E169" s="22" t="str">
        <f t="shared" si="3"/>
        <v/>
      </c>
      <c r="F169" s="22" t="str">
        <f t="shared" si="6"/>
        <v>#DIV/0!</v>
      </c>
      <c r="H169" s="22" t="str">
        <f t="shared" si="4"/>
        <v/>
      </c>
      <c r="I169" s="22" t="str">
        <f t="shared" si="1"/>
        <v>#N/A</v>
      </c>
      <c r="J169" s="22" t="str">
        <f t="shared" si="2"/>
        <v>#N/A</v>
      </c>
      <c r="K169" s="22" t="str">
        <f t="array" ref="K169">IF(H169="Crash",MATCH(TRUE, B170:B267 &gt;= B168, 0),"")</f>
        <v/>
      </c>
    </row>
    <row r="170" ht="15.75" customHeight="1">
      <c r="A170" s="31" t="str">
        <f>'EQUITY BACKTEST'!A173</f>
        <v/>
      </c>
      <c r="B170" s="22" t="str">
        <f>'EQUITY BACKTEST'!B173</f>
        <v/>
      </c>
      <c r="C170" s="22" t="str">
        <f>1/'EQUITY BACKTEST'!E173</f>
        <v>#DIV/0!</v>
      </c>
      <c r="D170" s="22" t="str">
        <f t="shared" si="5"/>
        <v>#DIV/0!</v>
      </c>
      <c r="E170" s="22" t="str">
        <f t="shared" si="3"/>
        <v/>
      </c>
      <c r="F170" s="22" t="str">
        <f t="shared" si="6"/>
        <v>#DIV/0!</v>
      </c>
      <c r="H170" s="22" t="str">
        <f t="shared" si="4"/>
        <v/>
      </c>
      <c r="I170" s="22" t="str">
        <f t="shared" si="1"/>
        <v>#N/A</v>
      </c>
      <c r="J170" s="22" t="str">
        <f t="shared" si="2"/>
        <v>#N/A</v>
      </c>
      <c r="K170" s="22" t="str">
        <f t="array" ref="K170">IF(H170="Crash",MATCH(TRUE, B171:B268 &gt;= B169, 0),"")</f>
        <v/>
      </c>
    </row>
    <row r="171" ht="15.75" customHeight="1">
      <c r="A171" s="31" t="str">
        <f>'EQUITY BACKTEST'!A174</f>
        <v/>
      </c>
      <c r="B171" s="22" t="str">
        <f>'EQUITY BACKTEST'!B174</f>
        <v/>
      </c>
      <c r="C171" s="22" t="str">
        <f>1/'EQUITY BACKTEST'!E174</f>
        <v>#DIV/0!</v>
      </c>
      <c r="D171" s="22" t="str">
        <f t="shared" si="5"/>
        <v>#DIV/0!</v>
      </c>
      <c r="E171" s="22" t="str">
        <f t="shared" si="3"/>
        <v/>
      </c>
      <c r="F171" s="22" t="str">
        <f t="shared" si="6"/>
        <v>#DIV/0!</v>
      </c>
      <c r="H171" s="22" t="str">
        <f t="shared" si="4"/>
        <v/>
      </c>
      <c r="I171" s="22" t="str">
        <f t="shared" si="1"/>
        <v>#N/A</v>
      </c>
      <c r="J171" s="22" t="str">
        <f t="shared" si="2"/>
        <v>#N/A</v>
      </c>
      <c r="K171" s="22" t="str">
        <f t="array" ref="K171">IF(H171="Crash",MATCH(TRUE, B172:B269 &gt;= B170, 0),"")</f>
        <v/>
      </c>
    </row>
    <row r="172" ht="15.75" customHeight="1">
      <c r="A172" s="31" t="str">
        <f>'EQUITY BACKTEST'!A175</f>
        <v/>
      </c>
      <c r="B172" s="22" t="str">
        <f>'EQUITY BACKTEST'!B175</f>
        <v/>
      </c>
      <c r="C172" s="22" t="str">
        <f>1/'EQUITY BACKTEST'!E175</f>
        <v>#DIV/0!</v>
      </c>
      <c r="D172" s="22" t="str">
        <f t="shared" si="5"/>
        <v>#DIV/0!</v>
      </c>
      <c r="E172" s="22" t="str">
        <f t="shared" si="3"/>
        <v/>
      </c>
      <c r="F172" s="22" t="str">
        <f t="shared" si="6"/>
        <v>#DIV/0!</v>
      </c>
      <c r="H172" s="22" t="str">
        <f t="shared" si="4"/>
        <v/>
      </c>
      <c r="I172" s="22" t="str">
        <f t="shared" si="1"/>
        <v>#N/A</v>
      </c>
      <c r="J172" s="22" t="str">
        <f t="shared" si="2"/>
        <v>#N/A</v>
      </c>
      <c r="K172" s="22" t="str">
        <f t="array" ref="K172">IF(H172="Crash",MATCH(TRUE, B173:B270 &gt;= B171, 0),"")</f>
        <v/>
      </c>
    </row>
    <row r="173" ht="15.75" customHeight="1">
      <c r="A173" s="31" t="str">
        <f>'EQUITY BACKTEST'!A176</f>
        <v/>
      </c>
      <c r="B173" s="22" t="str">
        <f>'EQUITY BACKTEST'!B176</f>
        <v/>
      </c>
      <c r="C173" s="22" t="str">
        <f>1/'EQUITY BACKTEST'!E176</f>
        <v>#DIV/0!</v>
      </c>
      <c r="D173" s="22" t="str">
        <f t="shared" si="5"/>
        <v>#DIV/0!</v>
      </c>
      <c r="E173" s="22" t="str">
        <f t="shared" si="3"/>
        <v/>
      </c>
      <c r="F173" s="22" t="str">
        <f t="shared" si="6"/>
        <v>#DIV/0!</v>
      </c>
      <c r="H173" s="22" t="str">
        <f t="shared" si="4"/>
        <v/>
      </c>
      <c r="I173" s="22" t="str">
        <f t="shared" si="1"/>
        <v>#N/A</v>
      </c>
      <c r="J173" s="22" t="str">
        <f t="shared" si="2"/>
        <v>#N/A</v>
      </c>
      <c r="K173" s="22" t="str">
        <f t="array" ref="K173">IF(H173="Crash",MATCH(TRUE, B174:B271 &gt;= B172, 0),"")</f>
        <v/>
      </c>
    </row>
    <row r="174" ht="15.75" customHeight="1">
      <c r="A174" s="31" t="str">
        <f>'EQUITY BACKTEST'!A177</f>
        <v/>
      </c>
      <c r="B174" s="22" t="str">
        <f>'EQUITY BACKTEST'!B177</f>
        <v/>
      </c>
      <c r="C174" s="22" t="str">
        <f>1/'EQUITY BACKTEST'!E177</f>
        <v>#DIV/0!</v>
      </c>
      <c r="D174" s="22" t="str">
        <f t="shared" si="5"/>
        <v>#DIV/0!</v>
      </c>
      <c r="E174" s="22" t="str">
        <f t="shared" si="3"/>
        <v/>
      </c>
      <c r="F174" s="22" t="str">
        <f t="shared" si="6"/>
        <v>#DIV/0!</v>
      </c>
      <c r="H174" s="22" t="str">
        <f t="shared" si="4"/>
        <v/>
      </c>
      <c r="I174" s="22" t="str">
        <f t="shared" si="1"/>
        <v>#N/A</v>
      </c>
      <c r="J174" s="22" t="str">
        <f t="shared" si="2"/>
        <v>#N/A</v>
      </c>
      <c r="K174" s="22" t="str">
        <f t="array" ref="K174">IF(H174="Crash",MATCH(TRUE, B175:B272 &gt;= B173, 0),"")</f>
        <v/>
      </c>
    </row>
    <row r="175" ht="15.75" customHeight="1">
      <c r="A175" s="31" t="str">
        <f>'EQUITY BACKTEST'!A178</f>
        <v/>
      </c>
      <c r="B175" s="22" t="str">
        <f>'EQUITY BACKTEST'!B178</f>
        <v/>
      </c>
      <c r="C175" s="22" t="str">
        <f>1/'EQUITY BACKTEST'!E178</f>
        <v>#DIV/0!</v>
      </c>
      <c r="D175" s="22" t="str">
        <f t="shared" si="5"/>
        <v>#DIV/0!</v>
      </c>
      <c r="E175" s="22" t="str">
        <f t="shared" si="3"/>
        <v/>
      </c>
      <c r="F175" s="22" t="str">
        <f t="shared" si="6"/>
        <v>#DIV/0!</v>
      </c>
      <c r="H175" s="22" t="str">
        <f t="shared" si="4"/>
        <v/>
      </c>
      <c r="I175" s="22" t="str">
        <f t="shared" si="1"/>
        <v>#N/A</v>
      </c>
      <c r="J175" s="22" t="str">
        <f t="shared" si="2"/>
        <v>#N/A</v>
      </c>
      <c r="K175" s="22" t="str">
        <f t="array" ref="K175">IF(H175="Crash",MATCH(TRUE, B176:B273 &gt;= B174, 0),"")</f>
        <v/>
      </c>
    </row>
    <row r="176" ht="15.75" customHeight="1">
      <c r="A176" s="31" t="str">
        <f>'EQUITY BACKTEST'!A179</f>
        <v/>
      </c>
      <c r="B176" s="22" t="str">
        <f>'EQUITY BACKTEST'!B179</f>
        <v/>
      </c>
      <c r="C176" s="22" t="str">
        <f>1/'EQUITY BACKTEST'!E179</f>
        <v>#DIV/0!</v>
      </c>
      <c r="D176" s="22" t="str">
        <f t="shared" si="5"/>
        <v>#DIV/0!</v>
      </c>
      <c r="E176" s="22" t="str">
        <f t="shared" si="3"/>
        <v/>
      </c>
      <c r="F176" s="22" t="str">
        <f t="shared" si="6"/>
        <v>#DIV/0!</v>
      </c>
      <c r="H176" s="22" t="str">
        <f t="shared" si="4"/>
        <v/>
      </c>
      <c r="I176" s="22" t="str">
        <f t="shared" si="1"/>
        <v>#N/A</v>
      </c>
      <c r="J176" s="22" t="str">
        <f t="shared" si="2"/>
        <v>#N/A</v>
      </c>
      <c r="K176" s="22" t="str">
        <f t="array" ref="K176">IF(H176="Crash",MATCH(TRUE, B177:B274 &gt;= B175, 0),"")</f>
        <v/>
      </c>
    </row>
    <row r="177" ht="15.75" customHeight="1">
      <c r="A177" s="31" t="str">
        <f>'EQUITY BACKTEST'!A180</f>
        <v/>
      </c>
      <c r="B177" s="22" t="str">
        <f>'EQUITY BACKTEST'!B180</f>
        <v/>
      </c>
      <c r="C177" s="22" t="str">
        <f>1/'EQUITY BACKTEST'!E180</f>
        <v>#DIV/0!</v>
      </c>
      <c r="D177" s="22" t="str">
        <f t="shared" si="5"/>
        <v>#DIV/0!</v>
      </c>
      <c r="E177" s="22" t="str">
        <f t="shared" si="3"/>
        <v/>
      </c>
      <c r="F177" s="22" t="str">
        <f t="shared" si="6"/>
        <v>#DIV/0!</v>
      </c>
      <c r="H177" s="22" t="str">
        <f t="shared" si="4"/>
        <v/>
      </c>
      <c r="I177" s="22" t="str">
        <f t="shared" si="1"/>
        <v>#N/A</v>
      </c>
      <c r="J177" s="22" t="str">
        <f t="shared" si="2"/>
        <v>#N/A</v>
      </c>
      <c r="K177" s="22" t="str">
        <f t="array" ref="K177">IF(H177="Crash",MATCH(TRUE, B178:B275 &gt;= B176, 0),"")</f>
        <v/>
      </c>
    </row>
    <row r="178" ht="15.75" customHeight="1">
      <c r="A178" s="31" t="str">
        <f>'EQUITY BACKTEST'!A181</f>
        <v/>
      </c>
      <c r="B178" s="22" t="str">
        <f>'EQUITY BACKTEST'!B181</f>
        <v/>
      </c>
      <c r="C178" s="22" t="str">
        <f>1/'EQUITY BACKTEST'!E181</f>
        <v>#DIV/0!</v>
      </c>
      <c r="D178" s="22" t="str">
        <f t="shared" si="5"/>
        <v>#DIV/0!</v>
      </c>
      <c r="E178" s="22" t="str">
        <f t="shared" si="3"/>
        <v/>
      </c>
      <c r="F178" s="22" t="str">
        <f t="shared" si="6"/>
        <v>#DIV/0!</v>
      </c>
      <c r="H178" s="22" t="str">
        <f t="shared" si="4"/>
        <v/>
      </c>
      <c r="I178" s="22" t="str">
        <f t="shared" si="1"/>
        <v>#N/A</v>
      </c>
      <c r="J178" s="22" t="str">
        <f t="shared" si="2"/>
        <v>#N/A</v>
      </c>
      <c r="K178" s="22" t="str">
        <f t="array" ref="K178">IF(H178="Crash",MATCH(TRUE, B179:B276 &gt;= B177, 0),"")</f>
        <v/>
      </c>
    </row>
    <row r="179" ht="15.75" customHeight="1">
      <c r="A179" s="31" t="str">
        <f>'EQUITY BACKTEST'!A182</f>
        <v/>
      </c>
      <c r="B179" s="22" t="str">
        <f>'EQUITY BACKTEST'!B182</f>
        <v/>
      </c>
      <c r="C179" s="22" t="str">
        <f>1/'EQUITY BACKTEST'!E182</f>
        <v>#DIV/0!</v>
      </c>
      <c r="D179" s="22" t="str">
        <f t="shared" si="5"/>
        <v>#DIV/0!</v>
      </c>
      <c r="E179" s="22" t="str">
        <f t="shared" si="3"/>
        <v/>
      </c>
      <c r="F179" s="22" t="str">
        <f t="shared" si="6"/>
        <v>#DIV/0!</v>
      </c>
      <c r="H179" s="22" t="str">
        <f t="shared" si="4"/>
        <v/>
      </c>
      <c r="I179" s="22" t="str">
        <f t="shared" si="1"/>
        <v>#N/A</v>
      </c>
      <c r="J179" s="22" t="str">
        <f t="shared" si="2"/>
        <v>#N/A</v>
      </c>
      <c r="K179" s="22" t="str">
        <f t="array" ref="K179">IF(H179="Crash",MATCH(TRUE, B180:B277 &gt;= B178, 0),"")</f>
        <v/>
      </c>
    </row>
    <row r="180" ht="15.75" customHeight="1">
      <c r="A180" s="31" t="str">
        <f>'EQUITY BACKTEST'!A183</f>
        <v/>
      </c>
      <c r="B180" s="22" t="str">
        <f>'EQUITY BACKTEST'!B183</f>
        <v/>
      </c>
      <c r="C180" s="22" t="str">
        <f>1/'EQUITY BACKTEST'!E183</f>
        <v>#DIV/0!</v>
      </c>
      <c r="D180" s="22" t="str">
        <f t="shared" si="5"/>
        <v>#DIV/0!</v>
      </c>
      <c r="E180" s="22" t="str">
        <f t="shared" si="3"/>
        <v/>
      </c>
      <c r="F180" s="22" t="str">
        <f t="shared" si="6"/>
        <v>#DIV/0!</v>
      </c>
      <c r="H180" s="22" t="str">
        <f t="shared" si="4"/>
        <v/>
      </c>
      <c r="I180" s="22" t="str">
        <f t="shared" si="1"/>
        <v>#N/A</v>
      </c>
      <c r="J180" s="22" t="str">
        <f t="shared" si="2"/>
        <v>#N/A</v>
      </c>
      <c r="K180" s="22" t="str">
        <f t="array" ref="K180">IF(H180="Crash",MATCH(TRUE, B181:B278 &gt;= B179, 0),"")</f>
        <v/>
      </c>
    </row>
    <row r="181" ht="15.75" customHeight="1">
      <c r="A181" s="31" t="str">
        <f>'EQUITY BACKTEST'!A184</f>
        <v/>
      </c>
      <c r="B181" s="22" t="str">
        <f>'EQUITY BACKTEST'!B184</f>
        <v/>
      </c>
      <c r="C181" s="22" t="str">
        <f>1/'EQUITY BACKTEST'!E184</f>
        <v>#DIV/0!</v>
      </c>
      <c r="D181" s="22" t="str">
        <f t="shared" si="5"/>
        <v>#DIV/0!</v>
      </c>
      <c r="E181" s="22" t="str">
        <f t="shared" si="3"/>
        <v/>
      </c>
      <c r="F181" s="22" t="str">
        <f t="shared" si="6"/>
        <v>#DIV/0!</v>
      </c>
      <c r="H181" s="22" t="str">
        <f t="shared" si="4"/>
        <v/>
      </c>
      <c r="I181" s="22" t="str">
        <f t="shared" si="1"/>
        <v>#N/A</v>
      </c>
      <c r="J181" s="22" t="str">
        <f t="shared" si="2"/>
        <v>#N/A</v>
      </c>
      <c r="K181" s="22" t="str">
        <f t="array" ref="K181">IF(H181="Crash",MATCH(TRUE, B182:B279 &gt;= B180, 0),"")</f>
        <v/>
      </c>
    </row>
    <row r="182" ht="15.75" customHeight="1">
      <c r="A182" s="31" t="str">
        <f>'EQUITY BACKTEST'!A185</f>
        <v/>
      </c>
      <c r="B182" s="22" t="str">
        <f>'EQUITY BACKTEST'!B185</f>
        <v/>
      </c>
      <c r="C182" s="22" t="str">
        <f>1/'EQUITY BACKTEST'!E185</f>
        <v>#DIV/0!</v>
      </c>
      <c r="D182" s="22" t="str">
        <f t="shared" si="5"/>
        <v>#DIV/0!</v>
      </c>
      <c r="E182" s="22" t="str">
        <f t="shared" si="3"/>
        <v/>
      </c>
      <c r="F182" s="22" t="str">
        <f t="shared" si="6"/>
        <v>#DIV/0!</v>
      </c>
      <c r="H182" s="22" t="str">
        <f t="shared" si="4"/>
        <v/>
      </c>
      <c r="I182" s="22" t="str">
        <f t="shared" si="1"/>
        <v>#N/A</v>
      </c>
      <c r="J182" s="22" t="str">
        <f t="shared" si="2"/>
        <v>#N/A</v>
      </c>
      <c r="K182" s="22" t="str">
        <f t="array" ref="K182">IF(H182="Crash",MATCH(TRUE, B183:B280 &gt;= B181, 0),"")</f>
        <v/>
      </c>
    </row>
    <row r="183" ht="15.75" customHeight="1">
      <c r="A183" s="31" t="str">
        <f>'EQUITY BACKTEST'!A186</f>
        <v/>
      </c>
      <c r="B183" s="22" t="str">
        <f>'EQUITY BACKTEST'!B186</f>
        <v/>
      </c>
      <c r="C183" s="22" t="str">
        <f>1/'EQUITY BACKTEST'!E186</f>
        <v>#DIV/0!</v>
      </c>
      <c r="D183" s="22" t="str">
        <f t="shared" si="5"/>
        <v>#DIV/0!</v>
      </c>
      <c r="E183" s="22" t="str">
        <f t="shared" si="3"/>
        <v/>
      </c>
      <c r="F183" s="22" t="str">
        <f t="shared" si="6"/>
        <v>#DIV/0!</v>
      </c>
      <c r="H183" s="22" t="str">
        <f t="shared" si="4"/>
        <v/>
      </c>
      <c r="I183" s="22" t="str">
        <f t="shared" si="1"/>
        <v>#N/A</v>
      </c>
      <c r="J183" s="22" t="str">
        <f t="shared" si="2"/>
        <v>#N/A</v>
      </c>
      <c r="K183" s="22" t="str">
        <f t="array" ref="K183">IF(H183="Crash",MATCH(TRUE, B184:B281 &gt;= B182, 0),"")</f>
        <v/>
      </c>
    </row>
    <row r="184" ht="15.75" customHeight="1">
      <c r="A184" s="31" t="str">
        <f>'EQUITY BACKTEST'!A187</f>
        <v/>
      </c>
      <c r="B184" s="22" t="str">
        <f>'EQUITY BACKTEST'!B187</f>
        <v/>
      </c>
      <c r="C184" s="22" t="str">
        <f>1/'EQUITY BACKTEST'!E187</f>
        <v>#DIV/0!</v>
      </c>
      <c r="D184" s="22" t="str">
        <f t="shared" si="5"/>
        <v>#DIV/0!</v>
      </c>
      <c r="E184" s="22" t="str">
        <f t="shared" si="3"/>
        <v/>
      </c>
      <c r="F184" s="22" t="str">
        <f t="shared" si="6"/>
        <v>#DIV/0!</v>
      </c>
      <c r="H184" s="22" t="str">
        <f t="shared" si="4"/>
        <v/>
      </c>
      <c r="I184" s="22" t="str">
        <f t="shared" si="1"/>
        <v>#N/A</v>
      </c>
      <c r="J184" s="22" t="str">
        <f t="shared" si="2"/>
        <v>#N/A</v>
      </c>
      <c r="K184" s="22" t="str">
        <f t="array" ref="K184">IF(H184="Crash",MATCH(TRUE, B185:B282 &gt;= B183, 0),"")</f>
        <v/>
      </c>
    </row>
    <row r="185" ht="15.75" customHeight="1">
      <c r="A185" s="31" t="str">
        <f>'EQUITY BACKTEST'!A188</f>
        <v/>
      </c>
      <c r="B185" s="22" t="str">
        <f>'EQUITY BACKTEST'!B188</f>
        <v/>
      </c>
      <c r="C185" s="22" t="str">
        <f>1/'EQUITY BACKTEST'!E188</f>
        <v>#DIV/0!</v>
      </c>
      <c r="D185" s="22" t="str">
        <f t="shared" si="5"/>
        <v>#DIV/0!</v>
      </c>
      <c r="E185" s="22" t="str">
        <f t="shared" si="3"/>
        <v/>
      </c>
      <c r="F185" s="22" t="str">
        <f t="shared" si="6"/>
        <v>#DIV/0!</v>
      </c>
      <c r="H185" s="22" t="str">
        <f t="shared" si="4"/>
        <v/>
      </c>
      <c r="I185" s="22" t="str">
        <f t="shared" si="1"/>
        <v>#N/A</v>
      </c>
      <c r="J185" s="22" t="str">
        <f t="shared" si="2"/>
        <v>#N/A</v>
      </c>
      <c r="K185" s="22" t="str">
        <f t="array" ref="K185">IF(H185="Crash",MATCH(TRUE, B186:B283 &gt;= B184, 0),"")</f>
        <v/>
      </c>
    </row>
    <row r="186" ht="15.75" customHeight="1">
      <c r="A186" s="31" t="str">
        <f>'EQUITY BACKTEST'!A189</f>
        <v/>
      </c>
      <c r="B186" s="22" t="str">
        <f>'EQUITY BACKTEST'!B189</f>
        <v/>
      </c>
      <c r="C186" s="22" t="str">
        <f>1/'EQUITY BACKTEST'!E189</f>
        <v>#DIV/0!</v>
      </c>
      <c r="D186" s="22" t="str">
        <f t="shared" si="5"/>
        <v>#DIV/0!</v>
      </c>
      <c r="E186" s="22" t="str">
        <f t="shared" si="3"/>
        <v/>
      </c>
      <c r="F186" s="22" t="str">
        <f t="shared" si="6"/>
        <v>#DIV/0!</v>
      </c>
      <c r="H186" s="22" t="str">
        <f t="shared" si="4"/>
        <v/>
      </c>
      <c r="I186" s="22" t="str">
        <f t="shared" si="1"/>
        <v>#N/A</v>
      </c>
      <c r="J186" s="22" t="str">
        <f t="shared" si="2"/>
        <v>#N/A</v>
      </c>
      <c r="K186" s="22" t="str">
        <f t="array" ref="K186">IF(H186="Crash",MATCH(TRUE, B187:B284 &gt;= B185, 0),"")</f>
        <v/>
      </c>
    </row>
    <row r="187" ht="15.75" customHeight="1">
      <c r="A187" s="31" t="str">
        <f>'EQUITY BACKTEST'!A190</f>
        <v/>
      </c>
      <c r="B187" s="22" t="str">
        <f>'EQUITY BACKTEST'!B190</f>
        <v/>
      </c>
      <c r="C187" s="22" t="str">
        <f>1/'EQUITY BACKTEST'!E190</f>
        <v>#DIV/0!</v>
      </c>
      <c r="D187" s="22" t="str">
        <f t="shared" si="5"/>
        <v>#DIV/0!</v>
      </c>
      <c r="E187" s="22" t="str">
        <f t="shared" si="3"/>
        <v/>
      </c>
      <c r="F187" s="22" t="str">
        <f t="shared" si="6"/>
        <v>#DIV/0!</v>
      </c>
      <c r="H187" s="22" t="str">
        <f t="shared" si="4"/>
        <v/>
      </c>
      <c r="I187" s="22" t="str">
        <f t="shared" si="1"/>
        <v>#N/A</v>
      </c>
      <c r="J187" s="22" t="str">
        <f t="shared" si="2"/>
        <v>#N/A</v>
      </c>
      <c r="K187" s="22" t="str">
        <f t="array" ref="K187">IF(H187="Crash",MATCH(TRUE, B188:B285 &gt;= B186, 0),"")</f>
        <v/>
      </c>
    </row>
    <row r="188" ht="15.75" customHeight="1">
      <c r="A188" s="31" t="str">
        <f>'EQUITY BACKTEST'!A191</f>
        <v/>
      </c>
      <c r="B188" s="22" t="str">
        <f>'EQUITY BACKTEST'!B191</f>
        <v/>
      </c>
      <c r="C188" s="22" t="str">
        <f>1/'EQUITY BACKTEST'!E191</f>
        <v>#DIV/0!</v>
      </c>
      <c r="D188" s="22" t="str">
        <f t="shared" si="5"/>
        <v>#DIV/0!</v>
      </c>
      <c r="E188" s="22" t="str">
        <f t="shared" si="3"/>
        <v/>
      </c>
      <c r="F188" s="22" t="str">
        <f t="shared" si="6"/>
        <v>#DIV/0!</v>
      </c>
      <c r="H188" s="22" t="str">
        <f t="shared" si="4"/>
        <v/>
      </c>
      <c r="I188" s="22" t="str">
        <f t="shared" si="1"/>
        <v>#N/A</v>
      </c>
      <c r="J188" s="22" t="str">
        <f t="shared" si="2"/>
        <v>#N/A</v>
      </c>
      <c r="K188" s="22" t="str">
        <f t="array" ref="K188">IF(H188="Crash",MATCH(TRUE, B189:B286 &gt;= B187, 0),"")</f>
        <v/>
      </c>
    </row>
    <row r="189" ht="15.75" customHeight="1">
      <c r="A189" s="31" t="str">
        <f>'EQUITY BACKTEST'!A192</f>
        <v/>
      </c>
      <c r="B189" s="22" t="str">
        <f>'EQUITY BACKTEST'!B192</f>
        <v/>
      </c>
      <c r="C189" s="22" t="str">
        <f>1/'EQUITY BACKTEST'!E192</f>
        <v>#DIV/0!</v>
      </c>
      <c r="D189" s="22" t="str">
        <f t="shared" si="5"/>
        <v>#DIV/0!</v>
      </c>
      <c r="E189" s="22" t="str">
        <f t="shared" si="3"/>
        <v/>
      </c>
      <c r="F189" s="22" t="str">
        <f t="shared" si="6"/>
        <v>#DIV/0!</v>
      </c>
      <c r="H189" s="22" t="str">
        <f t="shared" si="4"/>
        <v/>
      </c>
      <c r="I189" s="22" t="str">
        <f t="shared" si="1"/>
        <v>#N/A</v>
      </c>
      <c r="J189" s="22" t="str">
        <f t="shared" si="2"/>
        <v>#N/A</v>
      </c>
      <c r="K189" s="22" t="str">
        <f t="array" ref="K189">IF(H189="Crash",MATCH(TRUE, B190:B287 &gt;= B188, 0),"")</f>
        <v/>
      </c>
    </row>
    <row r="190" ht="15.75" customHeight="1">
      <c r="A190" s="31" t="str">
        <f>'EQUITY BACKTEST'!A193</f>
        <v/>
      </c>
      <c r="B190" s="22" t="str">
        <f>'EQUITY BACKTEST'!B193</f>
        <v/>
      </c>
      <c r="C190" s="22" t="str">
        <f>1/'EQUITY BACKTEST'!E193</f>
        <v>#DIV/0!</v>
      </c>
      <c r="D190" s="22" t="str">
        <f t="shared" si="5"/>
        <v>#DIV/0!</v>
      </c>
      <c r="E190" s="22" t="str">
        <f t="shared" si="3"/>
        <v/>
      </c>
      <c r="F190" s="22" t="str">
        <f t="shared" si="6"/>
        <v>#DIV/0!</v>
      </c>
      <c r="H190" s="22" t="str">
        <f t="shared" si="4"/>
        <v/>
      </c>
      <c r="I190" s="22" t="str">
        <f t="shared" si="1"/>
        <v>#N/A</v>
      </c>
      <c r="J190" s="22" t="str">
        <f t="shared" si="2"/>
        <v>#N/A</v>
      </c>
      <c r="K190" s="22" t="str">
        <f t="array" ref="K190">IF(H190="Crash",MATCH(TRUE, B191:B288 &gt;= B189, 0),"")</f>
        <v/>
      </c>
    </row>
    <row r="191" ht="15.75" customHeight="1">
      <c r="A191" s="31" t="str">
        <f>'EQUITY BACKTEST'!A194</f>
        <v/>
      </c>
      <c r="B191" s="22" t="str">
        <f>'EQUITY BACKTEST'!B194</f>
        <v/>
      </c>
      <c r="C191" s="22" t="str">
        <f>1/'EQUITY BACKTEST'!E194</f>
        <v>#DIV/0!</v>
      </c>
      <c r="D191" s="22" t="str">
        <f t="shared" si="5"/>
        <v>#DIV/0!</v>
      </c>
      <c r="E191" s="22" t="str">
        <f t="shared" si="3"/>
        <v/>
      </c>
      <c r="F191" s="22" t="str">
        <f t="shared" si="6"/>
        <v>#DIV/0!</v>
      </c>
      <c r="H191" s="22" t="str">
        <f t="shared" si="4"/>
        <v/>
      </c>
      <c r="I191" s="22" t="str">
        <f t="shared" si="1"/>
        <v>#N/A</v>
      </c>
      <c r="J191" s="22" t="str">
        <f t="shared" si="2"/>
        <v>#N/A</v>
      </c>
      <c r="K191" s="22" t="str">
        <f t="array" ref="K191">IF(H191="Crash",MATCH(TRUE, B192:B289 &gt;= B190, 0),"")</f>
        <v/>
      </c>
    </row>
    <row r="192" ht="15.75" customHeight="1">
      <c r="A192" s="31" t="str">
        <f>'EQUITY BACKTEST'!A195</f>
        <v/>
      </c>
      <c r="B192" s="22" t="str">
        <f>'EQUITY BACKTEST'!B195</f>
        <v/>
      </c>
      <c r="C192" s="22" t="str">
        <f>1/'EQUITY BACKTEST'!E195</f>
        <v>#DIV/0!</v>
      </c>
      <c r="D192" s="22" t="str">
        <f t="shared" si="5"/>
        <v>#DIV/0!</v>
      </c>
      <c r="E192" s="22" t="str">
        <f t="shared" si="3"/>
        <v/>
      </c>
      <c r="F192" s="22" t="str">
        <f t="shared" si="6"/>
        <v>#DIV/0!</v>
      </c>
      <c r="H192" s="22" t="str">
        <f t="shared" si="4"/>
        <v/>
      </c>
      <c r="I192" s="22" t="str">
        <f t="shared" si="1"/>
        <v>#N/A</v>
      </c>
      <c r="J192" s="22" t="str">
        <f t="shared" si="2"/>
        <v>#N/A</v>
      </c>
      <c r="K192" s="22" t="str">
        <f t="array" ref="K192">IF(H192="Crash",MATCH(TRUE, B193:B290 &gt;= B191, 0),"")</f>
        <v/>
      </c>
    </row>
    <row r="193" ht="15.75" customHeight="1">
      <c r="A193" s="31" t="str">
        <f>'EQUITY BACKTEST'!A196</f>
        <v/>
      </c>
      <c r="B193" s="22" t="str">
        <f>'EQUITY BACKTEST'!B196</f>
        <v/>
      </c>
      <c r="C193" s="22" t="str">
        <f>1/'EQUITY BACKTEST'!E196</f>
        <v>#DIV/0!</v>
      </c>
      <c r="D193" s="22" t="str">
        <f t="shared" si="5"/>
        <v>#DIV/0!</v>
      </c>
      <c r="E193" s="22" t="str">
        <f t="shared" si="3"/>
        <v/>
      </c>
      <c r="F193" s="22" t="str">
        <f t="shared" si="6"/>
        <v>#DIV/0!</v>
      </c>
      <c r="H193" s="22" t="str">
        <f t="shared" si="4"/>
        <v/>
      </c>
      <c r="I193" s="22" t="str">
        <f t="shared" si="1"/>
        <v>#N/A</v>
      </c>
      <c r="J193" s="22" t="str">
        <f t="shared" si="2"/>
        <v>#N/A</v>
      </c>
      <c r="K193" s="22" t="str">
        <f t="array" ref="K193">IF(H193="Crash",MATCH(TRUE, B194:B291 &gt;= B192, 0),"")</f>
        <v/>
      </c>
    </row>
    <row r="194" ht="15.75" customHeight="1">
      <c r="A194" s="31" t="str">
        <f>'EQUITY BACKTEST'!A197</f>
        <v/>
      </c>
      <c r="B194" s="22" t="str">
        <f>'EQUITY BACKTEST'!B197</f>
        <v/>
      </c>
      <c r="C194" s="22" t="str">
        <f>1/'EQUITY BACKTEST'!E197</f>
        <v>#DIV/0!</v>
      </c>
      <c r="D194" s="22" t="str">
        <f t="shared" si="5"/>
        <v>#DIV/0!</v>
      </c>
      <c r="E194" s="22" t="str">
        <f t="shared" si="3"/>
        <v/>
      </c>
      <c r="F194" s="22" t="str">
        <f t="shared" si="6"/>
        <v>#DIV/0!</v>
      </c>
      <c r="H194" s="22" t="str">
        <f t="shared" si="4"/>
        <v/>
      </c>
      <c r="I194" s="22" t="str">
        <f t="shared" si="1"/>
        <v>#N/A</v>
      </c>
      <c r="J194" s="22" t="str">
        <f t="shared" si="2"/>
        <v>#N/A</v>
      </c>
      <c r="K194" s="22" t="str">
        <f t="array" ref="K194">IF(H194="Crash",MATCH(TRUE, B195:B292 &gt;= B193, 0),"")</f>
        <v/>
      </c>
    </row>
    <row r="195" ht="15.75" customHeight="1">
      <c r="A195" s="31" t="str">
        <f>'EQUITY BACKTEST'!A198</f>
        <v/>
      </c>
      <c r="B195" s="22" t="str">
        <f>'EQUITY BACKTEST'!B198</f>
        <v/>
      </c>
      <c r="C195" s="22" t="str">
        <f>1/'EQUITY BACKTEST'!E198</f>
        <v>#DIV/0!</v>
      </c>
      <c r="D195" s="22" t="str">
        <f t="shared" si="5"/>
        <v>#DIV/0!</v>
      </c>
      <c r="E195" s="22" t="str">
        <f t="shared" si="3"/>
        <v/>
      </c>
      <c r="F195" s="22" t="str">
        <f t="shared" si="6"/>
        <v>#DIV/0!</v>
      </c>
      <c r="H195" s="22" t="str">
        <f t="shared" si="4"/>
        <v/>
      </c>
      <c r="I195" s="22" t="str">
        <f t="shared" si="1"/>
        <v>#N/A</v>
      </c>
      <c r="J195" s="22" t="str">
        <f t="shared" si="2"/>
        <v>#N/A</v>
      </c>
      <c r="K195" s="22" t="str">
        <f t="array" ref="K195">IF(H195="Crash",MATCH(TRUE, B196:B293 &gt;= B194, 0),"")</f>
        <v/>
      </c>
    </row>
    <row r="196" ht="15.75" customHeight="1">
      <c r="A196" s="31" t="str">
        <f>'EQUITY BACKTEST'!A199</f>
        <v/>
      </c>
      <c r="B196" s="22" t="str">
        <f>'EQUITY BACKTEST'!B199</f>
        <v/>
      </c>
      <c r="C196" s="22" t="str">
        <f>1/'EQUITY BACKTEST'!E199</f>
        <v>#DIV/0!</v>
      </c>
      <c r="D196" s="22" t="str">
        <f t="shared" si="5"/>
        <v>#DIV/0!</v>
      </c>
      <c r="E196" s="22" t="str">
        <f t="shared" si="3"/>
        <v/>
      </c>
      <c r="F196" s="22" t="str">
        <f t="shared" si="6"/>
        <v>#DIV/0!</v>
      </c>
      <c r="H196" s="22" t="str">
        <f t="shared" si="4"/>
        <v/>
      </c>
      <c r="I196" s="22" t="str">
        <f t="shared" si="1"/>
        <v>#N/A</v>
      </c>
      <c r="J196" s="22" t="str">
        <f t="shared" si="2"/>
        <v>#N/A</v>
      </c>
      <c r="K196" s="22" t="str">
        <f t="array" ref="K196">IF(H196="Crash",MATCH(TRUE, B197:B294 &gt;= B195, 0),"")</f>
        <v/>
      </c>
    </row>
    <row r="197" ht="15.75" customHeight="1">
      <c r="A197" s="31" t="str">
        <f>'EQUITY BACKTEST'!A200</f>
        <v/>
      </c>
      <c r="B197" s="22" t="str">
        <f>'EQUITY BACKTEST'!B200</f>
        <v/>
      </c>
      <c r="C197" s="22" t="str">
        <f>1/'EQUITY BACKTEST'!E200</f>
        <v>#DIV/0!</v>
      </c>
      <c r="D197" s="22" t="str">
        <f t="shared" si="5"/>
        <v>#DIV/0!</v>
      </c>
      <c r="E197" s="22" t="str">
        <f t="shared" si="3"/>
        <v/>
      </c>
      <c r="F197" s="22" t="str">
        <f t="shared" si="6"/>
        <v>#DIV/0!</v>
      </c>
      <c r="H197" s="22" t="str">
        <f t="shared" si="4"/>
        <v/>
      </c>
      <c r="I197" s="22" t="str">
        <f t="shared" si="1"/>
        <v>#N/A</v>
      </c>
      <c r="J197" s="22" t="str">
        <f t="shared" si="2"/>
        <v>#N/A</v>
      </c>
      <c r="K197" s="22" t="str">
        <f t="array" ref="K197">IF(H197="Crash",MATCH(TRUE, B198:B295 &gt;= B196, 0),"")</f>
        <v/>
      </c>
    </row>
    <row r="198" ht="15.75" customHeight="1">
      <c r="A198" s="31" t="str">
        <f>'EQUITY BACKTEST'!A201</f>
        <v/>
      </c>
      <c r="B198" s="22" t="str">
        <f>'EQUITY BACKTEST'!B201</f>
        <v/>
      </c>
      <c r="C198" s="22" t="str">
        <f>1/'EQUITY BACKTEST'!E201</f>
        <v>#DIV/0!</v>
      </c>
      <c r="D198" s="22" t="str">
        <f t="shared" si="5"/>
        <v>#DIV/0!</v>
      </c>
      <c r="E198" s="22" t="str">
        <f t="shared" si="3"/>
        <v/>
      </c>
      <c r="F198" s="22" t="str">
        <f t="shared" si="6"/>
        <v>#DIV/0!</v>
      </c>
      <c r="H198" s="22" t="str">
        <f t="shared" si="4"/>
        <v/>
      </c>
      <c r="I198" s="22" t="str">
        <f t="shared" si="1"/>
        <v>#N/A</v>
      </c>
      <c r="J198" s="22" t="str">
        <f t="shared" si="2"/>
        <v>#N/A</v>
      </c>
      <c r="K198" s="22" t="str">
        <f t="array" ref="K198">IF(H198="Crash",MATCH(TRUE, B199:B296 &gt;= B197, 0),"")</f>
        <v/>
      </c>
    </row>
    <row r="199" ht="15.75" customHeight="1">
      <c r="A199" s="31" t="str">
        <f>'EQUITY BACKTEST'!A202</f>
        <v/>
      </c>
      <c r="B199" s="22" t="str">
        <f>'EQUITY BACKTEST'!B202</f>
        <v/>
      </c>
      <c r="C199" s="22" t="str">
        <f>1/'EQUITY BACKTEST'!E202</f>
        <v>#DIV/0!</v>
      </c>
      <c r="D199" s="22" t="str">
        <f t="shared" si="5"/>
        <v>#DIV/0!</v>
      </c>
      <c r="E199" s="22" t="str">
        <f t="shared" si="3"/>
        <v/>
      </c>
      <c r="F199" s="22" t="str">
        <f t="shared" si="6"/>
        <v>#DIV/0!</v>
      </c>
      <c r="H199" s="22" t="str">
        <f t="shared" si="4"/>
        <v/>
      </c>
      <c r="I199" s="22" t="str">
        <f t="shared" si="1"/>
        <v>#N/A</v>
      </c>
      <c r="J199" s="22" t="str">
        <f t="shared" si="2"/>
        <v>#N/A</v>
      </c>
      <c r="K199" s="22" t="str">
        <f t="array" ref="K199">IF(H199="Crash",MATCH(TRUE, B200:B297 &gt;= B198, 0),"")</f>
        <v/>
      </c>
    </row>
    <row r="200" ht="15.75" customHeight="1">
      <c r="A200" s="31" t="str">
        <f>'EQUITY BACKTEST'!A203</f>
        <v/>
      </c>
      <c r="B200" s="22" t="str">
        <f>'EQUITY BACKTEST'!B203</f>
        <v/>
      </c>
      <c r="C200" s="22" t="str">
        <f>1/'EQUITY BACKTEST'!E203</f>
        <v>#DIV/0!</v>
      </c>
      <c r="D200" s="22" t="str">
        <f t="shared" si="5"/>
        <v>#DIV/0!</v>
      </c>
      <c r="E200" s="22" t="str">
        <f t="shared" si="3"/>
        <v/>
      </c>
      <c r="F200" s="22" t="str">
        <f t="shared" si="6"/>
        <v>#DIV/0!</v>
      </c>
      <c r="H200" s="22" t="str">
        <f t="shared" si="4"/>
        <v/>
      </c>
      <c r="I200" s="22" t="str">
        <f t="shared" si="1"/>
        <v>#N/A</v>
      </c>
      <c r="J200" s="22" t="str">
        <f t="shared" si="2"/>
        <v>#N/A</v>
      </c>
      <c r="K200" s="22" t="str">
        <f t="array" ref="K200">IF(H200="Crash",MATCH(TRUE, B201:B298 &gt;= B199, 0),"")</f>
        <v/>
      </c>
    </row>
    <row r="201" ht="15.75" customHeight="1">
      <c r="A201" s="31" t="str">
        <f>'EQUITY BACKTEST'!A204</f>
        <v/>
      </c>
      <c r="B201" s="22" t="str">
        <f>'EQUITY BACKTEST'!B204</f>
        <v/>
      </c>
      <c r="C201" s="22" t="str">
        <f>1/'EQUITY BACKTEST'!E204</f>
        <v>#DIV/0!</v>
      </c>
      <c r="D201" s="22" t="str">
        <f t="shared" si="5"/>
        <v>#DIV/0!</v>
      </c>
      <c r="E201" s="22" t="str">
        <f t="shared" si="3"/>
        <v/>
      </c>
      <c r="F201" s="22" t="str">
        <f t="shared" si="6"/>
        <v>#DIV/0!</v>
      </c>
      <c r="H201" s="22" t="str">
        <f t="shared" si="4"/>
        <v/>
      </c>
      <c r="I201" s="22" t="str">
        <f t="shared" si="1"/>
        <v>#N/A</v>
      </c>
      <c r="J201" s="22" t="str">
        <f t="shared" si="2"/>
        <v>#N/A</v>
      </c>
      <c r="K201" s="22" t="str">
        <f t="array" ref="K201">IF(H201="Crash",MATCH(TRUE, B202:B299 &gt;= B200, 0),"")</f>
        <v/>
      </c>
    </row>
    <row r="202" ht="15.75" customHeight="1">
      <c r="A202" s="31" t="str">
        <f>'EQUITY BACKTEST'!A205</f>
        <v/>
      </c>
      <c r="B202" s="22" t="str">
        <f>'EQUITY BACKTEST'!B205</f>
        <v/>
      </c>
      <c r="C202" s="22" t="str">
        <f>1/'EQUITY BACKTEST'!E205</f>
        <v>#DIV/0!</v>
      </c>
      <c r="D202" s="22" t="str">
        <f t="shared" si="5"/>
        <v>#DIV/0!</v>
      </c>
      <c r="E202" s="22" t="str">
        <f t="shared" si="3"/>
        <v/>
      </c>
      <c r="F202" s="22" t="str">
        <f t="shared" si="6"/>
        <v>#DIV/0!</v>
      </c>
      <c r="H202" s="22" t="str">
        <f t="shared" si="4"/>
        <v/>
      </c>
      <c r="I202" s="22" t="str">
        <f t="shared" si="1"/>
        <v>#N/A</v>
      </c>
      <c r="J202" s="22" t="str">
        <f t="shared" si="2"/>
        <v>#N/A</v>
      </c>
      <c r="K202" s="22" t="str">
        <f t="array" ref="K202">IF(H202="Crash",MATCH(TRUE, B203:B300 &gt;= B201, 0),"")</f>
        <v/>
      </c>
    </row>
    <row r="203" ht="15.75" customHeight="1">
      <c r="A203" s="31" t="str">
        <f>'EQUITY BACKTEST'!A206</f>
        <v/>
      </c>
      <c r="B203" s="22" t="str">
        <f>'EQUITY BACKTEST'!B206</f>
        <v/>
      </c>
      <c r="C203" s="22" t="str">
        <f>1/'EQUITY BACKTEST'!E206</f>
        <v>#DIV/0!</v>
      </c>
      <c r="D203" s="22" t="str">
        <f t="shared" si="5"/>
        <v>#DIV/0!</v>
      </c>
      <c r="E203" s="22" t="str">
        <f t="shared" si="3"/>
        <v/>
      </c>
      <c r="F203" s="22" t="str">
        <f t="shared" si="6"/>
        <v>#DIV/0!</v>
      </c>
      <c r="H203" s="22" t="str">
        <f t="shared" si="4"/>
        <v/>
      </c>
      <c r="I203" s="22" t="str">
        <f t="shared" si="1"/>
        <v>#N/A</v>
      </c>
      <c r="J203" s="22" t="str">
        <f t="shared" si="2"/>
        <v>#N/A</v>
      </c>
      <c r="K203" s="22" t="str">
        <f t="array" ref="K203">IF(H203="Crash",MATCH(TRUE, B204:B301 &gt;= B202, 0),"")</f>
        <v/>
      </c>
    </row>
    <row r="204" ht="15.75" customHeight="1">
      <c r="A204" s="31" t="str">
        <f>'EQUITY BACKTEST'!A207</f>
        <v/>
      </c>
      <c r="B204" s="22" t="str">
        <f>'EQUITY BACKTEST'!B207</f>
        <v/>
      </c>
      <c r="C204" s="22" t="str">
        <f>1/'EQUITY BACKTEST'!E207</f>
        <v>#DIV/0!</v>
      </c>
      <c r="D204" s="22" t="str">
        <f t="shared" si="5"/>
        <v>#DIV/0!</v>
      </c>
      <c r="E204" s="22" t="str">
        <f t="shared" si="3"/>
        <v/>
      </c>
      <c r="F204" s="22" t="str">
        <f t="shared" si="6"/>
        <v>#DIV/0!</v>
      </c>
      <c r="H204" s="22" t="str">
        <f t="shared" si="4"/>
        <v/>
      </c>
      <c r="I204" s="22" t="str">
        <f t="shared" si="1"/>
        <v>#N/A</v>
      </c>
      <c r="J204" s="22" t="str">
        <f t="shared" si="2"/>
        <v>#N/A</v>
      </c>
      <c r="K204" s="22" t="str">
        <f t="array" ref="K204">IF(H204="Crash",MATCH(TRUE, B205:B302 &gt;= B203, 0),"")</f>
        <v/>
      </c>
    </row>
    <row r="205" ht="15.75" customHeight="1">
      <c r="A205" s="31" t="str">
        <f>'EQUITY BACKTEST'!A208</f>
        <v/>
      </c>
      <c r="B205" s="22" t="str">
        <f>'EQUITY BACKTEST'!B208</f>
        <v/>
      </c>
      <c r="C205" s="22" t="str">
        <f>1/'EQUITY BACKTEST'!E208</f>
        <v>#DIV/0!</v>
      </c>
      <c r="D205" s="22" t="str">
        <f t="shared" si="5"/>
        <v>#DIV/0!</v>
      </c>
      <c r="E205" s="22" t="str">
        <f t="shared" si="3"/>
        <v/>
      </c>
      <c r="F205" s="22" t="str">
        <f t="shared" si="6"/>
        <v>#DIV/0!</v>
      </c>
      <c r="H205" s="22" t="str">
        <f t="shared" si="4"/>
        <v/>
      </c>
      <c r="I205" s="22" t="str">
        <f t="shared" si="1"/>
        <v>#N/A</v>
      </c>
      <c r="J205" s="22" t="str">
        <f t="shared" si="2"/>
        <v>#N/A</v>
      </c>
      <c r="K205" s="22" t="str">
        <f t="array" ref="K205">IF(H205="Crash",MATCH(TRUE, B206:B303 &gt;= B204, 0),"")</f>
        <v/>
      </c>
    </row>
    <row r="206" ht="15.75" customHeight="1">
      <c r="A206" s="31" t="str">
        <f>'EQUITY BACKTEST'!A209</f>
        <v/>
      </c>
      <c r="B206" s="22" t="str">
        <f>'EQUITY BACKTEST'!B209</f>
        <v/>
      </c>
      <c r="C206" s="22" t="str">
        <f>1/'EQUITY BACKTEST'!E209</f>
        <v>#DIV/0!</v>
      </c>
      <c r="D206" s="22" t="str">
        <f t="shared" si="5"/>
        <v>#DIV/0!</v>
      </c>
      <c r="E206" s="22" t="str">
        <f t="shared" si="3"/>
        <v/>
      </c>
      <c r="F206" s="22" t="str">
        <f t="shared" si="6"/>
        <v>#DIV/0!</v>
      </c>
      <c r="H206" s="22" t="str">
        <f t="shared" si="4"/>
        <v/>
      </c>
      <c r="I206" s="22" t="str">
        <f t="shared" si="1"/>
        <v>#N/A</v>
      </c>
      <c r="J206" s="22" t="str">
        <f t="shared" si="2"/>
        <v>#N/A</v>
      </c>
      <c r="K206" s="22" t="str">
        <f t="array" ref="K206">IF(H206="Crash",MATCH(TRUE, B207:B304 &gt;= B205, 0),"")</f>
        <v/>
      </c>
    </row>
    <row r="207" ht="15.75" customHeight="1">
      <c r="A207" s="31" t="str">
        <f>'EQUITY BACKTEST'!A210</f>
        <v/>
      </c>
      <c r="B207" s="22" t="str">
        <f>'EQUITY BACKTEST'!B210</f>
        <v/>
      </c>
      <c r="C207" s="22" t="str">
        <f>1/'EQUITY BACKTEST'!E210</f>
        <v>#DIV/0!</v>
      </c>
      <c r="D207" s="22" t="str">
        <f t="shared" si="5"/>
        <v>#DIV/0!</v>
      </c>
      <c r="E207" s="22" t="str">
        <f t="shared" si="3"/>
        <v/>
      </c>
      <c r="F207" s="22" t="str">
        <f t="shared" si="6"/>
        <v>#DIV/0!</v>
      </c>
      <c r="H207" s="22" t="str">
        <f t="shared" si="4"/>
        <v/>
      </c>
      <c r="I207" s="22" t="str">
        <f t="shared" si="1"/>
        <v>#N/A</v>
      </c>
      <c r="J207" s="22" t="str">
        <f t="shared" si="2"/>
        <v>#N/A</v>
      </c>
      <c r="K207" s="22" t="str">
        <f t="array" ref="K207">IF(H207="Crash",MATCH(TRUE, B208:B305 &gt;= B206, 0),"")</f>
        <v/>
      </c>
    </row>
    <row r="208" ht="15.75" customHeight="1">
      <c r="A208" s="31" t="str">
        <f>'EQUITY BACKTEST'!A211</f>
        <v/>
      </c>
      <c r="B208" s="22" t="str">
        <f>'EQUITY BACKTEST'!B211</f>
        <v/>
      </c>
      <c r="C208" s="22" t="str">
        <f>1/'EQUITY BACKTEST'!E211</f>
        <v>#DIV/0!</v>
      </c>
      <c r="D208" s="22" t="str">
        <f t="shared" si="5"/>
        <v>#DIV/0!</v>
      </c>
      <c r="E208" s="22" t="str">
        <f t="shared" si="3"/>
        <v/>
      </c>
      <c r="F208" s="22" t="str">
        <f t="shared" si="6"/>
        <v>#DIV/0!</v>
      </c>
      <c r="H208" s="22" t="str">
        <f t="shared" si="4"/>
        <v/>
      </c>
      <c r="I208" s="22" t="str">
        <f t="shared" si="1"/>
        <v>#N/A</v>
      </c>
      <c r="J208" s="22" t="str">
        <f t="shared" si="2"/>
        <v>#N/A</v>
      </c>
      <c r="K208" s="22" t="str">
        <f t="array" ref="K208">IF(H208="Crash",MATCH(TRUE, B209:B306 &gt;= B207, 0),"")</f>
        <v/>
      </c>
    </row>
    <row r="209" ht="15.75" customHeight="1">
      <c r="A209" s="31" t="str">
        <f>'EQUITY BACKTEST'!A212</f>
        <v/>
      </c>
      <c r="B209" s="22" t="str">
        <f>'EQUITY BACKTEST'!B212</f>
        <v/>
      </c>
      <c r="C209" s="22" t="str">
        <f>1/'EQUITY BACKTEST'!E212</f>
        <v>#DIV/0!</v>
      </c>
      <c r="D209" s="22" t="str">
        <f t="shared" si="5"/>
        <v>#DIV/0!</v>
      </c>
      <c r="E209" s="22" t="str">
        <f t="shared" si="3"/>
        <v/>
      </c>
      <c r="F209" s="22" t="str">
        <f t="shared" si="6"/>
        <v>#DIV/0!</v>
      </c>
      <c r="H209" s="22" t="str">
        <f t="shared" si="4"/>
        <v/>
      </c>
      <c r="I209" s="22" t="str">
        <f t="shared" si="1"/>
        <v>#N/A</v>
      </c>
      <c r="J209" s="22" t="str">
        <f t="shared" si="2"/>
        <v>#N/A</v>
      </c>
      <c r="K209" s="22" t="str">
        <f t="array" ref="K209">IF(H209="Crash",MATCH(TRUE, B210:B307 &gt;= B208, 0),"")</f>
        <v/>
      </c>
    </row>
    <row r="210" ht="15.75" customHeight="1">
      <c r="A210" s="31" t="str">
        <f>'EQUITY BACKTEST'!A213</f>
        <v/>
      </c>
      <c r="B210" s="22" t="str">
        <f>'EQUITY BACKTEST'!B213</f>
        <v/>
      </c>
      <c r="C210" s="22" t="str">
        <f>1/'EQUITY BACKTEST'!E213</f>
        <v>#DIV/0!</v>
      </c>
      <c r="D210" s="22" t="str">
        <f t="shared" si="5"/>
        <v>#DIV/0!</v>
      </c>
      <c r="E210" s="22" t="str">
        <f t="shared" si="3"/>
        <v/>
      </c>
      <c r="F210" s="22" t="str">
        <f t="shared" si="6"/>
        <v>#DIV/0!</v>
      </c>
      <c r="H210" s="22" t="str">
        <f t="shared" si="4"/>
        <v/>
      </c>
      <c r="I210" s="22" t="str">
        <f t="shared" si="1"/>
        <v>#N/A</v>
      </c>
      <c r="J210" s="22" t="str">
        <f t="shared" si="2"/>
        <v>#N/A</v>
      </c>
      <c r="K210" s="22" t="str">
        <f t="array" ref="K210">IF(H210="Crash",MATCH(TRUE, B211:B308 &gt;= B209, 0),"")</f>
        <v/>
      </c>
    </row>
    <row r="211" ht="15.75" customHeight="1">
      <c r="A211" s="31" t="str">
        <f>'EQUITY BACKTEST'!A214</f>
        <v/>
      </c>
      <c r="B211" s="22" t="str">
        <f>'EQUITY BACKTEST'!B214</f>
        <v/>
      </c>
      <c r="C211" s="22" t="str">
        <f>1/'EQUITY BACKTEST'!E214</f>
        <v>#DIV/0!</v>
      </c>
      <c r="D211" s="22" t="str">
        <f t="shared" si="5"/>
        <v>#DIV/0!</v>
      </c>
      <c r="E211" s="22" t="str">
        <f t="shared" si="3"/>
        <v/>
      </c>
      <c r="F211" s="22" t="str">
        <f t="shared" si="6"/>
        <v>#DIV/0!</v>
      </c>
      <c r="H211" s="22" t="str">
        <f t="shared" si="4"/>
        <v/>
      </c>
      <c r="I211" s="22" t="str">
        <f t="shared" si="1"/>
        <v>#N/A</v>
      </c>
      <c r="J211" s="22" t="str">
        <f t="shared" si="2"/>
        <v>#N/A</v>
      </c>
      <c r="K211" s="22" t="str">
        <f t="array" ref="K211">IF(H211="Crash",MATCH(TRUE, B212:B309 &gt;= B210, 0),"")</f>
        <v/>
      </c>
    </row>
    <row r="212" ht="15.75" customHeight="1">
      <c r="A212" s="31" t="str">
        <f>'EQUITY BACKTEST'!A215</f>
        <v/>
      </c>
      <c r="B212" s="22" t="str">
        <f>'EQUITY BACKTEST'!B215</f>
        <v/>
      </c>
      <c r="C212" s="22" t="str">
        <f>1/'EQUITY BACKTEST'!E215</f>
        <v>#DIV/0!</v>
      </c>
      <c r="D212" s="22" t="str">
        <f t="shared" si="5"/>
        <v>#DIV/0!</v>
      </c>
      <c r="E212" s="22" t="str">
        <f t="shared" si="3"/>
        <v/>
      </c>
      <c r="F212" s="22" t="str">
        <f t="shared" si="6"/>
        <v>#DIV/0!</v>
      </c>
      <c r="H212" s="22" t="str">
        <f t="shared" si="4"/>
        <v/>
      </c>
      <c r="I212" s="22" t="str">
        <f t="shared" si="1"/>
        <v>#N/A</v>
      </c>
      <c r="J212" s="22" t="str">
        <f t="shared" si="2"/>
        <v>#N/A</v>
      </c>
      <c r="K212" s="22" t="str">
        <f t="array" ref="K212">IF(H212="Crash",MATCH(TRUE, B213:B310 &gt;= B211, 0),"")</f>
        <v/>
      </c>
    </row>
    <row r="213" ht="15.75" customHeight="1">
      <c r="A213" s="31" t="str">
        <f>'EQUITY BACKTEST'!A216</f>
        <v/>
      </c>
      <c r="B213" s="22" t="str">
        <f>'EQUITY BACKTEST'!B216</f>
        <v/>
      </c>
      <c r="C213" s="22" t="str">
        <f>1/'EQUITY BACKTEST'!E216</f>
        <v>#DIV/0!</v>
      </c>
      <c r="D213" s="22" t="str">
        <f t="shared" si="5"/>
        <v>#DIV/0!</v>
      </c>
      <c r="E213" s="22" t="str">
        <f t="shared" si="3"/>
        <v/>
      </c>
      <c r="F213" s="22" t="str">
        <f t="shared" si="6"/>
        <v>#DIV/0!</v>
      </c>
      <c r="H213" s="22" t="str">
        <f t="shared" si="4"/>
        <v/>
      </c>
      <c r="I213" s="22" t="str">
        <f t="shared" si="1"/>
        <v>#N/A</v>
      </c>
      <c r="J213" s="22" t="str">
        <f t="shared" si="2"/>
        <v>#N/A</v>
      </c>
      <c r="K213" s="22" t="str">
        <f t="array" ref="K213">IF(H213="Crash",MATCH(TRUE, B214:B311 &gt;= B212, 0),"")</f>
        <v/>
      </c>
    </row>
    <row r="214" ht="15.75" customHeight="1">
      <c r="A214" s="31" t="str">
        <f>'EQUITY BACKTEST'!A217</f>
        <v/>
      </c>
      <c r="B214" s="22" t="str">
        <f>'EQUITY BACKTEST'!B217</f>
        <v/>
      </c>
      <c r="C214" s="22" t="str">
        <f>1/'EQUITY BACKTEST'!E217</f>
        <v>#DIV/0!</v>
      </c>
      <c r="D214" s="22" t="str">
        <f t="shared" si="5"/>
        <v>#DIV/0!</v>
      </c>
      <c r="E214" s="22" t="str">
        <f t="shared" si="3"/>
        <v/>
      </c>
      <c r="F214" s="22" t="str">
        <f t="shared" si="6"/>
        <v>#DIV/0!</v>
      </c>
      <c r="H214" s="22" t="str">
        <f t="shared" si="4"/>
        <v/>
      </c>
      <c r="I214" s="22" t="str">
        <f t="shared" si="1"/>
        <v>#N/A</v>
      </c>
      <c r="J214" s="22" t="str">
        <f t="shared" si="2"/>
        <v>#N/A</v>
      </c>
      <c r="K214" s="22" t="str">
        <f t="array" ref="K214">IF(H214="Crash",MATCH(TRUE, B215:B312 &gt;= B213, 0),"")</f>
        <v/>
      </c>
    </row>
    <row r="215" ht="15.75" customHeight="1">
      <c r="A215" s="31" t="str">
        <f>'EQUITY BACKTEST'!A218</f>
        <v/>
      </c>
      <c r="B215" s="22" t="str">
        <f>'EQUITY BACKTEST'!B218</f>
        <v/>
      </c>
      <c r="C215" s="22" t="str">
        <f>1/'EQUITY BACKTEST'!E218</f>
        <v>#DIV/0!</v>
      </c>
      <c r="D215" s="22" t="str">
        <f t="shared" si="5"/>
        <v>#DIV/0!</v>
      </c>
      <c r="E215" s="22" t="str">
        <f t="shared" si="3"/>
        <v/>
      </c>
      <c r="F215" s="22" t="str">
        <f t="shared" si="6"/>
        <v>#DIV/0!</v>
      </c>
      <c r="H215" s="22" t="str">
        <f t="shared" si="4"/>
        <v/>
      </c>
      <c r="I215" s="22" t="str">
        <f t="shared" si="1"/>
        <v>#N/A</v>
      </c>
      <c r="J215" s="22" t="str">
        <f t="shared" si="2"/>
        <v>#N/A</v>
      </c>
      <c r="K215" s="22" t="str">
        <f t="array" ref="K215">IF(H215="Crash",MATCH(TRUE, B216:B313 &gt;= B214, 0),"")</f>
        <v/>
      </c>
    </row>
    <row r="216" ht="15.75" customHeight="1">
      <c r="A216" s="31" t="str">
        <f>'EQUITY BACKTEST'!A219</f>
        <v/>
      </c>
      <c r="B216" s="22" t="str">
        <f>'EQUITY BACKTEST'!B219</f>
        <v/>
      </c>
      <c r="C216" s="22" t="str">
        <f>1/'EQUITY BACKTEST'!E219</f>
        <v>#DIV/0!</v>
      </c>
      <c r="D216" s="22" t="str">
        <f t="shared" si="5"/>
        <v>#DIV/0!</v>
      </c>
      <c r="E216" s="22" t="str">
        <f t="shared" si="3"/>
        <v/>
      </c>
      <c r="F216" s="22" t="str">
        <f t="shared" si="6"/>
        <v>#DIV/0!</v>
      </c>
      <c r="H216" s="22" t="str">
        <f t="shared" si="4"/>
        <v/>
      </c>
      <c r="I216" s="22" t="str">
        <f t="shared" si="1"/>
        <v>#N/A</v>
      </c>
      <c r="J216" s="22" t="str">
        <f t="shared" si="2"/>
        <v>#N/A</v>
      </c>
      <c r="K216" s="22" t="str">
        <f t="array" ref="K216">IF(H216="Crash",MATCH(TRUE, B217:B314 &gt;= B215, 0),"")</f>
        <v/>
      </c>
    </row>
    <row r="217" ht="15.75" customHeight="1">
      <c r="A217" s="31" t="str">
        <f>'EQUITY BACKTEST'!A220</f>
        <v/>
      </c>
      <c r="B217" s="22" t="str">
        <f>'EQUITY BACKTEST'!B220</f>
        <v/>
      </c>
      <c r="C217" s="22" t="str">
        <f>1/'EQUITY BACKTEST'!E220</f>
        <v>#DIV/0!</v>
      </c>
      <c r="D217" s="22" t="str">
        <f t="shared" si="5"/>
        <v>#DIV/0!</v>
      </c>
      <c r="E217" s="22" t="str">
        <f t="shared" si="3"/>
        <v/>
      </c>
      <c r="F217" s="22" t="str">
        <f t="shared" si="6"/>
        <v>#DIV/0!</v>
      </c>
      <c r="H217" s="22" t="str">
        <f t="shared" si="4"/>
        <v/>
      </c>
      <c r="I217" s="22" t="str">
        <f t="shared" si="1"/>
        <v>#N/A</v>
      </c>
      <c r="J217" s="22" t="str">
        <f t="shared" si="2"/>
        <v>#N/A</v>
      </c>
      <c r="K217" s="22" t="str">
        <f t="array" ref="K217">IF(H217="Crash",MATCH(TRUE, B218:B315 &gt;= B216, 0),"")</f>
        <v/>
      </c>
    </row>
    <row r="218" ht="15.75" customHeight="1">
      <c r="A218" s="31" t="str">
        <f>'EQUITY BACKTEST'!A221</f>
        <v/>
      </c>
      <c r="B218" s="22" t="str">
        <f>'EQUITY BACKTEST'!B221</f>
        <v/>
      </c>
      <c r="C218" s="22" t="str">
        <f>1/'EQUITY BACKTEST'!E221</f>
        <v>#DIV/0!</v>
      </c>
      <c r="D218" s="22" t="str">
        <f t="shared" si="5"/>
        <v>#DIV/0!</v>
      </c>
      <c r="E218" s="22" t="str">
        <f t="shared" si="3"/>
        <v/>
      </c>
      <c r="F218" s="22" t="str">
        <f t="shared" si="6"/>
        <v>#DIV/0!</v>
      </c>
      <c r="H218" s="22" t="str">
        <f t="shared" si="4"/>
        <v/>
      </c>
      <c r="I218" s="22" t="str">
        <f t="shared" si="1"/>
        <v>#N/A</v>
      </c>
      <c r="J218" s="22" t="str">
        <f t="shared" si="2"/>
        <v>#N/A</v>
      </c>
      <c r="K218" s="22" t="str">
        <f t="array" ref="K218">IF(H218="Crash",MATCH(TRUE, B219:B316 &gt;= B217, 0),"")</f>
        <v/>
      </c>
    </row>
    <row r="219" ht="15.75" customHeight="1">
      <c r="A219" s="31" t="str">
        <f>'EQUITY BACKTEST'!A222</f>
        <v/>
      </c>
      <c r="B219" s="22" t="str">
        <f>'EQUITY BACKTEST'!B222</f>
        <v/>
      </c>
      <c r="C219" s="22" t="str">
        <f>1/'EQUITY BACKTEST'!E222</f>
        <v>#DIV/0!</v>
      </c>
      <c r="D219" s="22" t="str">
        <f t="shared" si="5"/>
        <v>#DIV/0!</v>
      </c>
      <c r="E219" s="22" t="str">
        <f t="shared" si="3"/>
        <v/>
      </c>
      <c r="F219" s="22" t="str">
        <f t="shared" si="6"/>
        <v>#DIV/0!</v>
      </c>
      <c r="H219" s="22" t="str">
        <f t="shared" si="4"/>
        <v/>
      </c>
      <c r="I219" s="22" t="str">
        <f t="shared" si="1"/>
        <v>#N/A</v>
      </c>
      <c r="J219" s="22" t="str">
        <f t="shared" si="2"/>
        <v>#N/A</v>
      </c>
      <c r="K219" s="22" t="str">
        <f t="array" ref="K219">IF(H219="Crash",MATCH(TRUE, B220:B317 &gt;= B218, 0),"")</f>
        <v/>
      </c>
    </row>
    <row r="220" ht="15.75" customHeight="1">
      <c r="A220" s="31" t="str">
        <f>'EQUITY BACKTEST'!A223</f>
        <v/>
      </c>
      <c r="B220" s="22" t="str">
        <f>'EQUITY BACKTEST'!B223</f>
        <v/>
      </c>
      <c r="C220" s="22" t="str">
        <f>1/'EQUITY BACKTEST'!E223</f>
        <v>#DIV/0!</v>
      </c>
      <c r="D220" s="22" t="str">
        <f t="shared" si="5"/>
        <v>#DIV/0!</v>
      </c>
      <c r="E220" s="22" t="str">
        <f t="shared" si="3"/>
        <v/>
      </c>
      <c r="F220" s="22" t="str">
        <f t="shared" si="6"/>
        <v>#DIV/0!</v>
      </c>
      <c r="H220" s="22" t="str">
        <f t="shared" si="4"/>
        <v/>
      </c>
      <c r="I220" s="22" t="str">
        <f t="shared" si="1"/>
        <v>#N/A</v>
      </c>
      <c r="J220" s="22" t="str">
        <f t="shared" si="2"/>
        <v>#N/A</v>
      </c>
      <c r="K220" s="22" t="str">
        <f t="array" ref="K220">IF(H220="Crash",MATCH(TRUE, B221:B318 &gt;= B219, 0),"")</f>
        <v/>
      </c>
    </row>
    <row r="221" ht="15.75" customHeight="1">
      <c r="A221" s="31" t="str">
        <f>'EQUITY BACKTEST'!A224</f>
        <v/>
      </c>
      <c r="B221" s="22" t="str">
        <f>'EQUITY BACKTEST'!B224</f>
        <v/>
      </c>
      <c r="C221" s="22" t="str">
        <f>1/'EQUITY BACKTEST'!E224</f>
        <v>#DIV/0!</v>
      </c>
      <c r="D221" s="22" t="str">
        <f t="shared" si="5"/>
        <v>#DIV/0!</v>
      </c>
      <c r="E221" s="22" t="str">
        <f t="shared" si="3"/>
        <v/>
      </c>
      <c r="F221" s="22" t="str">
        <f t="shared" si="6"/>
        <v>#DIV/0!</v>
      </c>
      <c r="H221" s="22" t="str">
        <f t="shared" si="4"/>
        <v/>
      </c>
      <c r="I221" s="22" t="str">
        <f t="shared" si="1"/>
        <v>#N/A</v>
      </c>
      <c r="J221" s="22" t="str">
        <f t="shared" si="2"/>
        <v>#N/A</v>
      </c>
      <c r="K221" s="22" t="str">
        <f t="array" ref="K221">IF(H221="Crash",MATCH(TRUE, B222:B319 &gt;= B220, 0),"")</f>
        <v/>
      </c>
    </row>
    <row r="222" ht="15.75" customHeight="1">
      <c r="A222" s="31" t="str">
        <f>'EQUITY BACKTEST'!A225</f>
        <v/>
      </c>
      <c r="B222" s="22" t="str">
        <f>'EQUITY BACKTEST'!B225</f>
        <v/>
      </c>
      <c r="C222" s="22" t="str">
        <f>1/'EQUITY BACKTEST'!E225</f>
        <v>#DIV/0!</v>
      </c>
      <c r="D222" s="22" t="str">
        <f t="shared" si="5"/>
        <v>#DIV/0!</v>
      </c>
      <c r="E222" s="22" t="str">
        <f t="shared" si="3"/>
        <v/>
      </c>
      <c r="F222" s="22" t="str">
        <f t="shared" si="6"/>
        <v>#DIV/0!</v>
      </c>
      <c r="H222" s="22" t="str">
        <f t="shared" si="4"/>
        <v/>
      </c>
      <c r="I222" s="22" t="str">
        <f t="shared" si="1"/>
        <v>#N/A</v>
      </c>
      <c r="J222" s="22" t="str">
        <f t="shared" si="2"/>
        <v>#N/A</v>
      </c>
      <c r="K222" s="22" t="str">
        <f t="array" ref="K222">IF(H222="Crash",MATCH(TRUE, B223:B320 &gt;= B221, 0),"")</f>
        <v/>
      </c>
    </row>
    <row r="223" ht="15.75" customHeight="1">
      <c r="A223" s="31" t="str">
        <f>'EQUITY BACKTEST'!A226</f>
        <v/>
      </c>
      <c r="B223" s="22" t="str">
        <f>'EQUITY BACKTEST'!B226</f>
        <v/>
      </c>
      <c r="C223" s="22" t="str">
        <f>1/'EQUITY BACKTEST'!E226</f>
        <v>#DIV/0!</v>
      </c>
      <c r="D223" s="22" t="str">
        <f t="shared" si="5"/>
        <v>#DIV/0!</v>
      </c>
      <c r="E223" s="22" t="str">
        <f t="shared" si="3"/>
        <v/>
      </c>
      <c r="F223" s="22" t="str">
        <f t="shared" si="6"/>
        <v>#DIV/0!</v>
      </c>
      <c r="H223" s="22" t="str">
        <f t="shared" si="4"/>
        <v/>
      </c>
      <c r="I223" s="22" t="str">
        <f t="shared" si="1"/>
        <v>#N/A</v>
      </c>
      <c r="J223" s="22" t="str">
        <f t="shared" si="2"/>
        <v>#N/A</v>
      </c>
      <c r="K223" s="22" t="str">
        <f t="array" ref="K223">IF(H223="Crash",MATCH(TRUE, B224:B321 &gt;= B222, 0),"")</f>
        <v/>
      </c>
    </row>
    <row r="224" ht="15.75" customHeight="1">
      <c r="A224" s="31" t="str">
        <f>'EQUITY BACKTEST'!A227</f>
        <v/>
      </c>
      <c r="B224" s="22" t="str">
        <f>'EQUITY BACKTEST'!B227</f>
        <v/>
      </c>
      <c r="C224" s="22" t="str">
        <f>1/'EQUITY BACKTEST'!E227</f>
        <v>#DIV/0!</v>
      </c>
      <c r="D224" s="22" t="str">
        <f t="shared" si="5"/>
        <v>#DIV/0!</v>
      </c>
      <c r="E224" s="22" t="str">
        <f t="shared" si="3"/>
        <v/>
      </c>
      <c r="F224" s="22" t="str">
        <f t="shared" si="6"/>
        <v>#DIV/0!</v>
      </c>
      <c r="H224" s="22" t="str">
        <f t="shared" si="4"/>
        <v/>
      </c>
      <c r="I224" s="22" t="str">
        <f t="shared" si="1"/>
        <v>#N/A</v>
      </c>
      <c r="J224" s="22" t="str">
        <f t="shared" si="2"/>
        <v>#N/A</v>
      </c>
      <c r="K224" s="22" t="str">
        <f t="array" ref="K224">IF(H224="Crash",MATCH(TRUE, B225:B322 &gt;= B223, 0),"")</f>
        <v/>
      </c>
    </row>
    <row r="225" ht="15.75" customHeight="1">
      <c r="A225" s="31" t="str">
        <f>'EQUITY BACKTEST'!A228</f>
        <v/>
      </c>
      <c r="B225" s="22" t="str">
        <f>'EQUITY BACKTEST'!B228</f>
        <v/>
      </c>
      <c r="C225" s="22" t="str">
        <f>1/'EQUITY BACKTEST'!E228</f>
        <v>#DIV/0!</v>
      </c>
      <c r="D225" s="22" t="str">
        <f t="shared" si="5"/>
        <v>#DIV/0!</v>
      </c>
      <c r="E225" s="22" t="str">
        <f t="shared" si="3"/>
        <v/>
      </c>
      <c r="F225" s="22" t="str">
        <f t="shared" si="6"/>
        <v>#DIV/0!</v>
      </c>
      <c r="H225" s="22" t="str">
        <f t="shared" si="4"/>
        <v/>
      </c>
      <c r="I225" s="22" t="str">
        <f t="shared" si="1"/>
        <v>#N/A</v>
      </c>
      <c r="J225" s="22" t="str">
        <f t="shared" si="2"/>
        <v>#N/A</v>
      </c>
      <c r="K225" s="22" t="str">
        <f t="array" ref="K225">IF(H225="Crash",MATCH(TRUE, B226:B323 &gt;= B224, 0),"")</f>
        <v/>
      </c>
    </row>
    <row r="226" ht="15.75" customHeight="1">
      <c r="A226" s="31" t="str">
        <f>'EQUITY BACKTEST'!A229</f>
        <v/>
      </c>
      <c r="B226" s="22" t="str">
        <f>'EQUITY BACKTEST'!B229</f>
        <v/>
      </c>
      <c r="C226" s="22" t="str">
        <f>1/'EQUITY BACKTEST'!E229</f>
        <v>#DIV/0!</v>
      </c>
      <c r="D226" s="22" t="str">
        <f t="shared" si="5"/>
        <v>#DIV/0!</v>
      </c>
      <c r="E226" s="22" t="str">
        <f t="shared" si="3"/>
        <v/>
      </c>
      <c r="F226" s="22" t="str">
        <f t="shared" si="6"/>
        <v>#DIV/0!</v>
      </c>
      <c r="H226" s="22" t="str">
        <f t="shared" si="4"/>
        <v/>
      </c>
      <c r="I226" s="22" t="str">
        <f t="shared" si="1"/>
        <v>#N/A</v>
      </c>
      <c r="J226" s="22" t="str">
        <f t="shared" si="2"/>
        <v>#N/A</v>
      </c>
      <c r="K226" s="22" t="str">
        <f t="array" ref="K226">IF(H226="Crash",MATCH(TRUE, B227:B324 &gt;= B225, 0),"")</f>
        <v/>
      </c>
    </row>
    <row r="227" ht="15.75" customHeight="1">
      <c r="A227" s="31" t="str">
        <f>'EQUITY BACKTEST'!A230</f>
        <v/>
      </c>
      <c r="B227" s="22" t="str">
        <f>'EQUITY BACKTEST'!B230</f>
        <v/>
      </c>
      <c r="C227" s="22" t="str">
        <f>1/'EQUITY BACKTEST'!E230</f>
        <v>#DIV/0!</v>
      </c>
      <c r="D227" s="22" t="str">
        <f t="shared" si="5"/>
        <v>#DIV/0!</v>
      </c>
      <c r="E227" s="22" t="str">
        <f t="shared" si="3"/>
        <v/>
      </c>
      <c r="F227" s="22" t="str">
        <f t="shared" si="6"/>
        <v>#DIV/0!</v>
      </c>
      <c r="H227" s="22" t="str">
        <f t="shared" si="4"/>
        <v/>
      </c>
      <c r="I227" s="22" t="str">
        <f t="shared" si="1"/>
        <v>#N/A</v>
      </c>
      <c r="J227" s="22" t="str">
        <f t="shared" si="2"/>
        <v>#N/A</v>
      </c>
      <c r="K227" s="22" t="str">
        <f t="array" ref="K227">IF(H227="Crash",MATCH(TRUE, B228:B325 &gt;= B226, 0),"")</f>
        <v/>
      </c>
    </row>
    <row r="228" ht="15.75" customHeight="1">
      <c r="A228" s="31" t="str">
        <f>'EQUITY BACKTEST'!A231</f>
        <v/>
      </c>
      <c r="B228" s="22" t="str">
        <f>'EQUITY BACKTEST'!B231</f>
        <v/>
      </c>
      <c r="C228" s="22" t="str">
        <f>1/'EQUITY BACKTEST'!E231</f>
        <v>#DIV/0!</v>
      </c>
      <c r="D228" s="22" t="str">
        <f t="shared" si="5"/>
        <v>#DIV/0!</v>
      </c>
      <c r="E228" s="22" t="str">
        <f t="shared" si="3"/>
        <v/>
      </c>
      <c r="F228" s="22" t="str">
        <f t="shared" si="6"/>
        <v>#DIV/0!</v>
      </c>
      <c r="H228" s="22" t="str">
        <f t="shared" si="4"/>
        <v/>
      </c>
      <c r="I228" s="22" t="str">
        <f t="shared" si="1"/>
        <v>#N/A</v>
      </c>
      <c r="J228" s="22" t="str">
        <f t="shared" si="2"/>
        <v>#N/A</v>
      </c>
      <c r="K228" s="22" t="str">
        <f t="array" ref="K228">IF(H228="Crash",MATCH(TRUE, B229:B326 &gt;= B227, 0),"")</f>
        <v/>
      </c>
    </row>
    <row r="229" ht="15.75" customHeight="1">
      <c r="A229" s="31" t="str">
        <f>'EQUITY BACKTEST'!A232</f>
        <v/>
      </c>
      <c r="B229" s="22" t="str">
        <f>'EQUITY BACKTEST'!B232</f>
        <v/>
      </c>
      <c r="C229" s="22" t="str">
        <f>1/'EQUITY BACKTEST'!E232</f>
        <v>#DIV/0!</v>
      </c>
      <c r="D229" s="22" t="str">
        <f t="shared" si="5"/>
        <v>#DIV/0!</v>
      </c>
      <c r="E229" s="22" t="str">
        <f t="shared" si="3"/>
        <v/>
      </c>
      <c r="F229" s="22" t="str">
        <f t="shared" si="6"/>
        <v>#DIV/0!</v>
      </c>
      <c r="H229" s="22" t="str">
        <f t="shared" si="4"/>
        <v/>
      </c>
      <c r="I229" s="22" t="str">
        <f t="shared" si="1"/>
        <v>#N/A</v>
      </c>
      <c r="J229" s="22" t="str">
        <f t="shared" si="2"/>
        <v>#N/A</v>
      </c>
      <c r="K229" s="22" t="str">
        <f t="array" ref="K229">IF(H229="Crash",MATCH(TRUE, B230:B327 &gt;= B228, 0),"")</f>
        <v/>
      </c>
    </row>
    <row r="230" ht="15.75" customHeight="1">
      <c r="A230" s="31" t="str">
        <f>'EQUITY BACKTEST'!A233</f>
        <v/>
      </c>
      <c r="B230" s="22" t="str">
        <f>'EQUITY BACKTEST'!B233</f>
        <v/>
      </c>
      <c r="C230" s="22" t="str">
        <f>1/'EQUITY BACKTEST'!E233</f>
        <v>#DIV/0!</v>
      </c>
      <c r="D230" s="22" t="str">
        <f t="shared" si="5"/>
        <v>#DIV/0!</v>
      </c>
      <c r="E230" s="22" t="str">
        <f t="shared" si="3"/>
        <v/>
      </c>
      <c r="F230" s="22" t="str">
        <f t="shared" si="6"/>
        <v>#DIV/0!</v>
      </c>
      <c r="H230" s="22" t="str">
        <f t="shared" si="4"/>
        <v/>
      </c>
      <c r="I230" s="22" t="str">
        <f t="shared" si="1"/>
        <v>#N/A</v>
      </c>
      <c r="J230" s="22" t="str">
        <f t="shared" si="2"/>
        <v>#N/A</v>
      </c>
      <c r="K230" s="22" t="str">
        <f t="array" ref="K230">IF(H230="Crash",MATCH(TRUE, B231:B328 &gt;= B229, 0),"")</f>
        <v/>
      </c>
    </row>
    <row r="231" ht="15.75" customHeight="1">
      <c r="A231" s="31" t="str">
        <f>'EQUITY BACKTEST'!A234</f>
        <v/>
      </c>
      <c r="B231" s="22" t="str">
        <f>'EQUITY BACKTEST'!B234</f>
        <v/>
      </c>
      <c r="C231" s="22" t="str">
        <f>1/'EQUITY BACKTEST'!E234</f>
        <v>#DIV/0!</v>
      </c>
      <c r="D231" s="22" t="str">
        <f t="shared" si="5"/>
        <v>#DIV/0!</v>
      </c>
      <c r="E231" s="22" t="str">
        <f t="shared" si="3"/>
        <v/>
      </c>
      <c r="F231" s="22" t="str">
        <f t="shared" si="6"/>
        <v>#DIV/0!</v>
      </c>
      <c r="H231" s="22" t="str">
        <f t="shared" si="4"/>
        <v/>
      </c>
      <c r="I231" s="22" t="str">
        <f t="shared" si="1"/>
        <v>#N/A</v>
      </c>
      <c r="J231" s="22" t="str">
        <f t="shared" si="2"/>
        <v>#N/A</v>
      </c>
      <c r="K231" s="22" t="str">
        <f t="array" ref="K231">IF(H231="Crash",MATCH(TRUE, B232:B329 &gt;= B230, 0),"")</f>
        <v/>
      </c>
    </row>
    <row r="232" ht="15.75" customHeight="1">
      <c r="A232" s="31" t="str">
        <f>'EQUITY BACKTEST'!A235</f>
        <v/>
      </c>
      <c r="B232" s="22" t="str">
        <f>'EQUITY BACKTEST'!B235</f>
        <v/>
      </c>
      <c r="C232" s="22" t="str">
        <f>1/'EQUITY BACKTEST'!E235</f>
        <v>#DIV/0!</v>
      </c>
      <c r="D232" s="22" t="str">
        <f t="shared" si="5"/>
        <v>#DIV/0!</v>
      </c>
      <c r="E232" s="22" t="str">
        <f t="shared" si="3"/>
        <v/>
      </c>
      <c r="F232" s="22" t="str">
        <f t="shared" si="6"/>
        <v>#DIV/0!</v>
      </c>
      <c r="H232" s="22" t="str">
        <f t="shared" si="4"/>
        <v/>
      </c>
      <c r="I232" s="22" t="str">
        <f t="shared" si="1"/>
        <v>#N/A</v>
      </c>
      <c r="J232" s="22" t="str">
        <f t="shared" si="2"/>
        <v>#N/A</v>
      </c>
      <c r="K232" s="22" t="str">
        <f t="array" ref="K232">IF(H232="Crash",MATCH(TRUE, B233:B330 &gt;= B231, 0),"")</f>
        <v/>
      </c>
    </row>
    <row r="233" ht="15.75" customHeight="1">
      <c r="A233" s="31" t="str">
        <f>'EQUITY BACKTEST'!A236</f>
        <v/>
      </c>
      <c r="B233" s="22" t="str">
        <f>'EQUITY BACKTEST'!B236</f>
        <v/>
      </c>
      <c r="C233" s="22" t="str">
        <f>1/'EQUITY BACKTEST'!E236</f>
        <v>#DIV/0!</v>
      </c>
      <c r="D233" s="22" t="str">
        <f t="shared" si="5"/>
        <v>#DIV/0!</v>
      </c>
      <c r="E233" s="22" t="str">
        <f t="shared" si="3"/>
        <v/>
      </c>
      <c r="F233" s="22" t="str">
        <f t="shared" si="6"/>
        <v>#DIV/0!</v>
      </c>
      <c r="H233" s="22" t="str">
        <f t="shared" si="4"/>
        <v/>
      </c>
      <c r="I233" s="22" t="str">
        <f t="shared" si="1"/>
        <v>#N/A</v>
      </c>
      <c r="J233" s="22" t="str">
        <f t="shared" si="2"/>
        <v>#N/A</v>
      </c>
      <c r="K233" s="22" t="str">
        <f t="array" ref="K233">IF(H233="Crash",MATCH(TRUE, B234:B331 &gt;= B232, 0),"")</f>
        <v/>
      </c>
    </row>
    <row r="234" ht="15.75" customHeight="1">
      <c r="A234" s="31" t="str">
        <f>'EQUITY BACKTEST'!A237</f>
        <v/>
      </c>
      <c r="B234" s="22" t="str">
        <f>'EQUITY BACKTEST'!B237</f>
        <v/>
      </c>
      <c r="C234" s="22" t="str">
        <f>1/'EQUITY BACKTEST'!E237</f>
        <v>#DIV/0!</v>
      </c>
      <c r="D234" s="22" t="str">
        <f t="shared" si="5"/>
        <v>#DIV/0!</v>
      </c>
      <c r="E234" s="22" t="str">
        <f t="shared" si="3"/>
        <v/>
      </c>
      <c r="F234" s="22" t="str">
        <f t="shared" si="6"/>
        <v>#DIV/0!</v>
      </c>
      <c r="H234" s="22" t="str">
        <f t="shared" si="4"/>
        <v/>
      </c>
      <c r="I234" s="22" t="str">
        <f t="shared" si="1"/>
        <v>#N/A</v>
      </c>
      <c r="J234" s="22" t="str">
        <f t="shared" si="2"/>
        <v>#N/A</v>
      </c>
      <c r="K234" s="22" t="str">
        <f t="array" ref="K234">IF(H234="Crash",MATCH(TRUE, B235:B332 &gt;= B233, 0),"")</f>
        <v/>
      </c>
    </row>
    <row r="235" ht="15.75" customHeight="1">
      <c r="A235" s="31" t="str">
        <f>'EQUITY BACKTEST'!A238</f>
        <v/>
      </c>
      <c r="B235" s="22" t="str">
        <f>'EQUITY BACKTEST'!B238</f>
        <v/>
      </c>
      <c r="C235" s="22" t="str">
        <f>1/'EQUITY BACKTEST'!E238</f>
        <v>#DIV/0!</v>
      </c>
      <c r="D235" s="22" t="str">
        <f t="shared" si="5"/>
        <v>#DIV/0!</v>
      </c>
      <c r="E235" s="22" t="str">
        <f t="shared" si="3"/>
        <v/>
      </c>
      <c r="F235" s="22" t="str">
        <f t="shared" si="6"/>
        <v>#DIV/0!</v>
      </c>
      <c r="H235" s="22" t="str">
        <f t="shared" si="4"/>
        <v/>
      </c>
      <c r="I235" s="22" t="str">
        <f t="shared" si="1"/>
        <v>#N/A</v>
      </c>
      <c r="J235" s="22" t="str">
        <f t="shared" si="2"/>
        <v>#N/A</v>
      </c>
      <c r="K235" s="22" t="str">
        <f t="array" ref="K235">IF(H235="Crash",MATCH(TRUE, B236:B333 &gt;= B234, 0),"")</f>
        <v/>
      </c>
    </row>
    <row r="236" ht="15.75" customHeight="1">
      <c r="A236" s="31" t="str">
        <f>'EQUITY BACKTEST'!A239</f>
        <v/>
      </c>
      <c r="B236" s="22" t="str">
        <f>'EQUITY BACKTEST'!B239</f>
        <v/>
      </c>
      <c r="C236" s="22" t="str">
        <f>1/'EQUITY BACKTEST'!E239</f>
        <v>#DIV/0!</v>
      </c>
      <c r="D236" s="22" t="str">
        <f t="shared" si="5"/>
        <v>#DIV/0!</v>
      </c>
      <c r="E236" s="22" t="str">
        <f t="shared" si="3"/>
        <v/>
      </c>
      <c r="F236" s="22" t="str">
        <f t="shared" si="6"/>
        <v>#DIV/0!</v>
      </c>
      <c r="H236" s="22" t="str">
        <f t="shared" si="4"/>
        <v/>
      </c>
      <c r="I236" s="22" t="str">
        <f t="shared" si="1"/>
        <v>#N/A</v>
      </c>
      <c r="J236" s="22" t="str">
        <f t="shared" si="2"/>
        <v>#N/A</v>
      </c>
      <c r="K236" s="22" t="str">
        <f t="array" ref="K236">IF(H236="Crash",MATCH(TRUE, B237:B334 &gt;= B235, 0),"")</f>
        <v/>
      </c>
    </row>
    <row r="237" ht="15.75" customHeight="1">
      <c r="A237" s="31" t="str">
        <f>'EQUITY BACKTEST'!A240</f>
        <v/>
      </c>
      <c r="B237" s="22" t="str">
        <f>'EQUITY BACKTEST'!B240</f>
        <v/>
      </c>
      <c r="C237" s="22" t="str">
        <f>1/'EQUITY BACKTEST'!E240</f>
        <v>#DIV/0!</v>
      </c>
      <c r="D237" s="22" t="str">
        <f t="shared" si="5"/>
        <v>#DIV/0!</v>
      </c>
      <c r="E237" s="22" t="str">
        <f t="shared" si="3"/>
        <v/>
      </c>
      <c r="F237" s="22" t="str">
        <f t="shared" si="6"/>
        <v>#DIV/0!</v>
      </c>
      <c r="H237" s="22" t="str">
        <f t="shared" si="4"/>
        <v/>
      </c>
      <c r="I237" s="22" t="str">
        <f t="shared" si="1"/>
        <v>#N/A</v>
      </c>
      <c r="J237" s="22" t="str">
        <f t="shared" si="2"/>
        <v>#N/A</v>
      </c>
      <c r="K237" s="22" t="str">
        <f t="array" ref="K237">IF(H237="Crash",MATCH(TRUE, B238:B335 &gt;= B236, 0),"")</f>
        <v/>
      </c>
    </row>
    <row r="238" ht="15.75" customHeight="1">
      <c r="A238" s="31" t="str">
        <f>'EQUITY BACKTEST'!A241</f>
        <v/>
      </c>
      <c r="B238" s="22" t="str">
        <f>'EQUITY BACKTEST'!B241</f>
        <v/>
      </c>
      <c r="C238" s="22" t="str">
        <f>1/'EQUITY BACKTEST'!E241</f>
        <v>#DIV/0!</v>
      </c>
      <c r="D238" s="22" t="str">
        <f t="shared" si="5"/>
        <v>#DIV/0!</v>
      </c>
      <c r="E238" s="22" t="str">
        <f t="shared" si="3"/>
        <v/>
      </c>
      <c r="F238" s="22" t="str">
        <f t="shared" si="6"/>
        <v>#DIV/0!</v>
      </c>
      <c r="H238" s="22" t="str">
        <f t="shared" si="4"/>
        <v/>
      </c>
      <c r="I238" s="22" t="str">
        <f t="shared" si="1"/>
        <v>#N/A</v>
      </c>
      <c r="J238" s="22" t="str">
        <f t="shared" si="2"/>
        <v>#N/A</v>
      </c>
      <c r="K238" s="22" t="str">
        <f t="array" ref="K238">IF(H238="Crash",MATCH(TRUE, B239:B336 &gt;= B237, 0),"")</f>
        <v/>
      </c>
    </row>
    <row r="239" ht="15.75" customHeight="1">
      <c r="A239" s="31" t="str">
        <f>'EQUITY BACKTEST'!A242</f>
        <v/>
      </c>
      <c r="B239" s="22" t="str">
        <f>'EQUITY BACKTEST'!B242</f>
        <v/>
      </c>
      <c r="C239" s="22" t="str">
        <f>1/'EQUITY BACKTEST'!E242</f>
        <v>#DIV/0!</v>
      </c>
      <c r="D239" s="22" t="str">
        <f t="shared" si="5"/>
        <v>#DIV/0!</v>
      </c>
      <c r="E239" s="22" t="str">
        <f t="shared" si="3"/>
        <v/>
      </c>
      <c r="F239" s="22" t="str">
        <f t="shared" si="6"/>
        <v>#DIV/0!</v>
      </c>
      <c r="H239" s="22" t="str">
        <f t="shared" si="4"/>
        <v/>
      </c>
      <c r="I239" s="22" t="str">
        <f t="shared" si="1"/>
        <v>#N/A</v>
      </c>
      <c r="J239" s="22" t="str">
        <f t="shared" si="2"/>
        <v>#N/A</v>
      </c>
      <c r="K239" s="22" t="str">
        <f t="array" ref="K239">IF(H239="Crash",MATCH(TRUE, B240:B337 &gt;= B238, 0),"")</f>
        <v/>
      </c>
    </row>
    <row r="240" ht="15.75" customHeight="1">
      <c r="A240" s="31" t="str">
        <f>'EQUITY BACKTEST'!A243</f>
        <v/>
      </c>
      <c r="B240" s="22" t="str">
        <f>'EQUITY BACKTEST'!B243</f>
        <v/>
      </c>
      <c r="C240" s="22" t="str">
        <f>1/'EQUITY BACKTEST'!E243</f>
        <v>#DIV/0!</v>
      </c>
      <c r="D240" s="22" t="str">
        <f t="shared" si="5"/>
        <v>#DIV/0!</v>
      </c>
      <c r="E240" s="22" t="str">
        <f t="shared" si="3"/>
        <v/>
      </c>
      <c r="F240" s="22" t="str">
        <f t="shared" si="6"/>
        <v>#DIV/0!</v>
      </c>
      <c r="H240" s="22" t="str">
        <f t="shared" si="4"/>
        <v/>
      </c>
      <c r="I240" s="22" t="str">
        <f t="shared" si="1"/>
        <v>#N/A</v>
      </c>
      <c r="J240" s="22" t="str">
        <f t="shared" si="2"/>
        <v>#N/A</v>
      </c>
      <c r="K240" s="22" t="str">
        <f t="array" ref="K240">IF(H240="Crash",MATCH(TRUE, B241:B338 &gt;= B239, 0),"")</f>
        <v/>
      </c>
    </row>
    <row r="241" ht="15.75" customHeight="1">
      <c r="A241" s="31" t="str">
        <f>'EQUITY BACKTEST'!A244</f>
        <v/>
      </c>
      <c r="B241" s="22" t="str">
        <f>'EQUITY BACKTEST'!B244</f>
        <v/>
      </c>
      <c r="C241" s="22" t="str">
        <f>1/'EQUITY BACKTEST'!E244</f>
        <v>#DIV/0!</v>
      </c>
      <c r="D241" s="22" t="str">
        <f t="shared" si="5"/>
        <v>#DIV/0!</v>
      </c>
      <c r="E241" s="22" t="str">
        <f t="shared" si="3"/>
        <v/>
      </c>
      <c r="F241" s="22" t="str">
        <f t="shared" si="6"/>
        <v>#DIV/0!</v>
      </c>
      <c r="H241" s="22" t="str">
        <f t="shared" si="4"/>
        <v/>
      </c>
      <c r="I241" s="22" t="str">
        <f t="shared" si="1"/>
        <v>#N/A</v>
      </c>
      <c r="J241" s="22" t="str">
        <f t="shared" si="2"/>
        <v>#N/A</v>
      </c>
      <c r="K241" s="22" t="str">
        <f t="array" ref="K241">IF(H241="Crash",MATCH(TRUE, B242:B339 &gt;= B240, 0),"")</f>
        <v/>
      </c>
    </row>
    <row r="242" ht="15.75" customHeight="1">
      <c r="A242" s="31" t="str">
        <f>'EQUITY BACKTEST'!A245</f>
        <v/>
      </c>
      <c r="B242" s="22" t="str">
        <f>'EQUITY BACKTEST'!B245</f>
        <v/>
      </c>
      <c r="C242" s="22" t="str">
        <f>1/'EQUITY BACKTEST'!E245</f>
        <v>#DIV/0!</v>
      </c>
      <c r="D242" s="22" t="str">
        <f t="shared" si="5"/>
        <v>#DIV/0!</v>
      </c>
      <c r="E242" s="22" t="str">
        <f t="shared" si="3"/>
        <v/>
      </c>
      <c r="F242" s="22" t="str">
        <f t="shared" si="6"/>
        <v>#DIV/0!</v>
      </c>
      <c r="H242" s="22" t="str">
        <f t="shared" si="4"/>
        <v/>
      </c>
      <c r="I242" s="22" t="str">
        <f t="shared" si="1"/>
        <v>#N/A</v>
      </c>
      <c r="J242" s="22" t="str">
        <f t="shared" si="2"/>
        <v>#N/A</v>
      </c>
      <c r="K242" s="22" t="str">
        <f t="array" ref="K242">IF(H242="Crash",MATCH(TRUE, B243:B340 &gt;= B241, 0),"")</f>
        <v/>
      </c>
    </row>
    <row r="243" ht="15.75" customHeight="1">
      <c r="A243" s="31" t="str">
        <f>'EQUITY BACKTEST'!A246</f>
        <v/>
      </c>
      <c r="B243" s="22" t="str">
        <f>'EQUITY BACKTEST'!B246</f>
        <v/>
      </c>
      <c r="C243" s="22" t="str">
        <f>1/'EQUITY BACKTEST'!E246</f>
        <v>#DIV/0!</v>
      </c>
      <c r="D243" s="22" t="str">
        <f t="shared" si="5"/>
        <v>#DIV/0!</v>
      </c>
      <c r="E243" s="22" t="str">
        <f t="shared" si="3"/>
        <v/>
      </c>
      <c r="F243" s="22" t="str">
        <f t="shared" si="6"/>
        <v>#DIV/0!</v>
      </c>
      <c r="H243" s="22" t="str">
        <f t="shared" si="4"/>
        <v/>
      </c>
      <c r="I243" s="22" t="str">
        <f t="shared" si="1"/>
        <v>#N/A</v>
      </c>
      <c r="J243" s="22" t="str">
        <f t="shared" si="2"/>
        <v>#N/A</v>
      </c>
      <c r="K243" s="22" t="str">
        <f t="array" ref="K243">IF(H243="Crash",MATCH(TRUE, B244:B341 &gt;= B242, 0),"")</f>
        <v/>
      </c>
    </row>
    <row r="244" ht="15.75" customHeight="1">
      <c r="A244" s="31" t="str">
        <f>'EQUITY BACKTEST'!A247</f>
        <v/>
      </c>
      <c r="B244" s="22" t="str">
        <f>'EQUITY BACKTEST'!B247</f>
        <v/>
      </c>
      <c r="C244" s="22" t="str">
        <f>1/'EQUITY BACKTEST'!E247</f>
        <v>#DIV/0!</v>
      </c>
      <c r="D244" s="22" t="str">
        <f t="shared" si="5"/>
        <v>#DIV/0!</v>
      </c>
      <c r="E244" s="22" t="str">
        <f t="shared" si="3"/>
        <v/>
      </c>
      <c r="F244" s="22" t="str">
        <f t="shared" si="6"/>
        <v>#DIV/0!</v>
      </c>
      <c r="H244" s="22" t="str">
        <f t="shared" si="4"/>
        <v/>
      </c>
      <c r="I244" s="22" t="str">
        <f t="shared" si="1"/>
        <v>#N/A</v>
      </c>
      <c r="J244" s="22" t="str">
        <f t="shared" si="2"/>
        <v>#N/A</v>
      </c>
      <c r="K244" s="22" t="str">
        <f t="array" ref="K244">IF(H244="Crash",MATCH(TRUE, B245:B342 &gt;= B243, 0),"")</f>
        <v/>
      </c>
    </row>
    <row r="245" ht="15.75" customHeight="1">
      <c r="A245" s="31" t="str">
        <f>'EQUITY BACKTEST'!A248</f>
        <v/>
      </c>
      <c r="B245" s="22" t="str">
        <f>'EQUITY BACKTEST'!B248</f>
        <v/>
      </c>
      <c r="C245" s="22" t="str">
        <f>1/'EQUITY BACKTEST'!E248</f>
        <v>#DIV/0!</v>
      </c>
      <c r="D245" s="22" t="str">
        <f t="shared" si="5"/>
        <v>#DIV/0!</v>
      </c>
      <c r="E245" s="22" t="str">
        <f t="shared" si="3"/>
        <v/>
      </c>
      <c r="F245" s="22" t="str">
        <f t="shared" si="6"/>
        <v>#DIV/0!</v>
      </c>
      <c r="H245" s="22" t="str">
        <f t="shared" si="4"/>
        <v/>
      </c>
      <c r="I245" s="22" t="str">
        <f t="shared" si="1"/>
        <v>#N/A</v>
      </c>
      <c r="J245" s="22" t="str">
        <f t="shared" si="2"/>
        <v>#N/A</v>
      </c>
      <c r="K245" s="22" t="str">
        <f t="array" ref="K245">IF(H245="Crash",MATCH(TRUE, B246:B343 &gt;= B244, 0),"")</f>
        <v/>
      </c>
    </row>
    <row r="246" ht="15.75" customHeight="1">
      <c r="A246" s="31" t="str">
        <f>'EQUITY BACKTEST'!A249</f>
        <v/>
      </c>
      <c r="B246" s="22" t="str">
        <f>'EQUITY BACKTEST'!B249</f>
        <v/>
      </c>
      <c r="C246" s="22" t="str">
        <f>1/'EQUITY BACKTEST'!E249</f>
        <v>#DIV/0!</v>
      </c>
      <c r="D246" s="22" t="str">
        <f t="shared" si="5"/>
        <v>#DIV/0!</v>
      </c>
      <c r="E246" s="22" t="str">
        <f t="shared" si="3"/>
        <v/>
      </c>
      <c r="F246" s="22" t="str">
        <f t="shared" si="6"/>
        <v>#DIV/0!</v>
      </c>
      <c r="H246" s="22" t="str">
        <f t="shared" si="4"/>
        <v/>
      </c>
      <c r="I246" s="22" t="str">
        <f t="shared" si="1"/>
        <v>#N/A</v>
      </c>
      <c r="J246" s="22" t="str">
        <f t="shared" si="2"/>
        <v>#N/A</v>
      </c>
      <c r="K246" s="22" t="str">
        <f t="array" ref="K246">IF(H246="Crash",MATCH(TRUE, B247:B344 &gt;= B245, 0),"")</f>
        <v/>
      </c>
    </row>
    <row r="247" ht="15.75" customHeight="1">
      <c r="A247" s="31" t="str">
        <f>'EQUITY BACKTEST'!A250</f>
        <v/>
      </c>
      <c r="B247" s="22" t="str">
        <f>'EQUITY BACKTEST'!B250</f>
        <v/>
      </c>
      <c r="C247" s="22" t="str">
        <f>1/'EQUITY BACKTEST'!E250</f>
        <v>#DIV/0!</v>
      </c>
      <c r="D247" s="22" t="str">
        <f t="shared" si="5"/>
        <v>#DIV/0!</v>
      </c>
      <c r="E247" s="22" t="str">
        <f t="shared" si="3"/>
        <v/>
      </c>
      <c r="F247" s="22" t="str">
        <f t="shared" si="6"/>
        <v>#DIV/0!</v>
      </c>
      <c r="H247" s="22" t="str">
        <f t="shared" si="4"/>
        <v/>
      </c>
      <c r="I247" s="22" t="str">
        <f t="shared" si="1"/>
        <v>#N/A</v>
      </c>
      <c r="J247" s="22" t="str">
        <f t="shared" si="2"/>
        <v>#N/A</v>
      </c>
      <c r="K247" s="22" t="str">
        <f t="array" ref="K247">IF(H247="Crash",MATCH(TRUE, B248:B345 &gt;= B246, 0),"")</f>
        <v/>
      </c>
    </row>
    <row r="248" ht="15.75" customHeight="1">
      <c r="A248" s="31" t="str">
        <f>'EQUITY BACKTEST'!A251</f>
        <v/>
      </c>
      <c r="B248" s="22" t="str">
        <f>'EQUITY BACKTEST'!B251</f>
        <v/>
      </c>
      <c r="C248" s="22" t="str">
        <f>1/'EQUITY BACKTEST'!E251</f>
        <v>#DIV/0!</v>
      </c>
      <c r="D248" s="22" t="str">
        <f t="shared" si="5"/>
        <v>#DIV/0!</v>
      </c>
      <c r="E248" s="22" t="str">
        <f t="shared" si="3"/>
        <v/>
      </c>
      <c r="F248" s="22" t="str">
        <f t="shared" si="6"/>
        <v>#DIV/0!</v>
      </c>
      <c r="H248" s="22" t="str">
        <f t="shared" si="4"/>
        <v/>
      </c>
      <c r="I248" s="22" t="str">
        <f t="shared" si="1"/>
        <v>#N/A</v>
      </c>
      <c r="J248" s="22" t="str">
        <f t="shared" si="2"/>
        <v>#N/A</v>
      </c>
      <c r="K248" s="22" t="str">
        <f t="array" ref="K248">IF(H248="Crash",MATCH(TRUE, B249:B346 &gt;= B247, 0),"")</f>
        <v/>
      </c>
    </row>
    <row r="249" ht="15.75" customHeight="1">
      <c r="A249" s="31" t="str">
        <f>'EQUITY BACKTEST'!A252</f>
        <v/>
      </c>
      <c r="B249" s="22" t="str">
        <f>'EQUITY BACKTEST'!B252</f>
        <v/>
      </c>
      <c r="C249" s="22" t="str">
        <f>1/'EQUITY BACKTEST'!E252</f>
        <v>#DIV/0!</v>
      </c>
      <c r="D249" s="22" t="str">
        <f t="shared" si="5"/>
        <v>#DIV/0!</v>
      </c>
      <c r="E249" s="22" t="str">
        <f t="shared" si="3"/>
        <v/>
      </c>
      <c r="F249" s="22" t="str">
        <f t="shared" si="6"/>
        <v>#DIV/0!</v>
      </c>
      <c r="H249" s="22" t="str">
        <f t="shared" si="4"/>
        <v/>
      </c>
      <c r="I249" s="22" t="str">
        <f t="shared" si="1"/>
        <v>#N/A</v>
      </c>
      <c r="J249" s="22" t="str">
        <f t="shared" si="2"/>
        <v>#N/A</v>
      </c>
      <c r="K249" s="22" t="str">
        <f t="array" ref="K249">IF(H249="Crash",MATCH(TRUE, B250:B347 &gt;= B248, 0),"")</f>
        <v/>
      </c>
    </row>
    <row r="250" ht="15.75" customHeight="1">
      <c r="A250" s="31" t="str">
        <f>'EQUITY BACKTEST'!A253</f>
        <v/>
      </c>
      <c r="B250" s="22" t="str">
        <f>'EQUITY BACKTEST'!B253</f>
        <v/>
      </c>
      <c r="C250" s="22" t="str">
        <f>1/'EQUITY BACKTEST'!E253</f>
        <v>#DIV/0!</v>
      </c>
      <c r="D250" s="22" t="str">
        <f t="shared" si="5"/>
        <v>#DIV/0!</v>
      </c>
      <c r="E250" s="22" t="str">
        <f t="shared" si="3"/>
        <v/>
      </c>
      <c r="F250" s="22" t="str">
        <f t="shared" si="6"/>
        <v>#DIV/0!</v>
      </c>
      <c r="H250" s="22" t="str">
        <f t="shared" si="4"/>
        <v/>
      </c>
      <c r="I250" s="22" t="str">
        <f t="shared" si="1"/>
        <v>#N/A</v>
      </c>
      <c r="J250" s="22" t="str">
        <f t="shared" si="2"/>
        <v>#N/A</v>
      </c>
      <c r="K250" s="22" t="str">
        <f t="array" ref="K250">IF(H250="Crash",MATCH(TRUE, B251:B348 &gt;= B249, 0),"")</f>
        <v/>
      </c>
    </row>
    <row r="251" ht="15.75" customHeight="1">
      <c r="A251" s="31" t="str">
        <f>'EQUITY BACKTEST'!A254</f>
        <v/>
      </c>
      <c r="B251" s="22" t="str">
        <f>'EQUITY BACKTEST'!B254</f>
        <v/>
      </c>
      <c r="C251" s="22" t="str">
        <f>1/'EQUITY BACKTEST'!E254</f>
        <v>#DIV/0!</v>
      </c>
      <c r="D251" s="22" t="str">
        <f t="shared" si="5"/>
        <v>#DIV/0!</v>
      </c>
      <c r="E251" s="22" t="str">
        <f t="shared" si="3"/>
        <v/>
      </c>
      <c r="F251" s="22" t="str">
        <f t="shared" si="6"/>
        <v>#DIV/0!</v>
      </c>
      <c r="H251" s="22" t="str">
        <f t="shared" si="4"/>
        <v/>
      </c>
      <c r="I251" s="22" t="str">
        <f t="shared" si="1"/>
        <v>#N/A</v>
      </c>
      <c r="J251" s="22" t="str">
        <f t="shared" si="2"/>
        <v>#N/A</v>
      </c>
      <c r="K251" s="22" t="str">
        <f t="array" ref="K251">IF(H251="Crash",MATCH(TRUE, B252:B349 &gt;= B250, 0),"")</f>
        <v/>
      </c>
    </row>
    <row r="252" ht="15.75" customHeight="1">
      <c r="A252" s="31" t="str">
        <f>'EQUITY BACKTEST'!A255</f>
        <v/>
      </c>
      <c r="B252" s="22" t="str">
        <f>'EQUITY BACKTEST'!B255</f>
        <v/>
      </c>
      <c r="C252" s="22" t="str">
        <f>1/'EQUITY BACKTEST'!E255</f>
        <v>#DIV/0!</v>
      </c>
      <c r="D252" s="22" t="str">
        <f t="shared" si="5"/>
        <v>#DIV/0!</v>
      </c>
      <c r="E252" s="22" t="str">
        <f t="shared" si="3"/>
        <v/>
      </c>
      <c r="F252" s="22" t="str">
        <f t="shared" si="6"/>
        <v>#DIV/0!</v>
      </c>
      <c r="H252" s="22" t="str">
        <f t="shared" si="4"/>
        <v/>
      </c>
      <c r="I252" s="22" t="str">
        <f t="shared" si="1"/>
        <v>#N/A</v>
      </c>
      <c r="J252" s="22" t="str">
        <f t="shared" si="2"/>
        <v>#N/A</v>
      </c>
      <c r="K252" s="22" t="str">
        <f t="array" ref="K252">IF(H252="Crash",MATCH(TRUE, B253:B350 &gt;= B251, 0),"")</f>
        <v/>
      </c>
    </row>
    <row r="253" ht="15.75" customHeight="1">
      <c r="A253" s="31" t="str">
        <f>'EQUITY BACKTEST'!A256</f>
        <v/>
      </c>
      <c r="B253" s="22" t="str">
        <f>'EQUITY BACKTEST'!B256</f>
        <v/>
      </c>
      <c r="C253" s="22" t="str">
        <f>1/'EQUITY BACKTEST'!E256</f>
        <v>#DIV/0!</v>
      </c>
      <c r="D253" s="22" t="str">
        <f t="shared" si="5"/>
        <v>#DIV/0!</v>
      </c>
      <c r="E253" s="22" t="str">
        <f t="shared" si="3"/>
        <v/>
      </c>
      <c r="F253" s="22" t="str">
        <f t="shared" si="6"/>
        <v>#DIV/0!</v>
      </c>
      <c r="H253" s="22" t="str">
        <f t="shared" si="4"/>
        <v/>
      </c>
      <c r="I253" s="22" t="str">
        <f t="shared" si="1"/>
        <v>#N/A</v>
      </c>
      <c r="J253" s="22" t="str">
        <f t="shared" si="2"/>
        <v>#N/A</v>
      </c>
      <c r="K253" s="22" t="str">
        <f t="array" ref="K253">IF(H253="Crash",MATCH(TRUE, B254:B351 &gt;= B252, 0),"")</f>
        <v/>
      </c>
    </row>
    <row r="254" ht="15.75" customHeight="1">
      <c r="A254" s="31" t="str">
        <f>'EQUITY BACKTEST'!A257</f>
        <v/>
      </c>
      <c r="B254" s="22" t="str">
        <f>'EQUITY BACKTEST'!B257</f>
        <v/>
      </c>
      <c r="C254" s="22" t="str">
        <f>1/'EQUITY BACKTEST'!E257</f>
        <v>#DIV/0!</v>
      </c>
      <c r="D254" s="22" t="str">
        <f t="shared" si="5"/>
        <v>#DIV/0!</v>
      </c>
      <c r="E254" s="22" t="str">
        <f t="shared" si="3"/>
        <v/>
      </c>
      <c r="F254" s="22" t="str">
        <f t="shared" si="6"/>
        <v>#DIV/0!</v>
      </c>
      <c r="H254" s="22" t="str">
        <f t="shared" si="4"/>
        <v/>
      </c>
      <c r="I254" s="22" t="str">
        <f t="shared" si="1"/>
        <v>#N/A</v>
      </c>
      <c r="J254" s="22" t="str">
        <f t="shared" si="2"/>
        <v>#N/A</v>
      </c>
      <c r="K254" s="22" t="str">
        <f t="array" ref="K254">IF(H254="Crash",MATCH(TRUE, B255:B352 &gt;= B253, 0),"")</f>
        <v/>
      </c>
    </row>
    <row r="255" ht="15.75" customHeight="1">
      <c r="A255" s="31" t="str">
        <f>'EQUITY BACKTEST'!A258</f>
        <v/>
      </c>
      <c r="B255" s="22" t="str">
        <f>'EQUITY BACKTEST'!B258</f>
        <v/>
      </c>
      <c r="C255" s="22" t="str">
        <f>1/'EQUITY BACKTEST'!E258</f>
        <v>#DIV/0!</v>
      </c>
      <c r="D255" s="22" t="str">
        <f t="shared" si="5"/>
        <v>#DIV/0!</v>
      </c>
      <c r="E255" s="22" t="str">
        <f t="shared" si="3"/>
        <v/>
      </c>
      <c r="F255" s="22" t="str">
        <f t="shared" si="6"/>
        <v>#DIV/0!</v>
      </c>
      <c r="H255" s="22" t="str">
        <f t="shared" si="4"/>
        <v/>
      </c>
      <c r="I255" s="22" t="str">
        <f t="shared" si="1"/>
        <v>#N/A</v>
      </c>
      <c r="J255" s="22" t="str">
        <f t="shared" si="2"/>
        <v>#N/A</v>
      </c>
      <c r="K255" s="22" t="str">
        <f t="array" ref="K255">IF(H255="Crash",MATCH(TRUE, B256:B353 &gt;= B254, 0),"")</f>
        <v/>
      </c>
    </row>
    <row r="256" ht="15.75" customHeight="1">
      <c r="A256" s="31" t="str">
        <f>'EQUITY BACKTEST'!A259</f>
        <v/>
      </c>
      <c r="B256" s="22" t="str">
        <f>'EQUITY BACKTEST'!B259</f>
        <v/>
      </c>
      <c r="C256" s="22" t="str">
        <f>1/'EQUITY BACKTEST'!E259</f>
        <v>#DIV/0!</v>
      </c>
      <c r="D256" s="22" t="str">
        <f t="shared" si="5"/>
        <v>#DIV/0!</v>
      </c>
      <c r="E256" s="22" t="str">
        <f t="shared" si="3"/>
        <v/>
      </c>
      <c r="F256" s="22" t="str">
        <f t="shared" si="6"/>
        <v>#DIV/0!</v>
      </c>
      <c r="H256" s="22" t="str">
        <f t="shared" si="4"/>
        <v/>
      </c>
      <c r="I256" s="22" t="str">
        <f t="shared" si="1"/>
        <v>#N/A</v>
      </c>
      <c r="J256" s="22" t="str">
        <f t="shared" si="2"/>
        <v>#N/A</v>
      </c>
      <c r="K256" s="22" t="str">
        <f t="array" ref="K256">IF(H256="Crash",MATCH(TRUE, B257:B354 &gt;= B255, 0),"")</f>
        <v/>
      </c>
    </row>
    <row r="257" ht="15.75" customHeight="1">
      <c r="A257" s="31" t="str">
        <f>'EQUITY BACKTEST'!A260</f>
        <v/>
      </c>
      <c r="B257" s="22" t="str">
        <f>'EQUITY BACKTEST'!B260</f>
        <v/>
      </c>
      <c r="C257" s="22" t="str">
        <f>1/'EQUITY BACKTEST'!E260</f>
        <v>#DIV/0!</v>
      </c>
      <c r="D257" s="22" t="str">
        <f t="shared" si="5"/>
        <v>#DIV/0!</v>
      </c>
      <c r="E257" s="22" t="str">
        <f t="shared" si="3"/>
        <v/>
      </c>
      <c r="F257" s="22" t="str">
        <f t="shared" si="6"/>
        <v>#DIV/0!</v>
      </c>
      <c r="H257" s="22" t="str">
        <f t="shared" si="4"/>
        <v/>
      </c>
      <c r="I257" s="22" t="str">
        <f t="shared" si="1"/>
        <v>#N/A</v>
      </c>
      <c r="J257" s="22" t="str">
        <f t="shared" si="2"/>
        <v>#N/A</v>
      </c>
      <c r="K257" s="22" t="str">
        <f t="array" ref="K257">IF(H257="Crash",MATCH(TRUE, B258:B355 &gt;= B256, 0),"")</f>
        <v/>
      </c>
    </row>
    <row r="258" ht="15.75" customHeight="1">
      <c r="A258" s="31" t="str">
        <f>'EQUITY BACKTEST'!A261</f>
        <v/>
      </c>
      <c r="B258" s="22" t="str">
        <f>'EQUITY BACKTEST'!B261</f>
        <v/>
      </c>
      <c r="C258" s="22" t="str">
        <f>1/'EQUITY BACKTEST'!E261</f>
        <v>#DIV/0!</v>
      </c>
      <c r="D258" s="22" t="str">
        <f t="shared" si="5"/>
        <v>#DIV/0!</v>
      </c>
      <c r="E258" s="22" t="str">
        <f t="shared" si="3"/>
        <v/>
      </c>
      <c r="F258" s="22" t="str">
        <f t="shared" si="6"/>
        <v>#DIV/0!</v>
      </c>
      <c r="H258" s="22" t="str">
        <f t="shared" si="4"/>
        <v/>
      </c>
      <c r="I258" s="22" t="str">
        <f t="shared" si="1"/>
        <v>#N/A</v>
      </c>
      <c r="J258" s="22" t="str">
        <f t="shared" si="2"/>
        <v>#N/A</v>
      </c>
      <c r="K258" s="22" t="str">
        <f t="array" ref="K258">IF(H258="Crash",MATCH(TRUE, B259:B356 &gt;= B257, 0),"")</f>
        <v/>
      </c>
    </row>
    <row r="259" ht="15.75" customHeight="1">
      <c r="A259" s="31" t="str">
        <f>'EQUITY BACKTEST'!A262</f>
        <v/>
      </c>
      <c r="B259" s="22" t="str">
        <f>'EQUITY BACKTEST'!B262</f>
        <v/>
      </c>
      <c r="C259" s="22" t="str">
        <f>1/'EQUITY BACKTEST'!E262</f>
        <v>#DIV/0!</v>
      </c>
      <c r="D259" s="22" t="str">
        <f t="shared" si="5"/>
        <v>#DIV/0!</v>
      </c>
      <c r="E259" s="22" t="str">
        <f t="shared" si="3"/>
        <v/>
      </c>
      <c r="F259" s="22" t="str">
        <f t="shared" si="6"/>
        <v>#DIV/0!</v>
      </c>
      <c r="H259" s="22" t="str">
        <f t="shared" si="4"/>
        <v/>
      </c>
      <c r="I259" s="22" t="str">
        <f t="shared" si="1"/>
        <v>#N/A</v>
      </c>
      <c r="J259" s="22" t="str">
        <f t="shared" si="2"/>
        <v>#N/A</v>
      </c>
      <c r="K259" s="22" t="str">
        <f t="array" ref="K259">IF(H259="Crash",MATCH(TRUE, B260:B357 &gt;= B258, 0),"")</f>
        <v/>
      </c>
    </row>
    <row r="260" ht="15.75" customHeight="1">
      <c r="A260" s="31" t="str">
        <f>'EQUITY BACKTEST'!A263</f>
        <v/>
      </c>
      <c r="B260" s="22" t="str">
        <f>'EQUITY BACKTEST'!B263</f>
        <v/>
      </c>
      <c r="C260" s="22" t="str">
        <f>1/'EQUITY BACKTEST'!E263</f>
        <v>#DIV/0!</v>
      </c>
      <c r="D260" s="22" t="str">
        <f t="shared" si="5"/>
        <v>#DIV/0!</v>
      </c>
      <c r="E260" s="22" t="str">
        <f t="shared" si="3"/>
        <v/>
      </c>
      <c r="F260" s="22" t="str">
        <f t="shared" si="6"/>
        <v>#DIV/0!</v>
      </c>
      <c r="H260" s="22" t="str">
        <f t="shared" si="4"/>
        <v/>
      </c>
      <c r="I260" s="22" t="str">
        <f t="shared" si="1"/>
        <v>#N/A</v>
      </c>
      <c r="J260" s="22" t="str">
        <f t="shared" si="2"/>
        <v>#N/A</v>
      </c>
      <c r="K260" s="22" t="str">
        <f t="array" ref="K260">IF(H260="Crash",MATCH(TRUE, B261:B358 &gt;= B259, 0),"")</f>
        <v/>
      </c>
    </row>
    <row r="261" ht="15.75" customHeight="1">
      <c r="A261" s="31" t="str">
        <f>'EQUITY BACKTEST'!A264</f>
        <v/>
      </c>
      <c r="B261" s="22" t="str">
        <f>'EQUITY BACKTEST'!B264</f>
        <v/>
      </c>
      <c r="C261" s="22" t="str">
        <f>1/'EQUITY BACKTEST'!E264</f>
        <v>#DIV/0!</v>
      </c>
      <c r="D261" s="22" t="str">
        <f t="shared" si="5"/>
        <v>#DIV/0!</v>
      </c>
      <c r="E261" s="22" t="str">
        <f t="shared" si="3"/>
        <v/>
      </c>
      <c r="F261" s="22" t="str">
        <f t="shared" si="6"/>
        <v>#DIV/0!</v>
      </c>
      <c r="H261" s="22" t="str">
        <f t="shared" si="4"/>
        <v/>
      </c>
      <c r="I261" s="22" t="str">
        <f t="shared" si="1"/>
        <v>#N/A</v>
      </c>
      <c r="J261" s="22" t="str">
        <f t="shared" si="2"/>
        <v>#N/A</v>
      </c>
      <c r="K261" s="22" t="str">
        <f t="array" ref="K261">IF(H261="Crash",MATCH(TRUE, B262:B359 &gt;= B260, 0),"")</f>
        <v/>
      </c>
    </row>
    <row r="262" ht="15.75" customHeight="1">
      <c r="A262" s="31" t="str">
        <f>'EQUITY BACKTEST'!A265</f>
        <v/>
      </c>
      <c r="B262" s="22" t="str">
        <f>'EQUITY BACKTEST'!B265</f>
        <v/>
      </c>
      <c r="C262" s="22" t="str">
        <f>1/'EQUITY BACKTEST'!E265</f>
        <v>#DIV/0!</v>
      </c>
      <c r="D262" s="22" t="str">
        <f t="shared" si="5"/>
        <v>#DIV/0!</v>
      </c>
      <c r="E262" s="22" t="str">
        <f t="shared" si="3"/>
        <v/>
      </c>
      <c r="F262" s="22" t="str">
        <f t="shared" si="6"/>
        <v>#DIV/0!</v>
      </c>
      <c r="H262" s="22" t="str">
        <f t="shared" si="4"/>
        <v/>
      </c>
      <c r="I262" s="22" t="str">
        <f t="shared" si="1"/>
        <v>#N/A</v>
      </c>
      <c r="J262" s="22" t="str">
        <f t="shared" si="2"/>
        <v>#N/A</v>
      </c>
      <c r="K262" s="22" t="str">
        <f t="array" ref="K262">IF(H262="Crash",MATCH(TRUE, B263:B360 &gt;= B261, 0),"")</f>
        <v/>
      </c>
    </row>
    <row r="263" ht="15.75" customHeight="1">
      <c r="A263" s="31" t="str">
        <f>'EQUITY BACKTEST'!A266</f>
        <v/>
      </c>
      <c r="B263" s="22" t="str">
        <f>'EQUITY BACKTEST'!B266</f>
        <v/>
      </c>
      <c r="C263" s="22" t="str">
        <f>1/'EQUITY BACKTEST'!E266</f>
        <v>#DIV/0!</v>
      </c>
      <c r="D263" s="22" t="str">
        <f t="shared" si="5"/>
        <v>#DIV/0!</v>
      </c>
      <c r="E263" s="22" t="str">
        <f t="shared" si="3"/>
        <v/>
      </c>
      <c r="F263" s="22" t="str">
        <f t="shared" si="6"/>
        <v>#DIV/0!</v>
      </c>
      <c r="H263" s="22" t="str">
        <f t="shared" si="4"/>
        <v/>
      </c>
      <c r="I263" s="22" t="str">
        <f t="shared" si="1"/>
        <v>#N/A</v>
      </c>
      <c r="J263" s="22" t="str">
        <f t="shared" si="2"/>
        <v>#N/A</v>
      </c>
      <c r="K263" s="22" t="str">
        <f t="array" ref="K263">IF(H263="Crash",MATCH(TRUE, B264:B361 &gt;= B262, 0),"")</f>
        <v/>
      </c>
    </row>
    <row r="264" ht="15.75" customHeight="1">
      <c r="A264" s="31" t="str">
        <f>'EQUITY BACKTEST'!A267</f>
        <v/>
      </c>
      <c r="B264" s="22" t="str">
        <f>'EQUITY BACKTEST'!B267</f>
        <v/>
      </c>
      <c r="C264" s="22" t="str">
        <f>1/'EQUITY BACKTEST'!E267</f>
        <v>#DIV/0!</v>
      </c>
      <c r="D264" s="22" t="str">
        <f t="shared" si="5"/>
        <v>#DIV/0!</v>
      </c>
      <c r="E264" s="22" t="str">
        <f t="shared" si="3"/>
        <v/>
      </c>
      <c r="F264" s="22" t="str">
        <f t="shared" si="6"/>
        <v>#DIV/0!</v>
      </c>
      <c r="H264" s="22" t="str">
        <f t="shared" si="4"/>
        <v/>
      </c>
      <c r="I264" s="22" t="str">
        <f t="shared" si="1"/>
        <v>#N/A</v>
      </c>
      <c r="J264" s="22" t="str">
        <f t="shared" si="2"/>
        <v>#N/A</v>
      </c>
      <c r="K264" s="22" t="str">
        <f t="array" ref="K264">IF(H264="Crash",MATCH(TRUE, B265:B362 &gt;= B263, 0),"")</f>
        <v/>
      </c>
    </row>
    <row r="265" ht="15.75" customHeight="1">
      <c r="A265" s="31" t="str">
        <f>'EQUITY BACKTEST'!A268</f>
        <v/>
      </c>
      <c r="B265" s="22" t="str">
        <f>'EQUITY BACKTEST'!B268</f>
        <v/>
      </c>
      <c r="C265" s="22" t="str">
        <f>1/'EQUITY BACKTEST'!E268</f>
        <v>#DIV/0!</v>
      </c>
      <c r="D265" s="22" t="str">
        <f t="shared" si="5"/>
        <v>#DIV/0!</v>
      </c>
      <c r="E265" s="22" t="str">
        <f t="shared" si="3"/>
        <v/>
      </c>
      <c r="F265" s="22" t="str">
        <f t="shared" si="6"/>
        <v>#DIV/0!</v>
      </c>
      <c r="H265" s="22" t="str">
        <f t="shared" si="4"/>
        <v/>
      </c>
      <c r="I265" s="22" t="str">
        <f t="shared" si="1"/>
        <v>#N/A</v>
      </c>
      <c r="J265" s="22" t="str">
        <f t="shared" si="2"/>
        <v>#N/A</v>
      </c>
      <c r="K265" s="22" t="str">
        <f t="array" ref="K265">IF(H265="Crash",MATCH(TRUE, B266:B363 &gt;= B264, 0),"")</f>
        <v/>
      </c>
    </row>
    <row r="266" ht="15.75" customHeight="1">
      <c r="A266" s="31" t="str">
        <f>'EQUITY BACKTEST'!A269</f>
        <v/>
      </c>
      <c r="B266" s="22" t="str">
        <f>'EQUITY BACKTEST'!B269</f>
        <v/>
      </c>
      <c r="C266" s="22" t="str">
        <f>1/'EQUITY BACKTEST'!E269</f>
        <v>#DIV/0!</v>
      </c>
      <c r="D266" s="22" t="str">
        <f t="shared" si="5"/>
        <v>#DIV/0!</v>
      </c>
      <c r="E266" s="22" t="str">
        <f t="shared" si="3"/>
        <v/>
      </c>
      <c r="F266" s="22" t="str">
        <f t="shared" si="6"/>
        <v>#DIV/0!</v>
      </c>
      <c r="H266" s="22" t="str">
        <f t="shared" si="4"/>
        <v/>
      </c>
      <c r="I266" s="22" t="str">
        <f t="shared" si="1"/>
        <v>#N/A</v>
      </c>
      <c r="J266" s="22" t="str">
        <f t="shared" si="2"/>
        <v>#N/A</v>
      </c>
      <c r="K266" s="22" t="str">
        <f t="array" ref="K266">IF(H266="Crash",MATCH(TRUE, B267:B364 &gt;= B265, 0),"")</f>
        <v/>
      </c>
    </row>
    <row r="267" ht="15.75" customHeight="1">
      <c r="A267" s="31" t="str">
        <f>'EQUITY BACKTEST'!A270</f>
        <v/>
      </c>
      <c r="B267" s="22" t="str">
        <f>'EQUITY BACKTEST'!B270</f>
        <v/>
      </c>
      <c r="C267" s="22" t="str">
        <f>1/'EQUITY BACKTEST'!E270</f>
        <v>#DIV/0!</v>
      </c>
      <c r="D267" s="22" t="str">
        <f t="shared" si="5"/>
        <v>#DIV/0!</v>
      </c>
      <c r="E267" s="22" t="str">
        <f t="shared" si="3"/>
        <v/>
      </c>
      <c r="F267" s="22" t="str">
        <f t="shared" si="6"/>
        <v>#DIV/0!</v>
      </c>
      <c r="H267" s="22" t="str">
        <f t="shared" si="4"/>
        <v/>
      </c>
      <c r="I267" s="22" t="str">
        <f t="shared" si="1"/>
        <v>#N/A</v>
      </c>
      <c r="J267" s="22" t="str">
        <f t="shared" si="2"/>
        <v>#N/A</v>
      </c>
      <c r="K267" s="22" t="str">
        <f t="array" ref="K267">IF(H267="Crash",MATCH(TRUE, B268:B365 &gt;= B266, 0),"")</f>
        <v/>
      </c>
    </row>
    <row r="268" ht="15.75" customHeight="1">
      <c r="A268" s="31" t="str">
        <f>'EQUITY BACKTEST'!A271</f>
        <v/>
      </c>
      <c r="B268" s="22" t="str">
        <f>'EQUITY BACKTEST'!B271</f>
        <v/>
      </c>
      <c r="C268" s="22" t="str">
        <f>1/'EQUITY BACKTEST'!E271</f>
        <v>#DIV/0!</v>
      </c>
      <c r="D268" s="22" t="str">
        <f t="shared" si="5"/>
        <v>#DIV/0!</v>
      </c>
      <c r="E268" s="22" t="str">
        <f t="shared" si="3"/>
        <v/>
      </c>
      <c r="F268" s="22" t="str">
        <f t="shared" si="6"/>
        <v>#DIV/0!</v>
      </c>
      <c r="H268" s="22" t="str">
        <f t="shared" si="4"/>
        <v/>
      </c>
      <c r="I268" s="22" t="str">
        <f t="shared" si="1"/>
        <v>#N/A</v>
      </c>
      <c r="J268" s="22" t="str">
        <f t="shared" si="2"/>
        <v>#N/A</v>
      </c>
      <c r="K268" s="22" t="str">
        <f t="array" ref="K268">IF(H268="Crash",MATCH(TRUE, B269:B366 &gt;= B267, 0),"")</f>
        <v/>
      </c>
    </row>
    <row r="269" ht="15.75" customHeight="1">
      <c r="A269" s="31" t="str">
        <f>'EQUITY BACKTEST'!A272</f>
        <v/>
      </c>
      <c r="B269" s="22" t="str">
        <f>'EQUITY BACKTEST'!B272</f>
        <v/>
      </c>
      <c r="C269" s="22" t="str">
        <f>1/'EQUITY BACKTEST'!E272</f>
        <v>#DIV/0!</v>
      </c>
      <c r="D269" s="22" t="str">
        <f t="shared" si="5"/>
        <v>#DIV/0!</v>
      </c>
      <c r="E269" s="22" t="str">
        <f t="shared" si="3"/>
        <v/>
      </c>
      <c r="F269" s="22" t="str">
        <f t="shared" si="6"/>
        <v>#DIV/0!</v>
      </c>
      <c r="H269" s="22" t="str">
        <f t="shared" si="4"/>
        <v/>
      </c>
      <c r="I269" s="22" t="str">
        <f t="shared" si="1"/>
        <v>#N/A</v>
      </c>
      <c r="J269" s="22" t="str">
        <f t="shared" si="2"/>
        <v>#N/A</v>
      </c>
      <c r="K269" s="22" t="str">
        <f t="array" ref="K269">IF(H269="Crash",MATCH(TRUE, B270:B367 &gt;= B268, 0),"")</f>
        <v/>
      </c>
    </row>
    <row r="270" ht="15.75" customHeight="1">
      <c r="A270" s="31" t="str">
        <f>'EQUITY BACKTEST'!A273</f>
        <v/>
      </c>
      <c r="B270" s="22" t="str">
        <f>'EQUITY BACKTEST'!B273</f>
        <v/>
      </c>
      <c r="C270" s="22" t="str">
        <f>1/'EQUITY BACKTEST'!E273</f>
        <v>#DIV/0!</v>
      </c>
      <c r="D270" s="22" t="str">
        <f t="shared" si="5"/>
        <v>#DIV/0!</v>
      </c>
      <c r="E270" s="22" t="str">
        <f t="shared" si="3"/>
        <v/>
      </c>
      <c r="F270" s="22" t="str">
        <f t="shared" si="6"/>
        <v>#DIV/0!</v>
      </c>
      <c r="H270" s="22" t="str">
        <f t="shared" si="4"/>
        <v/>
      </c>
      <c r="I270" s="22" t="str">
        <f t="shared" si="1"/>
        <v>#N/A</v>
      </c>
      <c r="J270" s="22" t="str">
        <f t="shared" si="2"/>
        <v>#N/A</v>
      </c>
      <c r="K270" s="22" t="str">
        <f t="array" ref="K270">IF(H270="Crash",MATCH(TRUE, B271:B368 &gt;= B269, 0),"")</f>
        <v/>
      </c>
    </row>
    <row r="271" ht="15.75" customHeight="1">
      <c r="A271" s="31" t="str">
        <f>'EQUITY BACKTEST'!A274</f>
        <v/>
      </c>
      <c r="B271" s="22" t="str">
        <f>'EQUITY BACKTEST'!B274</f>
        <v/>
      </c>
      <c r="C271" s="22" t="str">
        <f>1/'EQUITY BACKTEST'!E274</f>
        <v>#DIV/0!</v>
      </c>
      <c r="D271" s="22" t="str">
        <f t="shared" si="5"/>
        <v>#DIV/0!</v>
      </c>
      <c r="E271" s="22" t="str">
        <f t="shared" si="3"/>
        <v/>
      </c>
      <c r="F271" s="22" t="str">
        <f t="shared" si="6"/>
        <v>#DIV/0!</v>
      </c>
      <c r="H271" s="22" t="str">
        <f t="shared" si="4"/>
        <v/>
      </c>
      <c r="I271" s="22" t="str">
        <f t="shared" si="1"/>
        <v>#N/A</v>
      </c>
      <c r="J271" s="22" t="str">
        <f t="shared" si="2"/>
        <v>#N/A</v>
      </c>
      <c r="K271" s="22" t="str">
        <f t="array" ref="K271">IF(H271="Crash",MATCH(TRUE, B272:B369 &gt;= B270, 0),"")</f>
        <v/>
      </c>
    </row>
    <row r="272" ht="15.75" customHeight="1">
      <c r="A272" s="31" t="str">
        <f>'EQUITY BACKTEST'!A275</f>
        <v/>
      </c>
      <c r="B272" s="22" t="str">
        <f>'EQUITY BACKTEST'!B275</f>
        <v/>
      </c>
      <c r="C272" s="22" t="str">
        <f>1/'EQUITY BACKTEST'!E275</f>
        <v>#DIV/0!</v>
      </c>
      <c r="D272" s="22" t="str">
        <f t="shared" si="5"/>
        <v>#DIV/0!</v>
      </c>
      <c r="E272" s="22" t="str">
        <f t="shared" si="3"/>
        <v/>
      </c>
      <c r="F272" s="22" t="str">
        <f t="shared" si="6"/>
        <v>#DIV/0!</v>
      </c>
      <c r="H272" s="22" t="str">
        <f t="shared" si="4"/>
        <v/>
      </c>
      <c r="I272" s="22" t="str">
        <f t="shared" si="1"/>
        <v>#N/A</v>
      </c>
      <c r="J272" s="22" t="str">
        <f t="shared" si="2"/>
        <v>#N/A</v>
      </c>
      <c r="K272" s="22" t="str">
        <f t="array" ref="K272">IF(H272="Crash",MATCH(TRUE, B273:B370 &gt;= B271, 0),"")</f>
        <v/>
      </c>
    </row>
    <row r="273" ht="15.75" customHeight="1">
      <c r="A273" s="31" t="str">
        <f>'EQUITY BACKTEST'!A276</f>
        <v/>
      </c>
      <c r="B273" s="22" t="str">
        <f>'EQUITY BACKTEST'!B276</f>
        <v/>
      </c>
      <c r="C273" s="22" t="str">
        <f>1/'EQUITY BACKTEST'!E276</f>
        <v>#DIV/0!</v>
      </c>
      <c r="D273" s="22" t="str">
        <f t="shared" si="5"/>
        <v>#DIV/0!</v>
      </c>
      <c r="E273" s="22" t="str">
        <f t="shared" si="3"/>
        <v/>
      </c>
      <c r="F273" s="22" t="str">
        <f t="shared" si="6"/>
        <v>#DIV/0!</v>
      </c>
      <c r="H273" s="22" t="str">
        <f t="shared" si="4"/>
        <v/>
      </c>
      <c r="I273" s="22" t="str">
        <f t="shared" si="1"/>
        <v>#N/A</v>
      </c>
      <c r="J273" s="22" t="str">
        <f t="shared" si="2"/>
        <v>#N/A</v>
      </c>
      <c r="K273" s="22" t="str">
        <f t="array" ref="K273">IF(H273="Crash",MATCH(TRUE, B274:B371 &gt;= B272, 0),"")</f>
        <v/>
      </c>
    </row>
    <row r="274" ht="15.75" customHeight="1">
      <c r="A274" s="31" t="str">
        <f>'EQUITY BACKTEST'!A277</f>
        <v/>
      </c>
      <c r="B274" s="22" t="str">
        <f>'EQUITY BACKTEST'!B277</f>
        <v/>
      </c>
      <c r="C274" s="22" t="str">
        <f>1/'EQUITY BACKTEST'!E277</f>
        <v>#DIV/0!</v>
      </c>
      <c r="D274" s="22" t="str">
        <f t="shared" si="5"/>
        <v>#DIV/0!</v>
      </c>
      <c r="E274" s="22" t="str">
        <f t="shared" si="3"/>
        <v/>
      </c>
      <c r="F274" s="22" t="str">
        <f t="shared" si="6"/>
        <v>#DIV/0!</v>
      </c>
      <c r="H274" s="22" t="str">
        <f t="shared" si="4"/>
        <v/>
      </c>
      <c r="I274" s="22" t="str">
        <f t="shared" si="1"/>
        <v>#N/A</v>
      </c>
      <c r="J274" s="22" t="str">
        <f t="shared" si="2"/>
        <v>#N/A</v>
      </c>
      <c r="K274" s="22" t="str">
        <f t="array" ref="K274">IF(H274="Crash",MATCH(TRUE, B275:B372 &gt;= B273, 0),"")</f>
        <v/>
      </c>
    </row>
    <row r="275" ht="15.75" customHeight="1">
      <c r="A275" s="31" t="str">
        <f>'EQUITY BACKTEST'!A278</f>
        <v/>
      </c>
      <c r="B275" s="22" t="str">
        <f>'EQUITY BACKTEST'!B278</f>
        <v/>
      </c>
      <c r="C275" s="22" t="str">
        <f>1/'EQUITY BACKTEST'!E278</f>
        <v>#DIV/0!</v>
      </c>
      <c r="D275" s="22" t="str">
        <f t="shared" si="5"/>
        <v>#DIV/0!</v>
      </c>
      <c r="E275" s="22" t="str">
        <f t="shared" si="3"/>
        <v/>
      </c>
      <c r="F275" s="22" t="str">
        <f t="shared" si="6"/>
        <v>#DIV/0!</v>
      </c>
      <c r="H275" s="22" t="str">
        <f t="shared" si="4"/>
        <v/>
      </c>
      <c r="I275" s="22" t="str">
        <f t="shared" si="1"/>
        <v>#N/A</v>
      </c>
      <c r="J275" s="22" t="str">
        <f t="shared" si="2"/>
        <v>#N/A</v>
      </c>
      <c r="K275" s="22" t="str">
        <f t="array" ref="K275">IF(H275="Crash",MATCH(TRUE, B276:B373 &gt;= B274, 0),"")</f>
        <v/>
      </c>
    </row>
    <row r="276" ht="15.75" customHeight="1">
      <c r="A276" s="31" t="str">
        <f>'EQUITY BACKTEST'!A279</f>
        <v/>
      </c>
      <c r="B276" s="22" t="str">
        <f>'EQUITY BACKTEST'!B279</f>
        <v/>
      </c>
      <c r="C276" s="22" t="str">
        <f>1/'EQUITY BACKTEST'!E279</f>
        <v>#DIV/0!</v>
      </c>
      <c r="D276" s="22" t="str">
        <f t="shared" si="5"/>
        <v>#DIV/0!</v>
      </c>
      <c r="E276" s="22" t="str">
        <f t="shared" si="3"/>
        <v/>
      </c>
      <c r="F276" s="22" t="str">
        <f t="shared" si="6"/>
        <v>#DIV/0!</v>
      </c>
      <c r="H276" s="22" t="str">
        <f t="shared" si="4"/>
        <v/>
      </c>
      <c r="I276" s="22" t="str">
        <f t="shared" si="1"/>
        <v>#N/A</v>
      </c>
      <c r="J276" s="22" t="str">
        <f t="shared" si="2"/>
        <v>#N/A</v>
      </c>
      <c r="K276" s="22" t="str">
        <f t="array" ref="K276">IF(H276="Crash",MATCH(TRUE, B277:B374 &gt;= B275, 0),"")</f>
        <v/>
      </c>
    </row>
    <row r="277" ht="15.75" customHeight="1">
      <c r="A277" s="31" t="str">
        <f>'EQUITY BACKTEST'!A280</f>
        <v/>
      </c>
      <c r="B277" s="22" t="str">
        <f>'EQUITY BACKTEST'!B280</f>
        <v/>
      </c>
      <c r="C277" s="22" t="str">
        <f>1/'EQUITY BACKTEST'!E280</f>
        <v>#DIV/0!</v>
      </c>
      <c r="D277" s="22" t="str">
        <f t="shared" si="5"/>
        <v>#DIV/0!</v>
      </c>
      <c r="E277" s="22" t="str">
        <f t="shared" si="3"/>
        <v/>
      </c>
      <c r="F277" s="22" t="str">
        <f t="shared" si="6"/>
        <v>#DIV/0!</v>
      </c>
      <c r="H277" s="22" t="str">
        <f t="shared" si="4"/>
        <v/>
      </c>
      <c r="I277" s="22" t="str">
        <f t="shared" si="1"/>
        <v>#N/A</v>
      </c>
      <c r="J277" s="22" t="str">
        <f t="shared" si="2"/>
        <v>#N/A</v>
      </c>
      <c r="K277" s="22" t="str">
        <f t="array" ref="K277">IF(H277="Crash",MATCH(TRUE, B278:B375 &gt;= B276, 0),"")</f>
        <v/>
      </c>
    </row>
    <row r="278" ht="15.75" customHeight="1">
      <c r="A278" s="31" t="str">
        <f>'EQUITY BACKTEST'!A281</f>
        <v/>
      </c>
      <c r="B278" s="22" t="str">
        <f>'EQUITY BACKTEST'!B281</f>
        <v/>
      </c>
      <c r="C278" s="22" t="str">
        <f>1/'EQUITY BACKTEST'!E281</f>
        <v>#DIV/0!</v>
      </c>
      <c r="D278" s="22" t="str">
        <f t="shared" si="5"/>
        <v>#DIV/0!</v>
      </c>
      <c r="E278" s="22" t="str">
        <f t="shared" si="3"/>
        <v/>
      </c>
      <c r="F278" s="22" t="str">
        <f t="shared" si="6"/>
        <v>#DIV/0!</v>
      </c>
      <c r="H278" s="22" t="str">
        <f t="shared" si="4"/>
        <v/>
      </c>
      <c r="I278" s="22" t="str">
        <f t="shared" si="1"/>
        <v>#N/A</v>
      </c>
      <c r="J278" s="22" t="str">
        <f t="shared" si="2"/>
        <v>#N/A</v>
      </c>
      <c r="K278" s="22" t="str">
        <f t="array" ref="K278">IF(H278="Crash",MATCH(TRUE, B279:B376 &gt;= B277, 0),"")</f>
        <v/>
      </c>
    </row>
    <row r="279" ht="15.75" customHeight="1">
      <c r="A279" s="31" t="str">
        <f>'EQUITY BACKTEST'!A282</f>
        <v/>
      </c>
      <c r="B279" s="22" t="str">
        <f>'EQUITY BACKTEST'!B282</f>
        <v/>
      </c>
      <c r="C279" s="22" t="str">
        <f>1/'EQUITY BACKTEST'!E282</f>
        <v>#DIV/0!</v>
      </c>
      <c r="D279" s="22" t="str">
        <f t="shared" si="5"/>
        <v>#DIV/0!</v>
      </c>
      <c r="E279" s="22" t="str">
        <f t="shared" si="3"/>
        <v/>
      </c>
      <c r="F279" s="22" t="str">
        <f t="shared" si="6"/>
        <v>#DIV/0!</v>
      </c>
      <c r="H279" s="22" t="str">
        <f t="shared" si="4"/>
        <v/>
      </c>
      <c r="I279" s="22" t="str">
        <f t="shared" si="1"/>
        <v>#N/A</v>
      </c>
      <c r="J279" s="22" t="str">
        <f t="shared" si="2"/>
        <v>#N/A</v>
      </c>
      <c r="K279" s="22" t="str">
        <f t="array" ref="K279">IF(H279="Crash",MATCH(TRUE, B280:B377 &gt;= B278, 0),"")</f>
        <v/>
      </c>
    </row>
    <row r="280" ht="15.75" customHeight="1">
      <c r="A280" s="31" t="str">
        <f>'EQUITY BACKTEST'!A283</f>
        <v/>
      </c>
      <c r="B280" s="22" t="str">
        <f>'EQUITY BACKTEST'!B283</f>
        <v/>
      </c>
      <c r="C280" s="22" t="str">
        <f>1/'EQUITY BACKTEST'!E283</f>
        <v>#DIV/0!</v>
      </c>
      <c r="D280" s="22" t="str">
        <f t="shared" si="5"/>
        <v>#DIV/0!</v>
      </c>
      <c r="E280" s="22" t="str">
        <f t="shared" si="3"/>
        <v/>
      </c>
      <c r="F280" s="22" t="str">
        <f t="shared" si="6"/>
        <v>#DIV/0!</v>
      </c>
      <c r="H280" s="22" t="str">
        <f t="shared" si="4"/>
        <v/>
      </c>
      <c r="I280" s="22" t="str">
        <f t="shared" si="1"/>
        <v>#N/A</v>
      </c>
      <c r="J280" s="22" t="str">
        <f t="shared" si="2"/>
        <v>#N/A</v>
      </c>
      <c r="K280" s="22" t="str">
        <f t="array" ref="K280">IF(H280="Crash",MATCH(TRUE, B281:B378 &gt;= B279, 0),"")</f>
        <v/>
      </c>
    </row>
    <row r="281" ht="15.75" customHeight="1">
      <c r="A281" s="31" t="str">
        <f>'EQUITY BACKTEST'!A284</f>
        <v/>
      </c>
      <c r="B281" s="22" t="str">
        <f>'EQUITY BACKTEST'!B284</f>
        <v/>
      </c>
      <c r="C281" s="22" t="str">
        <f>1/'EQUITY BACKTEST'!E284</f>
        <v>#DIV/0!</v>
      </c>
      <c r="D281" s="22" t="str">
        <f t="shared" si="5"/>
        <v>#DIV/0!</v>
      </c>
      <c r="E281" s="22" t="str">
        <f t="shared" si="3"/>
        <v/>
      </c>
      <c r="F281" s="22" t="str">
        <f t="shared" si="6"/>
        <v>#DIV/0!</v>
      </c>
      <c r="H281" s="22" t="str">
        <f t="shared" si="4"/>
        <v/>
      </c>
      <c r="I281" s="22" t="str">
        <f t="shared" si="1"/>
        <v>#N/A</v>
      </c>
      <c r="J281" s="22" t="str">
        <f t="shared" si="2"/>
        <v>#N/A</v>
      </c>
      <c r="K281" s="22" t="str">
        <f t="array" ref="K281">IF(H281="Crash",MATCH(TRUE, B282:B379 &gt;= B280, 0),"")</f>
        <v/>
      </c>
    </row>
    <row r="282" ht="15.75" customHeight="1">
      <c r="A282" s="31" t="str">
        <f>'EQUITY BACKTEST'!A285</f>
        <v/>
      </c>
      <c r="B282" s="22" t="str">
        <f>'EQUITY BACKTEST'!B285</f>
        <v/>
      </c>
      <c r="C282" s="22" t="str">
        <f>1/'EQUITY BACKTEST'!E285</f>
        <v>#DIV/0!</v>
      </c>
      <c r="D282" s="22" t="str">
        <f t="shared" si="5"/>
        <v>#DIV/0!</v>
      </c>
      <c r="E282" s="22" t="str">
        <f t="shared" si="3"/>
        <v/>
      </c>
      <c r="F282" s="22" t="str">
        <f t="shared" si="6"/>
        <v>#DIV/0!</v>
      </c>
      <c r="H282" s="22" t="str">
        <f t="shared" si="4"/>
        <v/>
      </c>
      <c r="I282" s="22" t="str">
        <f t="shared" si="1"/>
        <v>#N/A</v>
      </c>
      <c r="J282" s="22" t="str">
        <f t="shared" si="2"/>
        <v>#N/A</v>
      </c>
      <c r="K282" s="22" t="str">
        <f t="array" ref="K282">IF(H282="Crash",MATCH(TRUE, B283:B380 &gt;= B281, 0),"")</f>
        <v/>
      </c>
    </row>
    <row r="283" ht="15.75" customHeight="1">
      <c r="A283" s="31" t="str">
        <f>'EQUITY BACKTEST'!A286</f>
        <v/>
      </c>
      <c r="B283" s="22" t="str">
        <f>'EQUITY BACKTEST'!B286</f>
        <v/>
      </c>
      <c r="C283" s="22" t="str">
        <f>1/'EQUITY BACKTEST'!E286</f>
        <v>#DIV/0!</v>
      </c>
      <c r="D283" s="22" t="str">
        <f t="shared" si="5"/>
        <v>#DIV/0!</v>
      </c>
      <c r="E283" s="22" t="str">
        <f t="shared" si="3"/>
        <v/>
      </c>
      <c r="F283" s="22" t="str">
        <f t="shared" si="6"/>
        <v>#DIV/0!</v>
      </c>
      <c r="H283" s="22" t="str">
        <f t="shared" si="4"/>
        <v/>
      </c>
      <c r="I283" s="22" t="str">
        <f t="shared" si="1"/>
        <v>#N/A</v>
      </c>
      <c r="J283" s="22" t="str">
        <f t="shared" si="2"/>
        <v>#N/A</v>
      </c>
      <c r="K283" s="22" t="str">
        <f t="array" ref="K283">IF(H283="Crash",MATCH(TRUE, B284:B381 &gt;= B282, 0),"")</f>
        <v/>
      </c>
    </row>
    <row r="284" ht="15.75" customHeight="1">
      <c r="A284" s="31" t="str">
        <f>'EQUITY BACKTEST'!A287</f>
        <v/>
      </c>
      <c r="B284" s="22" t="str">
        <f>'EQUITY BACKTEST'!B287</f>
        <v/>
      </c>
      <c r="C284" s="22" t="str">
        <f>1/'EQUITY BACKTEST'!E287</f>
        <v>#DIV/0!</v>
      </c>
      <c r="D284" s="22" t="str">
        <f t="shared" si="5"/>
        <v>#DIV/0!</v>
      </c>
      <c r="E284" s="22" t="str">
        <f t="shared" si="3"/>
        <v/>
      </c>
      <c r="F284" s="22" t="str">
        <f t="shared" si="6"/>
        <v>#DIV/0!</v>
      </c>
      <c r="H284" s="22" t="str">
        <f t="shared" si="4"/>
        <v/>
      </c>
      <c r="I284" s="22" t="str">
        <f t="shared" si="1"/>
        <v>#N/A</v>
      </c>
      <c r="J284" s="22" t="str">
        <f t="shared" si="2"/>
        <v>#N/A</v>
      </c>
      <c r="K284" s="22" t="str">
        <f t="array" ref="K284">IF(H284="Crash",MATCH(TRUE, B285:B382 &gt;= B283, 0),"")</f>
        <v/>
      </c>
    </row>
    <row r="285" ht="15.75" customHeight="1">
      <c r="A285" s="31" t="str">
        <f>'EQUITY BACKTEST'!A288</f>
        <v/>
      </c>
      <c r="B285" s="22" t="str">
        <f>'EQUITY BACKTEST'!B288</f>
        <v/>
      </c>
      <c r="C285" s="22" t="str">
        <f>1/'EQUITY BACKTEST'!E288</f>
        <v>#DIV/0!</v>
      </c>
      <c r="D285" s="22" t="str">
        <f t="shared" si="5"/>
        <v>#DIV/0!</v>
      </c>
      <c r="E285" s="22" t="str">
        <f t="shared" si="3"/>
        <v/>
      </c>
      <c r="F285" s="22" t="str">
        <f t="shared" si="6"/>
        <v>#DIV/0!</v>
      </c>
      <c r="H285" s="22" t="str">
        <f t="shared" si="4"/>
        <v/>
      </c>
      <c r="I285" s="22" t="str">
        <f t="shared" si="1"/>
        <v>#N/A</v>
      </c>
      <c r="J285" s="22" t="str">
        <f t="shared" si="2"/>
        <v>#N/A</v>
      </c>
      <c r="K285" s="22" t="str">
        <f t="array" ref="K285">IF(H285="Crash",MATCH(TRUE, B286:B383 &gt;= B284, 0),"")</f>
        <v/>
      </c>
    </row>
    <row r="286" ht="15.75" customHeight="1">
      <c r="A286" s="31" t="str">
        <f>'EQUITY BACKTEST'!A289</f>
        <v/>
      </c>
      <c r="B286" s="22" t="str">
        <f>'EQUITY BACKTEST'!B289</f>
        <v/>
      </c>
      <c r="C286" s="22" t="str">
        <f>1/'EQUITY BACKTEST'!E289</f>
        <v>#DIV/0!</v>
      </c>
      <c r="D286" s="22" t="str">
        <f t="shared" si="5"/>
        <v>#DIV/0!</v>
      </c>
      <c r="E286" s="22" t="str">
        <f t="shared" si="3"/>
        <v/>
      </c>
      <c r="F286" s="22" t="str">
        <f t="shared" si="6"/>
        <v>#DIV/0!</v>
      </c>
      <c r="H286" s="22" t="str">
        <f t="shared" si="4"/>
        <v/>
      </c>
      <c r="I286" s="22" t="str">
        <f t="shared" si="1"/>
        <v>#N/A</v>
      </c>
      <c r="J286" s="22" t="str">
        <f t="shared" si="2"/>
        <v>#N/A</v>
      </c>
      <c r="K286" s="22" t="str">
        <f t="array" ref="K286">IF(H286="Crash",MATCH(TRUE, B287:B384 &gt;= B285, 0),"")</f>
        <v/>
      </c>
    </row>
    <row r="287" ht="15.75" customHeight="1">
      <c r="A287" s="31" t="str">
        <f>'EQUITY BACKTEST'!A290</f>
        <v/>
      </c>
      <c r="B287" s="22" t="str">
        <f>'EQUITY BACKTEST'!B290</f>
        <v/>
      </c>
      <c r="C287" s="22" t="str">
        <f>1/'EQUITY BACKTEST'!E290</f>
        <v>#DIV/0!</v>
      </c>
      <c r="D287" s="22" t="str">
        <f t="shared" si="5"/>
        <v>#DIV/0!</v>
      </c>
      <c r="E287" s="22" t="str">
        <f t="shared" si="3"/>
        <v/>
      </c>
      <c r="F287" s="22" t="str">
        <f t="shared" si="6"/>
        <v>#DIV/0!</v>
      </c>
      <c r="H287" s="22" t="str">
        <f t="shared" si="4"/>
        <v/>
      </c>
      <c r="I287" s="22" t="str">
        <f t="shared" si="1"/>
        <v>#N/A</v>
      </c>
      <c r="J287" s="22" t="str">
        <f t="shared" si="2"/>
        <v>#N/A</v>
      </c>
      <c r="K287" s="22" t="str">
        <f t="array" ref="K287">IF(H287="Crash",MATCH(TRUE, B288:B385 &gt;= B286, 0),"")</f>
        <v/>
      </c>
    </row>
    <row r="288" ht="15.75" customHeight="1">
      <c r="A288" s="31" t="str">
        <f>'EQUITY BACKTEST'!A291</f>
        <v/>
      </c>
      <c r="B288" s="22" t="str">
        <f>'EQUITY BACKTEST'!B291</f>
        <v/>
      </c>
      <c r="C288" s="22" t="str">
        <f>1/'EQUITY BACKTEST'!E291</f>
        <v>#DIV/0!</v>
      </c>
      <c r="D288" s="22" t="str">
        <f t="shared" si="5"/>
        <v>#DIV/0!</v>
      </c>
      <c r="E288" s="22" t="str">
        <f t="shared" si="3"/>
        <v/>
      </c>
      <c r="F288" s="22" t="str">
        <f t="shared" si="6"/>
        <v>#DIV/0!</v>
      </c>
      <c r="H288" s="22" t="str">
        <f t="shared" si="4"/>
        <v/>
      </c>
      <c r="I288" s="22" t="str">
        <f t="shared" si="1"/>
        <v>#N/A</v>
      </c>
      <c r="J288" s="22" t="str">
        <f t="shared" si="2"/>
        <v>#N/A</v>
      </c>
      <c r="K288" s="22" t="str">
        <f t="array" ref="K288">IF(H288="Crash",MATCH(TRUE, B289:B386 &gt;= B287, 0),"")</f>
        <v/>
      </c>
    </row>
    <row r="289" ht="15.75" customHeight="1">
      <c r="A289" s="31" t="str">
        <f>'EQUITY BACKTEST'!A292</f>
        <v/>
      </c>
      <c r="B289" s="22" t="str">
        <f>'EQUITY BACKTEST'!B292</f>
        <v/>
      </c>
      <c r="C289" s="22" t="str">
        <f>1/'EQUITY BACKTEST'!E292</f>
        <v>#DIV/0!</v>
      </c>
      <c r="D289" s="22" t="str">
        <f t="shared" si="5"/>
        <v>#DIV/0!</v>
      </c>
      <c r="E289" s="22" t="str">
        <f t="shared" si="3"/>
        <v/>
      </c>
      <c r="F289" s="22" t="str">
        <f t="shared" si="6"/>
        <v>#DIV/0!</v>
      </c>
      <c r="H289" s="22" t="str">
        <f t="shared" si="4"/>
        <v/>
      </c>
      <c r="I289" s="22" t="str">
        <f t="shared" si="1"/>
        <v>#N/A</v>
      </c>
      <c r="J289" s="22" t="str">
        <f t="shared" si="2"/>
        <v>#N/A</v>
      </c>
      <c r="K289" s="22" t="str">
        <f t="array" ref="K289">IF(H289="Crash",MATCH(TRUE, B290:B387 &gt;= B288, 0),"")</f>
        <v/>
      </c>
    </row>
    <row r="290" ht="15.75" customHeight="1">
      <c r="A290" s="31" t="str">
        <f>'EQUITY BACKTEST'!A293</f>
        <v/>
      </c>
      <c r="B290" s="22" t="str">
        <f>'EQUITY BACKTEST'!B293</f>
        <v/>
      </c>
      <c r="C290" s="22" t="str">
        <f>1/'EQUITY BACKTEST'!E293</f>
        <v>#DIV/0!</v>
      </c>
      <c r="D290" s="22" t="str">
        <f t="shared" si="5"/>
        <v>#DIV/0!</v>
      </c>
      <c r="E290" s="22" t="str">
        <f t="shared" si="3"/>
        <v/>
      </c>
      <c r="F290" s="22" t="str">
        <f t="shared" si="6"/>
        <v>#DIV/0!</v>
      </c>
      <c r="H290" s="22" t="str">
        <f t="shared" si="4"/>
        <v/>
      </c>
      <c r="I290" s="22" t="str">
        <f t="shared" si="1"/>
        <v>#N/A</v>
      </c>
      <c r="J290" s="22" t="str">
        <f t="shared" si="2"/>
        <v>#N/A</v>
      </c>
      <c r="K290" s="22" t="str">
        <f t="array" ref="K290">IF(H290="Crash",MATCH(TRUE, B291:B388 &gt;= B289, 0),"")</f>
        <v/>
      </c>
    </row>
    <row r="291" ht="15.75" customHeight="1">
      <c r="A291" s="31" t="str">
        <f>'EQUITY BACKTEST'!A294</f>
        <v/>
      </c>
      <c r="B291" s="22" t="str">
        <f>'EQUITY BACKTEST'!B294</f>
        <v/>
      </c>
      <c r="C291" s="22" t="str">
        <f>1/'EQUITY BACKTEST'!E294</f>
        <v>#DIV/0!</v>
      </c>
      <c r="D291" s="22" t="str">
        <f t="shared" si="5"/>
        <v>#DIV/0!</v>
      </c>
      <c r="E291" s="22" t="str">
        <f t="shared" si="3"/>
        <v/>
      </c>
      <c r="F291" s="22" t="str">
        <f t="shared" si="6"/>
        <v>#DIV/0!</v>
      </c>
      <c r="H291" s="22" t="str">
        <f t="shared" si="4"/>
        <v/>
      </c>
      <c r="I291" s="22" t="str">
        <f t="shared" si="1"/>
        <v>#N/A</v>
      </c>
      <c r="J291" s="22" t="str">
        <f t="shared" si="2"/>
        <v>#N/A</v>
      </c>
      <c r="K291" s="22" t="str">
        <f t="array" ref="K291">IF(H291="Crash",MATCH(TRUE, B292:B389 &gt;= B290, 0),"")</f>
        <v/>
      </c>
    </row>
    <row r="292" ht="15.75" customHeight="1">
      <c r="A292" s="31" t="str">
        <f>'EQUITY BACKTEST'!A295</f>
        <v/>
      </c>
      <c r="B292" s="22" t="str">
        <f>'EQUITY BACKTEST'!B295</f>
        <v/>
      </c>
      <c r="C292" s="22" t="str">
        <f>1/'EQUITY BACKTEST'!E295</f>
        <v>#DIV/0!</v>
      </c>
      <c r="D292" s="22" t="str">
        <f t="shared" si="5"/>
        <v>#DIV/0!</v>
      </c>
      <c r="E292" s="22" t="str">
        <f t="shared" si="3"/>
        <v/>
      </c>
      <c r="F292" s="22" t="str">
        <f t="shared" si="6"/>
        <v>#DIV/0!</v>
      </c>
      <c r="H292" s="22" t="str">
        <f t="shared" si="4"/>
        <v/>
      </c>
      <c r="I292" s="22" t="str">
        <f t="shared" si="1"/>
        <v>#N/A</v>
      </c>
      <c r="J292" s="22" t="str">
        <f t="shared" si="2"/>
        <v>#N/A</v>
      </c>
      <c r="K292" s="22" t="str">
        <f t="array" ref="K292">IF(H292="Crash",MATCH(TRUE, B293:B390 &gt;= B291, 0),"")</f>
        <v/>
      </c>
    </row>
    <row r="293" ht="15.75" customHeight="1">
      <c r="A293" s="31" t="str">
        <f>'EQUITY BACKTEST'!A296</f>
        <v/>
      </c>
      <c r="B293" s="22" t="str">
        <f>'EQUITY BACKTEST'!B296</f>
        <v/>
      </c>
      <c r="C293" s="22" t="str">
        <f>1/'EQUITY BACKTEST'!E296</f>
        <v>#DIV/0!</v>
      </c>
      <c r="D293" s="22" t="str">
        <f t="shared" si="5"/>
        <v>#DIV/0!</v>
      </c>
      <c r="E293" s="22" t="str">
        <f t="shared" si="3"/>
        <v/>
      </c>
      <c r="F293" s="22" t="str">
        <f t="shared" si="6"/>
        <v>#DIV/0!</v>
      </c>
      <c r="H293" s="22" t="str">
        <f t="shared" si="4"/>
        <v/>
      </c>
      <c r="I293" s="22" t="str">
        <f t="shared" si="1"/>
        <v>#N/A</v>
      </c>
      <c r="J293" s="22" t="str">
        <f t="shared" si="2"/>
        <v>#N/A</v>
      </c>
      <c r="K293" s="22" t="str">
        <f t="array" ref="K293">IF(H293="Crash",MATCH(TRUE, B294:B391 &gt;= B292, 0),"")</f>
        <v/>
      </c>
    </row>
    <row r="294" ht="15.75" customHeight="1">
      <c r="A294" s="31" t="str">
        <f>'EQUITY BACKTEST'!A297</f>
        <v/>
      </c>
      <c r="B294" s="22" t="str">
        <f>'EQUITY BACKTEST'!B297</f>
        <v/>
      </c>
      <c r="C294" s="22" t="str">
        <f>1/'EQUITY BACKTEST'!E297</f>
        <v>#DIV/0!</v>
      </c>
      <c r="D294" s="22" t="str">
        <f t="shared" si="5"/>
        <v>#DIV/0!</v>
      </c>
      <c r="E294" s="22" t="str">
        <f t="shared" si="3"/>
        <v/>
      </c>
      <c r="F294" s="22" t="str">
        <f t="shared" si="6"/>
        <v>#DIV/0!</v>
      </c>
      <c r="H294" s="22" t="str">
        <f t="shared" si="4"/>
        <v/>
      </c>
      <c r="I294" s="22" t="str">
        <f t="shared" si="1"/>
        <v>#N/A</v>
      </c>
      <c r="J294" s="22" t="str">
        <f t="shared" si="2"/>
        <v>#N/A</v>
      </c>
      <c r="K294" s="22" t="str">
        <f t="array" ref="K294">IF(H294="Crash",MATCH(TRUE, B295:B392 &gt;= B293, 0),"")</f>
        <v/>
      </c>
    </row>
    <row r="295" ht="15.75" customHeight="1">
      <c r="A295" s="31" t="str">
        <f>'EQUITY BACKTEST'!A298</f>
        <v/>
      </c>
      <c r="B295" s="22" t="str">
        <f>'EQUITY BACKTEST'!B298</f>
        <v/>
      </c>
      <c r="C295" s="22" t="str">
        <f>1/'EQUITY BACKTEST'!E298</f>
        <v>#DIV/0!</v>
      </c>
      <c r="D295" s="22" t="str">
        <f t="shared" si="5"/>
        <v>#DIV/0!</v>
      </c>
      <c r="E295" s="22" t="str">
        <f t="shared" si="3"/>
        <v/>
      </c>
      <c r="F295" s="22" t="str">
        <f t="shared" si="6"/>
        <v>#DIV/0!</v>
      </c>
      <c r="H295" s="22" t="str">
        <f t="shared" si="4"/>
        <v/>
      </c>
      <c r="I295" s="22" t="str">
        <f t="shared" si="1"/>
        <v>#N/A</v>
      </c>
      <c r="J295" s="22" t="str">
        <f t="shared" si="2"/>
        <v>#N/A</v>
      </c>
      <c r="K295" s="22" t="str">
        <f t="array" ref="K295">IF(H295="Crash",MATCH(TRUE, B296:B393 &gt;= B294, 0),"")</f>
        <v/>
      </c>
    </row>
    <row r="296" ht="15.75" customHeight="1">
      <c r="A296" s="31" t="str">
        <f>'EQUITY BACKTEST'!A299</f>
        <v/>
      </c>
      <c r="B296" s="22" t="str">
        <f>'EQUITY BACKTEST'!B299</f>
        <v/>
      </c>
      <c r="C296" s="22" t="str">
        <f>1/'EQUITY BACKTEST'!E299</f>
        <v>#DIV/0!</v>
      </c>
      <c r="D296" s="22" t="str">
        <f t="shared" si="5"/>
        <v>#DIV/0!</v>
      </c>
      <c r="E296" s="22" t="str">
        <f t="shared" si="3"/>
        <v/>
      </c>
      <c r="F296" s="22" t="str">
        <f t="shared" si="6"/>
        <v>#DIV/0!</v>
      </c>
      <c r="H296" s="22" t="str">
        <f t="shared" si="4"/>
        <v/>
      </c>
      <c r="I296" s="22" t="str">
        <f t="shared" si="1"/>
        <v>#N/A</v>
      </c>
      <c r="J296" s="22" t="str">
        <f t="shared" si="2"/>
        <v>#N/A</v>
      </c>
      <c r="K296" s="22" t="str">
        <f t="array" ref="K296">IF(H296="Crash",MATCH(TRUE, B297:B394 &gt;= B295, 0),"")</f>
        <v/>
      </c>
    </row>
    <row r="297" ht="15.75" customHeight="1">
      <c r="A297" s="31" t="str">
        <f>'EQUITY BACKTEST'!A300</f>
        <v/>
      </c>
      <c r="B297" s="22" t="str">
        <f>'EQUITY BACKTEST'!B300</f>
        <v/>
      </c>
      <c r="C297" s="22" t="str">
        <f>1/'EQUITY BACKTEST'!E300</f>
        <v>#DIV/0!</v>
      </c>
      <c r="D297" s="22" t="str">
        <f t="shared" si="5"/>
        <v>#DIV/0!</v>
      </c>
      <c r="E297" s="22" t="str">
        <f t="shared" si="3"/>
        <v/>
      </c>
      <c r="F297" s="22" t="str">
        <f t="shared" si="6"/>
        <v>#DIV/0!</v>
      </c>
      <c r="H297" s="22" t="str">
        <f t="shared" si="4"/>
        <v/>
      </c>
      <c r="I297" s="22" t="str">
        <f t="shared" si="1"/>
        <v>#N/A</v>
      </c>
      <c r="J297" s="22" t="str">
        <f t="shared" si="2"/>
        <v>#N/A</v>
      </c>
      <c r="K297" s="22" t="str">
        <f t="array" ref="K297">IF(H297="Crash",MATCH(TRUE, B298:B395 &gt;= B296, 0),"")</f>
        <v/>
      </c>
    </row>
    <row r="298" ht="15.75" customHeight="1">
      <c r="A298" s="31" t="str">
        <f>'EQUITY BACKTEST'!A301</f>
        <v/>
      </c>
      <c r="B298" s="22" t="str">
        <f>'EQUITY BACKTEST'!B301</f>
        <v/>
      </c>
      <c r="C298" s="22" t="str">
        <f>1/'EQUITY BACKTEST'!E301</f>
        <v>#DIV/0!</v>
      </c>
      <c r="D298" s="22" t="str">
        <f t="shared" si="5"/>
        <v>#DIV/0!</v>
      </c>
      <c r="E298" s="22" t="str">
        <f t="shared" si="3"/>
        <v/>
      </c>
      <c r="F298" s="22" t="str">
        <f t="shared" si="6"/>
        <v>#DIV/0!</v>
      </c>
      <c r="H298" s="22" t="str">
        <f t="shared" si="4"/>
        <v/>
      </c>
      <c r="I298" s="22" t="str">
        <f t="shared" si="1"/>
        <v>#N/A</v>
      </c>
      <c r="J298" s="22" t="str">
        <f t="shared" si="2"/>
        <v>#N/A</v>
      </c>
      <c r="K298" s="22" t="str">
        <f t="array" ref="K298">IF(H298="Crash",MATCH(TRUE, B299:B396 &gt;= B297, 0),"")</f>
        <v/>
      </c>
    </row>
    <row r="299" ht="15.75" customHeight="1">
      <c r="A299" s="31" t="str">
        <f>'EQUITY BACKTEST'!A302</f>
        <v/>
      </c>
      <c r="B299" s="22" t="str">
        <f>'EQUITY BACKTEST'!B302</f>
        <v/>
      </c>
      <c r="C299" s="22" t="str">
        <f>1/'EQUITY BACKTEST'!E302</f>
        <v>#DIV/0!</v>
      </c>
      <c r="D299" s="22" t="str">
        <f t="shared" si="5"/>
        <v>#DIV/0!</v>
      </c>
      <c r="E299" s="22" t="str">
        <f t="shared" si="3"/>
        <v/>
      </c>
      <c r="F299" s="22" t="str">
        <f t="shared" si="6"/>
        <v>#DIV/0!</v>
      </c>
      <c r="H299" s="22" t="str">
        <f t="shared" si="4"/>
        <v/>
      </c>
      <c r="I299" s="22" t="str">
        <f t="shared" si="1"/>
        <v>#N/A</v>
      </c>
      <c r="J299" s="22" t="str">
        <f t="shared" si="2"/>
        <v>#N/A</v>
      </c>
      <c r="K299" s="22" t="str">
        <f t="array" ref="K299">IF(H299="Crash",MATCH(TRUE, B300:B397 &gt;= B298, 0),"")</f>
        <v/>
      </c>
    </row>
    <row r="300" ht="15.75" customHeight="1">
      <c r="A300" s="31" t="str">
        <f>'EQUITY BACKTEST'!A303</f>
        <v/>
      </c>
      <c r="B300" s="22" t="str">
        <f>'EQUITY BACKTEST'!B303</f>
        <v/>
      </c>
      <c r="C300" s="22" t="str">
        <f>1/'EQUITY BACKTEST'!E303</f>
        <v>#DIV/0!</v>
      </c>
      <c r="D300" s="22" t="str">
        <f t="shared" si="5"/>
        <v>#DIV/0!</v>
      </c>
      <c r="E300" s="22" t="str">
        <f t="shared" si="3"/>
        <v/>
      </c>
      <c r="F300" s="22" t="str">
        <f t="shared" si="6"/>
        <v>#DIV/0!</v>
      </c>
      <c r="H300" s="22" t="str">
        <f t="shared" si="4"/>
        <v/>
      </c>
      <c r="I300" s="22" t="str">
        <f t="shared" si="1"/>
        <v>#N/A</v>
      </c>
      <c r="J300" s="22" t="str">
        <f t="shared" si="2"/>
        <v>#N/A</v>
      </c>
      <c r="K300" s="22" t="str">
        <f t="array" ref="K300">IF(H300="Crash",MATCH(TRUE, B301:B398 &gt;= B299, 0),"")</f>
        <v/>
      </c>
    </row>
    <row r="301" ht="15.75" customHeight="1">
      <c r="A301" s="31" t="str">
        <f>'EQUITY BACKTEST'!A304</f>
        <v/>
      </c>
      <c r="B301" s="22" t="str">
        <f>'EQUITY BACKTEST'!B304</f>
        <v/>
      </c>
      <c r="C301" s="22" t="str">
        <f>1/'EQUITY BACKTEST'!E304</f>
        <v>#DIV/0!</v>
      </c>
      <c r="D301" s="22" t="str">
        <f t="shared" si="5"/>
        <v>#DIV/0!</v>
      </c>
      <c r="E301" s="22" t="str">
        <f t="shared" si="3"/>
        <v/>
      </c>
      <c r="F301" s="22" t="str">
        <f t="shared" si="6"/>
        <v>#DIV/0!</v>
      </c>
      <c r="H301" s="22" t="str">
        <f t="shared" si="4"/>
        <v/>
      </c>
      <c r="I301" s="22" t="str">
        <f t="shared" si="1"/>
        <v>#N/A</v>
      </c>
      <c r="J301" s="22" t="str">
        <f t="shared" si="2"/>
        <v>#N/A</v>
      </c>
      <c r="K301" s="22" t="str">
        <f t="array" ref="K301">IF(H301="Crash",MATCH(TRUE, B302:B399 &gt;= B300, 0),"")</f>
        <v/>
      </c>
    </row>
    <row r="302" ht="15.75" customHeight="1">
      <c r="A302" s="31" t="str">
        <f>'EQUITY BACKTEST'!A305</f>
        <v/>
      </c>
      <c r="B302" s="22" t="str">
        <f>'EQUITY BACKTEST'!B305</f>
        <v/>
      </c>
      <c r="C302" s="22" t="str">
        <f>1/'EQUITY BACKTEST'!E305</f>
        <v>#DIV/0!</v>
      </c>
      <c r="D302" s="22" t="str">
        <f t="shared" si="5"/>
        <v>#DIV/0!</v>
      </c>
      <c r="E302" s="22" t="str">
        <f t="shared" si="3"/>
        <v/>
      </c>
      <c r="F302" s="22" t="str">
        <f t="shared" si="6"/>
        <v>#DIV/0!</v>
      </c>
      <c r="H302" s="22" t="str">
        <f t="shared" si="4"/>
        <v/>
      </c>
      <c r="I302" s="22" t="str">
        <f t="shared" si="1"/>
        <v>#N/A</v>
      </c>
      <c r="J302" s="22" t="str">
        <f t="shared" si="2"/>
        <v>#N/A</v>
      </c>
      <c r="K302" s="22" t="str">
        <f t="array" ref="K302">IF(H302="Crash",MATCH(TRUE, B303:B400 &gt;= B301, 0),"")</f>
        <v/>
      </c>
    </row>
    <row r="303" ht="15.75" customHeight="1">
      <c r="A303" s="31" t="str">
        <f>'EQUITY BACKTEST'!A306</f>
        <v/>
      </c>
      <c r="B303" s="22" t="str">
        <f>'EQUITY BACKTEST'!B306</f>
        <v/>
      </c>
      <c r="C303" s="22" t="str">
        <f>1/'EQUITY BACKTEST'!E306</f>
        <v>#DIV/0!</v>
      </c>
      <c r="D303" s="22" t="str">
        <f t="shared" si="5"/>
        <v>#DIV/0!</v>
      </c>
      <c r="E303" s="22" t="str">
        <f t="shared" si="3"/>
        <v/>
      </c>
      <c r="F303" s="22" t="str">
        <f t="shared" si="6"/>
        <v>#DIV/0!</v>
      </c>
      <c r="H303" s="22" t="str">
        <f t="shared" si="4"/>
        <v/>
      </c>
      <c r="I303" s="22" t="str">
        <f t="shared" si="1"/>
        <v>#N/A</v>
      </c>
      <c r="J303" s="22" t="str">
        <f t="shared" si="2"/>
        <v>#N/A</v>
      </c>
      <c r="K303" s="22" t="str">
        <f t="array" ref="K303">IF(H303="Crash",MATCH(TRUE, B304:B401 &gt;= B302, 0),"")</f>
        <v/>
      </c>
    </row>
    <row r="304" ht="15.75" customHeight="1">
      <c r="A304" s="31" t="str">
        <f>'EQUITY BACKTEST'!A307</f>
        <v/>
      </c>
      <c r="B304" s="22" t="str">
        <f>'EQUITY BACKTEST'!B307</f>
        <v/>
      </c>
      <c r="C304" s="22" t="str">
        <f>1/'EQUITY BACKTEST'!E307</f>
        <v>#DIV/0!</v>
      </c>
      <c r="D304" s="22" t="str">
        <f t="shared" si="5"/>
        <v>#DIV/0!</v>
      </c>
      <c r="E304" s="22" t="str">
        <f t="shared" si="3"/>
        <v/>
      </c>
      <c r="F304" s="22" t="str">
        <f t="shared" si="6"/>
        <v>#DIV/0!</v>
      </c>
      <c r="H304" s="22" t="str">
        <f t="shared" si="4"/>
        <v/>
      </c>
      <c r="I304" s="22" t="str">
        <f t="shared" si="1"/>
        <v>#N/A</v>
      </c>
      <c r="J304" s="22" t="str">
        <f t="shared" si="2"/>
        <v>#N/A</v>
      </c>
      <c r="K304" s="22" t="str">
        <f t="array" ref="K304">IF(H304="Crash",MATCH(TRUE, B305:B402 &gt;= B303, 0),"")</f>
        <v/>
      </c>
    </row>
    <row r="305" ht="15.75" customHeight="1">
      <c r="A305" s="31" t="str">
        <f>'EQUITY BACKTEST'!A308</f>
        <v/>
      </c>
      <c r="B305" s="22" t="str">
        <f>'EQUITY BACKTEST'!B308</f>
        <v/>
      </c>
      <c r="C305" s="22" t="str">
        <f>1/'EQUITY BACKTEST'!E308</f>
        <v>#DIV/0!</v>
      </c>
      <c r="D305" s="22" t="str">
        <f t="shared" si="5"/>
        <v>#DIV/0!</v>
      </c>
      <c r="E305" s="22" t="str">
        <f t="shared" si="3"/>
        <v/>
      </c>
      <c r="F305" s="22" t="str">
        <f t="shared" si="6"/>
        <v>#DIV/0!</v>
      </c>
      <c r="H305" s="22" t="str">
        <f t="shared" si="4"/>
        <v/>
      </c>
      <c r="I305" s="22" t="str">
        <f t="shared" si="1"/>
        <v>#N/A</v>
      </c>
      <c r="J305" s="22" t="str">
        <f t="shared" si="2"/>
        <v>#N/A</v>
      </c>
      <c r="K305" s="22" t="str">
        <f t="array" ref="K305">IF(H305="Crash",MATCH(TRUE, B306:B403 &gt;= B304, 0),"")</f>
        <v/>
      </c>
    </row>
    <row r="306" ht="15.75" customHeight="1">
      <c r="A306" s="31" t="str">
        <f>'EQUITY BACKTEST'!A309</f>
        <v/>
      </c>
      <c r="B306" s="22" t="str">
        <f>'EQUITY BACKTEST'!B309</f>
        <v/>
      </c>
      <c r="C306" s="22" t="str">
        <f>1/'EQUITY BACKTEST'!E309</f>
        <v>#DIV/0!</v>
      </c>
      <c r="D306" s="22" t="str">
        <f t="shared" si="5"/>
        <v>#DIV/0!</v>
      </c>
      <c r="E306" s="22" t="str">
        <f t="shared" si="3"/>
        <v/>
      </c>
      <c r="F306" s="22" t="str">
        <f t="shared" si="6"/>
        <v>#DIV/0!</v>
      </c>
      <c r="H306" s="22" t="str">
        <f t="shared" si="4"/>
        <v/>
      </c>
      <c r="I306" s="22" t="str">
        <f t="shared" si="1"/>
        <v>#N/A</v>
      </c>
      <c r="J306" s="22" t="str">
        <f t="shared" si="2"/>
        <v>#N/A</v>
      </c>
      <c r="K306" s="22" t="str">
        <f t="array" ref="K306">IF(H306="Crash",MATCH(TRUE, B307:B404 &gt;= B305, 0),"")</f>
        <v/>
      </c>
    </row>
    <row r="307" ht="15.75" customHeight="1">
      <c r="A307" s="31" t="str">
        <f>'EQUITY BACKTEST'!A310</f>
        <v/>
      </c>
      <c r="B307" s="22" t="str">
        <f>'EQUITY BACKTEST'!B310</f>
        <v/>
      </c>
      <c r="C307" s="22" t="str">
        <f>1/'EQUITY BACKTEST'!E310</f>
        <v>#DIV/0!</v>
      </c>
      <c r="D307" s="22" t="str">
        <f t="shared" si="5"/>
        <v>#DIV/0!</v>
      </c>
      <c r="E307" s="22" t="str">
        <f t="shared" si="3"/>
        <v/>
      </c>
      <c r="F307" s="22" t="str">
        <f t="shared" si="6"/>
        <v>#DIV/0!</v>
      </c>
      <c r="H307" s="22" t="str">
        <f t="shared" si="4"/>
        <v/>
      </c>
      <c r="I307" s="22" t="str">
        <f t="shared" si="1"/>
        <v>#N/A</v>
      </c>
      <c r="J307" s="22" t="str">
        <f t="shared" si="2"/>
        <v>#N/A</v>
      </c>
      <c r="K307" s="22" t="str">
        <f t="array" ref="K307">IF(H307="Crash",MATCH(TRUE, B308:B405 &gt;= B306, 0),"")</f>
        <v/>
      </c>
    </row>
    <row r="308" ht="15.75" customHeight="1">
      <c r="A308" s="31" t="str">
        <f>'EQUITY BACKTEST'!A311</f>
        <v/>
      </c>
      <c r="B308" s="22" t="str">
        <f>'EQUITY BACKTEST'!B311</f>
        <v/>
      </c>
      <c r="C308" s="22" t="str">
        <f>1/'EQUITY BACKTEST'!E311</f>
        <v>#DIV/0!</v>
      </c>
      <c r="D308" s="22" t="str">
        <f t="shared" si="5"/>
        <v>#DIV/0!</v>
      </c>
      <c r="E308" s="22" t="str">
        <f t="shared" si="3"/>
        <v/>
      </c>
      <c r="F308" s="22" t="str">
        <f t="shared" si="6"/>
        <v>#DIV/0!</v>
      </c>
      <c r="H308" s="22" t="str">
        <f t="shared" si="4"/>
        <v/>
      </c>
      <c r="I308" s="22" t="str">
        <f t="shared" si="1"/>
        <v>#N/A</v>
      </c>
      <c r="J308" s="22" t="str">
        <f t="shared" si="2"/>
        <v>#N/A</v>
      </c>
      <c r="K308" s="22" t="str">
        <f t="array" ref="K308">IF(H308="Crash",MATCH(TRUE, B309:B406 &gt;= B307, 0),"")</f>
        <v/>
      </c>
    </row>
    <row r="309" ht="15.75" customHeight="1">
      <c r="A309" s="31" t="str">
        <f>'EQUITY BACKTEST'!A312</f>
        <v/>
      </c>
      <c r="B309" s="22" t="str">
        <f>'EQUITY BACKTEST'!B312</f>
        <v/>
      </c>
      <c r="C309" s="22" t="str">
        <f>1/'EQUITY BACKTEST'!E312</f>
        <v>#DIV/0!</v>
      </c>
      <c r="D309" s="22" t="str">
        <f t="shared" si="5"/>
        <v>#DIV/0!</v>
      </c>
      <c r="E309" s="22" t="str">
        <f t="shared" si="3"/>
        <v/>
      </c>
      <c r="F309" s="22" t="str">
        <f t="shared" si="6"/>
        <v>#DIV/0!</v>
      </c>
      <c r="H309" s="22" t="str">
        <f t="shared" si="4"/>
        <v/>
      </c>
      <c r="I309" s="22" t="str">
        <f t="shared" si="1"/>
        <v>#N/A</v>
      </c>
      <c r="J309" s="22" t="str">
        <f t="shared" si="2"/>
        <v>#N/A</v>
      </c>
      <c r="K309" s="22" t="str">
        <f t="array" ref="K309">IF(H309="Crash",MATCH(TRUE, B310:B407 &gt;= B308, 0),"")</f>
        <v/>
      </c>
    </row>
    <row r="310" ht="15.75" customHeight="1">
      <c r="A310" s="31" t="str">
        <f>'EQUITY BACKTEST'!A313</f>
        <v/>
      </c>
      <c r="B310" s="22" t="str">
        <f>'EQUITY BACKTEST'!B313</f>
        <v/>
      </c>
      <c r="C310" s="22" t="str">
        <f>1/'EQUITY BACKTEST'!E313</f>
        <v>#DIV/0!</v>
      </c>
      <c r="D310" s="22" t="str">
        <f t="shared" si="5"/>
        <v>#DIV/0!</v>
      </c>
      <c r="E310" s="22" t="str">
        <f t="shared" si="3"/>
        <v/>
      </c>
      <c r="F310" s="22" t="str">
        <f t="shared" si="6"/>
        <v>#DIV/0!</v>
      </c>
      <c r="H310" s="22" t="str">
        <f t="shared" si="4"/>
        <v/>
      </c>
      <c r="I310" s="22" t="str">
        <f t="shared" si="1"/>
        <v>#N/A</v>
      </c>
      <c r="J310" s="22" t="str">
        <f t="shared" si="2"/>
        <v>#N/A</v>
      </c>
      <c r="K310" s="22" t="str">
        <f t="array" ref="K310">IF(H310="Crash",MATCH(TRUE, B311:B408 &gt;= B309, 0),"")</f>
        <v/>
      </c>
    </row>
    <row r="311" ht="15.75" customHeight="1">
      <c r="A311" s="31" t="str">
        <f>'EQUITY BACKTEST'!A314</f>
        <v/>
      </c>
      <c r="B311" s="22" t="str">
        <f>'EQUITY BACKTEST'!B314</f>
        <v/>
      </c>
      <c r="C311" s="22" t="str">
        <f>1/'EQUITY BACKTEST'!E314</f>
        <v>#DIV/0!</v>
      </c>
      <c r="D311" s="22" t="str">
        <f t="shared" si="5"/>
        <v>#DIV/0!</v>
      </c>
      <c r="E311" s="22" t="str">
        <f t="shared" si="3"/>
        <v/>
      </c>
      <c r="F311" s="22" t="str">
        <f t="shared" si="6"/>
        <v>#DIV/0!</v>
      </c>
      <c r="H311" s="22" t="str">
        <f t="shared" si="4"/>
        <v/>
      </c>
      <c r="I311" s="22" t="str">
        <f t="shared" si="1"/>
        <v>#N/A</v>
      </c>
      <c r="J311" s="22" t="str">
        <f t="shared" si="2"/>
        <v>#N/A</v>
      </c>
      <c r="K311" s="22" t="str">
        <f t="array" ref="K311">IF(H311="Crash",MATCH(TRUE, B312:B409 &gt;= B310, 0),"")</f>
        <v/>
      </c>
    </row>
    <row r="312" ht="15.75" customHeight="1">
      <c r="A312" s="31" t="str">
        <f>'EQUITY BACKTEST'!A315</f>
        <v/>
      </c>
      <c r="B312" s="22" t="str">
        <f>'EQUITY BACKTEST'!B315</f>
        <v/>
      </c>
      <c r="C312" s="22" t="str">
        <f>1/'EQUITY BACKTEST'!E315</f>
        <v>#DIV/0!</v>
      </c>
      <c r="D312" s="22" t="str">
        <f t="shared" si="5"/>
        <v>#DIV/0!</v>
      </c>
      <c r="E312" s="22" t="str">
        <f t="shared" si="3"/>
        <v/>
      </c>
      <c r="F312" s="22" t="str">
        <f t="shared" si="6"/>
        <v>#DIV/0!</v>
      </c>
      <c r="H312" s="22" t="str">
        <f t="shared" si="4"/>
        <v/>
      </c>
      <c r="I312" s="22" t="str">
        <f t="shared" si="1"/>
        <v>#N/A</v>
      </c>
      <c r="J312" s="22" t="str">
        <f t="shared" si="2"/>
        <v>#N/A</v>
      </c>
      <c r="K312" s="22" t="str">
        <f t="array" ref="K312">IF(H312="Crash",MATCH(TRUE, B313:B410 &gt;= B311, 0),"")</f>
        <v/>
      </c>
    </row>
    <row r="313" ht="15.75" customHeight="1">
      <c r="A313" s="31" t="str">
        <f>'EQUITY BACKTEST'!A316</f>
        <v/>
      </c>
      <c r="B313" s="22" t="str">
        <f>'EQUITY BACKTEST'!B316</f>
        <v/>
      </c>
      <c r="C313" s="22" t="str">
        <f>1/'EQUITY BACKTEST'!E316</f>
        <v>#DIV/0!</v>
      </c>
      <c r="D313" s="22" t="str">
        <f t="shared" si="5"/>
        <v>#DIV/0!</v>
      </c>
      <c r="E313" s="22" t="str">
        <f t="shared" si="3"/>
        <v/>
      </c>
      <c r="F313" s="22" t="str">
        <f t="shared" si="6"/>
        <v>#DIV/0!</v>
      </c>
      <c r="H313" s="22" t="str">
        <f t="shared" si="4"/>
        <v/>
      </c>
      <c r="I313" s="22" t="str">
        <f t="shared" si="1"/>
        <v>#N/A</v>
      </c>
      <c r="J313" s="22" t="str">
        <f t="shared" si="2"/>
        <v>#N/A</v>
      </c>
      <c r="K313" s="22" t="str">
        <f t="array" ref="K313">IF(H313="Crash",MATCH(TRUE, B314:B411 &gt;= B312, 0),"")</f>
        <v/>
      </c>
    </row>
    <row r="314" ht="15.75" customHeight="1">
      <c r="A314" s="31" t="str">
        <f>'EQUITY BACKTEST'!A317</f>
        <v/>
      </c>
      <c r="B314" s="22" t="str">
        <f>'EQUITY BACKTEST'!B317</f>
        <v/>
      </c>
      <c r="C314" s="22" t="str">
        <f>1/'EQUITY BACKTEST'!E317</f>
        <v>#DIV/0!</v>
      </c>
      <c r="D314" s="22" t="str">
        <f t="shared" si="5"/>
        <v>#DIV/0!</v>
      </c>
      <c r="E314" s="22" t="str">
        <f t="shared" si="3"/>
        <v/>
      </c>
      <c r="F314" s="22" t="str">
        <f t="shared" si="6"/>
        <v>#DIV/0!</v>
      </c>
      <c r="H314" s="22" t="str">
        <f t="shared" si="4"/>
        <v/>
      </c>
      <c r="I314" s="22" t="str">
        <f t="shared" si="1"/>
        <v>#N/A</v>
      </c>
      <c r="J314" s="22" t="str">
        <f t="shared" si="2"/>
        <v>#N/A</v>
      </c>
      <c r="K314" s="22" t="str">
        <f t="array" ref="K314">IF(H314="Crash",MATCH(TRUE, B315:B412 &gt;= B313, 0),"")</f>
        <v/>
      </c>
    </row>
    <row r="315" ht="15.75" customHeight="1">
      <c r="A315" s="31" t="str">
        <f>'EQUITY BACKTEST'!A318</f>
        <v/>
      </c>
      <c r="B315" s="22" t="str">
        <f>'EQUITY BACKTEST'!B318</f>
        <v/>
      </c>
      <c r="C315" s="22" t="str">
        <f>1/'EQUITY BACKTEST'!E318</f>
        <v>#DIV/0!</v>
      </c>
      <c r="D315" s="22" t="str">
        <f t="shared" si="5"/>
        <v>#DIV/0!</v>
      </c>
      <c r="E315" s="22" t="str">
        <f t="shared" si="3"/>
        <v/>
      </c>
      <c r="F315" s="22" t="str">
        <f t="shared" si="6"/>
        <v>#DIV/0!</v>
      </c>
      <c r="H315" s="22" t="str">
        <f t="shared" si="4"/>
        <v/>
      </c>
      <c r="I315" s="22" t="str">
        <f t="shared" si="1"/>
        <v>#N/A</v>
      </c>
      <c r="J315" s="22" t="str">
        <f t="shared" si="2"/>
        <v>#N/A</v>
      </c>
      <c r="K315" s="22" t="str">
        <f t="array" ref="K315">IF(H315="Crash",MATCH(TRUE, B316:B413 &gt;= B314, 0),"")</f>
        <v/>
      </c>
    </row>
    <row r="316" ht="15.75" customHeight="1">
      <c r="A316" s="31" t="str">
        <f>'EQUITY BACKTEST'!A319</f>
        <v/>
      </c>
      <c r="B316" s="22" t="str">
        <f>'EQUITY BACKTEST'!B319</f>
        <v/>
      </c>
      <c r="C316" s="22" t="str">
        <f>1/'EQUITY BACKTEST'!E319</f>
        <v>#DIV/0!</v>
      </c>
      <c r="D316" s="22" t="str">
        <f t="shared" si="5"/>
        <v>#DIV/0!</v>
      </c>
      <c r="E316" s="22" t="str">
        <f t="shared" si="3"/>
        <v/>
      </c>
      <c r="F316" s="22" t="str">
        <f t="shared" si="6"/>
        <v>#DIV/0!</v>
      </c>
      <c r="H316" s="22" t="str">
        <f t="shared" si="4"/>
        <v/>
      </c>
      <c r="I316" s="22" t="str">
        <f t="shared" si="1"/>
        <v>#N/A</v>
      </c>
      <c r="J316" s="22" t="str">
        <f t="shared" si="2"/>
        <v>#N/A</v>
      </c>
      <c r="K316" s="22" t="str">
        <f t="array" ref="K316">IF(H316="Crash",MATCH(TRUE, B317:B414 &gt;= B315, 0),"")</f>
        <v/>
      </c>
    </row>
    <row r="317" ht="15.75" customHeight="1">
      <c r="A317" s="31" t="str">
        <f>'EQUITY BACKTEST'!A320</f>
        <v/>
      </c>
      <c r="B317" s="22" t="str">
        <f>'EQUITY BACKTEST'!B320</f>
        <v/>
      </c>
      <c r="C317" s="22" t="str">
        <f>1/'EQUITY BACKTEST'!E320</f>
        <v>#DIV/0!</v>
      </c>
      <c r="D317" s="22" t="str">
        <f t="shared" si="5"/>
        <v>#DIV/0!</v>
      </c>
      <c r="E317" s="22" t="str">
        <f t="shared" si="3"/>
        <v/>
      </c>
      <c r="F317" s="22" t="str">
        <f t="shared" si="6"/>
        <v>#DIV/0!</v>
      </c>
      <c r="H317" s="22" t="str">
        <f t="shared" si="4"/>
        <v/>
      </c>
      <c r="I317" s="22" t="str">
        <f t="shared" si="1"/>
        <v>#N/A</v>
      </c>
      <c r="J317" s="22" t="str">
        <f t="shared" si="2"/>
        <v>#N/A</v>
      </c>
      <c r="K317" s="22" t="str">
        <f t="array" ref="K317">IF(H317="Crash",MATCH(TRUE, B318:B415 &gt;= B316, 0),"")</f>
        <v/>
      </c>
    </row>
    <row r="318" ht="15.75" customHeight="1">
      <c r="A318" s="31" t="str">
        <f>'EQUITY BACKTEST'!A321</f>
        <v/>
      </c>
      <c r="B318" s="22" t="str">
        <f>'EQUITY BACKTEST'!B321</f>
        <v/>
      </c>
      <c r="C318" s="22" t="str">
        <f>1/'EQUITY BACKTEST'!E321</f>
        <v>#DIV/0!</v>
      </c>
      <c r="D318" s="22" t="str">
        <f t="shared" si="5"/>
        <v>#DIV/0!</v>
      </c>
      <c r="E318" s="22" t="str">
        <f t="shared" si="3"/>
        <v/>
      </c>
      <c r="F318" s="22" t="str">
        <f t="shared" si="6"/>
        <v>#DIV/0!</v>
      </c>
      <c r="H318" s="22" t="str">
        <f t="shared" si="4"/>
        <v/>
      </c>
      <c r="I318" s="22" t="str">
        <f t="shared" si="1"/>
        <v>#N/A</v>
      </c>
      <c r="J318" s="22" t="str">
        <f t="shared" si="2"/>
        <v>#N/A</v>
      </c>
      <c r="K318" s="22" t="str">
        <f t="array" ref="K318">IF(H318="Crash",MATCH(TRUE, B319:B416 &gt;= B317, 0),"")</f>
        <v/>
      </c>
    </row>
    <row r="319" ht="15.75" customHeight="1">
      <c r="A319" s="31" t="str">
        <f>'EQUITY BACKTEST'!A322</f>
        <v/>
      </c>
      <c r="B319" s="22" t="str">
        <f>'EQUITY BACKTEST'!B322</f>
        <v/>
      </c>
      <c r="C319" s="22" t="str">
        <f>1/'EQUITY BACKTEST'!E322</f>
        <v>#DIV/0!</v>
      </c>
      <c r="D319" s="22" t="str">
        <f t="shared" si="5"/>
        <v>#DIV/0!</v>
      </c>
      <c r="E319" s="22" t="str">
        <f t="shared" si="3"/>
        <v/>
      </c>
      <c r="F319" s="22" t="str">
        <f t="shared" si="6"/>
        <v>#DIV/0!</v>
      </c>
      <c r="H319" s="22" t="str">
        <f t="shared" si="4"/>
        <v/>
      </c>
      <c r="I319" s="22" t="str">
        <f t="shared" si="1"/>
        <v>#N/A</v>
      </c>
      <c r="J319" s="22" t="str">
        <f t="shared" si="2"/>
        <v>#N/A</v>
      </c>
      <c r="K319" s="22" t="str">
        <f t="array" ref="K319">IF(H319="Crash",MATCH(TRUE, B320:B417 &gt;= B318, 0),"")</f>
        <v/>
      </c>
    </row>
    <row r="320" ht="15.75" customHeight="1">
      <c r="A320" s="31" t="str">
        <f>'EQUITY BACKTEST'!A323</f>
        <v/>
      </c>
      <c r="B320" s="22" t="str">
        <f>'EQUITY BACKTEST'!B323</f>
        <v/>
      </c>
      <c r="C320" s="22" t="str">
        <f>1/'EQUITY BACKTEST'!E323</f>
        <v>#DIV/0!</v>
      </c>
      <c r="D320" s="22" t="str">
        <f t="shared" si="5"/>
        <v>#DIV/0!</v>
      </c>
      <c r="E320" s="22" t="str">
        <f t="shared" si="3"/>
        <v/>
      </c>
      <c r="F320" s="22" t="str">
        <f t="shared" si="6"/>
        <v>#DIV/0!</v>
      </c>
      <c r="H320" s="22" t="str">
        <f t="shared" si="4"/>
        <v/>
      </c>
      <c r="I320" s="22" t="str">
        <f t="shared" si="1"/>
        <v>#N/A</v>
      </c>
      <c r="J320" s="22" t="str">
        <f t="shared" si="2"/>
        <v>#N/A</v>
      </c>
      <c r="K320" s="22" t="str">
        <f t="array" ref="K320">IF(H320="Crash",MATCH(TRUE, B321:B418 &gt;= B319, 0),"")</f>
        <v/>
      </c>
    </row>
    <row r="321" ht="15.75" customHeight="1">
      <c r="A321" s="31" t="str">
        <f>'EQUITY BACKTEST'!A324</f>
        <v/>
      </c>
      <c r="B321" s="22" t="str">
        <f>'EQUITY BACKTEST'!B324</f>
        <v/>
      </c>
      <c r="C321" s="22" t="str">
        <f>1/'EQUITY BACKTEST'!E324</f>
        <v>#DIV/0!</v>
      </c>
      <c r="D321" s="22" t="str">
        <f t="shared" si="5"/>
        <v>#DIV/0!</v>
      </c>
      <c r="E321" s="22" t="str">
        <f t="shared" si="3"/>
        <v/>
      </c>
      <c r="F321" s="22" t="str">
        <f t="shared" si="6"/>
        <v>#DIV/0!</v>
      </c>
      <c r="H321" s="22" t="str">
        <f t="shared" si="4"/>
        <v/>
      </c>
      <c r="I321" s="22" t="str">
        <f t="shared" si="1"/>
        <v>#N/A</v>
      </c>
      <c r="J321" s="22" t="str">
        <f t="shared" si="2"/>
        <v>#N/A</v>
      </c>
      <c r="K321" s="22" t="str">
        <f t="array" ref="K321">IF(H321="Crash",MATCH(TRUE, B322:B419 &gt;= B320, 0),"")</f>
        <v/>
      </c>
    </row>
    <row r="322" ht="15.75" customHeight="1">
      <c r="A322" s="31" t="str">
        <f>'EQUITY BACKTEST'!A325</f>
        <v/>
      </c>
      <c r="B322" s="22" t="str">
        <f>'EQUITY BACKTEST'!B325</f>
        <v/>
      </c>
      <c r="C322" s="22" t="str">
        <f>1/'EQUITY BACKTEST'!E325</f>
        <v>#DIV/0!</v>
      </c>
      <c r="D322" s="22" t="str">
        <f t="shared" si="5"/>
        <v>#DIV/0!</v>
      </c>
      <c r="E322" s="22" t="str">
        <f t="shared" si="3"/>
        <v/>
      </c>
      <c r="F322" s="22" t="str">
        <f t="shared" si="6"/>
        <v>#DIV/0!</v>
      </c>
      <c r="H322" s="22" t="str">
        <f t="shared" si="4"/>
        <v/>
      </c>
      <c r="I322" s="22" t="str">
        <f t="shared" si="1"/>
        <v>#N/A</v>
      </c>
      <c r="J322" s="22" t="str">
        <f t="shared" si="2"/>
        <v>#N/A</v>
      </c>
      <c r="K322" s="22" t="str">
        <f t="array" ref="K322">IF(H322="Crash",MATCH(TRUE, B323:B420 &gt;= B321, 0),"")</f>
        <v/>
      </c>
    </row>
    <row r="323" ht="15.75" customHeight="1">
      <c r="A323" s="31" t="str">
        <f>'EQUITY BACKTEST'!A326</f>
        <v/>
      </c>
      <c r="B323" s="22" t="str">
        <f>'EQUITY BACKTEST'!B326</f>
        <v/>
      </c>
      <c r="C323" s="22" t="str">
        <f>1/'EQUITY BACKTEST'!E326</f>
        <v>#DIV/0!</v>
      </c>
      <c r="D323" s="22" t="str">
        <f t="shared" si="5"/>
        <v>#DIV/0!</v>
      </c>
      <c r="E323" s="22" t="str">
        <f t="shared" si="3"/>
        <v/>
      </c>
      <c r="F323" s="22" t="str">
        <f t="shared" si="6"/>
        <v>#DIV/0!</v>
      </c>
      <c r="H323" s="22" t="str">
        <f t="shared" si="4"/>
        <v/>
      </c>
      <c r="I323" s="22" t="str">
        <f t="shared" si="1"/>
        <v>#N/A</v>
      </c>
      <c r="J323" s="22" t="str">
        <f t="shared" si="2"/>
        <v>#N/A</v>
      </c>
      <c r="K323" s="22" t="str">
        <f t="array" ref="K323">IF(H323="Crash",MATCH(TRUE, B324:B421 &gt;= B322, 0),"")</f>
        <v/>
      </c>
    </row>
    <row r="324" ht="15.75" customHeight="1">
      <c r="A324" s="31" t="str">
        <f>'EQUITY BACKTEST'!A327</f>
        <v/>
      </c>
      <c r="B324" s="22" t="str">
        <f>'EQUITY BACKTEST'!B327</f>
        <v/>
      </c>
      <c r="C324" s="22" t="str">
        <f>1/'EQUITY BACKTEST'!E327</f>
        <v>#DIV/0!</v>
      </c>
      <c r="D324" s="22" t="str">
        <f t="shared" si="5"/>
        <v>#DIV/0!</v>
      </c>
      <c r="E324" s="22" t="str">
        <f t="shared" si="3"/>
        <v/>
      </c>
      <c r="F324" s="22" t="str">
        <f t="shared" si="6"/>
        <v>#DIV/0!</v>
      </c>
      <c r="H324" s="22" t="str">
        <f t="shared" si="4"/>
        <v/>
      </c>
      <c r="I324" s="22" t="str">
        <f t="shared" si="1"/>
        <v>#N/A</v>
      </c>
      <c r="J324" s="22" t="str">
        <f t="shared" si="2"/>
        <v>#N/A</v>
      </c>
      <c r="K324" s="22" t="str">
        <f t="array" ref="K324">IF(H324="Crash",MATCH(TRUE, B325:B422 &gt;= B323, 0),"")</f>
        <v/>
      </c>
    </row>
    <row r="325" ht="15.75" customHeight="1">
      <c r="A325" s="31" t="str">
        <f>'EQUITY BACKTEST'!A328</f>
        <v/>
      </c>
      <c r="B325" s="22" t="str">
        <f>'EQUITY BACKTEST'!B328</f>
        <v/>
      </c>
      <c r="C325" s="22" t="str">
        <f>1/'EQUITY BACKTEST'!E328</f>
        <v>#DIV/0!</v>
      </c>
      <c r="D325" s="22" t="str">
        <f t="shared" si="5"/>
        <v>#DIV/0!</v>
      </c>
      <c r="E325" s="22" t="str">
        <f t="shared" si="3"/>
        <v/>
      </c>
      <c r="F325" s="22" t="str">
        <f t="shared" si="6"/>
        <v>#DIV/0!</v>
      </c>
      <c r="H325" s="22" t="str">
        <f t="shared" si="4"/>
        <v/>
      </c>
      <c r="I325" s="22" t="str">
        <f t="shared" si="1"/>
        <v>#N/A</v>
      </c>
      <c r="J325" s="22" t="str">
        <f t="shared" si="2"/>
        <v>#N/A</v>
      </c>
      <c r="K325" s="22" t="str">
        <f t="array" ref="K325">IF(H325="Crash",MATCH(TRUE, B326:B423 &gt;= B324, 0),"")</f>
        <v/>
      </c>
    </row>
    <row r="326" ht="15.75" customHeight="1">
      <c r="A326" s="31" t="str">
        <f>'EQUITY BACKTEST'!A329</f>
        <v/>
      </c>
      <c r="B326" s="22" t="str">
        <f>'EQUITY BACKTEST'!B329</f>
        <v/>
      </c>
      <c r="C326" s="22" t="str">
        <f>1/'EQUITY BACKTEST'!E329</f>
        <v>#DIV/0!</v>
      </c>
      <c r="D326" s="22" t="str">
        <f t="shared" si="5"/>
        <v>#DIV/0!</v>
      </c>
      <c r="E326" s="22" t="str">
        <f t="shared" si="3"/>
        <v/>
      </c>
      <c r="F326" s="22" t="str">
        <f t="shared" si="6"/>
        <v>#DIV/0!</v>
      </c>
      <c r="H326" s="22" t="str">
        <f t="shared" si="4"/>
        <v/>
      </c>
      <c r="I326" s="22" t="str">
        <f t="shared" si="1"/>
        <v>#N/A</v>
      </c>
      <c r="J326" s="22" t="str">
        <f t="shared" si="2"/>
        <v>#N/A</v>
      </c>
      <c r="K326" s="22" t="str">
        <f t="array" ref="K326">IF(H326="Crash",MATCH(TRUE, B327:B424 &gt;= B325, 0),"")</f>
        <v/>
      </c>
    </row>
    <row r="327" ht="15.75" customHeight="1">
      <c r="A327" s="31" t="str">
        <f>'EQUITY BACKTEST'!A330</f>
        <v/>
      </c>
      <c r="B327" s="22" t="str">
        <f>'EQUITY BACKTEST'!B330</f>
        <v/>
      </c>
      <c r="C327" s="22" t="str">
        <f>1/'EQUITY BACKTEST'!E330</f>
        <v>#DIV/0!</v>
      </c>
      <c r="D327" s="22" t="str">
        <f t="shared" si="5"/>
        <v>#DIV/0!</v>
      </c>
      <c r="E327" s="22" t="str">
        <f t="shared" si="3"/>
        <v/>
      </c>
      <c r="F327" s="22" t="str">
        <f t="shared" si="6"/>
        <v>#DIV/0!</v>
      </c>
      <c r="H327" s="22" t="str">
        <f t="shared" si="4"/>
        <v/>
      </c>
      <c r="I327" s="22" t="str">
        <f t="shared" si="1"/>
        <v>#N/A</v>
      </c>
      <c r="J327" s="22" t="str">
        <f t="shared" si="2"/>
        <v>#N/A</v>
      </c>
      <c r="K327" s="22" t="str">
        <f t="array" ref="K327">IF(H327="Crash",MATCH(TRUE, B328:B425 &gt;= B326, 0),"")</f>
        <v/>
      </c>
    </row>
    <row r="328" ht="15.75" customHeight="1">
      <c r="A328" s="31" t="str">
        <f>'EQUITY BACKTEST'!A331</f>
        <v/>
      </c>
      <c r="B328" s="22" t="str">
        <f>'EQUITY BACKTEST'!B331</f>
        <v/>
      </c>
      <c r="C328" s="22" t="str">
        <f>1/'EQUITY BACKTEST'!E331</f>
        <v>#DIV/0!</v>
      </c>
      <c r="D328" s="22" t="str">
        <f t="shared" si="5"/>
        <v>#DIV/0!</v>
      </c>
      <c r="E328" s="22" t="str">
        <f t="shared" si="3"/>
        <v/>
      </c>
      <c r="F328" s="22" t="str">
        <f t="shared" si="6"/>
        <v>#DIV/0!</v>
      </c>
      <c r="H328" s="22" t="str">
        <f t="shared" si="4"/>
        <v/>
      </c>
      <c r="I328" s="22" t="str">
        <f t="shared" si="1"/>
        <v>#N/A</v>
      </c>
      <c r="J328" s="22" t="str">
        <f t="shared" si="2"/>
        <v>#N/A</v>
      </c>
      <c r="K328" s="22" t="str">
        <f t="array" ref="K328">IF(H328="Crash",MATCH(TRUE, B329:B426 &gt;= B327, 0),"")</f>
        <v/>
      </c>
    </row>
    <row r="329" ht="15.75" customHeight="1">
      <c r="A329" s="31" t="str">
        <f>'EQUITY BACKTEST'!A332</f>
        <v/>
      </c>
      <c r="B329" s="22" t="str">
        <f>'EQUITY BACKTEST'!B332</f>
        <v/>
      </c>
      <c r="C329" s="22" t="str">
        <f>1/'EQUITY BACKTEST'!E332</f>
        <v>#DIV/0!</v>
      </c>
      <c r="D329" s="22" t="str">
        <f t="shared" si="5"/>
        <v>#DIV/0!</v>
      </c>
      <c r="E329" s="22" t="str">
        <f t="shared" si="3"/>
        <v/>
      </c>
      <c r="F329" s="22" t="str">
        <f t="shared" si="6"/>
        <v>#DIV/0!</v>
      </c>
      <c r="H329" s="22" t="str">
        <f t="shared" si="4"/>
        <v/>
      </c>
      <c r="I329" s="22" t="str">
        <f t="shared" si="1"/>
        <v>#N/A</v>
      </c>
      <c r="J329" s="22" t="str">
        <f t="shared" si="2"/>
        <v>#N/A</v>
      </c>
      <c r="K329" s="22" t="str">
        <f t="array" ref="K329">IF(H329="Crash",MATCH(TRUE, B330:B427 &gt;= B328, 0),"")</f>
        <v/>
      </c>
    </row>
    <row r="330" ht="15.75" customHeight="1">
      <c r="A330" s="31" t="str">
        <f>'EQUITY BACKTEST'!A333</f>
        <v/>
      </c>
      <c r="B330" s="22" t="str">
        <f>'EQUITY BACKTEST'!B333</f>
        <v/>
      </c>
      <c r="C330" s="22" t="str">
        <f>1/'EQUITY BACKTEST'!E333</f>
        <v>#DIV/0!</v>
      </c>
      <c r="D330" s="22" t="str">
        <f t="shared" si="5"/>
        <v>#DIV/0!</v>
      </c>
      <c r="E330" s="22" t="str">
        <f t="shared" si="3"/>
        <v/>
      </c>
      <c r="F330" s="22" t="str">
        <f t="shared" si="6"/>
        <v>#DIV/0!</v>
      </c>
      <c r="H330" s="22" t="str">
        <f t="shared" si="4"/>
        <v/>
      </c>
      <c r="I330" s="22" t="str">
        <f t="shared" si="1"/>
        <v>#N/A</v>
      </c>
      <c r="J330" s="22" t="str">
        <f t="shared" si="2"/>
        <v>#N/A</v>
      </c>
      <c r="K330" s="22" t="str">
        <f t="array" ref="K330">IF(H330="Crash",MATCH(TRUE, B331:B428 &gt;= B329, 0),"")</f>
        <v/>
      </c>
    </row>
    <row r="331" ht="15.75" customHeight="1">
      <c r="A331" s="31" t="str">
        <f>'EQUITY BACKTEST'!A334</f>
        <v/>
      </c>
      <c r="B331" s="22" t="str">
        <f>'EQUITY BACKTEST'!B334</f>
        <v/>
      </c>
      <c r="C331" s="22" t="str">
        <f>1/'EQUITY BACKTEST'!E334</f>
        <v>#DIV/0!</v>
      </c>
      <c r="D331" s="22" t="str">
        <f t="shared" si="5"/>
        <v>#DIV/0!</v>
      </c>
      <c r="E331" s="22" t="str">
        <f t="shared" si="3"/>
        <v/>
      </c>
      <c r="F331" s="22" t="str">
        <f t="shared" si="6"/>
        <v>#DIV/0!</v>
      </c>
      <c r="H331" s="22" t="str">
        <f t="shared" si="4"/>
        <v/>
      </c>
      <c r="I331" s="22" t="str">
        <f t="shared" si="1"/>
        <v>#N/A</v>
      </c>
      <c r="J331" s="22" t="str">
        <f t="shared" si="2"/>
        <v>#N/A</v>
      </c>
      <c r="K331" s="22" t="str">
        <f t="array" ref="K331">IF(H331="Crash",MATCH(TRUE, B332:B429 &gt;= B330, 0),"")</f>
        <v/>
      </c>
    </row>
    <row r="332" ht="15.75" customHeight="1">
      <c r="A332" s="31" t="str">
        <f>'EQUITY BACKTEST'!A335</f>
        <v/>
      </c>
      <c r="B332" s="22" t="str">
        <f>'EQUITY BACKTEST'!B335</f>
        <v/>
      </c>
      <c r="C332" s="22" t="str">
        <f>1/'EQUITY BACKTEST'!E335</f>
        <v>#DIV/0!</v>
      </c>
      <c r="D332" s="22" t="str">
        <f t="shared" si="5"/>
        <v>#DIV/0!</v>
      </c>
      <c r="E332" s="22" t="str">
        <f t="shared" si="3"/>
        <v/>
      </c>
      <c r="F332" s="22" t="str">
        <f t="shared" si="6"/>
        <v>#DIV/0!</v>
      </c>
      <c r="H332" s="22" t="str">
        <f t="shared" si="4"/>
        <v/>
      </c>
      <c r="I332" s="22" t="str">
        <f t="shared" si="1"/>
        <v>#N/A</v>
      </c>
      <c r="J332" s="22" t="str">
        <f t="shared" si="2"/>
        <v>#N/A</v>
      </c>
      <c r="K332" s="22" t="str">
        <f t="array" ref="K332">IF(H332="Crash",MATCH(TRUE, B333:B430 &gt;= B331, 0),"")</f>
        <v/>
      </c>
    </row>
    <row r="333" ht="15.75" customHeight="1">
      <c r="A333" s="31" t="str">
        <f>'EQUITY BACKTEST'!A336</f>
        <v/>
      </c>
      <c r="B333" s="22" t="str">
        <f>'EQUITY BACKTEST'!B336</f>
        <v/>
      </c>
      <c r="C333" s="22" t="str">
        <f>1/'EQUITY BACKTEST'!E336</f>
        <v>#DIV/0!</v>
      </c>
      <c r="D333" s="22" t="str">
        <f t="shared" si="5"/>
        <v>#DIV/0!</v>
      </c>
      <c r="E333" s="22" t="str">
        <f t="shared" si="3"/>
        <v/>
      </c>
      <c r="F333" s="22" t="str">
        <f t="shared" si="6"/>
        <v>#DIV/0!</v>
      </c>
      <c r="H333" s="22" t="str">
        <f t="shared" si="4"/>
        <v/>
      </c>
      <c r="I333" s="22" t="str">
        <f t="shared" si="1"/>
        <v>#N/A</v>
      </c>
      <c r="J333" s="22" t="str">
        <f t="shared" si="2"/>
        <v>#N/A</v>
      </c>
      <c r="K333" s="22" t="str">
        <f t="array" ref="K333">IF(H333="Crash",MATCH(TRUE, B334:B431 &gt;= B332, 0),"")</f>
        <v/>
      </c>
    </row>
    <row r="334" ht="15.75" customHeight="1">
      <c r="A334" s="31" t="str">
        <f>'EQUITY BACKTEST'!A337</f>
        <v/>
      </c>
      <c r="B334" s="22" t="str">
        <f>'EQUITY BACKTEST'!B337</f>
        <v/>
      </c>
      <c r="C334" s="22" t="str">
        <f>1/'EQUITY BACKTEST'!E337</f>
        <v>#DIV/0!</v>
      </c>
      <c r="D334" s="22" t="str">
        <f t="shared" si="5"/>
        <v>#DIV/0!</v>
      </c>
      <c r="E334" s="22" t="str">
        <f t="shared" si="3"/>
        <v/>
      </c>
      <c r="F334" s="22" t="str">
        <f t="shared" si="6"/>
        <v>#DIV/0!</v>
      </c>
      <c r="H334" s="22" t="str">
        <f t="shared" si="4"/>
        <v/>
      </c>
      <c r="I334" s="22" t="str">
        <f t="shared" si="1"/>
        <v>#N/A</v>
      </c>
      <c r="J334" s="22" t="str">
        <f t="shared" si="2"/>
        <v>#N/A</v>
      </c>
      <c r="K334" s="22" t="str">
        <f t="array" ref="K334">IF(H334="Crash",MATCH(TRUE, B335:B432 &gt;= B333, 0),"")</f>
        <v/>
      </c>
    </row>
    <row r="335" ht="15.75" customHeight="1">
      <c r="A335" s="31" t="str">
        <f>'EQUITY BACKTEST'!A338</f>
        <v/>
      </c>
      <c r="B335" s="22" t="str">
        <f>'EQUITY BACKTEST'!B338</f>
        <v/>
      </c>
      <c r="C335" s="22" t="str">
        <f>1/'EQUITY BACKTEST'!E338</f>
        <v>#DIV/0!</v>
      </c>
      <c r="D335" s="22" t="str">
        <f t="shared" si="5"/>
        <v>#DIV/0!</v>
      </c>
      <c r="E335" s="22" t="str">
        <f t="shared" si="3"/>
        <v/>
      </c>
      <c r="F335" s="22" t="str">
        <f t="shared" si="6"/>
        <v>#DIV/0!</v>
      </c>
      <c r="H335" s="22" t="str">
        <f t="shared" si="4"/>
        <v/>
      </c>
      <c r="I335" s="22" t="str">
        <f t="shared" si="1"/>
        <v>#N/A</v>
      </c>
      <c r="J335" s="22" t="str">
        <f t="shared" si="2"/>
        <v>#N/A</v>
      </c>
      <c r="K335" s="22" t="str">
        <f t="array" ref="K335">IF(H335="Crash",MATCH(TRUE, B336:B433 &gt;= B334, 0),"")</f>
        <v/>
      </c>
    </row>
    <row r="336" ht="15.75" customHeight="1">
      <c r="A336" s="31" t="str">
        <f>'EQUITY BACKTEST'!A339</f>
        <v/>
      </c>
      <c r="B336" s="22" t="str">
        <f>'EQUITY BACKTEST'!B339</f>
        <v/>
      </c>
      <c r="C336" s="22" t="str">
        <f>1/'EQUITY BACKTEST'!E339</f>
        <v>#DIV/0!</v>
      </c>
      <c r="D336" s="22" t="str">
        <f t="shared" si="5"/>
        <v>#DIV/0!</v>
      </c>
      <c r="E336" s="22" t="str">
        <f t="shared" si="3"/>
        <v/>
      </c>
      <c r="F336" s="22" t="str">
        <f t="shared" si="6"/>
        <v>#DIV/0!</v>
      </c>
      <c r="H336" s="22" t="str">
        <f t="shared" si="4"/>
        <v/>
      </c>
      <c r="I336" s="22" t="str">
        <f t="shared" si="1"/>
        <v>#N/A</v>
      </c>
      <c r="J336" s="22" t="str">
        <f t="shared" si="2"/>
        <v>#N/A</v>
      </c>
      <c r="K336" s="22" t="str">
        <f t="array" ref="K336">IF(H336="Crash",MATCH(TRUE, B337:B434 &gt;= B335, 0),"")</f>
        <v/>
      </c>
    </row>
    <row r="337" ht="15.75" customHeight="1">
      <c r="A337" s="31" t="str">
        <f>'EQUITY BACKTEST'!A340</f>
        <v/>
      </c>
      <c r="B337" s="22" t="str">
        <f>'EQUITY BACKTEST'!B340</f>
        <v/>
      </c>
      <c r="C337" s="22" t="str">
        <f>1/'EQUITY BACKTEST'!E340</f>
        <v>#DIV/0!</v>
      </c>
      <c r="D337" s="22" t="str">
        <f t="shared" si="5"/>
        <v>#DIV/0!</v>
      </c>
      <c r="E337" s="22" t="str">
        <f t="shared" si="3"/>
        <v/>
      </c>
      <c r="F337" s="22" t="str">
        <f t="shared" si="6"/>
        <v>#DIV/0!</v>
      </c>
      <c r="H337" s="22" t="str">
        <f t="shared" si="4"/>
        <v/>
      </c>
      <c r="I337" s="22" t="str">
        <f t="shared" si="1"/>
        <v>#N/A</v>
      </c>
      <c r="J337" s="22" t="str">
        <f t="shared" si="2"/>
        <v>#N/A</v>
      </c>
      <c r="K337" s="22" t="str">
        <f t="array" ref="K337">IF(H337="Crash",MATCH(TRUE, B338:B435 &gt;= B336, 0),"")</f>
        <v/>
      </c>
    </row>
    <row r="338" ht="15.75" customHeight="1">
      <c r="A338" s="31" t="str">
        <f>'EQUITY BACKTEST'!A341</f>
        <v/>
      </c>
      <c r="B338" s="22" t="str">
        <f>'EQUITY BACKTEST'!B341</f>
        <v/>
      </c>
      <c r="C338" s="22" t="str">
        <f>1/'EQUITY BACKTEST'!E341</f>
        <v>#DIV/0!</v>
      </c>
      <c r="D338" s="22" t="str">
        <f t="shared" si="5"/>
        <v>#DIV/0!</v>
      </c>
      <c r="E338" s="22" t="str">
        <f t="shared" si="3"/>
        <v/>
      </c>
      <c r="F338" s="22" t="str">
        <f t="shared" si="6"/>
        <v>#DIV/0!</v>
      </c>
      <c r="H338" s="22" t="str">
        <f t="shared" si="4"/>
        <v/>
      </c>
      <c r="I338" s="22" t="str">
        <f t="shared" si="1"/>
        <v>#N/A</v>
      </c>
      <c r="J338" s="22" t="str">
        <f t="shared" si="2"/>
        <v>#N/A</v>
      </c>
      <c r="K338" s="22" t="str">
        <f t="array" ref="K338">IF(H338="Crash",MATCH(TRUE, B339:B436 &gt;= B337, 0),"")</f>
        <v/>
      </c>
    </row>
    <row r="339" ht="15.75" customHeight="1">
      <c r="A339" s="31" t="str">
        <f>'EQUITY BACKTEST'!A342</f>
        <v/>
      </c>
      <c r="B339" s="22" t="str">
        <f>'EQUITY BACKTEST'!B342</f>
        <v/>
      </c>
      <c r="C339" s="22" t="str">
        <f>1/'EQUITY BACKTEST'!E342</f>
        <v>#DIV/0!</v>
      </c>
      <c r="D339" s="22" t="str">
        <f t="shared" si="5"/>
        <v>#DIV/0!</v>
      </c>
      <c r="E339" s="22" t="str">
        <f t="shared" si="3"/>
        <v/>
      </c>
      <c r="F339" s="22" t="str">
        <f t="shared" si="6"/>
        <v>#DIV/0!</v>
      </c>
      <c r="H339" s="22" t="str">
        <f t="shared" si="4"/>
        <v/>
      </c>
      <c r="I339" s="22" t="str">
        <f t="shared" si="1"/>
        <v>#N/A</v>
      </c>
      <c r="J339" s="22" t="str">
        <f t="shared" si="2"/>
        <v>#N/A</v>
      </c>
      <c r="K339" s="22" t="str">
        <f t="array" ref="K339">IF(H339="Crash",MATCH(TRUE, B340:B437 &gt;= B338, 0),"")</f>
        <v/>
      </c>
    </row>
    <row r="340" ht="15.75" customHeight="1">
      <c r="A340" s="31" t="str">
        <f>'EQUITY BACKTEST'!A343</f>
        <v/>
      </c>
      <c r="B340" s="22" t="str">
        <f>'EQUITY BACKTEST'!B343</f>
        <v/>
      </c>
      <c r="C340" s="22" t="str">
        <f>1/'EQUITY BACKTEST'!E343</f>
        <v>#DIV/0!</v>
      </c>
      <c r="D340" s="22" t="str">
        <f t="shared" si="5"/>
        <v>#DIV/0!</v>
      </c>
      <c r="E340" s="22" t="str">
        <f t="shared" si="3"/>
        <v/>
      </c>
      <c r="F340" s="22" t="str">
        <f t="shared" si="6"/>
        <v>#DIV/0!</v>
      </c>
      <c r="H340" s="22" t="str">
        <f t="shared" si="4"/>
        <v/>
      </c>
      <c r="I340" s="22" t="str">
        <f t="shared" si="1"/>
        <v>#N/A</v>
      </c>
      <c r="J340" s="22" t="str">
        <f t="shared" si="2"/>
        <v>#N/A</v>
      </c>
      <c r="K340" s="22" t="str">
        <f t="array" ref="K340">IF(H340="Crash",MATCH(TRUE, B341:B438 &gt;= B339, 0),"")</f>
        <v/>
      </c>
    </row>
    <row r="341" ht="15.75" customHeight="1">
      <c r="A341" s="31" t="str">
        <f>'EQUITY BACKTEST'!A344</f>
        <v/>
      </c>
      <c r="B341" s="22" t="str">
        <f>'EQUITY BACKTEST'!B344</f>
        <v/>
      </c>
      <c r="C341" s="22" t="str">
        <f>1/'EQUITY BACKTEST'!E344</f>
        <v>#DIV/0!</v>
      </c>
      <c r="D341" s="22" t="str">
        <f t="shared" si="5"/>
        <v>#DIV/0!</v>
      </c>
      <c r="E341" s="22" t="str">
        <f t="shared" si="3"/>
        <v/>
      </c>
      <c r="F341" s="22" t="str">
        <f t="shared" si="6"/>
        <v>#DIV/0!</v>
      </c>
      <c r="H341" s="22" t="str">
        <f t="shared" si="4"/>
        <v/>
      </c>
      <c r="I341" s="22" t="str">
        <f t="shared" si="1"/>
        <v>#N/A</v>
      </c>
      <c r="J341" s="22" t="str">
        <f t="shared" si="2"/>
        <v>#N/A</v>
      </c>
      <c r="K341" s="22" t="str">
        <f t="array" ref="K341">IF(H341="Crash",MATCH(TRUE, B342:B439 &gt;= B340, 0),"")</f>
        <v/>
      </c>
    </row>
    <row r="342" ht="15.75" customHeight="1">
      <c r="A342" s="31" t="str">
        <f>'EQUITY BACKTEST'!A345</f>
        <v/>
      </c>
      <c r="B342" s="22" t="str">
        <f>'EQUITY BACKTEST'!B345</f>
        <v/>
      </c>
      <c r="C342" s="22" t="str">
        <f>1/'EQUITY BACKTEST'!E345</f>
        <v>#DIV/0!</v>
      </c>
      <c r="D342" s="22" t="str">
        <f t="shared" si="5"/>
        <v>#DIV/0!</v>
      </c>
      <c r="E342" s="22" t="str">
        <f t="shared" si="3"/>
        <v/>
      </c>
      <c r="F342" s="22" t="str">
        <f t="shared" si="6"/>
        <v>#DIV/0!</v>
      </c>
      <c r="H342" s="22" t="str">
        <f t="shared" si="4"/>
        <v/>
      </c>
      <c r="I342" s="22" t="str">
        <f t="shared" si="1"/>
        <v>#N/A</v>
      </c>
      <c r="J342" s="22" t="str">
        <f t="shared" si="2"/>
        <v>#N/A</v>
      </c>
      <c r="K342" s="22" t="str">
        <f t="array" ref="K342">IF(H342="Crash",MATCH(TRUE, B343:B440 &gt;= B341, 0),"")</f>
        <v/>
      </c>
    </row>
    <row r="343" ht="15.75" customHeight="1">
      <c r="A343" s="31" t="str">
        <f>'EQUITY BACKTEST'!A346</f>
        <v/>
      </c>
      <c r="B343" s="22" t="str">
        <f>'EQUITY BACKTEST'!B346</f>
        <v/>
      </c>
      <c r="C343" s="22" t="str">
        <f>1/'EQUITY BACKTEST'!E346</f>
        <v>#DIV/0!</v>
      </c>
      <c r="D343" s="22" t="str">
        <f t="shared" si="5"/>
        <v>#DIV/0!</v>
      </c>
      <c r="E343" s="22" t="str">
        <f t="shared" si="3"/>
        <v/>
      </c>
      <c r="F343" s="22" t="str">
        <f t="shared" si="6"/>
        <v>#DIV/0!</v>
      </c>
      <c r="H343" s="22" t="str">
        <f t="shared" si="4"/>
        <v/>
      </c>
      <c r="I343" s="22" t="str">
        <f t="shared" si="1"/>
        <v>#N/A</v>
      </c>
      <c r="J343" s="22" t="str">
        <f t="shared" si="2"/>
        <v>#N/A</v>
      </c>
      <c r="K343" s="22" t="str">
        <f t="array" ref="K343">IF(H343="Crash",MATCH(TRUE, B344:B441 &gt;= B342, 0),"")</f>
        <v/>
      </c>
    </row>
    <row r="344" ht="15.75" customHeight="1">
      <c r="A344" s="31" t="str">
        <f>'EQUITY BACKTEST'!A347</f>
        <v/>
      </c>
      <c r="B344" s="22" t="str">
        <f>'EQUITY BACKTEST'!B347</f>
        <v/>
      </c>
      <c r="C344" s="22" t="str">
        <f>1/'EQUITY BACKTEST'!E347</f>
        <v>#DIV/0!</v>
      </c>
      <c r="D344" s="22" t="str">
        <f t="shared" si="5"/>
        <v>#DIV/0!</v>
      </c>
      <c r="E344" s="22" t="str">
        <f t="shared" si="3"/>
        <v/>
      </c>
      <c r="F344" s="22" t="str">
        <f t="shared" si="6"/>
        <v>#DIV/0!</v>
      </c>
      <c r="H344" s="22" t="str">
        <f t="shared" si="4"/>
        <v/>
      </c>
      <c r="I344" s="22" t="str">
        <f t="shared" si="1"/>
        <v>#N/A</v>
      </c>
      <c r="J344" s="22" t="str">
        <f t="shared" si="2"/>
        <v>#N/A</v>
      </c>
      <c r="K344" s="22" t="str">
        <f t="array" ref="K344">IF(H344="Crash",MATCH(TRUE, B345:B442 &gt;= B343, 0),"")</f>
        <v/>
      </c>
    </row>
    <row r="345" ht="15.75" customHeight="1">
      <c r="A345" s="31" t="str">
        <f>'EQUITY BACKTEST'!A348</f>
        <v/>
      </c>
      <c r="B345" s="22" t="str">
        <f>'EQUITY BACKTEST'!B348</f>
        <v/>
      </c>
      <c r="C345" s="22" t="str">
        <f>1/'EQUITY BACKTEST'!E348</f>
        <v>#DIV/0!</v>
      </c>
      <c r="D345" s="22" t="str">
        <f t="shared" si="5"/>
        <v>#DIV/0!</v>
      </c>
      <c r="E345" s="22" t="str">
        <f t="shared" si="3"/>
        <v/>
      </c>
      <c r="F345" s="22" t="str">
        <f t="shared" si="6"/>
        <v>#DIV/0!</v>
      </c>
      <c r="H345" s="22" t="str">
        <f t="shared" si="4"/>
        <v/>
      </c>
      <c r="I345" s="22" t="str">
        <f t="shared" si="1"/>
        <v>#N/A</v>
      </c>
      <c r="J345" s="22" t="str">
        <f t="shared" si="2"/>
        <v>#N/A</v>
      </c>
      <c r="K345" s="22" t="str">
        <f t="array" ref="K345">IF(H345="Crash",MATCH(TRUE, B346:B443 &gt;= B344, 0),"")</f>
        <v/>
      </c>
    </row>
    <row r="346" ht="15.75" customHeight="1">
      <c r="A346" s="31" t="str">
        <f>'EQUITY BACKTEST'!A349</f>
        <v/>
      </c>
      <c r="B346" s="22" t="str">
        <f>'EQUITY BACKTEST'!B349</f>
        <v/>
      </c>
      <c r="C346" s="22" t="str">
        <f>1/'EQUITY BACKTEST'!E349</f>
        <v>#DIV/0!</v>
      </c>
      <c r="D346" s="22" t="str">
        <f t="shared" si="5"/>
        <v>#DIV/0!</v>
      </c>
      <c r="E346" s="22" t="str">
        <f t="shared" si="3"/>
        <v/>
      </c>
      <c r="F346" s="22" t="str">
        <f t="shared" si="6"/>
        <v>#DIV/0!</v>
      </c>
      <c r="H346" s="22" t="str">
        <f t="shared" si="4"/>
        <v/>
      </c>
      <c r="I346" s="22" t="str">
        <f t="shared" si="1"/>
        <v>#N/A</v>
      </c>
      <c r="J346" s="22" t="str">
        <f t="shared" si="2"/>
        <v>#N/A</v>
      </c>
      <c r="K346" s="22" t="str">
        <f t="array" ref="K346">IF(H346="Crash",MATCH(TRUE, B347:B444 &gt;= B345, 0),"")</f>
        <v/>
      </c>
    </row>
    <row r="347" ht="15.75" customHeight="1">
      <c r="A347" s="31" t="str">
        <f>'EQUITY BACKTEST'!A350</f>
        <v/>
      </c>
      <c r="B347" s="22" t="str">
        <f>'EQUITY BACKTEST'!B350</f>
        <v/>
      </c>
      <c r="C347" s="22" t="str">
        <f>1/'EQUITY BACKTEST'!E350</f>
        <v>#DIV/0!</v>
      </c>
      <c r="D347" s="22" t="str">
        <f t="shared" si="5"/>
        <v>#DIV/0!</v>
      </c>
      <c r="E347" s="22" t="str">
        <f t="shared" si="3"/>
        <v/>
      </c>
      <c r="F347" s="22" t="str">
        <f t="shared" si="6"/>
        <v>#DIV/0!</v>
      </c>
      <c r="H347" s="22" t="str">
        <f t="shared" si="4"/>
        <v/>
      </c>
      <c r="I347" s="22" t="str">
        <f t="shared" si="1"/>
        <v>#N/A</v>
      </c>
      <c r="J347" s="22" t="str">
        <f t="shared" si="2"/>
        <v>#N/A</v>
      </c>
      <c r="K347" s="22" t="str">
        <f t="array" ref="K347">IF(H347="Crash",MATCH(TRUE, B348:B445 &gt;= B346, 0),"")</f>
        <v/>
      </c>
    </row>
    <row r="348" ht="15.75" customHeight="1">
      <c r="A348" s="31" t="str">
        <f>'EQUITY BACKTEST'!A351</f>
        <v/>
      </c>
      <c r="B348" s="22" t="str">
        <f>'EQUITY BACKTEST'!B351</f>
        <v/>
      </c>
      <c r="C348" s="22" t="str">
        <f>1/'EQUITY BACKTEST'!E351</f>
        <v>#DIV/0!</v>
      </c>
      <c r="D348" s="22" t="str">
        <f t="shared" si="5"/>
        <v>#DIV/0!</v>
      </c>
      <c r="E348" s="22" t="str">
        <f t="shared" si="3"/>
        <v/>
      </c>
      <c r="F348" s="22" t="str">
        <f t="shared" si="6"/>
        <v>#DIV/0!</v>
      </c>
      <c r="H348" s="22" t="str">
        <f t="shared" si="4"/>
        <v/>
      </c>
      <c r="I348" s="22" t="str">
        <f t="shared" si="1"/>
        <v>#N/A</v>
      </c>
      <c r="J348" s="22" t="str">
        <f t="shared" si="2"/>
        <v>#N/A</v>
      </c>
      <c r="K348" s="22" t="str">
        <f t="array" ref="K348">IF(H348="Crash",MATCH(TRUE, B349:B446 &gt;= B347, 0),"")</f>
        <v/>
      </c>
    </row>
    <row r="349" ht="15.75" customHeight="1">
      <c r="A349" s="31" t="str">
        <f>'EQUITY BACKTEST'!A352</f>
        <v/>
      </c>
      <c r="B349" s="22" t="str">
        <f>'EQUITY BACKTEST'!B352</f>
        <v/>
      </c>
      <c r="C349" s="22" t="str">
        <f>1/'EQUITY BACKTEST'!E352</f>
        <v>#DIV/0!</v>
      </c>
      <c r="D349" s="22" t="str">
        <f t="shared" si="5"/>
        <v>#DIV/0!</v>
      </c>
      <c r="E349" s="22" t="str">
        <f t="shared" si="3"/>
        <v/>
      </c>
      <c r="F349" s="22" t="str">
        <f t="shared" si="6"/>
        <v>#DIV/0!</v>
      </c>
      <c r="H349" s="22" t="str">
        <f t="shared" si="4"/>
        <v/>
      </c>
      <c r="I349" s="22" t="str">
        <f t="shared" si="1"/>
        <v>#N/A</v>
      </c>
      <c r="J349" s="22" t="str">
        <f t="shared" si="2"/>
        <v>#N/A</v>
      </c>
      <c r="K349" s="22" t="str">
        <f t="array" ref="K349">IF(H349="Crash",MATCH(TRUE, B350:B447 &gt;= B348, 0),"")</f>
        <v/>
      </c>
    </row>
    <row r="350" ht="15.75" customHeight="1">
      <c r="A350" s="31" t="str">
        <f>'EQUITY BACKTEST'!A353</f>
        <v/>
      </c>
      <c r="B350" s="22" t="str">
        <f>'EQUITY BACKTEST'!B353</f>
        <v/>
      </c>
      <c r="C350" s="22" t="str">
        <f>1/'EQUITY BACKTEST'!E353</f>
        <v>#DIV/0!</v>
      </c>
      <c r="D350" s="22" t="str">
        <f t="shared" si="5"/>
        <v>#DIV/0!</v>
      </c>
      <c r="E350" s="22" t="str">
        <f t="shared" si="3"/>
        <v/>
      </c>
      <c r="F350" s="22" t="str">
        <f t="shared" si="6"/>
        <v>#DIV/0!</v>
      </c>
      <c r="H350" s="22" t="str">
        <f t="shared" si="4"/>
        <v/>
      </c>
      <c r="I350" s="22" t="str">
        <f t="shared" si="1"/>
        <v>#N/A</v>
      </c>
      <c r="J350" s="22" t="str">
        <f t="shared" si="2"/>
        <v>#N/A</v>
      </c>
      <c r="K350" s="22" t="str">
        <f t="array" ref="K350">IF(H350="Crash",MATCH(TRUE, B351:B448 &gt;= B349, 0),"")</f>
        <v/>
      </c>
    </row>
    <row r="351" ht="15.75" customHeight="1">
      <c r="A351" s="31" t="str">
        <f>'EQUITY BACKTEST'!A354</f>
        <v/>
      </c>
      <c r="B351" s="22" t="str">
        <f>'EQUITY BACKTEST'!B354</f>
        <v/>
      </c>
      <c r="C351" s="22" t="str">
        <f>1/'EQUITY BACKTEST'!E354</f>
        <v>#DIV/0!</v>
      </c>
      <c r="D351" s="22" t="str">
        <f t="shared" si="5"/>
        <v>#DIV/0!</v>
      </c>
      <c r="E351" s="22" t="str">
        <f t="shared" si="3"/>
        <v/>
      </c>
      <c r="F351" s="22" t="str">
        <f t="shared" si="6"/>
        <v>#DIV/0!</v>
      </c>
      <c r="H351" s="22" t="str">
        <f t="shared" si="4"/>
        <v/>
      </c>
      <c r="I351" s="22" t="str">
        <f t="shared" si="1"/>
        <v>#N/A</v>
      </c>
      <c r="J351" s="22" t="str">
        <f t="shared" si="2"/>
        <v>#N/A</v>
      </c>
      <c r="K351" s="22" t="str">
        <f t="array" ref="K351">IF(H351="Crash",MATCH(TRUE, B352:B449 &gt;= B350, 0),"")</f>
        <v/>
      </c>
    </row>
    <row r="352" ht="15.75" customHeight="1">
      <c r="A352" s="31" t="str">
        <f>'EQUITY BACKTEST'!A355</f>
        <v/>
      </c>
      <c r="B352" s="22" t="str">
        <f>'EQUITY BACKTEST'!B355</f>
        <v/>
      </c>
      <c r="C352" s="22" t="str">
        <f>1/'EQUITY BACKTEST'!E355</f>
        <v>#DIV/0!</v>
      </c>
      <c r="D352" s="22" t="str">
        <f t="shared" si="5"/>
        <v>#DIV/0!</v>
      </c>
      <c r="E352" s="22" t="str">
        <f t="shared" si="3"/>
        <v/>
      </c>
      <c r="F352" s="22" t="str">
        <f t="shared" si="6"/>
        <v>#DIV/0!</v>
      </c>
      <c r="H352" s="22" t="str">
        <f t="shared" si="4"/>
        <v/>
      </c>
      <c r="I352" s="22" t="str">
        <f t="shared" si="1"/>
        <v>#N/A</v>
      </c>
      <c r="J352" s="22" t="str">
        <f t="shared" si="2"/>
        <v>#N/A</v>
      </c>
      <c r="K352" s="22" t="str">
        <f t="array" ref="K352">IF(H352="Crash",MATCH(TRUE, B353:B450 &gt;= B351, 0),"")</f>
        <v/>
      </c>
    </row>
    <row r="353" ht="15.75" customHeight="1">
      <c r="A353" s="31" t="str">
        <f>'EQUITY BACKTEST'!A356</f>
        <v/>
      </c>
      <c r="B353" s="22" t="str">
        <f>'EQUITY BACKTEST'!B356</f>
        <v/>
      </c>
      <c r="C353" s="22" t="str">
        <f>1/'EQUITY BACKTEST'!E356</f>
        <v>#DIV/0!</v>
      </c>
      <c r="D353" s="22" t="str">
        <f t="shared" si="5"/>
        <v>#DIV/0!</v>
      </c>
      <c r="E353" s="22" t="str">
        <f t="shared" si="3"/>
        <v/>
      </c>
      <c r="F353" s="22" t="str">
        <f t="shared" si="6"/>
        <v>#DIV/0!</v>
      </c>
      <c r="H353" s="22" t="str">
        <f t="shared" si="4"/>
        <v/>
      </c>
      <c r="I353" s="22" t="str">
        <f t="shared" si="1"/>
        <v>#N/A</v>
      </c>
      <c r="J353" s="22" t="str">
        <f t="shared" si="2"/>
        <v>#N/A</v>
      </c>
      <c r="K353" s="22" t="str">
        <f t="array" ref="K353">IF(H353="Crash",MATCH(TRUE, B354:B451 &gt;= B352, 0),"")</f>
        <v/>
      </c>
    </row>
    <row r="354" ht="15.75" customHeight="1">
      <c r="A354" s="31" t="str">
        <f>'EQUITY BACKTEST'!A357</f>
        <v/>
      </c>
      <c r="B354" s="22" t="str">
        <f>'EQUITY BACKTEST'!B357</f>
        <v/>
      </c>
      <c r="C354" s="22" t="str">
        <f>1/'EQUITY BACKTEST'!E357</f>
        <v>#DIV/0!</v>
      </c>
      <c r="D354" s="22" t="str">
        <f t="shared" si="5"/>
        <v>#DIV/0!</v>
      </c>
      <c r="E354" s="22" t="str">
        <f t="shared" si="3"/>
        <v/>
      </c>
      <c r="F354" s="22" t="str">
        <f t="shared" si="6"/>
        <v>#DIV/0!</v>
      </c>
      <c r="H354" s="22" t="str">
        <f t="shared" si="4"/>
        <v/>
      </c>
      <c r="I354" s="22" t="str">
        <f t="shared" si="1"/>
        <v>#N/A</v>
      </c>
      <c r="J354" s="22" t="str">
        <f t="shared" si="2"/>
        <v>#N/A</v>
      </c>
      <c r="K354" s="22" t="str">
        <f t="array" ref="K354">IF(H354="Crash",MATCH(TRUE, B355:B452 &gt;= B353, 0),"")</f>
        <v/>
      </c>
    </row>
    <row r="355" ht="15.75" customHeight="1">
      <c r="A355" s="31" t="str">
        <f>'EQUITY BACKTEST'!A358</f>
        <v/>
      </c>
      <c r="B355" s="22" t="str">
        <f>'EQUITY BACKTEST'!B358</f>
        <v/>
      </c>
      <c r="C355" s="22" t="str">
        <f>1/'EQUITY BACKTEST'!E358</f>
        <v>#DIV/0!</v>
      </c>
      <c r="D355" s="22" t="str">
        <f t="shared" si="5"/>
        <v>#DIV/0!</v>
      </c>
      <c r="E355" s="22" t="str">
        <f t="shared" si="3"/>
        <v/>
      </c>
      <c r="F355" s="22" t="str">
        <f t="shared" si="6"/>
        <v>#DIV/0!</v>
      </c>
      <c r="H355" s="22" t="str">
        <f t="shared" si="4"/>
        <v/>
      </c>
      <c r="I355" s="22" t="str">
        <f t="shared" si="1"/>
        <v>#N/A</v>
      </c>
      <c r="J355" s="22" t="str">
        <f t="shared" si="2"/>
        <v>#N/A</v>
      </c>
      <c r="K355" s="22" t="str">
        <f t="array" ref="K355">IF(H355="Crash",MATCH(TRUE, B356:B453 &gt;= B354, 0),"")</f>
        <v/>
      </c>
    </row>
    <row r="356" ht="15.75" customHeight="1">
      <c r="A356" s="31" t="str">
        <f>'EQUITY BACKTEST'!A359</f>
        <v/>
      </c>
      <c r="B356" s="22" t="str">
        <f>'EQUITY BACKTEST'!B359</f>
        <v/>
      </c>
      <c r="C356" s="22" t="str">
        <f>1/'EQUITY BACKTEST'!E359</f>
        <v>#DIV/0!</v>
      </c>
      <c r="D356" s="22" t="str">
        <f t="shared" si="5"/>
        <v>#DIV/0!</v>
      </c>
      <c r="E356" s="22" t="str">
        <f t="shared" si="3"/>
        <v/>
      </c>
      <c r="F356" s="22" t="str">
        <f t="shared" si="6"/>
        <v>#DIV/0!</v>
      </c>
      <c r="H356" s="22" t="str">
        <f t="shared" si="4"/>
        <v/>
      </c>
      <c r="I356" s="22" t="str">
        <f t="shared" si="1"/>
        <v>#N/A</v>
      </c>
      <c r="J356" s="22" t="str">
        <f t="shared" si="2"/>
        <v>#N/A</v>
      </c>
      <c r="K356" s="22" t="str">
        <f t="array" ref="K356">IF(H356="Crash",MATCH(TRUE, B357:B454 &gt;= B355, 0),"")</f>
        <v/>
      </c>
    </row>
    <row r="357" ht="15.75" customHeight="1">
      <c r="A357" s="31" t="str">
        <f>'EQUITY BACKTEST'!A360</f>
        <v/>
      </c>
      <c r="B357" s="22" t="str">
        <f>'EQUITY BACKTEST'!B360</f>
        <v/>
      </c>
      <c r="C357" s="22" t="str">
        <f>1/'EQUITY BACKTEST'!E360</f>
        <v>#DIV/0!</v>
      </c>
      <c r="D357" s="22" t="str">
        <f t="shared" si="5"/>
        <v>#DIV/0!</v>
      </c>
      <c r="E357" s="22" t="str">
        <f t="shared" si="3"/>
        <v/>
      </c>
      <c r="F357" s="22" t="str">
        <f t="shared" si="6"/>
        <v>#DIV/0!</v>
      </c>
      <c r="H357" s="22" t="str">
        <f t="shared" si="4"/>
        <v/>
      </c>
      <c r="I357" s="22" t="str">
        <f t="shared" si="1"/>
        <v>#N/A</v>
      </c>
      <c r="J357" s="22" t="str">
        <f t="shared" si="2"/>
        <v>#N/A</v>
      </c>
      <c r="K357" s="22" t="str">
        <f t="array" ref="K357">IF(H357="Crash",MATCH(TRUE, B358:B455 &gt;= B356, 0),"")</f>
        <v/>
      </c>
    </row>
    <row r="358" ht="15.75" customHeight="1">
      <c r="A358" s="31" t="str">
        <f>'EQUITY BACKTEST'!A361</f>
        <v/>
      </c>
      <c r="B358" s="22" t="str">
        <f>'EQUITY BACKTEST'!B361</f>
        <v/>
      </c>
      <c r="C358" s="22" t="str">
        <f>1/'EQUITY BACKTEST'!E361</f>
        <v>#DIV/0!</v>
      </c>
      <c r="D358" s="22" t="str">
        <f t="shared" si="5"/>
        <v>#DIV/0!</v>
      </c>
      <c r="E358" s="22" t="str">
        <f t="shared" si="3"/>
        <v/>
      </c>
      <c r="F358" s="22" t="str">
        <f t="shared" si="6"/>
        <v>#DIV/0!</v>
      </c>
      <c r="H358" s="22" t="str">
        <f t="shared" si="4"/>
        <v/>
      </c>
      <c r="I358" s="22" t="str">
        <f t="shared" si="1"/>
        <v>#N/A</v>
      </c>
      <c r="J358" s="22" t="str">
        <f t="shared" si="2"/>
        <v>#N/A</v>
      </c>
      <c r="K358" s="22" t="str">
        <f t="array" ref="K358">IF(H358="Crash",MATCH(TRUE, B359:B456 &gt;= B357, 0),"")</f>
        <v/>
      </c>
    </row>
    <row r="359" ht="15.75" customHeight="1">
      <c r="A359" s="31" t="str">
        <f>'EQUITY BACKTEST'!A362</f>
        <v/>
      </c>
      <c r="B359" s="22" t="str">
        <f>'EQUITY BACKTEST'!B362</f>
        <v/>
      </c>
      <c r="C359" s="22" t="str">
        <f>1/'EQUITY BACKTEST'!E362</f>
        <v>#DIV/0!</v>
      </c>
      <c r="D359" s="22" t="str">
        <f t="shared" si="5"/>
        <v>#DIV/0!</v>
      </c>
      <c r="E359" s="22" t="str">
        <f t="shared" si="3"/>
        <v/>
      </c>
      <c r="F359" s="22" t="str">
        <f t="shared" si="6"/>
        <v>#DIV/0!</v>
      </c>
      <c r="H359" s="22" t="str">
        <f t="shared" si="4"/>
        <v/>
      </c>
      <c r="I359" s="22" t="str">
        <f t="shared" si="1"/>
        <v>#N/A</v>
      </c>
      <c r="J359" s="22" t="str">
        <f t="shared" si="2"/>
        <v>#N/A</v>
      </c>
      <c r="K359" s="22" t="str">
        <f t="array" ref="K359">IF(H359="Crash",MATCH(TRUE, B360:B457 &gt;= B358, 0),"")</f>
        <v/>
      </c>
    </row>
    <row r="360" ht="15.75" customHeight="1">
      <c r="A360" s="31" t="str">
        <f>'EQUITY BACKTEST'!A363</f>
        <v/>
      </c>
      <c r="B360" s="22" t="str">
        <f>'EQUITY BACKTEST'!B363</f>
        <v/>
      </c>
      <c r="C360" s="22" t="str">
        <f>1/'EQUITY BACKTEST'!E363</f>
        <v>#DIV/0!</v>
      </c>
      <c r="D360" s="22" t="str">
        <f t="shared" si="5"/>
        <v>#DIV/0!</v>
      </c>
      <c r="E360" s="22" t="str">
        <f t="shared" si="3"/>
        <v/>
      </c>
      <c r="F360" s="22" t="str">
        <f t="shared" si="6"/>
        <v>#DIV/0!</v>
      </c>
      <c r="H360" s="22" t="str">
        <f t="shared" si="4"/>
        <v/>
      </c>
      <c r="I360" s="22" t="str">
        <f t="shared" si="1"/>
        <v>#N/A</v>
      </c>
      <c r="J360" s="22" t="str">
        <f t="shared" si="2"/>
        <v>#N/A</v>
      </c>
      <c r="K360" s="22" t="str">
        <f t="array" ref="K360">IF(H360="Crash",MATCH(TRUE, B361:B458 &gt;= B359, 0),"")</f>
        <v/>
      </c>
    </row>
    <row r="361" ht="15.75" customHeight="1">
      <c r="A361" s="31" t="str">
        <f>'EQUITY BACKTEST'!A364</f>
        <v/>
      </c>
      <c r="B361" s="22" t="str">
        <f>'EQUITY BACKTEST'!B364</f>
        <v/>
      </c>
      <c r="C361" s="22" t="str">
        <f>1/'EQUITY BACKTEST'!E364</f>
        <v>#DIV/0!</v>
      </c>
      <c r="D361" s="22" t="str">
        <f t="shared" si="5"/>
        <v>#DIV/0!</v>
      </c>
      <c r="E361" s="22" t="str">
        <f t="shared" si="3"/>
        <v/>
      </c>
      <c r="F361" s="22" t="str">
        <f t="shared" si="6"/>
        <v>#DIV/0!</v>
      </c>
      <c r="H361" s="22" t="str">
        <f t="shared" si="4"/>
        <v/>
      </c>
      <c r="I361" s="22" t="str">
        <f t="shared" si="1"/>
        <v>#N/A</v>
      </c>
      <c r="J361" s="22" t="str">
        <f t="shared" si="2"/>
        <v>#N/A</v>
      </c>
      <c r="K361" s="22" t="str">
        <f t="array" ref="K361">IF(H361="Crash",MATCH(TRUE, B362:B459 &gt;= B360, 0),"")</f>
        <v/>
      </c>
    </row>
    <row r="362" ht="15.75" customHeight="1">
      <c r="A362" s="31" t="str">
        <f>'EQUITY BACKTEST'!A365</f>
        <v/>
      </c>
      <c r="B362" s="22" t="str">
        <f>'EQUITY BACKTEST'!B365</f>
        <v/>
      </c>
      <c r="C362" s="22" t="str">
        <f>1/'EQUITY BACKTEST'!E365</f>
        <v>#DIV/0!</v>
      </c>
      <c r="D362" s="22" t="str">
        <f t="shared" si="5"/>
        <v>#DIV/0!</v>
      </c>
      <c r="E362" s="22" t="str">
        <f t="shared" si="3"/>
        <v/>
      </c>
      <c r="F362" s="22" t="str">
        <f t="shared" si="6"/>
        <v>#DIV/0!</v>
      </c>
      <c r="H362" s="22" t="str">
        <f t="shared" si="4"/>
        <v/>
      </c>
      <c r="I362" s="22" t="str">
        <f t="shared" si="1"/>
        <v>#N/A</v>
      </c>
      <c r="J362" s="22" t="str">
        <f t="shared" si="2"/>
        <v>#N/A</v>
      </c>
      <c r="K362" s="22" t="str">
        <f t="array" ref="K362">IF(H362="Crash",MATCH(TRUE, B363:B460 &gt;= B361, 0),"")</f>
        <v/>
      </c>
    </row>
    <row r="363" ht="15.75" customHeight="1">
      <c r="A363" s="31" t="str">
        <f>'EQUITY BACKTEST'!A366</f>
        <v/>
      </c>
      <c r="B363" s="22" t="str">
        <f>'EQUITY BACKTEST'!B366</f>
        <v/>
      </c>
      <c r="C363" s="22" t="str">
        <f>1/'EQUITY BACKTEST'!E366</f>
        <v>#DIV/0!</v>
      </c>
      <c r="D363" s="22" t="str">
        <f t="shared" si="5"/>
        <v>#DIV/0!</v>
      </c>
      <c r="E363" s="22" t="str">
        <f t="shared" si="3"/>
        <v/>
      </c>
      <c r="F363" s="22" t="str">
        <f t="shared" si="6"/>
        <v>#DIV/0!</v>
      </c>
      <c r="H363" s="22" t="str">
        <f t="shared" si="4"/>
        <v/>
      </c>
      <c r="I363" s="22" t="str">
        <f t="shared" si="1"/>
        <v>#N/A</v>
      </c>
      <c r="J363" s="22" t="str">
        <f t="shared" si="2"/>
        <v>#N/A</v>
      </c>
      <c r="K363" s="22" t="str">
        <f t="array" ref="K363">IF(H363="Crash",MATCH(TRUE, B364:B461 &gt;= B362, 0),"")</f>
        <v/>
      </c>
    </row>
    <row r="364" ht="15.75" customHeight="1">
      <c r="A364" s="31" t="str">
        <f>'EQUITY BACKTEST'!A367</f>
        <v/>
      </c>
      <c r="B364" s="22" t="str">
        <f>'EQUITY BACKTEST'!B367</f>
        <v/>
      </c>
      <c r="C364" s="22" t="str">
        <f>1/'EQUITY BACKTEST'!E367</f>
        <v>#DIV/0!</v>
      </c>
      <c r="D364" s="22" t="str">
        <f t="shared" si="5"/>
        <v>#DIV/0!</v>
      </c>
      <c r="E364" s="22" t="str">
        <f t="shared" si="3"/>
        <v/>
      </c>
      <c r="F364" s="22" t="str">
        <f t="shared" si="6"/>
        <v>#DIV/0!</v>
      </c>
      <c r="H364" s="22" t="str">
        <f t="shared" si="4"/>
        <v/>
      </c>
      <c r="I364" s="22" t="str">
        <f t="shared" si="1"/>
        <v>#N/A</v>
      </c>
      <c r="J364" s="22" t="str">
        <f t="shared" si="2"/>
        <v>#N/A</v>
      </c>
      <c r="K364" s="22" t="str">
        <f t="array" ref="K364">IF(H364="Crash",MATCH(TRUE, B365:B462 &gt;= B363, 0),"")</f>
        <v/>
      </c>
    </row>
    <row r="365" ht="15.75" customHeight="1">
      <c r="A365" s="31" t="str">
        <f>'EQUITY BACKTEST'!A368</f>
        <v/>
      </c>
      <c r="B365" s="22" t="str">
        <f>'EQUITY BACKTEST'!B368</f>
        <v/>
      </c>
      <c r="C365" s="22" t="str">
        <f>1/'EQUITY BACKTEST'!E368</f>
        <v>#DIV/0!</v>
      </c>
      <c r="D365" s="22" t="str">
        <f t="shared" si="5"/>
        <v>#DIV/0!</v>
      </c>
      <c r="E365" s="22" t="str">
        <f t="shared" si="3"/>
        <v/>
      </c>
      <c r="F365" s="22" t="str">
        <f t="shared" si="6"/>
        <v>#DIV/0!</v>
      </c>
      <c r="H365" s="22" t="str">
        <f t="shared" si="4"/>
        <v/>
      </c>
      <c r="I365" s="22" t="str">
        <f t="shared" si="1"/>
        <v>#N/A</v>
      </c>
      <c r="J365" s="22" t="str">
        <f t="shared" si="2"/>
        <v>#N/A</v>
      </c>
      <c r="K365" s="22" t="str">
        <f t="array" ref="K365">IF(H365="Crash",MATCH(TRUE, B366:B463 &gt;= B364, 0),"")</f>
        <v/>
      </c>
    </row>
    <row r="366" ht="15.75" customHeight="1">
      <c r="A366" s="31" t="str">
        <f>'EQUITY BACKTEST'!A369</f>
        <v/>
      </c>
      <c r="B366" s="22" t="str">
        <f>'EQUITY BACKTEST'!B369</f>
        <v/>
      </c>
      <c r="C366" s="22" t="str">
        <f>1/'EQUITY BACKTEST'!E369</f>
        <v>#DIV/0!</v>
      </c>
      <c r="D366" s="22" t="str">
        <f t="shared" si="5"/>
        <v>#DIV/0!</v>
      </c>
      <c r="E366" s="22" t="str">
        <f t="shared" si="3"/>
        <v/>
      </c>
      <c r="F366" s="22" t="str">
        <f t="shared" si="6"/>
        <v>#DIV/0!</v>
      </c>
      <c r="H366" s="22" t="str">
        <f t="shared" si="4"/>
        <v/>
      </c>
      <c r="I366" s="22" t="str">
        <f t="shared" si="1"/>
        <v>#N/A</v>
      </c>
      <c r="J366" s="22" t="str">
        <f t="shared" si="2"/>
        <v>#N/A</v>
      </c>
      <c r="K366" s="22" t="str">
        <f t="array" ref="K366">IF(H366="Crash",MATCH(TRUE, B367:B464 &gt;= B365, 0),"")</f>
        <v/>
      </c>
    </row>
    <row r="367" ht="15.75" customHeight="1">
      <c r="A367" s="31" t="str">
        <f>'EQUITY BACKTEST'!A370</f>
        <v/>
      </c>
      <c r="B367" s="22" t="str">
        <f>'EQUITY BACKTEST'!B370</f>
        <v/>
      </c>
      <c r="C367" s="22" t="str">
        <f>1/'EQUITY BACKTEST'!E370</f>
        <v>#DIV/0!</v>
      </c>
      <c r="D367" s="22" t="str">
        <f t="shared" si="5"/>
        <v>#DIV/0!</v>
      </c>
      <c r="E367" s="22" t="str">
        <f t="shared" si="3"/>
        <v/>
      </c>
      <c r="F367" s="22" t="str">
        <f t="shared" si="6"/>
        <v>#DIV/0!</v>
      </c>
      <c r="H367" s="22" t="str">
        <f t="shared" si="4"/>
        <v/>
      </c>
      <c r="I367" s="22" t="str">
        <f t="shared" si="1"/>
        <v>#N/A</v>
      </c>
      <c r="J367" s="22" t="str">
        <f t="shared" si="2"/>
        <v>#N/A</v>
      </c>
      <c r="K367" s="22" t="str">
        <f t="array" ref="K367">IF(H367="Crash",MATCH(TRUE, B368:B465 &gt;= B366, 0),"")</f>
        <v/>
      </c>
    </row>
    <row r="368" ht="15.75" customHeight="1">
      <c r="A368" s="31" t="str">
        <f>'EQUITY BACKTEST'!A371</f>
        <v/>
      </c>
      <c r="B368" s="22" t="str">
        <f>'EQUITY BACKTEST'!B371</f>
        <v/>
      </c>
      <c r="C368" s="22" t="str">
        <f>1/'EQUITY BACKTEST'!E371</f>
        <v>#DIV/0!</v>
      </c>
      <c r="D368" s="22" t="str">
        <f t="shared" si="5"/>
        <v>#DIV/0!</v>
      </c>
      <c r="E368" s="22" t="str">
        <f t="shared" si="3"/>
        <v/>
      </c>
      <c r="F368" s="22" t="str">
        <f t="shared" si="6"/>
        <v>#DIV/0!</v>
      </c>
      <c r="H368" s="22" t="str">
        <f t="shared" si="4"/>
        <v/>
      </c>
      <c r="I368" s="22" t="str">
        <f t="shared" si="1"/>
        <v>#N/A</v>
      </c>
      <c r="J368" s="22" t="str">
        <f t="shared" si="2"/>
        <v>#N/A</v>
      </c>
      <c r="K368" s="22" t="str">
        <f t="array" ref="K368">IF(H368="Crash",MATCH(TRUE, B369:B466 &gt;= B367, 0),"")</f>
        <v/>
      </c>
    </row>
    <row r="369" ht="15.75" customHeight="1">
      <c r="A369" s="31" t="str">
        <f>'EQUITY BACKTEST'!A372</f>
        <v/>
      </c>
      <c r="B369" s="22" t="str">
        <f>'EQUITY BACKTEST'!B372</f>
        <v/>
      </c>
      <c r="C369" s="22" t="str">
        <f>1/'EQUITY BACKTEST'!E372</f>
        <v>#DIV/0!</v>
      </c>
      <c r="D369" s="22" t="str">
        <f t="shared" si="5"/>
        <v>#DIV/0!</v>
      </c>
      <c r="E369" s="22" t="str">
        <f t="shared" si="3"/>
        <v/>
      </c>
      <c r="F369" s="22" t="str">
        <f t="shared" si="6"/>
        <v>#DIV/0!</v>
      </c>
      <c r="H369" s="22" t="str">
        <f t="shared" si="4"/>
        <v/>
      </c>
      <c r="I369" s="22" t="str">
        <f t="shared" si="1"/>
        <v>#N/A</v>
      </c>
      <c r="J369" s="22" t="str">
        <f t="shared" si="2"/>
        <v>#N/A</v>
      </c>
      <c r="K369" s="22" t="str">
        <f t="array" ref="K369">IF(H369="Crash",MATCH(TRUE, B370:B467 &gt;= B368, 0),"")</f>
        <v/>
      </c>
    </row>
    <row r="370" ht="15.75" customHeight="1">
      <c r="A370" s="31" t="str">
        <f>'EQUITY BACKTEST'!A373</f>
        <v/>
      </c>
      <c r="B370" s="22" t="str">
        <f>'EQUITY BACKTEST'!B373</f>
        <v/>
      </c>
      <c r="C370" s="22" t="str">
        <f>1/'EQUITY BACKTEST'!E373</f>
        <v>#DIV/0!</v>
      </c>
      <c r="D370" s="22" t="str">
        <f t="shared" si="5"/>
        <v>#DIV/0!</v>
      </c>
      <c r="E370" s="22" t="str">
        <f t="shared" si="3"/>
        <v/>
      </c>
      <c r="F370" s="22" t="str">
        <f t="shared" si="6"/>
        <v>#DIV/0!</v>
      </c>
      <c r="H370" s="22" t="str">
        <f t="shared" si="4"/>
        <v/>
      </c>
      <c r="I370" s="22" t="str">
        <f t="shared" si="1"/>
        <v>#N/A</v>
      </c>
      <c r="J370" s="22" t="str">
        <f t="shared" si="2"/>
        <v>#N/A</v>
      </c>
      <c r="K370" s="22" t="str">
        <f t="array" ref="K370">IF(H370="Crash",MATCH(TRUE, B371:B468 &gt;= B369, 0),"")</f>
        <v/>
      </c>
    </row>
    <row r="371" ht="15.75" customHeight="1">
      <c r="A371" s="31" t="str">
        <f>'EQUITY BACKTEST'!A374</f>
        <v/>
      </c>
      <c r="B371" s="22" t="str">
        <f>'EQUITY BACKTEST'!B374</f>
        <v/>
      </c>
      <c r="C371" s="22" t="str">
        <f>1/'EQUITY BACKTEST'!E374</f>
        <v>#DIV/0!</v>
      </c>
      <c r="D371" s="22" t="str">
        <f t="shared" si="5"/>
        <v>#DIV/0!</v>
      </c>
      <c r="E371" s="22" t="str">
        <f t="shared" si="3"/>
        <v/>
      </c>
      <c r="F371" s="22" t="str">
        <f t="shared" si="6"/>
        <v>#DIV/0!</v>
      </c>
      <c r="H371" s="22" t="str">
        <f t="shared" si="4"/>
        <v/>
      </c>
      <c r="I371" s="22" t="str">
        <f t="shared" si="1"/>
        <v>#N/A</v>
      </c>
      <c r="J371" s="22" t="str">
        <f t="shared" si="2"/>
        <v>#N/A</v>
      </c>
      <c r="K371" s="22" t="str">
        <f t="array" ref="K371">IF(H371="Crash",MATCH(TRUE, B372:B469 &gt;= B370, 0),"")</f>
        <v/>
      </c>
    </row>
    <row r="372" ht="15.75" customHeight="1">
      <c r="A372" s="31" t="str">
        <f>'EQUITY BACKTEST'!A375</f>
        <v/>
      </c>
      <c r="B372" s="22" t="str">
        <f>'EQUITY BACKTEST'!B375</f>
        <v/>
      </c>
      <c r="C372" s="22" t="str">
        <f>1/'EQUITY BACKTEST'!E375</f>
        <v>#DIV/0!</v>
      </c>
      <c r="D372" s="22" t="str">
        <f t="shared" si="5"/>
        <v>#DIV/0!</v>
      </c>
      <c r="E372" s="22" t="str">
        <f t="shared" si="3"/>
        <v/>
      </c>
      <c r="F372" s="22" t="str">
        <f t="shared" si="6"/>
        <v>#DIV/0!</v>
      </c>
      <c r="H372" s="22" t="str">
        <f t="shared" si="4"/>
        <v/>
      </c>
      <c r="I372" s="22" t="str">
        <f t="shared" si="1"/>
        <v>#N/A</v>
      </c>
      <c r="J372" s="22" t="str">
        <f t="shared" si="2"/>
        <v>#N/A</v>
      </c>
      <c r="K372" s="22" t="str">
        <f t="array" ref="K372">IF(H372="Crash",MATCH(TRUE, B373:B470 &gt;= B371, 0),"")</f>
        <v/>
      </c>
    </row>
    <row r="373" ht="15.75" customHeight="1">
      <c r="A373" s="31" t="str">
        <f>'EQUITY BACKTEST'!A376</f>
        <v/>
      </c>
      <c r="B373" s="22" t="str">
        <f>'EQUITY BACKTEST'!B376</f>
        <v/>
      </c>
      <c r="C373" s="22" t="str">
        <f>1/'EQUITY BACKTEST'!E376</f>
        <v>#DIV/0!</v>
      </c>
      <c r="D373" s="22" t="str">
        <f t="shared" si="5"/>
        <v>#DIV/0!</v>
      </c>
      <c r="E373" s="22" t="str">
        <f t="shared" si="3"/>
        <v/>
      </c>
      <c r="F373" s="22" t="str">
        <f t="shared" si="6"/>
        <v>#DIV/0!</v>
      </c>
      <c r="H373" s="22" t="str">
        <f t="shared" si="4"/>
        <v/>
      </c>
      <c r="I373" s="22" t="str">
        <f t="shared" si="1"/>
        <v>#N/A</v>
      </c>
      <c r="J373" s="22" t="str">
        <f t="shared" si="2"/>
        <v>#N/A</v>
      </c>
      <c r="K373" s="22" t="str">
        <f t="array" ref="K373">IF(H373="Crash",MATCH(TRUE, B374:B471 &gt;= B372, 0),"")</f>
        <v/>
      </c>
    </row>
    <row r="374" ht="15.75" customHeight="1">
      <c r="A374" s="31" t="str">
        <f>'EQUITY BACKTEST'!A377</f>
        <v/>
      </c>
      <c r="B374" s="22" t="str">
        <f>'EQUITY BACKTEST'!B377</f>
        <v/>
      </c>
      <c r="C374" s="22" t="str">
        <f>1/'EQUITY BACKTEST'!E377</f>
        <v>#DIV/0!</v>
      </c>
      <c r="D374" s="22" t="str">
        <f t="shared" si="5"/>
        <v>#DIV/0!</v>
      </c>
      <c r="E374" s="22" t="str">
        <f t="shared" si="3"/>
        <v/>
      </c>
      <c r="F374" s="22" t="str">
        <f t="shared" si="6"/>
        <v>#DIV/0!</v>
      </c>
      <c r="H374" s="22" t="str">
        <f t="shared" si="4"/>
        <v/>
      </c>
      <c r="I374" s="22" t="str">
        <f t="shared" si="1"/>
        <v>#N/A</v>
      </c>
      <c r="J374" s="22" t="str">
        <f t="shared" si="2"/>
        <v>#N/A</v>
      </c>
      <c r="K374" s="22" t="str">
        <f t="array" ref="K374">IF(H374="Crash",MATCH(TRUE, B375:B472 &gt;= B373, 0),"")</f>
        <v/>
      </c>
    </row>
    <row r="375" ht="15.75" customHeight="1">
      <c r="A375" s="31" t="str">
        <f>'EQUITY BACKTEST'!A378</f>
        <v/>
      </c>
      <c r="B375" s="22" t="str">
        <f>'EQUITY BACKTEST'!B378</f>
        <v/>
      </c>
      <c r="C375" s="22" t="str">
        <f>1/'EQUITY BACKTEST'!E378</f>
        <v>#DIV/0!</v>
      </c>
      <c r="D375" s="22" t="str">
        <f t="shared" si="5"/>
        <v>#DIV/0!</v>
      </c>
      <c r="E375" s="22" t="str">
        <f t="shared" si="3"/>
        <v/>
      </c>
      <c r="F375" s="22" t="str">
        <f t="shared" si="6"/>
        <v>#DIV/0!</v>
      </c>
      <c r="H375" s="22" t="str">
        <f t="shared" si="4"/>
        <v/>
      </c>
      <c r="I375" s="22" t="str">
        <f t="shared" si="1"/>
        <v>#N/A</v>
      </c>
      <c r="J375" s="22" t="str">
        <f t="shared" si="2"/>
        <v>#N/A</v>
      </c>
      <c r="K375" s="22" t="str">
        <f t="array" ref="K375">IF(H375="Crash",MATCH(TRUE, B376:B473 &gt;= B374, 0),"")</f>
        <v/>
      </c>
    </row>
    <row r="376" ht="15.75" customHeight="1">
      <c r="A376" s="31" t="str">
        <f>'EQUITY BACKTEST'!A379</f>
        <v/>
      </c>
      <c r="B376" s="22" t="str">
        <f>'EQUITY BACKTEST'!B379</f>
        <v/>
      </c>
      <c r="C376" s="22" t="str">
        <f>1/'EQUITY BACKTEST'!E379</f>
        <v>#DIV/0!</v>
      </c>
      <c r="D376" s="22" t="str">
        <f t="shared" si="5"/>
        <v>#DIV/0!</v>
      </c>
      <c r="E376" s="22" t="str">
        <f t="shared" si="3"/>
        <v/>
      </c>
      <c r="F376" s="22" t="str">
        <f t="shared" si="6"/>
        <v>#DIV/0!</v>
      </c>
      <c r="H376" s="22" t="str">
        <f t="shared" si="4"/>
        <v/>
      </c>
      <c r="I376" s="22" t="str">
        <f t="shared" si="1"/>
        <v>#N/A</v>
      </c>
      <c r="J376" s="22" t="str">
        <f t="shared" si="2"/>
        <v>#N/A</v>
      </c>
      <c r="K376" s="22" t="str">
        <f t="array" ref="K376">IF(H376="Crash",MATCH(TRUE, B377:B474 &gt;= B375, 0),"")</f>
        <v/>
      </c>
    </row>
    <row r="377" ht="15.75" customHeight="1">
      <c r="A377" s="31" t="str">
        <f>'EQUITY BACKTEST'!A380</f>
        <v/>
      </c>
      <c r="B377" s="22" t="str">
        <f>'EQUITY BACKTEST'!B380</f>
        <v/>
      </c>
      <c r="C377" s="22" t="str">
        <f>1/'EQUITY BACKTEST'!E380</f>
        <v>#DIV/0!</v>
      </c>
      <c r="D377" s="22" t="str">
        <f t="shared" si="5"/>
        <v>#DIV/0!</v>
      </c>
      <c r="E377" s="22" t="str">
        <f t="shared" si="3"/>
        <v/>
      </c>
      <c r="F377" s="22" t="str">
        <f t="shared" si="6"/>
        <v>#DIV/0!</v>
      </c>
      <c r="H377" s="22" t="str">
        <f t="shared" si="4"/>
        <v/>
      </c>
      <c r="I377" s="22" t="str">
        <f t="shared" si="1"/>
        <v>#N/A</v>
      </c>
      <c r="J377" s="22" t="str">
        <f t="shared" si="2"/>
        <v>#N/A</v>
      </c>
      <c r="K377" s="22" t="str">
        <f t="array" ref="K377">IF(H377="Crash",MATCH(TRUE, B378:B475 &gt;= B376, 0),"")</f>
        <v/>
      </c>
    </row>
    <row r="378" ht="15.75" customHeight="1">
      <c r="A378" s="31" t="str">
        <f>'EQUITY BACKTEST'!A381</f>
        <v/>
      </c>
      <c r="B378" s="22" t="str">
        <f>'EQUITY BACKTEST'!B381</f>
        <v/>
      </c>
      <c r="C378" s="22" t="str">
        <f>1/'EQUITY BACKTEST'!E381</f>
        <v>#DIV/0!</v>
      </c>
      <c r="D378" s="22" t="str">
        <f t="shared" si="5"/>
        <v>#DIV/0!</v>
      </c>
      <c r="E378" s="22" t="str">
        <f t="shared" si="3"/>
        <v/>
      </c>
      <c r="F378" s="22" t="str">
        <f t="shared" si="6"/>
        <v>#DIV/0!</v>
      </c>
      <c r="H378" s="22" t="str">
        <f t="shared" si="4"/>
        <v/>
      </c>
      <c r="I378" s="22" t="str">
        <f t="shared" si="1"/>
        <v>#N/A</v>
      </c>
      <c r="J378" s="22" t="str">
        <f t="shared" si="2"/>
        <v>#N/A</v>
      </c>
      <c r="K378" s="22" t="str">
        <f t="array" ref="K378">IF(H378="Crash",MATCH(TRUE, B379:B476 &gt;= B377, 0),"")</f>
        <v/>
      </c>
    </row>
    <row r="379" ht="15.75" customHeight="1">
      <c r="A379" s="31" t="str">
        <f>'EQUITY BACKTEST'!A382</f>
        <v/>
      </c>
      <c r="B379" s="22" t="str">
        <f>'EQUITY BACKTEST'!B382</f>
        <v/>
      </c>
      <c r="C379" s="22" t="str">
        <f>1/'EQUITY BACKTEST'!E382</f>
        <v>#DIV/0!</v>
      </c>
      <c r="D379" s="22" t="str">
        <f t="shared" si="5"/>
        <v>#DIV/0!</v>
      </c>
      <c r="E379" s="22" t="str">
        <f t="shared" si="3"/>
        <v/>
      </c>
      <c r="F379" s="22" t="str">
        <f t="shared" si="6"/>
        <v>#DIV/0!</v>
      </c>
      <c r="H379" s="22" t="str">
        <f t="shared" si="4"/>
        <v/>
      </c>
      <c r="I379" s="22" t="str">
        <f t="shared" si="1"/>
        <v>#N/A</v>
      </c>
      <c r="J379" s="22" t="str">
        <f t="shared" si="2"/>
        <v>#N/A</v>
      </c>
      <c r="K379" s="22" t="str">
        <f t="array" ref="K379">IF(H379="Crash",MATCH(TRUE, B380:B477 &gt;= B378, 0),"")</f>
        <v/>
      </c>
    </row>
    <row r="380" ht="15.75" customHeight="1">
      <c r="A380" s="31" t="str">
        <f>'EQUITY BACKTEST'!A383</f>
        <v/>
      </c>
      <c r="B380" s="22" t="str">
        <f>'EQUITY BACKTEST'!B383</f>
        <v/>
      </c>
      <c r="C380" s="22" t="str">
        <f>1/'EQUITY BACKTEST'!E383</f>
        <v>#DIV/0!</v>
      </c>
      <c r="D380" s="22" t="str">
        <f t="shared" si="5"/>
        <v>#DIV/0!</v>
      </c>
      <c r="E380" s="22" t="str">
        <f t="shared" si="3"/>
        <v/>
      </c>
      <c r="F380" s="22" t="str">
        <f t="shared" si="6"/>
        <v>#DIV/0!</v>
      </c>
      <c r="H380" s="22" t="str">
        <f t="shared" si="4"/>
        <v/>
      </c>
      <c r="I380" s="22" t="str">
        <f t="shared" si="1"/>
        <v>#N/A</v>
      </c>
      <c r="J380" s="22" t="str">
        <f t="shared" si="2"/>
        <v>#N/A</v>
      </c>
      <c r="K380" s="22" t="str">
        <f t="array" ref="K380">IF(H380="Crash",MATCH(TRUE, B381:B478 &gt;= B379, 0),"")</f>
        <v/>
      </c>
    </row>
    <row r="381" ht="15.75" customHeight="1">
      <c r="A381" s="31" t="str">
        <f>'EQUITY BACKTEST'!A384</f>
        <v/>
      </c>
      <c r="B381" s="22" t="str">
        <f>'EQUITY BACKTEST'!B384</f>
        <v/>
      </c>
      <c r="C381" s="22" t="str">
        <f>1/'EQUITY BACKTEST'!E384</f>
        <v>#DIV/0!</v>
      </c>
      <c r="D381" s="22" t="str">
        <f t="shared" si="5"/>
        <v>#DIV/0!</v>
      </c>
      <c r="E381" s="22" t="str">
        <f t="shared" si="3"/>
        <v/>
      </c>
      <c r="F381" s="22" t="str">
        <f t="shared" si="6"/>
        <v>#DIV/0!</v>
      </c>
      <c r="H381" s="22" t="str">
        <f t="shared" si="4"/>
        <v/>
      </c>
      <c r="I381" s="22" t="str">
        <f t="shared" si="1"/>
        <v>#N/A</v>
      </c>
      <c r="J381" s="22" t="str">
        <f t="shared" si="2"/>
        <v>#N/A</v>
      </c>
      <c r="K381" s="22" t="str">
        <f t="array" ref="K381">IF(H381="Crash",MATCH(TRUE, B382:B479 &gt;= B380, 0),"")</f>
        <v/>
      </c>
    </row>
    <row r="382" ht="15.75" customHeight="1">
      <c r="A382" s="31" t="str">
        <f>'EQUITY BACKTEST'!A385</f>
        <v/>
      </c>
      <c r="B382" s="22" t="str">
        <f>'EQUITY BACKTEST'!B385</f>
        <v/>
      </c>
      <c r="C382" s="22" t="str">
        <f>1/'EQUITY BACKTEST'!E385</f>
        <v>#DIV/0!</v>
      </c>
      <c r="D382" s="22" t="str">
        <f t="shared" si="5"/>
        <v>#DIV/0!</v>
      </c>
      <c r="E382" s="22" t="str">
        <f t="shared" si="3"/>
        <v/>
      </c>
      <c r="F382" s="22" t="str">
        <f t="shared" si="6"/>
        <v>#DIV/0!</v>
      </c>
      <c r="H382" s="22" t="str">
        <f t="shared" si="4"/>
        <v/>
      </c>
      <c r="I382" s="22" t="str">
        <f t="shared" si="1"/>
        <v>#N/A</v>
      </c>
      <c r="J382" s="22" t="str">
        <f t="shared" si="2"/>
        <v>#N/A</v>
      </c>
      <c r="K382" s="22" t="str">
        <f t="array" ref="K382">IF(H382="Crash",MATCH(TRUE, B383:B480 &gt;= B381, 0),"")</f>
        <v/>
      </c>
    </row>
    <row r="383" ht="15.75" customHeight="1">
      <c r="A383" s="31" t="str">
        <f>'EQUITY BACKTEST'!A386</f>
        <v/>
      </c>
      <c r="B383" s="22" t="str">
        <f>'EQUITY BACKTEST'!B386</f>
        <v/>
      </c>
      <c r="C383" s="22" t="str">
        <f>1/'EQUITY BACKTEST'!E386</f>
        <v>#DIV/0!</v>
      </c>
      <c r="D383" s="22" t="str">
        <f t="shared" si="5"/>
        <v>#DIV/0!</v>
      </c>
      <c r="E383" s="22" t="str">
        <f t="shared" si="3"/>
        <v/>
      </c>
      <c r="F383" s="22" t="str">
        <f t="shared" si="6"/>
        <v>#DIV/0!</v>
      </c>
      <c r="H383" s="22" t="str">
        <f t="shared" si="4"/>
        <v/>
      </c>
      <c r="I383" s="22" t="str">
        <f t="shared" si="1"/>
        <v>#N/A</v>
      </c>
      <c r="J383" s="22" t="str">
        <f t="shared" si="2"/>
        <v>#N/A</v>
      </c>
      <c r="K383" s="22" t="str">
        <f t="array" ref="K383">IF(H383="Crash",MATCH(TRUE, B384:B481 &gt;= B382, 0),"")</f>
        <v/>
      </c>
    </row>
    <row r="384" ht="15.75" customHeight="1">
      <c r="A384" s="31" t="str">
        <f>'EQUITY BACKTEST'!A387</f>
        <v/>
      </c>
      <c r="B384" s="22" t="str">
        <f>'EQUITY BACKTEST'!B387</f>
        <v/>
      </c>
      <c r="C384" s="22" t="str">
        <f>1/'EQUITY BACKTEST'!E387</f>
        <v>#DIV/0!</v>
      </c>
      <c r="D384" s="22" t="str">
        <f t="shared" si="5"/>
        <v>#DIV/0!</v>
      </c>
      <c r="E384" s="22" t="str">
        <f t="shared" si="3"/>
        <v/>
      </c>
      <c r="F384" s="22" t="str">
        <f t="shared" si="6"/>
        <v>#DIV/0!</v>
      </c>
      <c r="H384" s="22" t="str">
        <f t="shared" si="4"/>
        <v/>
      </c>
      <c r="I384" s="22" t="str">
        <f t="shared" si="1"/>
        <v>#N/A</v>
      </c>
      <c r="J384" s="22" t="str">
        <f t="shared" si="2"/>
        <v>#N/A</v>
      </c>
      <c r="K384" s="22" t="str">
        <f t="array" ref="K384">IF(H384="Crash",MATCH(TRUE, B385:B482 &gt;= B383, 0),"")</f>
        <v/>
      </c>
    </row>
    <row r="385" ht="15.75" customHeight="1">
      <c r="A385" s="31" t="str">
        <f>'EQUITY BACKTEST'!A388</f>
        <v/>
      </c>
      <c r="B385" s="22" t="str">
        <f>'EQUITY BACKTEST'!B388</f>
        <v/>
      </c>
      <c r="C385" s="22" t="str">
        <f>1/'EQUITY BACKTEST'!E388</f>
        <v>#DIV/0!</v>
      </c>
      <c r="D385" s="22" t="str">
        <f t="shared" si="5"/>
        <v>#DIV/0!</v>
      </c>
      <c r="E385" s="22" t="str">
        <f t="shared" si="3"/>
        <v/>
      </c>
      <c r="F385" s="22" t="str">
        <f t="shared" si="6"/>
        <v>#DIV/0!</v>
      </c>
      <c r="H385" s="22" t="str">
        <f t="shared" si="4"/>
        <v/>
      </c>
      <c r="I385" s="22" t="str">
        <f t="shared" si="1"/>
        <v>#N/A</v>
      </c>
      <c r="J385" s="22" t="str">
        <f t="shared" si="2"/>
        <v>#N/A</v>
      </c>
      <c r="K385" s="22" t="str">
        <f t="array" ref="K385">IF(H385="Crash",MATCH(TRUE, B386:B483 &gt;= B384, 0),"")</f>
        <v/>
      </c>
    </row>
    <row r="386" ht="15.75" customHeight="1">
      <c r="A386" s="31" t="str">
        <f>'EQUITY BACKTEST'!A389</f>
        <v/>
      </c>
      <c r="B386" s="22" t="str">
        <f>'EQUITY BACKTEST'!B389</f>
        <v/>
      </c>
      <c r="C386" s="22" t="str">
        <f>1/'EQUITY BACKTEST'!E389</f>
        <v>#DIV/0!</v>
      </c>
      <c r="D386" s="22" t="str">
        <f t="shared" si="5"/>
        <v>#DIV/0!</v>
      </c>
      <c r="E386" s="22" t="str">
        <f t="shared" si="3"/>
        <v/>
      </c>
      <c r="F386" s="22" t="str">
        <f t="shared" si="6"/>
        <v>#DIV/0!</v>
      </c>
      <c r="H386" s="22" t="str">
        <f t="shared" si="4"/>
        <v/>
      </c>
      <c r="I386" s="22" t="str">
        <f t="shared" si="1"/>
        <v>#N/A</v>
      </c>
      <c r="J386" s="22" t="str">
        <f t="shared" si="2"/>
        <v>#N/A</v>
      </c>
      <c r="K386" s="22" t="str">
        <f t="array" ref="K386">IF(H386="Crash",MATCH(TRUE, B387:B484 &gt;= B385, 0),"")</f>
        <v/>
      </c>
    </row>
    <row r="387" ht="15.75" customHeight="1">
      <c r="A387" s="31" t="str">
        <f>'EQUITY BACKTEST'!A390</f>
        <v/>
      </c>
      <c r="B387" s="22" t="str">
        <f>'EQUITY BACKTEST'!B390</f>
        <v/>
      </c>
      <c r="C387" s="22" t="str">
        <f>1/'EQUITY BACKTEST'!E390</f>
        <v>#DIV/0!</v>
      </c>
      <c r="D387" s="22" t="str">
        <f t="shared" si="5"/>
        <v>#DIV/0!</v>
      </c>
      <c r="E387" s="22" t="str">
        <f t="shared" si="3"/>
        <v/>
      </c>
      <c r="F387" s="22" t="str">
        <f t="shared" si="6"/>
        <v>#DIV/0!</v>
      </c>
      <c r="H387" s="22" t="str">
        <f t="shared" si="4"/>
        <v/>
      </c>
      <c r="I387" s="22" t="str">
        <f t="shared" si="1"/>
        <v>#N/A</v>
      </c>
      <c r="J387" s="22" t="str">
        <f t="shared" si="2"/>
        <v>#N/A</v>
      </c>
      <c r="K387" s="22" t="str">
        <f t="array" ref="K387">IF(H387="Crash",MATCH(TRUE, B388:B485 &gt;= B386, 0),"")</f>
        <v/>
      </c>
    </row>
    <row r="388" ht="15.75" customHeight="1">
      <c r="A388" s="31" t="str">
        <f>'EQUITY BACKTEST'!A391</f>
        <v/>
      </c>
      <c r="B388" s="22" t="str">
        <f>'EQUITY BACKTEST'!B391</f>
        <v/>
      </c>
      <c r="C388" s="22" t="str">
        <f>1/'EQUITY BACKTEST'!E391</f>
        <v>#DIV/0!</v>
      </c>
      <c r="D388" s="22" t="str">
        <f t="shared" si="5"/>
        <v>#DIV/0!</v>
      </c>
      <c r="E388" s="22" t="str">
        <f t="shared" si="3"/>
        <v/>
      </c>
      <c r="F388" s="22" t="str">
        <f t="shared" si="6"/>
        <v>#DIV/0!</v>
      </c>
      <c r="H388" s="22" t="str">
        <f t="shared" si="4"/>
        <v/>
      </c>
      <c r="I388" s="22" t="str">
        <f t="shared" si="1"/>
        <v>#N/A</v>
      </c>
      <c r="J388" s="22" t="str">
        <f t="shared" si="2"/>
        <v>#N/A</v>
      </c>
      <c r="K388" s="22" t="str">
        <f t="array" ref="K388">IF(H388="Crash",MATCH(TRUE, B389:B486 &gt;= B387, 0),"")</f>
        <v/>
      </c>
    </row>
    <row r="389" ht="15.75" customHeight="1">
      <c r="A389" s="31" t="str">
        <f>'EQUITY BACKTEST'!A392</f>
        <v/>
      </c>
      <c r="B389" s="22" t="str">
        <f>'EQUITY BACKTEST'!B392</f>
        <v/>
      </c>
      <c r="C389" s="22" t="str">
        <f>1/'EQUITY BACKTEST'!E392</f>
        <v>#DIV/0!</v>
      </c>
      <c r="D389" s="22" t="str">
        <f t="shared" si="5"/>
        <v>#DIV/0!</v>
      </c>
      <c r="E389" s="22" t="str">
        <f t="shared" si="3"/>
        <v/>
      </c>
      <c r="F389" s="22" t="str">
        <f t="shared" si="6"/>
        <v>#DIV/0!</v>
      </c>
      <c r="H389" s="22" t="str">
        <f t="shared" si="4"/>
        <v/>
      </c>
      <c r="I389" s="22" t="str">
        <f t="shared" si="1"/>
        <v>#N/A</v>
      </c>
      <c r="J389" s="22" t="str">
        <f t="shared" si="2"/>
        <v>#N/A</v>
      </c>
      <c r="K389" s="22" t="str">
        <f t="array" ref="K389">IF(H389="Crash",MATCH(TRUE, B390:B487 &gt;= B388, 0),"")</f>
        <v/>
      </c>
    </row>
    <row r="390" ht="15.75" customHeight="1">
      <c r="A390" s="31" t="str">
        <f>'EQUITY BACKTEST'!A393</f>
        <v/>
      </c>
      <c r="B390" s="22" t="str">
        <f>'EQUITY BACKTEST'!B393</f>
        <v/>
      </c>
      <c r="C390" s="22" t="str">
        <f>1/'EQUITY BACKTEST'!E393</f>
        <v>#DIV/0!</v>
      </c>
      <c r="D390" s="22" t="str">
        <f t="shared" si="5"/>
        <v>#DIV/0!</v>
      </c>
      <c r="E390" s="22" t="str">
        <f t="shared" si="3"/>
        <v/>
      </c>
      <c r="F390" s="22" t="str">
        <f t="shared" si="6"/>
        <v>#DIV/0!</v>
      </c>
      <c r="H390" s="22" t="str">
        <f t="shared" si="4"/>
        <v/>
      </c>
      <c r="I390" s="22" t="str">
        <f t="shared" si="1"/>
        <v>#N/A</v>
      </c>
      <c r="J390" s="22" t="str">
        <f t="shared" si="2"/>
        <v>#N/A</v>
      </c>
      <c r="K390" s="22" t="str">
        <f t="array" ref="K390">IF(H390="Crash",MATCH(TRUE, B391:B488 &gt;= B389, 0),"")</f>
        <v/>
      </c>
    </row>
    <row r="391" ht="15.75" customHeight="1">
      <c r="A391" s="31" t="str">
        <f>'EQUITY BACKTEST'!A394</f>
        <v/>
      </c>
      <c r="B391" s="22" t="str">
        <f>'EQUITY BACKTEST'!B394</f>
        <v/>
      </c>
      <c r="C391" s="22" t="str">
        <f>1/'EQUITY BACKTEST'!E394</f>
        <v>#DIV/0!</v>
      </c>
      <c r="D391" s="22" t="str">
        <f t="shared" si="5"/>
        <v>#DIV/0!</v>
      </c>
      <c r="E391" s="22" t="str">
        <f t="shared" si="3"/>
        <v/>
      </c>
      <c r="F391" s="22" t="str">
        <f t="shared" si="6"/>
        <v>#DIV/0!</v>
      </c>
      <c r="H391" s="22" t="str">
        <f t="shared" si="4"/>
        <v/>
      </c>
      <c r="I391" s="22" t="str">
        <f t="shared" si="1"/>
        <v>#N/A</v>
      </c>
      <c r="J391" s="22" t="str">
        <f t="shared" si="2"/>
        <v>#N/A</v>
      </c>
      <c r="K391" s="22" t="str">
        <f t="array" ref="K391">IF(H391="Crash",MATCH(TRUE, B392:B489 &gt;= B390, 0),"")</f>
        <v/>
      </c>
    </row>
    <row r="392" ht="15.75" customHeight="1">
      <c r="A392" s="31" t="str">
        <f>'EQUITY BACKTEST'!A395</f>
        <v/>
      </c>
      <c r="B392" s="22" t="str">
        <f>'EQUITY BACKTEST'!B395</f>
        <v/>
      </c>
      <c r="C392" s="22" t="str">
        <f>1/'EQUITY BACKTEST'!E395</f>
        <v>#DIV/0!</v>
      </c>
      <c r="D392" s="22" t="str">
        <f t="shared" si="5"/>
        <v>#DIV/0!</v>
      </c>
      <c r="E392" s="22" t="str">
        <f t="shared" si="3"/>
        <v/>
      </c>
      <c r="F392" s="22" t="str">
        <f t="shared" si="6"/>
        <v>#DIV/0!</v>
      </c>
      <c r="H392" s="22" t="str">
        <f t="shared" si="4"/>
        <v/>
      </c>
      <c r="I392" s="22" t="str">
        <f t="shared" si="1"/>
        <v>#N/A</v>
      </c>
      <c r="J392" s="22" t="str">
        <f t="shared" si="2"/>
        <v>#N/A</v>
      </c>
      <c r="K392" s="22" t="str">
        <f t="array" ref="K392">IF(H392="Crash",MATCH(TRUE, B393:B490 &gt;= B391, 0),"")</f>
        <v/>
      </c>
    </row>
    <row r="393" ht="15.75" customHeight="1">
      <c r="A393" s="31" t="str">
        <f>'EQUITY BACKTEST'!A396</f>
        <v/>
      </c>
      <c r="B393" s="22" t="str">
        <f>'EQUITY BACKTEST'!B396</f>
        <v/>
      </c>
      <c r="C393" s="22" t="str">
        <f>1/'EQUITY BACKTEST'!E396</f>
        <v>#DIV/0!</v>
      </c>
      <c r="D393" s="22" t="str">
        <f t="shared" si="5"/>
        <v>#DIV/0!</v>
      </c>
      <c r="E393" s="22" t="str">
        <f t="shared" si="3"/>
        <v/>
      </c>
      <c r="F393" s="22" t="str">
        <f t="shared" si="6"/>
        <v>#DIV/0!</v>
      </c>
      <c r="H393" s="22" t="str">
        <f t="shared" si="4"/>
        <v/>
      </c>
      <c r="I393" s="22" t="str">
        <f t="shared" si="1"/>
        <v>#N/A</v>
      </c>
      <c r="J393" s="22" t="str">
        <f t="shared" si="2"/>
        <v>#N/A</v>
      </c>
      <c r="K393" s="22" t="str">
        <f t="array" ref="K393">IF(H393="Crash",MATCH(TRUE, B394:B491 &gt;= B392, 0),"")</f>
        <v/>
      </c>
    </row>
    <row r="394" ht="15.75" customHeight="1">
      <c r="A394" s="31" t="str">
        <f>'EQUITY BACKTEST'!A397</f>
        <v/>
      </c>
      <c r="B394" s="22" t="str">
        <f>'EQUITY BACKTEST'!B397</f>
        <v/>
      </c>
      <c r="C394" s="22" t="str">
        <f>1/'EQUITY BACKTEST'!E397</f>
        <v>#DIV/0!</v>
      </c>
      <c r="D394" s="22" t="str">
        <f t="shared" si="5"/>
        <v>#DIV/0!</v>
      </c>
      <c r="E394" s="22" t="str">
        <f t="shared" si="3"/>
        <v/>
      </c>
      <c r="F394" s="22" t="str">
        <f t="shared" si="6"/>
        <v>#DIV/0!</v>
      </c>
      <c r="H394" s="22" t="str">
        <f t="shared" si="4"/>
        <v/>
      </c>
      <c r="I394" s="22" t="str">
        <f t="shared" si="1"/>
        <v>#N/A</v>
      </c>
      <c r="J394" s="22" t="str">
        <f t="shared" si="2"/>
        <v>#N/A</v>
      </c>
      <c r="K394" s="22" t="str">
        <f t="array" ref="K394">IF(H394="Crash",MATCH(TRUE, B395:B492 &gt;= B393, 0),"")</f>
        <v/>
      </c>
    </row>
    <row r="395" ht="15.75" customHeight="1">
      <c r="A395" s="31" t="str">
        <f>'EQUITY BACKTEST'!A398</f>
        <v/>
      </c>
      <c r="B395" s="22" t="str">
        <f>'EQUITY BACKTEST'!B398</f>
        <v/>
      </c>
      <c r="C395" s="22" t="str">
        <f>1/'EQUITY BACKTEST'!E398</f>
        <v>#DIV/0!</v>
      </c>
      <c r="D395" s="22" t="str">
        <f t="shared" si="5"/>
        <v>#DIV/0!</v>
      </c>
      <c r="E395" s="22" t="str">
        <f t="shared" si="3"/>
        <v/>
      </c>
      <c r="F395" s="22" t="str">
        <f t="shared" si="6"/>
        <v>#DIV/0!</v>
      </c>
      <c r="H395" s="22" t="str">
        <f t="shared" si="4"/>
        <v/>
      </c>
      <c r="I395" s="22" t="str">
        <f t="shared" si="1"/>
        <v>#N/A</v>
      </c>
      <c r="J395" s="22" t="str">
        <f t="shared" si="2"/>
        <v>#N/A</v>
      </c>
      <c r="K395" s="22" t="str">
        <f t="array" ref="K395">IF(H395="Crash",MATCH(TRUE, B396:B493 &gt;= B394, 0),"")</f>
        <v/>
      </c>
    </row>
    <row r="396" ht="15.75" customHeight="1">
      <c r="A396" s="31" t="str">
        <f>'EQUITY BACKTEST'!A399</f>
        <v/>
      </c>
      <c r="B396" s="22" t="str">
        <f>'EQUITY BACKTEST'!B399</f>
        <v/>
      </c>
      <c r="C396" s="22" t="str">
        <f>1/'EQUITY BACKTEST'!E399</f>
        <v>#DIV/0!</v>
      </c>
      <c r="D396" s="22" t="str">
        <f t="shared" si="5"/>
        <v>#DIV/0!</v>
      </c>
      <c r="E396" s="22" t="str">
        <f t="shared" si="3"/>
        <v/>
      </c>
      <c r="F396" s="22" t="str">
        <f t="shared" si="6"/>
        <v>#DIV/0!</v>
      </c>
      <c r="H396" s="22" t="str">
        <f t="shared" si="4"/>
        <v/>
      </c>
      <c r="I396" s="22" t="str">
        <f t="shared" si="1"/>
        <v>#N/A</v>
      </c>
      <c r="J396" s="22" t="str">
        <f t="shared" si="2"/>
        <v>#N/A</v>
      </c>
      <c r="K396" s="22" t="str">
        <f t="array" ref="K396">IF(H396="Crash",MATCH(TRUE, B397:B494 &gt;= B395, 0),"")</f>
        <v/>
      </c>
    </row>
    <row r="397" ht="15.75" customHeight="1">
      <c r="A397" s="31" t="str">
        <f>'EQUITY BACKTEST'!A400</f>
        <v/>
      </c>
      <c r="B397" s="22" t="str">
        <f>'EQUITY BACKTEST'!B400</f>
        <v/>
      </c>
      <c r="C397" s="22" t="str">
        <f>1/'EQUITY BACKTEST'!E400</f>
        <v>#DIV/0!</v>
      </c>
      <c r="D397" s="22" t="str">
        <f t="shared" si="5"/>
        <v>#DIV/0!</v>
      </c>
      <c r="E397" s="22" t="str">
        <f t="shared" si="3"/>
        <v/>
      </c>
      <c r="F397" s="22" t="str">
        <f t="shared" si="6"/>
        <v>#DIV/0!</v>
      </c>
      <c r="H397" s="22" t="str">
        <f t="shared" si="4"/>
        <v/>
      </c>
      <c r="I397" s="22" t="str">
        <f t="shared" si="1"/>
        <v>#N/A</v>
      </c>
      <c r="J397" s="22" t="str">
        <f t="shared" si="2"/>
        <v>#N/A</v>
      </c>
      <c r="K397" s="22" t="str">
        <f t="array" ref="K397">IF(H397="Crash",MATCH(TRUE, B398:B495 &gt;= B396, 0),"")</f>
        <v/>
      </c>
    </row>
    <row r="398" ht="15.75" customHeight="1">
      <c r="A398" s="31" t="str">
        <f>'EQUITY BACKTEST'!A401</f>
        <v/>
      </c>
      <c r="B398" s="22" t="str">
        <f>'EQUITY BACKTEST'!B401</f>
        <v/>
      </c>
      <c r="C398" s="22" t="str">
        <f>1/'EQUITY BACKTEST'!E401</f>
        <v>#DIV/0!</v>
      </c>
      <c r="D398" s="22" t="str">
        <f t="shared" si="5"/>
        <v>#DIV/0!</v>
      </c>
      <c r="E398" s="22" t="str">
        <f t="shared" si="3"/>
        <v/>
      </c>
      <c r="F398" s="22" t="str">
        <f t="shared" si="6"/>
        <v>#DIV/0!</v>
      </c>
      <c r="H398" s="22" t="str">
        <f t="shared" si="4"/>
        <v/>
      </c>
      <c r="I398" s="22" t="str">
        <f t="shared" si="1"/>
        <v>#N/A</v>
      </c>
      <c r="J398" s="22" t="str">
        <f t="shared" si="2"/>
        <v>#N/A</v>
      </c>
      <c r="K398" s="22" t="str">
        <f t="array" ref="K398">IF(H398="Crash",MATCH(TRUE, B399:B496 &gt;= B397, 0),"")</f>
        <v/>
      </c>
    </row>
    <row r="399" ht="15.75" customHeight="1">
      <c r="A399" s="31" t="str">
        <f>'EQUITY BACKTEST'!A402</f>
        <v/>
      </c>
      <c r="B399" s="22" t="str">
        <f>'EQUITY BACKTEST'!B402</f>
        <v/>
      </c>
      <c r="C399" s="22" t="str">
        <f>1/'EQUITY BACKTEST'!E402</f>
        <v>#DIV/0!</v>
      </c>
      <c r="D399" s="22" t="str">
        <f t="shared" si="5"/>
        <v>#DIV/0!</v>
      </c>
      <c r="E399" s="22" t="str">
        <f t="shared" si="3"/>
        <v/>
      </c>
      <c r="F399" s="22" t="str">
        <f t="shared" si="6"/>
        <v>#DIV/0!</v>
      </c>
      <c r="H399" s="22" t="str">
        <f t="shared" si="4"/>
        <v/>
      </c>
      <c r="I399" s="22" t="str">
        <f t="shared" si="1"/>
        <v>#N/A</v>
      </c>
      <c r="J399" s="22" t="str">
        <f t="shared" si="2"/>
        <v>#N/A</v>
      </c>
      <c r="K399" s="22" t="str">
        <f t="array" ref="K399">IF(H399="Crash",MATCH(TRUE, B400:B497 &gt;= B398, 0),"")</f>
        <v/>
      </c>
    </row>
    <row r="400" ht="15.75" customHeight="1">
      <c r="A400" s="31" t="str">
        <f>'EQUITY BACKTEST'!A403</f>
        <v/>
      </c>
      <c r="B400" s="22" t="str">
        <f>'EQUITY BACKTEST'!B403</f>
        <v/>
      </c>
      <c r="C400" s="22" t="str">
        <f>1/'EQUITY BACKTEST'!E403</f>
        <v>#DIV/0!</v>
      </c>
      <c r="D400" s="22" t="str">
        <f t="shared" si="5"/>
        <v>#DIV/0!</v>
      </c>
      <c r="E400" s="22" t="str">
        <f t="shared" si="3"/>
        <v/>
      </c>
      <c r="F400" s="22" t="str">
        <f t="shared" si="6"/>
        <v>#DIV/0!</v>
      </c>
      <c r="H400" s="22" t="str">
        <f t="shared" si="4"/>
        <v/>
      </c>
      <c r="I400" s="22" t="str">
        <f t="shared" si="1"/>
        <v>#N/A</v>
      </c>
      <c r="J400" s="22" t="str">
        <f t="shared" si="2"/>
        <v>#N/A</v>
      </c>
      <c r="K400" s="22" t="str">
        <f t="array" ref="K400">IF(H400="Crash",MATCH(TRUE, B401:B498 &gt;= B399, 0),"")</f>
        <v/>
      </c>
    </row>
    <row r="401" ht="15.75" customHeight="1">
      <c r="A401" s="31" t="str">
        <f>'EQUITY BACKTEST'!A404</f>
        <v/>
      </c>
      <c r="B401" s="22" t="str">
        <f>'EQUITY BACKTEST'!B404</f>
        <v/>
      </c>
      <c r="C401" s="22" t="str">
        <f>1/'EQUITY BACKTEST'!E404</f>
        <v>#DIV/0!</v>
      </c>
      <c r="D401" s="22" t="str">
        <f t="shared" si="5"/>
        <v>#DIV/0!</v>
      </c>
      <c r="E401" s="22" t="str">
        <f t="shared" si="3"/>
        <v/>
      </c>
      <c r="F401" s="22" t="str">
        <f t="shared" si="6"/>
        <v>#DIV/0!</v>
      </c>
      <c r="H401" s="22" t="str">
        <f t="shared" si="4"/>
        <v/>
      </c>
      <c r="I401" s="22" t="str">
        <f t="shared" si="1"/>
        <v>#N/A</v>
      </c>
      <c r="J401" s="22" t="str">
        <f t="shared" si="2"/>
        <v>#N/A</v>
      </c>
      <c r="K401" s="22" t="str">
        <f t="array" ref="K401">IF(H401="Crash",MATCH(TRUE, B402:B499 &gt;= B400, 0),"")</f>
        <v/>
      </c>
    </row>
    <row r="402" ht="15.75" customHeight="1">
      <c r="A402" s="31" t="str">
        <f>'EQUITY BACKTEST'!A405</f>
        <v/>
      </c>
      <c r="B402" s="22" t="str">
        <f>'EQUITY BACKTEST'!B405</f>
        <v/>
      </c>
      <c r="C402" s="22" t="str">
        <f>1/'EQUITY BACKTEST'!E405</f>
        <v>#DIV/0!</v>
      </c>
      <c r="D402" s="22" t="str">
        <f t="shared" si="5"/>
        <v>#DIV/0!</v>
      </c>
      <c r="E402" s="22" t="str">
        <f t="shared" si="3"/>
        <v/>
      </c>
      <c r="F402" s="22" t="str">
        <f t="shared" si="6"/>
        <v>#DIV/0!</v>
      </c>
      <c r="H402" s="22" t="str">
        <f t="shared" si="4"/>
        <v/>
      </c>
      <c r="I402" s="22" t="str">
        <f t="shared" si="1"/>
        <v>#N/A</v>
      </c>
      <c r="J402" s="22" t="str">
        <f t="shared" si="2"/>
        <v>#N/A</v>
      </c>
      <c r="K402" s="22" t="str">
        <f t="array" ref="K402">IF(H402="Crash",MATCH(TRUE, B403:B500 &gt;= B401, 0),"")</f>
        <v/>
      </c>
    </row>
    <row r="403" ht="15.75" customHeight="1">
      <c r="A403" s="31" t="str">
        <f>'EQUITY BACKTEST'!A406</f>
        <v/>
      </c>
      <c r="B403" s="22" t="str">
        <f>'EQUITY BACKTEST'!B406</f>
        <v/>
      </c>
      <c r="C403" s="22" t="str">
        <f>1/'EQUITY BACKTEST'!E406</f>
        <v>#DIV/0!</v>
      </c>
      <c r="D403" s="22" t="str">
        <f t="shared" si="5"/>
        <v>#DIV/0!</v>
      </c>
      <c r="E403" s="22" t="str">
        <f t="shared" si="3"/>
        <v/>
      </c>
      <c r="F403" s="22" t="str">
        <f t="shared" si="6"/>
        <v>#DIV/0!</v>
      </c>
      <c r="H403" s="22" t="str">
        <f t="shared" si="4"/>
        <v/>
      </c>
      <c r="I403" s="22" t="str">
        <f t="shared" si="1"/>
        <v>#N/A</v>
      </c>
      <c r="J403" s="22" t="str">
        <f t="shared" si="2"/>
        <v>#N/A</v>
      </c>
      <c r="K403" s="22" t="str">
        <f t="array" ref="K403">IF(H403="Crash",MATCH(TRUE, B404:B501 &gt;= B402, 0),"")</f>
        <v/>
      </c>
    </row>
    <row r="404" ht="15.75" customHeight="1">
      <c r="A404" s="31" t="str">
        <f>'EQUITY BACKTEST'!A407</f>
        <v/>
      </c>
      <c r="B404" s="22" t="str">
        <f>'EQUITY BACKTEST'!B407</f>
        <v/>
      </c>
      <c r="C404" s="22" t="str">
        <f>1/'EQUITY BACKTEST'!E407</f>
        <v>#DIV/0!</v>
      </c>
      <c r="D404" s="22" t="str">
        <f t="shared" si="5"/>
        <v>#DIV/0!</v>
      </c>
      <c r="E404" s="22" t="str">
        <f t="shared" si="3"/>
        <v/>
      </c>
      <c r="F404" s="22" t="str">
        <f t="shared" si="6"/>
        <v>#DIV/0!</v>
      </c>
      <c r="H404" s="22" t="str">
        <f t="shared" si="4"/>
        <v/>
      </c>
      <c r="I404" s="22" t="str">
        <f t="shared" si="1"/>
        <v>#N/A</v>
      </c>
      <c r="J404" s="22" t="str">
        <f t="shared" si="2"/>
        <v>#N/A</v>
      </c>
      <c r="K404" s="22" t="str">
        <f t="array" ref="K404">IF(H404="Crash",MATCH(TRUE, B405:B502 &gt;= B403, 0),"")</f>
        <v/>
      </c>
    </row>
    <row r="405" ht="15.75" customHeight="1">
      <c r="A405" s="31" t="str">
        <f>'EQUITY BACKTEST'!A408</f>
        <v/>
      </c>
      <c r="B405" s="22" t="str">
        <f>'EQUITY BACKTEST'!B408</f>
        <v/>
      </c>
      <c r="C405" s="22" t="str">
        <f>1/'EQUITY BACKTEST'!E408</f>
        <v>#DIV/0!</v>
      </c>
      <c r="D405" s="22" t="str">
        <f t="shared" si="5"/>
        <v>#DIV/0!</v>
      </c>
      <c r="E405" s="22" t="str">
        <f t="shared" si="3"/>
        <v/>
      </c>
      <c r="F405" s="22" t="str">
        <f t="shared" si="6"/>
        <v>#DIV/0!</v>
      </c>
      <c r="H405" s="22" t="str">
        <f t="shared" si="4"/>
        <v/>
      </c>
      <c r="I405" s="22" t="str">
        <f t="shared" si="1"/>
        <v>#N/A</v>
      </c>
      <c r="J405" s="22" t="str">
        <f t="shared" si="2"/>
        <v>#N/A</v>
      </c>
      <c r="K405" s="22" t="str">
        <f t="array" ref="K405">IF(H405="Crash",MATCH(TRUE, B406:B503 &gt;= B404, 0),"")</f>
        <v/>
      </c>
    </row>
    <row r="406" ht="15.75" customHeight="1">
      <c r="A406" s="31" t="str">
        <f>'EQUITY BACKTEST'!A409</f>
        <v/>
      </c>
      <c r="B406" s="22" t="str">
        <f>'EQUITY BACKTEST'!B409</f>
        <v/>
      </c>
      <c r="C406" s="22" t="str">
        <f>1/'EQUITY BACKTEST'!E409</f>
        <v>#DIV/0!</v>
      </c>
      <c r="D406" s="22" t="str">
        <f t="shared" si="5"/>
        <v>#DIV/0!</v>
      </c>
      <c r="E406" s="22" t="str">
        <f t="shared" si="3"/>
        <v/>
      </c>
      <c r="F406" s="22" t="str">
        <f t="shared" si="6"/>
        <v>#DIV/0!</v>
      </c>
      <c r="H406" s="22" t="str">
        <f t="shared" si="4"/>
        <v/>
      </c>
      <c r="I406" s="22" t="str">
        <f t="shared" si="1"/>
        <v>#N/A</v>
      </c>
      <c r="J406" s="22" t="str">
        <f t="shared" si="2"/>
        <v>#N/A</v>
      </c>
      <c r="K406" s="22" t="str">
        <f t="array" ref="K406">IF(H406="Crash",MATCH(TRUE, B407:B504 &gt;= B405, 0),"")</f>
        <v/>
      </c>
    </row>
    <row r="407" ht="15.75" customHeight="1">
      <c r="A407" s="31" t="str">
        <f>'EQUITY BACKTEST'!A410</f>
        <v/>
      </c>
      <c r="B407" s="22" t="str">
        <f>'EQUITY BACKTEST'!B410</f>
        <v/>
      </c>
      <c r="C407" s="22" t="str">
        <f>1/'EQUITY BACKTEST'!E410</f>
        <v>#DIV/0!</v>
      </c>
      <c r="D407" s="22" t="str">
        <f t="shared" si="5"/>
        <v>#DIV/0!</v>
      </c>
      <c r="E407" s="22" t="str">
        <f t="shared" si="3"/>
        <v/>
      </c>
      <c r="F407" s="22" t="str">
        <f t="shared" si="6"/>
        <v>#DIV/0!</v>
      </c>
      <c r="H407" s="22" t="str">
        <f t="shared" si="4"/>
        <v/>
      </c>
      <c r="I407" s="22" t="str">
        <f t="shared" si="1"/>
        <v>#N/A</v>
      </c>
      <c r="J407" s="22" t="str">
        <f t="shared" si="2"/>
        <v>#N/A</v>
      </c>
      <c r="K407" s="22" t="str">
        <f t="array" ref="K407">IF(H407="Crash",MATCH(TRUE, B408:B505 &gt;= B406, 0),"")</f>
        <v/>
      </c>
    </row>
    <row r="408" ht="15.75" customHeight="1">
      <c r="A408" s="31" t="str">
        <f>'EQUITY BACKTEST'!A411</f>
        <v/>
      </c>
      <c r="B408" s="22" t="str">
        <f>'EQUITY BACKTEST'!B411</f>
        <v/>
      </c>
      <c r="C408" s="22" t="str">
        <f>1/'EQUITY BACKTEST'!E411</f>
        <v>#DIV/0!</v>
      </c>
      <c r="D408" s="22" t="str">
        <f t="shared" si="5"/>
        <v>#DIV/0!</v>
      </c>
      <c r="E408" s="22" t="str">
        <f t="shared" si="3"/>
        <v/>
      </c>
      <c r="F408" s="22" t="str">
        <f t="shared" si="6"/>
        <v>#DIV/0!</v>
      </c>
      <c r="H408" s="22" t="str">
        <f t="shared" si="4"/>
        <v/>
      </c>
      <c r="I408" s="22" t="str">
        <f t="shared" si="1"/>
        <v>#N/A</v>
      </c>
      <c r="J408" s="22" t="str">
        <f t="shared" si="2"/>
        <v>#N/A</v>
      </c>
      <c r="K408" s="22" t="str">
        <f t="array" ref="K408">IF(H408="Crash",MATCH(TRUE, B409:B506 &gt;= B407, 0),"")</f>
        <v/>
      </c>
    </row>
    <row r="409" ht="15.75" customHeight="1">
      <c r="A409" s="31" t="str">
        <f>'EQUITY BACKTEST'!A412</f>
        <v/>
      </c>
      <c r="B409" s="22" t="str">
        <f>'EQUITY BACKTEST'!B412</f>
        <v/>
      </c>
      <c r="C409" s="22" t="str">
        <f>1/'EQUITY BACKTEST'!E412</f>
        <v>#DIV/0!</v>
      </c>
      <c r="D409" s="22" t="str">
        <f t="shared" si="5"/>
        <v>#DIV/0!</v>
      </c>
      <c r="E409" s="22" t="str">
        <f t="shared" si="3"/>
        <v/>
      </c>
      <c r="F409" s="22" t="str">
        <f t="shared" si="6"/>
        <v>#DIV/0!</v>
      </c>
      <c r="H409" s="22" t="str">
        <f t="shared" si="4"/>
        <v/>
      </c>
      <c r="I409" s="22" t="str">
        <f t="shared" si="1"/>
        <v>#N/A</v>
      </c>
      <c r="J409" s="22" t="str">
        <f t="shared" si="2"/>
        <v>#N/A</v>
      </c>
      <c r="K409" s="22" t="str">
        <f t="array" ref="K409">IF(H409="Crash",MATCH(TRUE, B410:B507 &gt;= B408, 0),"")</f>
        <v/>
      </c>
    </row>
    <row r="410" ht="15.75" customHeight="1">
      <c r="A410" s="31" t="str">
        <f>'EQUITY BACKTEST'!A413</f>
        <v/>
      </c>
      <c r="B410" s="22" t="str">
        <f>'EQUITY BACKTEST'!B413</f>
        <v/>
      </c>
      <c r="C410" s="22" t="str">
        <f>1/'EQUITY BACKTEST'!E413</f>
        <v>#DIV/0!</v>
      </c>
      <c r="D410" s="22" t="str">
        <f t="shared" si="5"/>
        <v>#DIV/0!</v>
      </c>
      <c r="E410" s="22" t="str">
        <f t="shared" si="3"/>
        <v/>
      </c>
      <c r="F410" s="22" t="str">
        <f t="shared" si="6"/>
        <v>#DIV/0!</v>
      </c>
      <c r="H410" s="22" t="str">
        <f t="shared" si="4"/>
        <v/>
      </c>
      <c r="I410" s="22" t="str">
        <f t="shared" si="1"/>
        <v>#N/A</v>
      </c>
      <c r="J410" s="22" t="str">
        <f t="shared" si="2"/>
        <v>#N/A</v>
      </c>
      <c r="K410" s="22" t="str">
        <f t="array" ref="K410">IF(H410="Crash",MATCH(TRUE, B411:B508 &gt;= B409, 0),"")</f>
        <v/>
      </c>
    </row>
    <row r="411" ht="15.75" customHeight="1">
      <c r="A411" s="31" t="str">
        <f>'EQUITY BACKTEST'!A414</f>
        <v/>
      </c>
      <c r="B411" s="22" t="str">
        <f>'EQUITY BACKTEST'!B414</f>
        <v/>
      </c>
      <c r="C411" s="22" t="str">
        <f>1/'EQUITY BACKTEST'!E414</f>
        <v>#DIV/0!</v>
      </c>
      <c r="D411" s="22" t="str">
        <f t="shared" si="5"/>
        <v>#DIV/0!</v>
      </c>
      <c r="E411" s="22" t="str">
        <f t="shared" si="3"/>
        <v/>
      </c>
      <c r="F411" s="22" t="str">
        <f t="shared" si="6"/>
        <v>#DIV/0!</v>
      </c>
      <c r="H411" s="22" t="str">
        <f t="shared" si="4"/>
        <v/>
      </c>
      <c r="I411" s="22" t="str">
        <f t="shared" si="1"/>
        <v>#N/A</v>
      </c>
      <c r="J411" s="22" t="str">
        <f t="shared" si="2"/>
        <v>#N/A</v>
      </c>
      <c r="K411" s="22" t="str">
        <f t="array" ref="K411">IF(H411="Crash",MATCH(TRUE, B412:B509 &gt;= B410, 0),"")</f>
        <v/>
      </c>
    </row>
    <row r="412" ht="15.75" customHeight="1">
      <c r="A412" s="31" t="str">
        <f>'EQUITY BACKTEST'!A415</f>
        <v/>
      </c>
      <c r="B412" s="22" t="str">
        <f>'EQUITY BACKTEST'!B415</f>
        <v/>
      </c>
      <c r="C412" s="22" t="str">
        <f>1/'EQUITY BACKTEST'!E415</f>
        <v>#DIV/0!</v>
      </c>
      <c r="D412" s="22" t="str">
        <f t="shared" si="5"/>
        <v>#DIV/0!</v>
      </c>
      <c r="E412" s="22" t="str">
        <f t="shared" si="3"/>
        <v/>
      </c>
      <c r="F412" s="22" t="str">
        <f t="shared" si="6"/>
        <v>#DIV/0!</v>
      </c>
      <c r="H412" s="22" t="str">
        <f t="shared" si="4"/>
        <v/>
      </c>
      <c r="I412" s="22" t="str">
        <f t="shared" si="1"/>
        <v>#N/A</v>
      </c>
      <c r="J412" s="22" t="str">
        <f t="shared" si="2"/>
        <v>#N/A</v>
      </c>
      <c r="K412" s="22" t="str">
        <f t="array" ref="K412">IF(H412="Crash",MATCH(TRUE, B413:B510 &gt;= B411, 0),"")</f>
        <v/>
      </c>
    </row>
    <row r="413" ht="15.75" customHeight="1">
      <c r="A413" s="31" t="str">
        <f>'EQUITY BACKTEST'!A416</f>
        <v/>
      </c>
      <c r="B413" s="22" t="str">
        <f>'EQUITY BACKTEST'!B416</f>
        <v/>
      </c>
      <c r="C413" s="22" t="str">
        <f>1/'EQUITY BACKTEST'!E416</f>
        <v>#DIV/0!</v>
      </c>
      <c r="D413" s="22" t="str">
        <f t="shared" si="5"/>
        <v>#DIV/0!</v>
      </c>
      <c r="E413" s="22" t="str">
        <f t="shared" si="3"/>
        <v/>
      </c>
      <c r="F413" s="22" t="str">
        <f t="shared" si="6"/>
        <v>#DIV/0!</v>
      </c>
      <c r="H413" s="22" t="str">
        <f t="shared" si="4"/>
        <v/>
      </c>
      <c r="I413" s="22" t="str">
        <f t="shared" si="1"/>
        <v>#N/A</v>
      </c>
      <c r="J413" s="22" t="str">
        <f t="shared" si="2"/>
        <v>#N/A</v>
      </c>
      <c r="K413" s="22" t="str">
        <f t="array" ref="K413">IF(H413="Crash",MATCH(TRUE, B414:B511 &gt;= B412, 0),"")</f>
        <v/>
      </c>
    </row>
    <row r="414" ht="15.75" customHeight="1">
      <c r="A414" s="31" t="str">
        <f>'EQUITY BACKTEST'!A417</f>
        <v/>
      </c>
      <c r="B414" s="22" t="str">
        <f>'EQUITY BACKTEST'!B417</f>
        <v/>
      </c>
      <c r="C414" s="22" t="str">
        <f>1/'EQUITY BACKTEST'!E417</f>
        <v>#DIV/0!</v>
      </c>
      <c r="D414" s="22" t="str">
        <f t="shared" si="5"/>
        <v>#DIV/0!</v>
      </c>
      <c r="E414" s="22" t="str">
        <f t="shared" si="3"/>
        <v/>
      </c>
      <c r="F414" s="22" t="str">
        <f t="shared" si="6"/>
        <v>#DIV/0!</v>
      </c>
      <c r="H414" s="22" t="str">
        <f t="shared" si="4"/>
        <v/>
      </c>
      <c r="I414" s="22" t="str">
        <f t="shared" si="1"/>
        <v>#N/A</v>
      </c>
      <c r="J414" s="22" t="str">
        <f t="shared" si="2"/>
        <v>#N/A</v>
      </c>
      <c r="K414" s="22" t="str">
        <f t="array" ref="K414">IF(H414="Crash",MATCH(TRUE, B415:B512 &gt;= B413, 0),"")</f>
        <v/>
      </c>
    </row>
    <row r="415" ht="15.75" customHeight="1">
      <c r="A415" s="31" t="str">
        <f>'EQUITY BACKTEST'!A418</f>
        <v/>
      </c>
      <c r="B415" s="22" t="str">
        <f>'EQUITY BACKTEST'!B418</f>
        <v/>
      </c>
      <c r="C415" s="22" t="str">
        <f>1/'EQUITY BACKTEST'!E418</f>
        <v>#DIV/0!</v>
      </c>
      <c r="D415" s="22" t="str">
        <f t="shared" si="5"/>
        <v>#DIV/0!</v>
      </c>
      <c r="E415" s="22" t="str">
        <f t="shared" si="3"/>
        <v/>
      </c>
      <c r="F415" s="22" t="str">
        <f t="shared" si="6"/>
        <v>#DIV/0!</v>
      </c>
      <c r="H415" s="22" t="str">
        <f t="shared" si="4"/>
        <v/>
      </c>
      <c r="I415" s="22" t="str">
        <f t="shared" si="1"/>
        <v>#N/A</v>
      </c>
      <c r="J415" s="22" t="str">
        <f t="shared" si="2"/>
        <v>#N/A</v>
      </c>
      <c r="K415" s="22" t="str">
        <f t="array" ref="K415">IF(H415="Crash",MATCH(TRUE, B416:B513 &gt;= B414, 0),"")</f>
        <v/>
      </c>
    </row>
    <row r="416" ht="15.75" customHeight="1">
      <c r="A416" s="31" t="str">
        <f>'EQUITY BACKTEST'!A419</f>
        <v/>
      </c>
      <c r="B416" s="22" t="str">
        <f>'EQUITY BACKTEST'!B419</f>
        <v/>
      </c>
      <c r="C416" s="22" t="str">
        <f>1/'EQUITY BACKTEST'!E419</f>
        <v>#DIV/0!</v>
      </c>
      <c r="D416" s="22" t="str">
        <f t="shared" si="5"/>
        <v>#DIV/0!</v>
      </c>
      <c r="E416" s="22" t="str">
        <f t="shared" si="3"/>
        <v/>
      </c>
      <c r="F416" s="22" t="str">
        <f t="shared" si="6"/>
        <v>#DIV/0!</v>
      </c>
      <c r="H416" s="22" t="str">
        <f t="shared" si="4"/>
        <v/>
      </c>
      <c r="I416" s="22" t="str">
        <f t="shared" si="1"/>
        <v>#N/A</v>
      </c>
      <c r="J416" s="22" t="str">
        <f t="shared" si="2"/>
        <v>#N/A</v>
      </c>
      <c r="K416" s="22" t="str">
        <f t="array" ref="K416">IF(H416="Crash",MATCH(TRUE, B417:B514 &gt;= B415, 0),"")</f>
        <v/>
      </c>
    </row>
    <row r="417" ht="15.75" customHeight="1">
      <c r="A417" s="31" t="str">
        <f>'EQUITY BACKTEST'!A420</f>
        <v/>
      </c>
      <c r="B417" s="22" t="str">
        <f>'EQUITY BACKTEST'!B420</f>
        <v/>
      </c>
      <c r="C417" s="22" t="str">
        <f>1/'EQUITY BACKTEST'!E420</f>
        <v>#DIV/0!</v>
      </c>
      <c r="D417" s="22" t="str">
        <f t="shared" si="5"/>
        <v>#DIV/0!</v>
      </c>
      <c r="E417" s="22" t="str">
        <f t="shared" si="3"/>
        <v/>
      </c>
      <c r="F417" s="22" t="str">
        <f t="shared" si="6"/>
        <v>#DIV/0!</v>
      </c>
      <c r="H417" s="22" t="str">
        <f t="shared" si="4"/>
        <v/>
      </c>
      <c r="I417" s="22" t="str">
        <f t="shared" si="1"/>
        <v>#N/A</v>
      </c>
      <c r="J417" s="22" t="str">
        <f t="shared" si="2"/>
        <v>#N/A</v>
      </c>
      <c r="K417" s="22" t="str">
        <f t="array" ref="K417">IF(H417="Crash",MATCH(TRUE, B418:B515 &gt;= B416, 0),"")</f>
        <v/>
      </c>
    </row>
    <row r="418" ht="15.75" customHeight="1">
      <c r="A418" s="31" t="str">
        <f>'EQUITY BACKTEST'!A421</f>
        <v/>
      </c>
      <c r="B418" s="22" t="str">
        <f>'EQUITY BACKTEST'!B421</f>
        <v/>
      </c>
      <c r="C418" s="22" t="str">
        <f>1/'EQUITY BACKTEST'!E421</f>
        <v>#DIV/0!</v>
      </c>
      <c r="D418" s="22" t="str">
        <f t="shared" si="5"/>
        <v>#DIV/0!</v>
      </c>
      <c r="E418" s="22" t="str">
        <f t="shared" si="3"/>
        <v/>
      </c>
      <c r="F418" s="22" t="str">
        <f t="shared" si="6"/>
        <v>#DIV/0!</v>
      </c>
      <c r="H418" s="22" t="str">
        <f t="shared" si="4"/>
        <v/>
      </c>
      <c r="I418" s="22" t="str">
        <f t="shared" si="1"/>
        <v>#N/A</v>
      </c>
      <c r="J418" s="22" t="str">
        <f t="shared" si="2"/>
        <v>#N/A</v>
      </c>
      <c r="K418" s="22" t="str">
        <f t="array" ref="K418">IF(H418="Crash",MATCH(TRUE, B419:B516 &gt;= B417, 0),"")</f>
        <v/>
      </c>
    </row>
    <row r="419" ht="15.75" customHeight="1">
      <c r="A419" s="31" t="str">
        <f>'EQUITY BACKTEST'!A422</f>
        <v/>
      </c>
      <c r="B419" s="22" t="str">
        <f>'EQUITY BACKTEST'!B422</f>
        <v/>
      </c>
      <c r="C419" s="22" t="str">
        <f>1/'EQUITY BACKTEST'!E422</f>
        <v>#DIV/0!</v>
      </c>
      <c r="D419" s="22" t="str">
        <f t="shared" si="5"/>
        <v>#DIV/0!</v>
      </c>
      <c r="E419" s="22" t="str">
        <f t="shared" si="3"/>
        <v/>
      </c>
      <c r="F419" s="22" t="str">
        <f t="shared" si="6"/>
        <v>#DIV/0!</v>
      </c>
      <c r="H419" s="22" t="str">
        <f t="shared" si="4"/>
        <v/>
      </c>
      <c r="I419" s="22" t="str">
        <f t="shared" si="1"/>
        <v>#N/A</v>
      </c>
      <c r="J419" s="22" t="str">
        <f t="shared" si="2"/>
        <v>#N/A</v>
      </c>
      <c r="K419" s="22" t="str">
        <f t="array" ref="K419">IF(H419="Crash",MATCH(TRUE, B420:B517 &gt;= B418, 0),"")</f>
        <v/>
      </c>
    </row>
    <row r="420" ht="15.75" customHeight="1">
      <c r="A420" s="31" t="str">
        <f>'EQUITY BACKTEST'!A423</f>
        <v/>
      </c>
      <c r="B420" s="22" t="str">
        <f>'EQUITY BACKTEST'!B423</f>
        <v/>
      </c>
      <c r="C420" s="22" t="str">
        <f>1/'EQUITY BACKTEST'!E423</f>
        <v>#DIV/0!</v>
      </c>
      <c r="D420" s="22" t="str">
        <f t="shared" si="5"/>
        <v>#DIV/0!</v>
      </c>
      <c r="E420" s="22" t="str">
        <f t="shared" si="3"/>
        <v/>
      </c>
      <c r="F420" s="22" t="str">
        <f t="shared" si="6"/>
        <v>#DIV/0!</v>
      </c>
      <c r="H420" s="22" t="str">
        <f t="shared" si="4"/>
        <v/>
      </c>
      <c r="I420" s="22" t="str">
        <f t="shared" si="1"/>
        <v>#N/A</v>
      </c>
      <c r="J420" s="22" t="str">
        <f t="shared" si="2"/>
        <v>#N/A</v>
      </c>
      <c r="K420" s="22" t="str">
        <f t="array" ref="K420">IF(H420="Crash",MATCH(TRUE, B421:B518 &gt;= B419, 0),"")</f>
        <v/>
      </c>
    </row>
    <row r="421" ht="15.75" customHeight="1">
      <c r="A421" s="31" t="str">
        <f>'EQUITY BACKTEST'!A424</f>
        <v/>
      </c>
      <c r="B421" s="22" t="str">
        <f>'EQUITY BACKTEST'!B424</f>
        <v/>
      </c>
      <c r="C421" s="22" t="str">
        <f>1/'EQUITY BACKTEST'!E424</f>
        <v>#DIV/0!</v>
      </c>
      <c r="D421" s="22" t="str">
        <f t="shared" si="5"/>
        <v>#DIV/0!</v>
      </c>
      <c r="E421" s="22" t="str">
        <f t="shared" si="3"/>
        <v/>
      </c>
      <c r="F421" s="22" t="str">
        <f t="shared" si="6"/>
        <v>#DIV/0!</v>
      </c>
      <c r="H421" s="22" t="str">
        <f t="shared" si="4"/>
        <v/>
      </c>
      <c r="I421" s="22" t="str">
        <f t="shared" si="1"/>
        <v>#N/A</v>
      </c>
      <c r="J421" s="22" t="str">
        <f t="shared" si="2"/>
        <v>#N/A</v>
      </c>
      <c r="K421" s="22" t="str">
        <f t="array" ref="K421">IF(H421="Crash",MATCH(TRUE, B422:B519 &gt;= B420, 0),"")</f>
        <v/>
      </c>
    </row>
    <row r="422" ht="15.75" customHeight="1">
      <c r="A422" s="31" t="str">
        <f>'EQUITY BACKTEST'!A425</f>
        <v/>
      </c>
      <c r="B422" s="22" t="str">
        <f>'EQUITY BACKTEST'!B425</f>
        <v/>
      </c>
      <c r="C422" s="22" t="str">
        <f>1/'EQUITY BACKTEST'!E425</f>
        <v>#DIV/0!</v>
      </c>
      <c r="D422" s="22" t="str">
        <f t="shared" si="5"/>
        <v>#DIV/0!</v>
      </c>
      <c r="E422" s="22" t="str">
        <f t="shared" si="3"/>
        <v/>
      </c>
      <c r="F422" s="22" t="str">
        <f t="shared" si="6"/>
        <v>#DIV/0!</v>
      </c>
      <c r="H422" s="22" t="str">
        <f t="shared" si="4"/>
        <v/>
      </c>
      <c r="I422" s="22" t="str">
        <f t="shared" si="1"/>
        <v>#N/A</v>
      </c>
      <c r="J422" s="22" t="str">
        <f t="shared" si="2"/>
        <v>#N/A</v>
      </c>
      <c r="K422" s="22" t="str">
        <f t="array" ref="K422">IF(H422="Crash",MATCH(TRUE, B423:B520 &gt;= B421, 0),"")</f>
        <v/>
      </c>
    </row>
    <row r="423" ht="15.75" customHeight="1">
      <c r="A423" s="31" t="str">
        <f>'EQUITY BACKTEST'!A426</f>
        <v/>
      </c>
      <c r="B423" s="22" t="str">
        <f>'EQUITY BACKTEST'!B426</f>
        <v/>
      </c>
      <c r="C423" s="22" t="str">
        <f>1/'EQUITY BACKTEST'!E426</f>
        <v>#DIV/0!</v>
      </c>
      <c r="D423" s="22" t="str">
        <f t="shared" si="5"/>
        <v>#DIV/0!</v>
      </c>
      <c r="E423" s="22" t="str">
        <f t="shared" si="3"/>
        <v/>
      </c>
      <c r="F423" s="22" t="str">
        <f t="shared" si="6"/>
        <v>#DIV/0!</v>
      </c>
      <c r="H423" s="22" t="str">
        <f t="shared" si="4"/>
        <v/>
      </c>
      <c r="I423" s="22" t="str">
        <f t="shared" si="1"/>
        <v>#N/A</v>
      </c>
      <c r="J423" s="22" t="str">
        <f t="shared" si="2"/>
        <v>#N/A</v>
      </c>
      <c r="K423" s="22" t="str">
        <f t="array" ref="K423">IF(H423="Crash",MATCH(TRUE, B424:B521 &gt;= B422, 0),"")</f>
        <v/>
      </c>
    </row>
    <row r="424" ht="15.75" customHeight="1">
      <c r="A424" s="31" t="str">
        <f>'EQUITY BACKTEST'!A427</f>
        <v/>
      </c>
      <c r="B424" s="22" t="str">
        <f>'EQUITY BACKTEST'!B427</f>
        <v/>
      </c>
      <c r="C424" s="22" t="str">
        <f>1/'EQUITY BACKTEST'!E427</f>
        <v>#DIV/0!</v>
      </c>
      <c r="D424" s="22" t="str">
        <f t="shared" si="5"/>
        <v>#DIV/0!</v>
      </c>
      <c r="E424" s="22" t="str">
        <f t="shared" si="3"/>
        <v/>
      </c>
      <c r="F424" s="22" t="str">
        <f t="shared" si="6"/>
        <v>#DIV/0!</v>
      </c>
      <c r="H424" s="22" t="str">
        <f t="shared" si="4"/>
        <v/>
      </c>
      <c r="I424" s="22" t="str">
        <f t="shared" si="1"/>
        <v>#N/A</v>
      </c>
      <c r="J424" s="22" t="str">
        <f t="shared" si="2"/>
        <v>#N/A</v>
      </c>
      <c r="K424" s="22" t="str">
        <f t="array" ref="K424">IF(H424="Crash",MATCH(TRUE, B425:B522 &gt;= B423, 0),"")</f>
        <v/>
      </c>
    </row>
    <row r="425" ht="15.75" customHeight="1">
      <c r="A425" s="31" t="str">
        <f>'EQUITY BACKTEST'!A428</f>
        <v/>
      </c>
      <c r="B425" s="22" t="str">
        <f>'EQUITY BACKTEST'!B428</f>
        <v/>
      </c>
      <c r="C425" s="22" t="str">
        <f>1/'EQUITY BACKTEST'!E428</f>
        <v>#DIV/0!</v>
      </c>
      <c r="D425" s="22" t="str">
        <f t="shared" si="5"/>
        <v>#DIV/0!</v>
      </c>
      <c r="E425" s="22" t="str">
        <f t="shared" si="3"/>
        <v/>
      </c>
      <c r="F425" s="22" t="str">
        <f t="shared" si="6"/>
        <v>#DIV/0!</v>
      </c>
      <c r="H425" s="22" t="str">
        <f t="shared" si="4"/>
        <v/>
      </c>
      <c r="I425" s="22" t="str">
        <f t="shared" si="1"/>
        <v>#N/A</v>
      </c>
      <c r="J425" s="22" t="str">
        <f t="shared" si="2"/>
        <v>#N/A</v>
      </c>
      <c r="K425" s="22" t="str">
        <f t="array" ref="K425">IF(H425="Crash",MATCH(TRUE, B426:B523 &gt;= B424, 0),"")</f>
        <v/>
      </c>
    </row>
    <row r="426" ht="15.75" customHeight="1">
      <c r="A426" s="31" t="str">
        <f>'EQUITY BACKTEST'!A429</f>
        <v/>
      </c>
      <c r="B426" s="22" t="str">
        <f>'EQUITY BACKTEST'!B429</f>
        <v/>
      </c>
      <c r="C426" s="22" t="str">
        <f>1/'EQUITY BACKTEST'!E429</f>
        <v>#DIV/0!</v>
      </c>
      <c r="D426" s="22" t="str">
        <f t="shared" si="5"/>
        <v>#DIV/0!</v>
      </c>
      <c r="E426" s="22" t="str">
        <f t="shared" si="3"/>
        <v/>
      </c>
      <c r="F426" s="22" t="str">
        <f t="shared" si="6"/>
        <v>#DIV/0!</v>
      </c>
      <c r="H426" s="22" t="str">
        <f t="shared" si="4"/>
        <v/>
      </c>
      <c r="I426" s="22" t="str">
        <f t="shared" si="1"/>
        <v>#N/A</v>
      </c>
      <c r="J426" s="22" t="str">
        <f t="shared" si="2"/>
        <v>#N/A</v>
      </c>
      <c r="K426" s="22" t="str">
        <f t="array" ref="K426">IF(H426="Crash",MATCH(TRUE, B427:B524 &gt;= B425, 0),"")</f>
        <v/>
      </c>
    </row>
    <row r="427" ht="15.75" customHeight="1">
      <c r="A427" s="31" t="str">
        <f>'EQUITY BACKTEST'!A430</f>
        <v/>
      </c>
      <c r="B427" s="22" t="str">
        <f>'EQUITY BACKTEST'!B430</f>
        <v/>
      </c>
      <c r="C427" s="22" t="str">
        <f>1/'EQUITY BACKTEST'!E430</f>
        <v>#DIV/0!</v>
      </c>
      <c r="D427" s="22" t="str">
        <f t="shared" si="5"/>
        <v>#DIV/0!</v>
      </c>
      <c r="E427" s="22" t="str">
        <f t="shared" si="3"/>
        <v/>
      </c>
      <c r="F427" s="22" t="str">
        <f t="shared" si="6"/>
        <v>#DIV/0!</v>
      </c>
      <c r="H427" s="22" t="str">
        <f t="shared" si="4"/>
        <v/>
      </c>
      <c r="I427" s="22" t="str">
        <f t="shared" si="1"/>
        <v>#N/A</v>
      </c>
      <c r="J427" s="22" t="str">
        <f t="shared" si="2"/>
        <v>#N/A</v>
      </c>
      <c r="K427" s="22" t="str">
        <f t="array" ref="K427">IF(H427="Crash",MATCH(TRUE, B428:B525 &gt;= B426, 0),"")</f>
        <v/>
      </c>
    </row>
    <row r="428" ht="15.75" customHeight="1">
      <c r="A428" s="31" t="str">
        <f>'EQUITY BACKTEST'!A431</f>
        <v/>
      </c>
      <c r="B428" s="22" t="str">
        <f>'EQUITY BACKTEST'!B431</f>
        <v/>
      </c>
      <c r="C428" s="22" t="str">
        <f>1/'EQUITY BACKTEST'!E431</f>
        <v>#DIV/0!</v>
      </c>
      <c r="D428" s="22" t="str">
        <f t="shared" si="5"/>
        <v>#DIV/0!</v>
      </c>
      <c r="E428" s="22" t="str">
        <f t="shared" si="3"/>
        <v/>
      </c>
      <c r="F428" s="22" t="str">
        <f t="shared" si="6"/>
        <v>#DIV/0!</v>
      </c>
      <c r="H428" s="22" t="str">
        <f t="shared" si="4"/>
        <v/>
      </c>
      <c r="I428" s="22" t="str">
        <f t="shared" si="1"/>
        <v>#N/A</v>
      </c>
      <c r="J428" s="22" t="str">
        <f t="shared" si="2"/>
        <v>#N/A</v>
      </c>
      <c r="K428" s="22" t="str">
        <f t="array" ref="K428">IF(H428="Crash",MATCH(TRUE, B429:B526 &gt;= B427, 0),"")</f>
        <v/>
      </c>
    </row>
    <row r="429" ht="15.75" customHeight="1">
      <c r="A429" s="31" t="str">
        <f>'EQUITY BACKTEST'!A432</f>
        <v/>
      </c>
      <c r="B429" s="22" t="str">
        <f>'EQUITY BACKTEST'!B432</f>
        <v/>
      </c>
      <c r="C429" s="22" t="str">
        <f>1/'EQUITY BACKTEST'!E432</f>
        <v>#DIV/0!</v>
      </c>
      <c r="D429" s="22" t="str">
        <f t="shared" si="5"/>
        <v>#DIV/0!</v>
      </c>
      <c r="E429" s="22" t="str">
        <f t="shared" si="3"/>
        <v/>
      </c>
      <c r="F429" s="22" t="str">
        <f t="shared" si="6"/>
        <v>#DIV/0!</v>
      </c>
      <c r="H429" s="22" t="str">
        <f t="shared" si="4"/>
        <v/>
      </c>
      <c r="I429" s="22" t="str">
        <f t="shared" si="1"/>
        <v>#N/A</v>
      </c>
      <c r="J429" s="22" t="str">
        <f t="shared" si="2"/>
        <v>#N/A</v>
      </c>
      <c r="K429" s="22" t="str">
        <f t="array" ref="K429">IF(H429="Crash",MATCH(TRUE, B430:B527 &gt;= B428, 0),"")</f>
        <v/>
      </c>
    </row>
    <row r="430" ht="15.75" customHeight="1">
      <c r="A430" s="31" t="str">
        <f>'EQUITY BACKTEST'!A433</f>
        <v/>
      </c>
      <c r="B430" s="22" t="str">
        <f>'EQUITY BACKTEST'!B433</f>
        <v/>
      </c>
      <c r="C430" s="22" t="str">
        <f>1/'EQUITY BACKTEST'!E433</f>
        <v>#DIV/0!</v>
      </c>
      <c r="D430" s="22" t="str">
        <f t="shared" si="5"/>
        <v>#DIV/0!</v>
      </c>
      <c r="E430" s="22" t="str">
        <f t="shared" si="3"/>
        <v/>
      </c>
      <c r="F430" s="22" t="str">
        <f t="shared" si="6"/>
        <v>#DIV/0!</v>
      </c>
      <c r="H430" s="22" t="str">
        <f t="shared" si="4"/>
        <v/>
      </c>
      <c r="I430" s="22" t="str">
        <f t="shared" si="1"/>
        <v>#N/A</v>
      </c>
      <c r="J430" s="22" t="str">
        <f t="shared" si="2"/>
        <v>#N/A</v>
      </c>
      <c r="K430" s="22" t="str">
        <f t="array" ref="K430">IF(H430="Crash",MATCH(TRUE, B431:B528 &gt;= B429, 0),"")</f>
        <v/>
      </c>
    </row>
    <row r="431" ht="15.75" customHeight="1">
      <c r="A431" s="31" t="str">
        <f>'EQUITY BACKTEST'!A434</f>
        <v/>
      </c>
      <c r="B431" s="22" t="str">
        <f>'EQUITY BACKTEST'!B434</f>
        <v/>
      </c>
      <c r="C431" s="22" t="str">
        <f>1/'EQUITY BACKTEST'!E434</f>
        <v>#DIV/0!</v>
      </c>
      <c r="D431" s="22" t="str">
        <f t="shared" si="5"/>
        <v>#DIV/0!</v>
      </c>
      <c r="E431" s="22" t="str">
        <f t="shared" si="3"/>
        <v/>
      </c>
      <c r="F431" s="22" t="str">
        <f t="shared" si="6"/>
        <v>#DIV/0!</v>
      </c>
      <c r="H431" s="22" t="str">
        <f t="shared" si="4"/>
        <v/>
      </c>
      <c r="I431" s="22" t="str">
        <f t="shared" si="1"/>
        <v>#N/A</v>
      </c>
      <c r="J431" s="22" t="str">
        <f t="shared" si="2"/>
        <v>#N/A</v>
      </c>
      <c r="K431" s="22" t="str">
        <f t="array" ref="K431">IF(H431="Crash",MATCH(TRUE, B432:B529 &gt;= B430, 0),"")</f>
        <v/>
      </c>
    </row>
    <row r="432" ht="15.75" customHeight="1">
      <c r="A432" s="31" t="str">
        <f>'EQUITY BACKTEST'!A435</f>
        <v/>
      </c>
      <c r="B432" s="22" t="str">
        <f>'EQUITY BACKTEST'!B435</f>
        <v/>
      </c>
      <c r="C432" s="22" t="str">
        <f>1/'EQUITY BACKTEST'!E435</f>
        <v>#DIV/0!</v>
      </c>
      <c r="D432" s="22" t="str">
        <f t="shared" si="5"/>
        <v>#DIV/0!</v>
      </c>
      <c r="E432" s="22" t="str">
        <f t="shared" si="3"/>
        <v/>
      </c>
      <c r="F432" s="22" t="str">
        <f t="shared" si="6"/>
        <v>#DIV/0!</v>
      </c>
      <c r="H432" s="22" t="str">
        <f t="shared" si="4"/>
        <v/>
      </c>
      <c r="I432" s="22" t="str">
        <f t="shared" si="1"/>
        <v>#N/A</v>
      </c>
      <c r="J432" s="22" t="str">
        <f t="shared" si="2"/>
        <v>#N/A</v>
      </c>
      <c r="K432" s="22" t="str">
        <f t="array" ref="K432">IF(H432="Crash",MATCH(TRUE, B433:B530 &gt;= B431, 0),"")</f>
        <v/>
      </c>
    </row>
    <row r="433" ht="15.75" customHeight="1">
      <c r="A433" s="31" t="str">
        <f>'EQUITY BACKTEST'!A436</f>
        <v/>
      </c>
      <c r="B433" s="22" t="str">
        <f>'EQUITY BACKTEST'!B436</f>
        <v/>
      </c>
      <c r="C433" s="22" t="str">
        <f>1/'EQUITY BACKTEST'!E436</f>
        <v>#DIV/0!</v>
      </c>
      <c r="D433" s="22" t="str">
        <f t="shared" si="5"/>
        <v>#DIV/0!</v>
      </c>
      <c r="E433" s="22" t="str">
        <f t="shared" si="3"/>
        <v/>
      </c>
      <c r="F433" s="22" t="str">
        <f t="shared" si="6"/>
        <v>#DIV/0!</v>
      </c>
      <c r="H433" s="22" t="str">
        <f t="shared" si="4"/>
        <v/>
      </c>
      <c r="I433" s="22" t="str">
        <f t="shared" si="1"/>
        <v>#N/A</v>
      </c>
      <c r="J433" s="22" t="str">
        <f t="shared" si="2"/>
        <v>#N/A</v>
      </c>
      <c r="K433" s="22" t="str">
        <f t="array" ref="K433">IF(H433="Crash",MATCH(TRUE, B434:B531 &gt;= B432, 0),"")</f>
        <v/>
      </c>
    </row>
    <row r="434" ht="15.75" customHeight="1">
      <c r="A434" s="31" t="str">
        <f>'EQUITY BACKTEST'!A437</f>
        <v/>
      </c>
      <c r="B434" s="22" t="str">
        <f>'EQUITY BACKTEST'!B437</f>
        <v/>
      </c>
      <c r="C434" s="22" t="str">
        <f>1/'EQUITY BACKTEST'!E437</f>
        <v>#DIV/0!</v>
      </c>
      <c r="D434" s="22" t="str">
        <f t="shared" si="5"/>
        <v>#DIV/0!</v>
      </c>
      <c r="E434" s="22" t="str">
        <f t="shared" si="3"/>
        <v/>
      </c>
      <c r="F434" s="22" t="str">
        <f t="shared" si="6"/>
        <v>#DIV/0!</v>
      </c>
      <c r="H434" s="22" t="str">
        <f t="shared" si="4"/>
        <v/>
      </c>
      <c r="I434" s="22" t="str">
        <f t="shared" si="1"/>
        <v>#N/A</v>
      </c>
      <c r="J434" s="22" t="str">
        <f t="shared" si="2"/>
        <v>#N/A</v>
      </c>
      <c r="K434" s="22" t="str">
        <f t="array" ref="K434">IF(H434="Crash",MATCH(TRUE, B435:B532 &gt;= B433, 0),"")</f>
        <v/>
      </c>
    </row>
    <row r="435" ht="15.75" customHeight="1">
      <c r="A435" s="31" t="str">
        <f>'EQUITY BACKTEST'!A438</f>
        <v/>
      </c>
      <c r="B435" s="22" t="str">
        <f>'EQUITY BACKTEST'!B438</f>
        <v/>
      </c>
      <c r="C435" s="22" t="str">
        <f>1/'EQUITY BACKTEST'!E438</f>
        <v>#DIV/0!</v>
      </c>
      <c r="D435" s="22" t="str">
        <f t="shared" si="5"/>
        <v>#DIV/0!</v>
      </c>
      <c r="E435" s="22" t="str">
        <f t="shared" si="3"/>
        <v/>
      </c>
      <c r="F435" s="22" t="str">
        <f t="shared" si="6"/>
        <v>#DIV/0!</v>
      </c>
      <c r="H435" s="22" t="str">
        <f t="shared" si="4"/>
        <v/>
      </c>
      <c r="I435" s="22" t="str">
        <f t="shared" si="1"/>
        <v>#N/A</v>
      </c>
      <c r="J435" s="22" t="str">
        <f t="shared" si="2"/>
        <v>#N/A</v>
      </c>
      <c r="K435" s="22" t="str">
        <f t="array" ref="K435">IF(H435="Crash",MATCH(TRUE, B436:B533 &gt;= B434, 0),"")</f>
        <v/>
      </c>
    </row>
    <row r="436" ht="15.75" customHeight="1">
      <c r="A436" s="31" t="str">
        <f>'EQUITY BACKTEST'!A439</f>
        <v/>
      </c>
      <c r="B436" s="22" t="str">
        <f>'EQUITY BACKTEST'!B439</f>
        <v/>
      </c>
      <c r="C436" s="22" t="str">
        <f>1/'EQUITY BACKTEST'!E439</f>
        <v>#DIV/0!</v>
      </c>
      <c r="D436" s="22" t="str">
        <f t="shared" si="5"/>
        <v>#DIV/0!</v>
      </c>
      <c r="E436" s="22" t="str">
        <f t="shared" si="3"/>
        <v/>
      </c>
      <c r="F436" s="22" t="str">
        <f t="shared" si="6"/>
        <v>#DIV/0!</v>
      </c>
      <c r="H436" s="22" t="str">
        <f t="shared" si="4"/>
        <v/>
      </c>
      <c r="I436" s="22" t="str">
        <f t="shared" si="1"/>
        <v>#N/A</v>
      </c>
      <c r="J436" s="22" t="str">
        <f t="shared" si="2"/>
        <v>#N/A</v>
      </c>
      <c r="K436" s="22" t="str">
        <f t="array" ref="K436">IF(H436="Crash",MATCH(TRUE, B437:B534 &gt;= B435, 0),"")</f>
        <v/>
      </c>
    </row>
    <row r="437" ht="15.75" customHeight="1">
      <c r="A437" s="31" t="str">
        <f>'EQUITY BACKTEST'!A440</f>
        <v/>
      </c>
      <c r="B437" s="22" t="str">
        <f>'EQUITY BACKTEST'!B440</f>
        <v/>
      </c>
      <c r="C437" s="22" t="str">
        <f>1/'EQUITY BACKTEST'!E440</f>
        <v>#DIV/0!</v>
      </c>
      <c r="D437" s="22" t="str">
        <f t="shared" si="5"/>
        <v>#DIV/0!</v>
      </c>
      <c r="E437" s="22" t="str">
        <f t="shared" si="3"/>
        <v/>
      </c>
      <c r="F437" s="22" t="str">
        <f t="shared" si="6"/>
        <v>#DIV/0!</v>
      </c>
      <c r="H437" s="22" t="str">
        <f t="shared" si="4"/>
        <v/>
      </c>
      <c r="I437" s="22" t="str">
        <f t="shared" si="1"/>
        <v>#N/A</v>
      </c>
      <c r="J437" s="22" t="str">
        <f t="shared" si="2"/>
        <v>#N/A</v>
      </c>
      <c r="K437" s="22" t="str">
        <f t="array" ref="K437">IF(H437="Crash",MATCH(TRUE, B438:B535 &gt;= B436, 0),"")</f>
        <v/>
      </c>
    </row>
    <row r="438" ht="15.75" customHeight="1">
      <c r="A438" s="31" t="str">
        <f>'EQUITY BACKTEST'!A441</f>
        <v/>
      </c>
      <c r="B438" s="22" t="str">
        <f>'EQUITY BACKTEST'!B441</f>
        <v/>
      </c>
      <c r="C438" s="22" t="str">
        <f>1/'EQUITY BACKTEST'!E441</f>
        <v>#DIV/0!</v>
      </c>
      <c r="D438" s="22" t="str">
        <f t="shared" si="5"/>
        <v>#DIV/0!</v>
      </c>
      <c r="E438" s="22" t="str">
        <f t="shared" si="3"/>
        <v/>
      </c>
      <c r="F438" s="22" t="str">
        <f t="shared" si="6"/>
        <v>#DIV/0!</v>
      </c>
      <c r="H438" s="22" t="str">
        <f t="shared" si="4"/>
        <v/>
      </c>
      <c r="I438" s="22" t="str">
        <f t="shared" si="1"/>
        <v>#N/A</v>
      </c>
      <c r="J438" s="22" t="str">
        <f t="shared" si="2"/>
        <v>#N/A</v>
      </c>
      <c r="K438" s="22" t="str">
        <f t="array" ref="K438">IF(H438="Crash",MATCH(TRUE, B439:B536 &gt;= B437, 0),"")</f>
        <v/>
      </c>
    </row>
    <row r="439" ht="15.75" customHeight="1">
      <c r="A439" s="31" t="str">
        <f>'EQUITY BACKTEST'!A442</f>
        <v/>
      </c>
      <c r="B439" s="22" t="str">
        <f>'EQUITY BACKTEST'!B442</f>
        <v/>
      </c>
      <c r="C439" s="22" t="str">
        <f>1/'EQUITY BACKTEST'!E442</f>
        <v>#DIV/0!</v>
      </c>
      <c r="D439" s="22" t="str">
        <f t="shared" si="5"/>
        <v>#DIV/0!</v>
      </c>
      <c r="E439" s="22" t="str">
        <f t="shared" si="3"/>
        <v/>
      </c>
      <c r="F439" s="22" t="str">
        <f t="shared" si="6"/>
        <v>#DIV/0!</v>
      </c>
      <c r="H439" s="22" t="str">
        <f t="shared" si="4"/>
        <v/>
      </c>
      <c r="I439" s="22" t="str">
        <f t="shared" si="1"/>
        <v>#N/A</v>
      </c>
      <c r="J439" s="22" t="str">
        <f t="shared" si="2"/>
        <v>#N/A</v>
      </c>
      <c r="K439" s="22" t="str">
        <f t="array" ref="K439">IF(H439="Crash",MATCH(TRUE, B440:B537 &gt;= B438, 0),"")</f>
        <v/>
      </c>
    </row>
    <row r="440" ht="15.75" customHeight="1">
      <c r="A440" s="31" t="str">
        <f>'EQUITY BACKTEST'!A443</f>
        <v/>
      </c>
      <c r="B440" s="22" t="str">
        <f>'EQUITY BACKTEST'!B443</f>
        <v/>
      </c>
      <c r="C440" s="22" t="str">
        <f>1/'EQUITY BACKTEST'!E443</f>
        <v>#DIV/0!</v>
      </c>
      <c r="D440" s="22" t="str">
        <f t="shared" si="5"/>
        <v>#DIV/0!</v>
      </c>
      <c r="E440" s="22" t="str">
        <f t="shared" si="3"/>
        <v/>
      </c>
      <c r="F440" s="22" t="str">
        <f t="shared" si="6"/>
        <v>#DIV/0!</v>
      </c>
      <c r="H440" s="22" t="str">
        <f t="shared" si="4"/>
        <v/>
      </c>
      <c r="I440" s="22" t="str">
        <f t="shared" si="1"/>
        <v>#N/A</v>
      </c>
      <c r="J440" s="22" t="str">
        <f t="shared" si="2"/>
        <v>#N/A</v>
      </c>
      <c r="K440" s="22" t="str">
        <f t="array" ref="K440">IF(H440="Crash",MATCH(TRUE, B441:B538 &gt;= B439, 0),"")</f>
        <v/>
      </c>
    </row>
    <row r="441" ht="15.75" customHeight="1">
      <c r="A441" s="31" t="str">
        <f>'EQUITY BACKTEST'!A444</f>
        <v/>
      </c>
      <c r="B441" s="22" t="str">
        <f>'EQUITY BACKTEST'!B444</f>
        <v/>
      </c>
      <c r="C441" s="22" t="str">
        <f>1/'EQUITY BACKTEST'!E444</f>
        <v>#DIV/0!</v>
      </c>
      <c r="D441" s="22" t="str">
        <f t="shared" si="5"/>
        <v>#DIV/0!</v>
      </c>
      <c r="E441" s="22" t="str">
        <f t="shared" si="3"/>
        <v/>
      </c>
      <c r="F441" s="22" t="str">
        <f t="shared" si="6"/>
        <v>#DIV/0!</v>
      </c>
      <c r="H441" s="22" t="str">
        <f t="shared" si="4"/>
        <v/>
      </c>
      <c r="I441" s="22" t="str">
        <f t="shared" si="1"/>
        <v>#N/A</v>
      </c>
      <c r="J441" s="22" t="str">
        <f t="shared" si="2"/>
        <v>#N/A</v>
      </c>
      <c r="K441" s="22" t="str">
        <f t="array" ref="K441">IF(H441="Crash",MATCH(TRUE, B442:B539 &gt;= B440, 0),"")</f>
        <v/>
      </c>
    </row>
    <row r="442" ht="15.75" customHeight="1">
      <c r="A442" s="31" t="str">
        <f>'EQUITY BACKTEST'!A445</f>
        <v/>
      </c>
      <c r="B442" s="22" t="str">
        <f>'EQUITY BACKTEST'!B445</f>
        <v/>
      </c>
      <c r="C442" s="22" t="str">
        <f>1/'EQUITY BACKTEST'!E445</f>
        <v>#DIV/0!</v>
      </c>
      <c r="D442" s="22" t="str">
        <f t="shared" si="5"/>
        <v>#DIV/0!</v>
      </c>
      <c r="E442" s="22" t="str">
        <f t="shared" si="3"/>
        <v/>
      </c>
      <c r="F442" s="22" t="str">
        <f t="shared" si="6"/>
        <v>#DIV/0!</v>
      </c>
      <c r="H442" s="22" t="str">
        <f t="shared" si="4"/>
        <v/>
      </c>
      <c r="I442" s="22" t="str">
        <f t="shared" si="1"/>
        <v>#N/A</v>
      </c>
      <c r="J442" s="22" t="str">
        <f t="shared" si="2"/>
        <v>#N/A</v>
      </c>
      <c r="K442" s="22" t="str">
        <f t="array" ref="K442">IF(H442="Crash",MATCH(TRUE, B443:B540 &gt;= B441, 0),"")</f>
        <v/>
      </c>
    </row>
    <row r="443" ht="15.75" customHeight="1">
      <c r="A443" s="31" t="str">
        <f>'EQUITY BACKTEST'!A446</f>
        <v/>
      </c>
      <c r="B443" s="22" t="str">
        <f>'EQUITY BACKTEST'!B446</f>
        <v/>
      </c>
      <c r="C443" s="22" t="str">
        <f>1/'EQUITY BACKTEST'!E446</f>
        <v>#DIV/0!</v>
      </c>
      <c r="D443" s="22" t="str">
        <f t="shared" si="5"/>
        <v>#DIV/0!</v>
      </c>
      <c r="E443" s="22" t="str">
        <f t="shared" si="3"/>
        <v/>
      </c>
      <c r="F443" s="22" t="str">
        <f t="shared" si="6"/>
        <v>#DIV/0!</v>
      </c>
      <c r="H443" s="22" t="str">
        <f t="shared" si="4"/>
        <v/>
      </c>
      <c r="I443" s="22" t="str">
        <f t="shared" si="1"/>
        <v>#N/A</v>
      </c>
      <c r="J443" s="22" t="str">
        <f t="shared" si="2"/>
        <v>#N/A</v>
      </c>
      <c r="K443" s="22" t="str">
        <f t="array" ref="K443">IF(H443="Crash",MATCH(TRUE, B444:B541 &gt;= B442, 0),"")</f>
        <v/>
      </c>
    </row>
    <row r="444" ht="15.75" customHeight="1">
      <c r="A444" s="31" t="str">
        <f>'EQUITY BACKTEST'!A447</f>
        <v/>
      </c>
      <c r="B444" s="22" t="str">
        <f>'EQUITY BACKTEST'!B447</f>
        <v/>
      </c>
      <c r="C444" s="22" t="str">
        <f>1/'EQUITY BACKTEST'!E447</f>
        <v>#DIV/0!</v>
      </c>
      <c r="D444" s="22" t="str">
        <f t="shared" si="5"/>
        <v>#DIV/0!</v>
      </c>
      <c r="E444" s="22" t="str">
        <f t="shared" si="3"/>
        <v/>
      </c>
      <c r="F444" s="22" t="str">
        <f t="shared" si="6"/>
        <v>#DIV/0!</v>
      </c>
      <c r="H444" s="22" t="str">
        <f t="shared" si="4"/>
        <v/>
      </c>
      <c r="I444" s="22" t="str">
        <f t="shared" si="1"/>
        <v>#N/A</v>
      </c>
      <c r="J444" s="22" t="str">
        <f t="shared" si="2"/>
        <v>#N/A</v>
      </c>
      <c r="K444" s="22" t="str">
        <f t="array" ref="K444">IF(H444="Crash",MATCH(TRUE, B445:B542 &gt;= B443, 0),"")</f>
        <v/>
      </c>
    </row>
    <row r="445" ht="15.75" customHeight="1">
      <c r="A445" s="31" t="str">
        <f>'EQUITY BACKTEST'!A448</f>
        <v/>
      </c>
      <c r="B445" s="22" t="str">
        <f>'EQUITY BACKTEST'!B448</f>
        <v/>
      </c>
      <c r="C445" s="22" t="str">
        <f>1/'EQUITY BACKTEST'!E448</f>
        <v>#DIV/0!</v>
      </c>
      <c r="D445" s="22" t="str">
        <f t="shared" si="5"/>
        <v>#DIV/0!</v>
      </c>
      <c r="E445" s="22" t="str">
        <f t="shared" si="3"/>
        <v/>
      </c>
      <c r="F445" s="22" t="str">
        <f t="shared" si="6"/>
        <v>#DIV/0!</v>
      </c>
      <c r="H445" s="22" t="str">
        <f t="shared" si="4"/>
        <v/>
      </c>
      <c r="I445" s="22" t="str">
        <f t="shared" si="1"/>
        <v>#N/A</v>
      </c>
      <c r="J445" s="22" t="str">
        <f t="shared" si="2"/>
        <v>#N/A</v>
      </c>
      <c r="K445" s="22" t="str">
        <f t="array" ref="K445">IF(H445="Crash",MATCH(TRUE, B446:B543 &gt;= B444, 0),"")</f>
        <v/>
      </c>
    </row>
    <row r="446" ht="15.75" customHeight="1">
      <c r="A446" s="31" t="str">
        <f>'EQUITY BACKTEST'!A449</f>
        <v/>
      </c>
      <c r="B446" s="22" t="str">
        <f>'EQUITY BACKTEST'!B449</f>
        <v/>
      </c>
      <c r="C446" s="22" t="str">
        <f>1/'EQUITY BACKTEST'!E449</f>
        <v>#DIV/0!</v>
      </c>
      <c r="D446" s="22" t="str">
        <f t="shared" si="5"/>
        <v>#DIV/0!</v>
      </c>
      <c r="E446" s="22" t="str">
        <f t="shared" si="3"/>
        <v/>
      </c>
      <c r="F446" s="22" t="str">
        <f t="shared" si="6"/>
        <v>#DIV/0!</v>
      </c>
      <c r="H446" s="22" t="str">
        <f t="shared" si="4"/>
        <v/>
      </c>
      <c r="I446" s="22" t="str">
        <f t="shared" si="1"/>
        <v>#N/A</v>
      </c>
      <c r="J446" s="22" t="str">
        <f t="shared" si="2"/>
        <v>#N/A</v>
      </c>
      <c r="K446" s="22" t="str">
        <f t="array" ref="K446">IF(H446="Crash",MATCH(TRUE, B447:B544 &gt;= B445, 0),"")</f>
        <v/>
      </c>
    </row>
    <row r="447" ht="15.75" customHeight="1">
      <c r="A447" s="31" t="str">
        <f>'EQUITY BACKTEST'!A450</f>
        <v/>
      </c>
      <c r="B447" s="22" t="str">
        <f>'EQUITY BACKTEST'!B450</f>
        <v/>
      </c>
      <c r="C447" s="22" t="str">
        <f>1/'EQUITY BACKTEST'!E450</f>
        <v>#DIV/0!</v>
      </c>
      <c r="D447" s="22" t="str">
        <f t="shared" si="5"/>
        <v>#DIV/0!</v>
      </c>
      <c r="E447" s="22" t="str">
        <f t="shared" si="3"/>
        <v/>
      </c>
      <c r="F447" s="22" t="str">
        <f t="shared" si="6"/>
        <v>#DIV/0!</v>
      </c>
      <c r="H447" s="22" t="str">
        <f t="shared" si="4"/>
        <v/>
      </c>
      <c r="I447" s="22" t="str">
        <f t="shared" si="1"/>
        <v>#N/A</v>
      </c>
      <c r="J447" s="22" t="str">
        <f t="shared" si="2"/>
        <v>#N/A</v>
      </c>
      <c r="K447" s="22" t="str">
        <f t="array" ref="K447">IF(H447="Crash",MATCH(TRUE, B448:B545 &gt;= B446, 0),"")</f>
        <v/>
      </c>
    </row>
    <row r="448" ht="15.75" customHeight="1">
      <c r="A448" s="31" t="str">
        <f>'EQUITY BACKTEST'!A451</f>
        <v/>
      </c>
      <c r="B448" s="22" t="str">
        <f>'EQUITY BACKTEST'!B451</f>
        <v/>
      </c>
      <c r="C448" s="22" t="str">
        <f>1/'EQUITY BACKTEST'!E451</f>
        <v>#DIV/0!</v>
      </c>
      <c r="D448" s="22" t="str">
        <f t="shared" si="5"/>
        <v>#DIV/0!</v>
      </c>
      <c r="E448" s="22" t="str">
        <f t="shared" si="3"/>
        <v/>
      </c>
      <c r="F448" s="22" t="str">
        <f t="shared" si="6"/>
        <v>#DIV/0!</v>
      </c>
      <c r="H448" s="22" t="str">
        <f t="shared" si="4"/>
        <v/>
      </c>
      <c r="I448" s="22" t="str">
        <f t="shared" si="1"/>
        <v>#N/A</v>
      </c>
      <c r="J448" s="22" t="str">
        <f t="shared" si="2"/>
        <v>#N/A</v>
      </c>
      <c r="K448" s="22" t="str">
        <f t="array" ref="K448">IF(H448="Crash",MATCH(TRUE, B449:B546 &gt;= B447, 0),"")</f>
        <v/>
      </c>
    </row>
    <row r="449" ht="15.75" customHeight="1">
      <c r="A449" s="31" t="str">
        <f>'EQUITY BACKTEST'!A452</f>
        <v/>
      </c>
      <c r="B449" s="22" t="str">
        <f>'EQUITY BACKTEST'!B452</f>
        <v/>
      </c>
      <c r="C449" s="22" t="str">
        <f>1/'EQUITY BACKTEST'!E452</f>
        <v>#DIV/0!</v>
      </c>
      <c r="D449" s="22" t="str">
        <f t="shared" si="5"/>
        <v>#DIV/0!</v>
      </c>
      <c r="E449" s="22" t="str">
        <f t="shared" si="3"/>
        <v/>
      </c>
      <c r="F449" s="22" t="str">
        <f t="shared" si="6"/>
        <v>#DIV/0!</v>
      </c>
      <c r="H449" s="22" t="str">
        <f t="shared" si="4"/>
        <v/>
      </c>
      <c r="I449" s="22" t="str">
        <f t="shared" si="1"/>
        <v>#N/A</v>
      </c>
      <c r="J449" s="22" t="str">
        <f t="shared" si="2"/>
        <v>#N/A</v>
      </c>
      <c r="K449" s="22" t="str">
        <f t="array" ref="K449">IF(H449="Crash",MATCH(TRUE, B450:B547 &gt;= B448, 0),"")</f>
        <v/>
      </c>
    </row>
    <row r="450" ht="15.75" customHeight="1">
      <c r="A450" s="31" t="str">
        <f>'EQUITY BACKTEST'!A453</f>
        <v/>
      </c>
      <c r="B450" s="22" t="str">
        <f>'EQUITY BACKTEST'!B453</f>
        <v/>
      </c>
      <c r="C450" s="22" t="str">
        <f>1/'EQUITY BACKTEST'!E453</f>
        <v>#DIV/0!</v>
      </c>
      <c r="D450" s="22" t="str">
        <f t="shared" si="5"/>
        <v>#DIV/0!</v>
      </c>
      <c r="E450" s="22" t="str">
        <f t="shared" si="3"/>
        <v/>
      </c>
      <c r="F450" s="22" t="str">
        <f t="shared" si="6"/>
        <v>#DIV/0!</v>
      </c>
      <c r="H450" s="22" t="str">
        <f t="shared" si="4"/>
        <v/>
      </c>
      <c r="I450" s="22" t="str">
        <f t="shared" si="1"/>
        <v>#N/A</v>
      </c>
      <c r="J450" s="22" t="str">
        <f t="shared" si="2"/>
        <v>#N/A</v>
      </c>
      <c r="K450" s="22" t="str">
        <f t="array" ref="K450">IF(H450="Crash",MATCH(TRUE, B451:B548 &gt;= B449, 0),"")</f>
        <v/>
      </c>
    </row>
    <row r="451" ht="15.75" customHeight="1">
      <c r="A451" s="31" t="str">
        <f>'EQUITY BACKTEST'!A454</f>
        <v/>
      </c>
      <c r="B451" s="22" t="str">
        <f>'EQUITY BACKTEST'!B454</f>
        <v/>
      </c>
      <c r="C451" s="22" t="str">
        <f>1/'EQUITY BACKTEST'!E454</f>
        <v>#DIV/0!</v>
      </c>
      <c r="D451" s="22" t="str">
        <f t="shared" si="5"/>
        <v>#DIV/0!</v>
      </c>
      <c r="E451" s="22" t="str">
        <f t="shared" si="3"/>
        <v/>
      </c>
      <c r="F451" s="22" t="str">
        <f t="shared" si="6"/>
        <v>#DIV/0!</v>
      </c>
      <c r="H451" s="22" t="str">
        <f t="shared" si="4"/>
        <v/>
      </c>
      <c r="I451" s="22" t="str">
        <f t="shared" si="1"/>
        <v>#N/A</v>
      </c>
      <c r="J451" s="22" t="str">
        <f t="shared" si="2"/>
        <v>#N/A</v>
      </c>
      <c r="K451" s="22" t="str">
        <f t="array" ref="K451">IF(H451="Crash",MATCH(TRUE, B452:B549 &gt;= B450, 0),"")</f>
        <v/>
      </c>
    </row>
    <row r="452" ht="15.75" customHeight="1">
      <c r="A452" s="31" t="str">
        <f>'EQUITY BACKTEST'!A455</f>
        <v/>
      </c>
      <c r="B452" s="22" t="str">
        <f>'EQUITY BACKTEST'!B455</f>
        <v/>
      </c>
      <c r="C452" s="22" t="str">
        <f>1/'EQUITY BACKTEST'!E455</f>
        <v>#DIV/0!</v>
      </c>
      <c r="D452" s="22" t="str">
        <f t="shared" si="5"/>
        <v>#DIV/0!</v>
      </c>
      <c r="E452" s="22" t="str">
        <f t="shared" si="3"/>
        <v/>
      </c>
      <c r="F452" s="22" t="str">
        <f t="shared" si="6"/>
        <v>#DIV/0!</v>
      </c>
      <c r="H452" s="22" t="str">
        <f t="shared" si="4"/>
        <v/>
      </c>
      <c r="I452" s="22" t="str">
        <f t="shared" si="1"/>
        <v>#N/A</v>
      </c>
      <c r="J452" s="22" t="str">
        <f t="shared" si="2"/>
        <v>#N/A</v>
      </c>
      <c r="K452" s="22" t="str">
        <f t="array" ref="K452">IF(H452="Crash",MATCH(TRUE, B453:B550 &gt;= B451, 0),"")</f>
        <v/>
      </c>
    </row>
    <row r="453" ht="15.75" customHeight="1">
      <c r="A453" s="31" t="str">
        <f>'EQUITY BACKTEST'!A456</f>
        <v/>
      </c>
      <c r="B453" s="22" t="str">
        <f>'EQUITY BACKTEST'!B456</f>
        <v/>
      </c>
      <c r="C453" s="22" t="str">
        <f>1/'EQUITY BACKTEST'!E456</f>
        <v>#DIV/0!</v>
      </c>
      <c r="D453" s="22" t="str">
        <f t="shared" si="5"/>
        <v>#DIV/0!</v>
      </c>
      <c r="E453" s="22" t="str">
        <f t="shared" si="3"/>
        <v/>
      </c>
      <c r="F453" s="22" t="str">
        <f t="shared" si="6"/>
        <v>#DIV/0!</v>
      </c>
      <c r="H453" s="22" t="str">
        <f t="shared" si="4"/>
        <v/>
      </c>
      <c r="I453" s="22" t="str">
        <f t="shared" si="1"/>
        <v>#N/A</v>
      </c>
      <c r="J453" s="22" t="str">
        <f t="shared" si="2"/>
        <v>#N/A</v>
      </c>
      <c r="K453" s="22" t="str">
        <f t="array" ref="K453">IF(H453="Crash",MATCH(TRUE, B454:B551 &gt;= B452, 0),"")</f>
        <v/>
      </c>
    </row>
    <row r="454" ht="15.75" customHeight="1">
      <c r="A454" s="31" t="str">
        <f>'EQUITY BACKTEST'!A457</f>
        <v/>
      </c>
      <c r="B454" s="22" t="str">
        <f>'EQUITY BACKTEST'!B457</f>
        <v/>
      </c>
      <c r="C454" s="22" t="str">
        <f>1/'EQUITY BACKTEST'!E457</f>
        <v>#DIV/0!</v>
      </c>
      <c r="D454" s="22" t="str">
        <f t="shared" si="5"/>
        <v>#DIV/0!</v>
      </c>
      <c r="E454" s="22" t="str">
        <f t="shared" si="3"/>
        <v/>
      </c>
      <c r="F454" s="22" t="str">
        <f t="shared" si="6"/>
        <v>#DIV/0!</v>
      </c>
      <c r="H454" s="22" t="str">
        <f t="shared" si="4"/>
        <v/>
      </c>
      <c r="I454" s="22" t="str">
        <f t="shared" si="1"/>
        <v>#N/A</v>
      </c>
      <c r="J454" s="22" t="str">
        <f t="shared" si="2"/>
        <v>#N/A</v>
      </c>
      <c r="K454" s="22" t="str">
        <f t="array" ref="K454">IF(H454="Crash",MATCH(TRUE, B455:B552 &gt;= B453, 0),"")</f>
        <v/>
      </c>
    </row>
    <row r="455" ht="15.75" customHeight="1">
      <c r="A455" s="31" t="str">
        <f>'EQUITY BACKTEST'!A458</f>
        <v/>
      </c>
      <c r="B455" s="22" t="str">
        <f>'EQUITY BACKTEST'!B458</f>
        <v/>
      </c>
      <c r="C455" s="22" t="str">
        <f>1/'EQUITY BACKTEST'!E458</f>
        <v>#DIV/0!</v>
      </c>
      <c r="D455" s="22" t="str">
        <f t="shared" si="5"/>
        <v>#DIV/0!</v>
      </c>
      <c r="E455" s="22" t="str">
        <f t="shared" si="3"/>
        <v/>
      </c>
      <c r="F455" s="22" t="str">
        <f t="shared" si="6"/>
        <v>#DIV/0!</v>
      </c>
      <c r="H455" s="22" t="str">
        <f t="shared" si="4"/>
        <v/>
      </c>
      <c r="I455" s="22" t="str">
        <f t="shared" si="1"/>
        <v>#N/A</v>
      </c>
      <c r="J455" s="22" t="str">
        <f t="shared" si="2"/>
        <v>#N/A</v>
      </c>
      <c r="K455" s="22" t="str">
        <f t="array" ref="K455">IF(H455="Crash",MATCH(TRUE, B456:B553 &gt;= B454, 0),"")</f>
        <v/>
      </c>
    </row>
    <row r="456" ht="15.75" customHeight="1">
      <c r="A456" s="31" t="str">
        <f>'EQUITY BACKTEST'!A459</f>
        <v/>
      </c>
      <c r="B456" s="22" t="str">
        <f>'EQUITY BACKTEST'!B459</f>
        <v/>
      </c>
      <c r="C456" s="22" t="str">
        <f>1/'EQUITY BACKTEST'!E459</f>
        <v>#DIV/0!</v>
      </c>
      <c r="D456" s="22" t="str">
        <f t="shared" si="5"/>
        <v>#DIV/0!</v>
      </c>
      <c r="E456" s="22" t="str">
        <f t="shared" si="3"/>
        <v/>
      </c>
      <c r="F456" s="22" t="str">
        <f t="shared" si="6"/>
        <v>#DIV/0!</v>
      </c>
      <c r="H456" s="22" t="str">
        <f t="shared" si="4"/>
        <v/>
      </c>
      <c r="I456" s="22" t="str">
        <f t="shared" si="1"/>
        <v>#N/A</v>
      </c>
      <c r="J456" s="22" t="str">
        <f t="shared" si="2"/>
        <v>#N/A</v>
      </c>
      <c r="K456" s="22" t="str">
        <f t="array" ref="K456">IF(H456="Crash",MATCH(TRUE, B457:B554 &gt;= B455, 0),"")</f>
        <v/>
      </c>
    </row>
    <row r="457" ht="15.75" customHeight="1">
      <c r="A457" s="31" t="str">
        <f>'EQUITY BACKTEST'!A460</f>
        <v/>
      </c>
      <c r="B457" s="22" t="str">
        <f>'EQUITY BACKTEST'!B460</f>
        <v/>
      </c>
      <c r="C457" s="22" t="str">
        <f>1/'EQUITY BACKTEST'!E460</f>
        <v>#DIV/0!</v>
      </c>
      <c r="D457" s="22" t="str">
        <f t="shared" si="5"/>
        <v>#DIV/0!</v>
      </c>
      <c r="E457" s="22" t="str">
        <f t="shared" si="3"/>
        <v/>
      </c>
      <c r="F457" s="22" t="str">
        <f t="shared" si="6"/>
        <v>#DIV/0!</v>
      </c>
      <c r="H457" s="22" t="str">
        <f t="shared" si="4"/>
        <v/>
      </c>
      <c r="I457" s="22" t="str">
        <f t="shared" si="1"/>
        <v>#N/A</v>
      </c>
      <c r="J457" s="22" t="str">
        <f t="shared" si="2"/>
        <v>#N/A</v>
      </c>
      <c r="K457" s="22" t="str">
        <f t="array" ref="K457">IF(H457="Crash",MATCH(TRUE, B458:B555 &gt;= B456, 0),"")</f>
        <v/>
      </c>
    </row>
    <row r="458" ht="15.75" customHeight="1">
      <c r="A458" s="31" t="str">
        <f>'EQUITY BACKTEST'!A461</f>
        <v/>
      </c>
      <c r="B458" s="22" t="str">
        <f>'EQUITY BACKTEST'!B461</f>
        <v/>
      </c>
      <c r="C458" s="22" t="str">
        <f>1/'EQUITY BACKTEST'!E461</f>
        <v>#DIV/0!</v>
      </c>
      <c r="D458" s="22" t="str">
        <f t="shared" si="5"/>
        <v>#DIV/0!</v>
      </c>
      <c r="E458" s="22" t="str">
        <f t="shared" si="3"/>
        <v/>
      </c>
      <c r="F458" s="22" t="str">
        <f t="shared" si="6"/>
        <v>#DIV/0!</v>
      </c>
      <c r="H458" s="22" t="str">
        <f t="shared" si="4"/>
        <v/>
      </c>
      <c r="I458" s="22" t="str">
        <f t="shared" si="1"/>
        <v>#N/A</v>
      </c>
      <c r="J458" s="22" t="str">
        <f t="shared" si="2"/>
        <v>#N/A</v>
      </c>
      <c r="K458" s="22" t="str">
        <f t="array" ref="K458">IF(H458="Crash",MATCH(TRUE, B459:B556 &gt;= B457, 0),"")</f>
        <v/>
      </c>
    </row>
    <row r="459" ht="15.75" customHeight="1">
      <c r="A459" s="31" t="str">
        <f>'EQUITY BACKTEST'!A462</f>
        <v/>
      </c>
      <c r="B459" s="22" t="str">
        <f>'EQUITY BACKTEST'!B462</f>
        <v/>
      </c>
      <c r="C459" s="22" t="str">
        <f>1/'EQUITY BACKTEST'!E462</f>
        <v>#DIV/0!</v>
      </c>
      <c r="D459" s="22" t="str">
        <f t="shared" si="5"/>
        <v>#DIV/0!</v>
      </c>
      <c r="E459" s="22" t="str">
        <f t="shared" si="3"/>
        <v/>
      </c>
      <c r="F459" s="22" t="str">
        <f t="shared" si="6"/>
        <v>#DIV/0!</v>
      </c>
      <c r="H459" s="22" t="str">
        <f t="shared" si="4"/>
        <v/>
      </c>
      <c r="I459" s="22" t="str">
        <f t="shared" si="1"/>
        <v>#N/A</v>
      </c>
      <c r="J459" s="22" t="str">
        <f t="shared" si="2"/>
        <v>#N/A</v>
      </c>
      <c r="K459" s="22" t="str">
        <f t="array" ref="K459">IF(H459="Crash",MATCH(TRUE, B460:B557 &gt;= B458, 0),"")</f>
        <v/>
      </c>
    </row>
    <row r="460" ht="15.75" customHeight="1">
      <c r="A460" s="31" t="str">
        <f>'EQUITY BACKTEST'!A463</f>
        <v/>
      </c>
      <c r="B460" s="22" t="str">
        <f>'EQUITY BACKTEST'!B463</f>
        <v/>
      </c>
      <c r="C460" s="22" t="str">
        <f>1/'EQUITY BACKTEST'!E463</f>
        <v>#DIV/0!</v>
      </c>
      <c r="D460" s="22" t="str">
        <f t="shared" si="5"/>
        <v>#DIV/0!</v>
      </c>
      <c r="E460" s="22" t="str">
        <f t="shared" si="3"/>
        <v/>
      </c>
      <c r="F460" s="22" t="str">
        <f t="shared" si="6"/>
        <v>#DIV/0!</v>
      </c>
      <c r="H460" s="22" t="str">
        <f t="shared" si="4"/>
        <v/>
      </c>
      <c r="I460" s="22" t="str">
        <f t="shared" si="1"/>
        <v>#N/A</v>
      </c>
      <c r="J460" s="22" t="str">
        <f t="shared" si="2"/>
        <v>#N/A</v>
      </c>
      <c r="K460" s="22" t="str">
        <f t="array" ref="K460">IF(H460="Crash",MATCH(TRUE, B461:B558 &gt;= B459, 0),"")</f>
        <v/>
      </c>
    </row>
    <row r="461" ht="15.75" customHeight="1">
      <c r="A461" s="31" t="str">
        <f>'EQUITY BACKTEST'!A464</f>
        <v/>
      </c>
      <c r="B461" s="22" t="str">
        <f>'EQUITY BACKTEST'!B464</f>
        <v/>
      </c>
      <c r="C461" s="22" t="str">
        <f>1/'EQUITY BACKTEST'!E464</f>
        <v>#DIV/0!</v>
      </c>
      <c r="D461" s="22" t="str">
        <f t="shared" si="5"/>
        <v>#DIV/0!</v>
      </c>
      <c r="E461" s="22" t="str">
        <f t="shared" si="3"/>
        <v/>
      </c>
      <c r="F461" s="22" t="str">
        <f t="shared" si="6"/>
        <v>#DIV/0!</v>
      </c>
      <c r="H461" s="22" t="str">
        <f t="shared" si="4"/>
        <v/>
      </c>
      <c r="I461" s="22" t="str">
        <f t="shared" si="1"/>
        <v>#N/A</v>
      </c>
      <c r="J461" s="22" t="str">
        <f t="shared" si="2"/>
        <v>#N/A</v>
      </c>
      <c r="K461" s="22" t="str">
        <f t="array" ref="K461">IF(H461="Crash",MATCH(TRUE, B462:B559 &gt;= B460, 0),"")</f>
        <v/>
      </c>
    </row>
    <row r="462" ht="15.75" customHeight="1">
      <c r="A462" s="31" t="str">
        <f>'EQUITY BACKTEST'!A465</f>
        <v/>
      </c>
      <c r="B462" s="22" t="str">
        <f>'EQUITY BACKTEST'!B465</f>
        <v/>
      </c>
      <c r="C462" s="22" t="str">
        <f>1/'EQUITY BACKTEST'!E465</f>
        <v>#DIV/0!</v>
      </c>
      <c r="D462" s="22" t="str">
        <f t="shared" si="5"/>
        <v>#DIV/0!</v>
      </c>
      <c r="E462" s="22" t="str">
        <f t="shared" si="3"/>
        <v/>
      </c>
      <c r="F462" s="22" t="str">
        <f t="shared" si="6"/>
        <v>#DIV/0!</v>
      </c>
      <c r="H462" s="22" t="str">
        <f t="shared" si="4"/>
        <v/>
      </c>
      <c r="I462" s="22" t="str">
        <f t="shared" si="1"/>
        <v>#N/A</v>
      </c>
      <c r="J462" s="22" t="str">
        <f t="shared" si="2"/>
        <v>#N/A</v>
      </c>
      <c r="K462" s="22" t="str">
        <f t="array" ref="K462">IF(H462="Crash",MATCH(TRUE, B463:B560 &gt;= B461, 0),"")</f>
        <v/>
      </c>
    </row>
    <row r="463" ht="15.75" customHeight="1">
      <c r="A463" s="31" t="str">
        <f>'EQUITY BACKTEST'!A466</f>
        <v/>
      </c>
      <c r="B463" s="22" t="str">
        <f>'EQUITY BACKTEST'!B466</f>
        <v/>
      </c>
      <c r="C463" s="22" t="str">
        <f>1/'EQUITY BACKTEST'!E466</f>
        <v>#DIV/0!</v>
      </c>
      <c r="D463" s="22" t="str">
        <f t="shared" si="5"/>
        <v>#DIV/0!</v>
      </c>
      <c r="E463" s="22" t="str">
        <f t="shared" si="3"/>
        <v/>
      </c>
      <c r="F463" s="22" t="str">
        <f t="shared" si="6"/>
        <v>#DIV/0!</v>
      </c>
      <c r="H463" s="22" t="str">
        <f t="shared" si="4"/>
        <v/>
      </c>
      <c r="I463" s="22" t="str">
        <f t="shared" si="1"/>
        <v>#N/A</v>
      </c>
      <c r="J463" s="22" t="str">
        <f t="shared" si="2"/>
        <v>#N/A</v>
      </c>
      <c r="K463" s="22" t="str">
        <f t="array" ref="K463">IF(H463="Crash",MATCH(TRUE, B464:B561 &gt;= B462, 0),"")</f>
        <v/>
      </c>
    </row>
    <row r="464" ht="15.75" customHeight="1">
      <c r="A464" s="31" t="str">
        <f>'EQUITY BACKTEST'!A467</f>
        <v/>
      </c>
      <c r="B464" s="22" t="str">
        <f>'EQUITY BACKTEST'!B467</f>
        <v/>
      </c>
      <c r="C464" s="22" t="str">
        <f>1/'EQUITY BACKTEST'!E467</f>
        <v>#DIV/0!</v>
      </c>
      <c r="D464" s="22" t="str">
        <f t="shared" si="5"/>
        <v>#DIV/0!</v>
      </c>
      <c r="E464" s="22" t="str">
        <f t="shared" si="3"/>
        <v/>
      </c>
      <c r="F464" s="22" t="str">
        <f t="shared" si="6"/>
        <v>#DIV/0!</v>
      </c>
      <c r="H464" s="22" t="str">
        <f t="shared" si="4"/>
        <v/>
      </c>
      <c r="I464" s="22" t="str">
        <f t="shared" si="1"/>
        <v>#N/A</v>
      </c>
      <c r="J464" s="22" t="str">
        <f t="shared" si="2"/>
        <v>#N/A</v>
      </c>
      <c r="K464" s="22" t="str">
        <f t="array" ref="K464">IF(H464="Crash",MATCH(TRUE, B465:B562 &gt;= B463, 0),"")</f>
        <v/>
      </c>
    </row>
    <row r="465" ht="15.75" customHeight="1">
      <c r="A465" s="31" t="str">
        <f>'EQUITY BACKTEST'!A468</f>
        <v/>
      </c>
      <c r="B465" s="22" t="str">
        <f>'EQUITY BACKTEST'!B468</f>
        <v/>
      </c>
      <c r="C465" s="22" t="str">
        <f>1/'EQUITY BACKTEST'!E468</f>
        <v>#DIV/0!</v>
      </c>
      <c r="D465" s="22" t="str">
        <f t="shared" si="5"/>
        <v>#DIV/0!</v>
      </c>
      <c r="E465" s="22" t="str">
        <f t="shared" si="3"/>
        <v/>
      </c>
      <c r="F465" s="22" t="str">
        <f t="shared" si="6"/>
        <v>#DIV/0!</v>
      </c>
      <c r="H465" s="22" t="str">
        <f t="shared" si="4"/>
        <v/>
      </c>
      <c r="I465" s="22" t="str">
        <f t="shared" si="1"/>
        <v>#N/A</v>
      </c>
      <c r="J465" s="22" t="str">
        <f t="shared" si="2"/>
        <v>#N/A</v>
      </c>
      <c r="K465" s="22" t="str">
        <f t="array" ref="K465">IF(H465="Crash",MATCH(TRUE, B466:B563 &gt;= B464, 0),"")</f>
        <v/>
      </c>
    </row>
    <row r="466" ht="15.75" customHeight="1">
      <c r="A466" s="31" t="str">
        <f>'EQUITY BACKTEST'!A469</f>
        <v/>
      </c>
      <c r="B466" s="22" t="str">
        <f>'EQUITY BACKTEST'!B469</f>
        <v/>
      </c>
      <c r="C466" s="22" t="str">
        <f>1/'EQUITY BACKTEST'!E469</f>
        <v>#DIV/0!</v>
      </c>
      <c r="D466" s="22" t="str">
        <f t="shared" si="5"/>
        <v>#DIV/0!</v>
      </c>
      <c r="E466" s="22" t="str">
        <f t="shared" si="3"/>
        <v/>
      </c>
      <c r="F466" s="22" t="str">
        <f t="shared" si="6"/>
        <v>#DIV/0!</v>
      </c>
      <c r="H466" s="22" t="str">
        <f t="shared" si="4"/>
        <v/>
      </c>
      <c r="I466" s="22" t="str">
        <f t="shared" si="1"/>
        <v>#N/A</v>
      </c>
      <c r="J466" s="22" t="str">
        <f t="shared" si="2"/>
        <v>#N/A</v>
      </c>
      <c r="K466" s="22" t="str">
        <f t="array" ref="K466">IF(H466="Crash",MATCH(TRUE, B467:B564 &gt;= B465, 0),"")</f>
        <v/>
      </c>
    </row>
    <row r="467" ht="15.75" customHeight="1">
      <c r="A467" s="31" t="str">
        <f>'EQUITY BACKTEST'!A470</f>
        <v/>
      </c>
      <c r="B467" s="22" t="str">
        <f>'EQUITY BACKTEST'!B470</f>
        <v/>
      </c>
      <c r="C467" s="22" t="str">
        <f>1/'EQUITY BACKTEST'!E470</f>
        <v>#DIV/0!</v>
      </c>
      <c r="D467" s="22" t="str">
        <f t="shared" si="5"/>
        <v>#DIV/0!</v>
      </c>
      <c r="E467" s="22" t="str">
        <f t="shared" si="3"/>
        <v/>
      </c>
      <c r="F467" s="22" t="str">
        <f t="shared" si="6"/>
        <v>#DIV/0!</v>
      </c>
      <c r="H467" s="22" t="str">
        <f t="shared" si="4"/>
        <v/>
      </c>
      <c r="I467" s="22" t="str">
        <f t="shared" si="1"/>
        <v>#N/A</v>
      </c>
      <c r="J467" s="22" t="str">
        <f t="shared" si="2"/>
        <v>#N/A</v>
      </c>
      <c r="K467" s="22" t="str">
        <f t="array" ref="K467">IF(H467="Crash",MATCH(TRUE, B468:B565 &gt;= B466, 0),"")</f>
        <v/>
      </c>
    </row>
    <row r="468" ht="15.75" customHeight="1">
      <c r="A468" s="31" t="str">
        <f>'EQUITY BACKTEST'!A471</f>
        <v/>
      </c>
      <c r="B468" s="22" t="str">
        <f>'EQUITY BACKTEST'!B471</f>
        <v/>
      </c>
      <c r="C468" s="22" t="str">
        <f>1/'EQUITY BACKTEST'!E471</f>
        <v>#DIV/0!</v>
      </c>
      <c r="D468" s="22" t="str">
        <f t="shared" si="5"/>
        <v>#DIV/0!</v>
      </c>
      <c r="E468" s="22" t="str">
        <f t="shared" si="3"/>
        <v/>
      </c>
      <c r="F468" s="22" t="str">
        <f t="shared" si="6"/>
        <v>#DIV/0!</v>
      </c>
      <c r="H468" s="22" t="str">
        <f t="shared" si="4"/>
        <v/>
      </c>
      <c r="I468" s="22" t="str">
        <f t="shared" si="1"/>
        <v>#N/A</v>
      </c>
      <c r="J468" s="22" t="str">
        <f t="shared" si="2"/>
        <v>#N/A</v>
      </c>
      <c r="K468" s="22" t="str">
        <f t="array" ref="K468">IF(H468="Crash",MATCH(TRUE, B469:B566 &gt;= B467, 0),"")</f>
        <v/>
      </c>
    </row>
    <row r="469" ht="15.75" customHeight="1">
      <c r="A469" s="31" t="str">
        <f>'EQUITY BACKTEST'!A472</f>
        <v/>
      </c>
      <c r="B469" s="22" t="str">
        <f>'EQUITY BACKTEST'!B472</f>
        <v/>
      </c>
      <c r="C469" s="22" t="str">
        <f>1/'EQUITY BACKTEST'!E472</f>
        <v>#DIV/0!</v>
      </c>
      <c r="D469" s="22" t="str">
        <f t="shared" si="5"/>
        <v>#DIV/0!</v>
      </c>
      <c r="E469" s="22" t="str">
        <f t="shared" si="3"/>
        <v/>
      </c>
      <c r="F469" s="22" t="str">
        <f t="shared" si="6"/>
        <v>#DIV/0!</v>
      </c>
      <c r="H469" s="22" t="str">
        <f t="shared" si="4"/>
        <v/>
      </c>
      <c r="I469" s="22" t="str">
        <f t="shared" si="1"/>
        <v>#N/A</v>
      </c>
      <c r="J469" s="22" t="str">
        <f t="shared" si="2"/>
        <v>#N/A</v>
      </c>
      <c r="K469" s="22" t="str">
        <f t="array" ref="K469">IF(H469="Crash",MATCH(TRUE, B470:B567 &gt;= B468, 0),"")</f>
        <v/>
      </c>
    </row>
    <row r="470" ht="15.75" customHeight="1">
      <c r="A470" s="31" t="str">
        <f>'EQUITY BACKTEST'!A473</f>
        <v/>
      </c>
      <c r="B470" s="22" t="str">
        <f>'EQUITY BACKTEST'!B473</f>
        <v/>
      </c>
      <c r="C470" s="22" t="str">
        <f>1/'EQUITY BACKTEST'!E473</f>
        <v>#DIV/0!</v>
      </c>
      <c r="D470" s="22" t="str">
        <f t="shared" si="5"/>
        <v>#DIV/0!</v>
      </c>
      <c r="E470" s="22" t="str">
        <f t="shared" si="3"/>
        <v/>
      </c>
      <c r="F470" s="22" t="str">
        <f t="shared" si="6"/>
        <v>#DIV/0!</v>
      </c>
      <c r="H470" s="22" t="str">
        <f t="shared" si="4"/>
        <v/>
      </c>
      <c r="I470" s="22" t="str">
        <f t="shared" si="1"/>
        <v>#N/A</v>
      </c>
      <c r="J470" s="22" t="str">
        <f t="shared" si="2"/>
        <v>#N/A</v>
      </c>
      <c r="K470" s="22" t="str">
        <f t="array" ref="K470">IF(H470="Crash",MATCH(TRUE, B471:B568 &gt;= B469, 0),"")</f>
        <v/>
      </c>
    </row>
    <row r="471" ht="15.75" customHeight="1">
      <c r="A471" s="31" t="str">
        <f>'EQUITY BACKTEST'!A474</f>
        <v/>
      </c>
      <c r="B471" s="22" t="str">
        <f>'EQUITY BACKTEST'!B474</f>
        <v/>
      </c>
      <c r="C471" s="22" t="str">
        <f>1/'EQUITY BACKTEST'!E474</f>
        <v>#DIV/0!</v>
      </c>
      <c r="D471" s="22" t="str">
        <f t="shared" si="5"/>
        <v>#DIV/0!</v>
      </c>
      <c r="E471" s="22" t="str">
        <f t="shared" si="3"/>
        <v/>
      </c>
      <c r="F471" s="22" t="str">
        <f t="shared" si="6"/>
        <v>#DIV/0!</v>
      </c>
      <c r="H471" s="22" t="str">
        <f t="shared" si="4"/>
        <v/>
      </c>
      <c r="I471" s="22" t="str">
        <f t="shared" si="1"/>
        <v>#N/A</v>
      </c>
      <c r="J471" s="22" t="str">
        <f t="shared" si="2"/>
        <v>#N/A</v>
      </c>
      <c r="K471" s="22" t="str">
        <f t="array" ref="K471">IF(H471="Crash",MATCH(TRUE, B472:B569 &gt;= B470, 0),"")</f>
        <v/>
      </c>
    </row>
    <row r="472" ht="15.75" customHeight="1">
      <c r="A472" s="31" t="str">
        <f>'EQUITY BACKTEST'!A475</f>
        <v/>
      </c>
      <c r="B472" s="22" t="str">
        <f>'EQUITY BACKTEST'!B475</f>
        <v/>
      </c>
      <c r="C472" s="22" t="str">
        <f>1/'EQUITY BACKTEST'!E475</f>
        <v>#DIV/0!</v>
      </c>
      <c r="D472" s="22" t="str">
        <f t="shared" si="5"/>
        <v>#DIV/0!</v>
      </c>
      <c r="E472" s="22" t="str">
        <f t="shared" si="3"/>
        <v/>
      </c>
      <c r="F472" s="22" t="str">
        <f t="shared" si="6"/>
        <v>#DIV/0!</v>
      </c>
      <c r="H472" s="22" t="str">
        <f t="shared" si="4"/>
        <v/>
      </c>
      <c r="I472" s="22" t="str">
        <f t="shared" si="1"/>
        <v>#N/A</v>
      </c>
      <c r="J472" s="22" t="str">
        <f t="shared" si="2"/>
        <v>#N/A</v>
      </c>
      <c r="K472" s="22" t="str">
        <f t="array" ref="K472">IF(H472="Crash",MATCH(TRUE, B473:B570 &gt;= B471, 0),"")</f>
        <v/>
      </c>
    </row>
    <row r="473" ht="15.75" customHeight="1">
      <c r="A473" s="31" t="str">
        <f>'EQUITY BACKTEST'!A476</f>
        <v/>
      </c>
      <c r="B473" s="22" t="str">
        <f>'EQUITY BACKTEST'!B476</f>
        <v/>
      </c>
      <c r="C473" s="22" t="str">
        <f>1/'EQUITY BACKTEST'!E476</f>
        <v>#DIV/0!</v>
      </c>
      <c r="D473" s="22" t="str">
        <f t="shared" si="5"/>
        <v>#DIV/0!</v>
      </c>
      <c r="E473" s="22" t="str">
        <f t="shared" si="3"/>
        <v/>
      </c>
      <c r="F473" s="22" t="str">
        <f t="shared" si="6"/>
        <v>#DIV/0!</v>
      </c>
      <c r="H473" s="22" t="str">
        <f t="shared" si="4"/>
        <v/>
      </c>
      <c r="I473" s="22" t="str">
        <f t="shared" si="1"/>
        <v>#N/A</v>
      </c>
      <c r="J473" s="22" t="str">
        <f t="shared" si="2"/>
        <v>#N/A</v>
      </c>
      <c r="K473" s="22" t="str">
        <f t="array" ref="K473">IF(H473="Crash",MATCH(TRUE, B474:B571 &gt;= B472, 0),"")</f>
        <v/>
      </c>
    </row>
    <row r="474" ht="15.75" customHeight="1">
      <c r="A474" s="31" t="str">
        <f>'EQUITY BACKTEST'!A477</f>
        <v/>
      </c>
      <c r="B474" s="22" t="str">
        <f>'EQUITY BACKTEST'!B477</f>
        <v/>
      </c>
      <c r="C474" s="22" t="str">
        <f>1/'EQUITY BACKTEST'!E477</f>
        <v>#DIV/0!</v>
      </c>
      <c r="D474" s="22" t="str">
        <f t="shared" si="5"/>
        <v>#DIV/0!</v>
      </c>
      <c r="E474" s="22" t="str">
        <f t="shared" si="3"/>
        <v/>
      </c>
      <c r="F474" s="22" t="str">
        <f t="shared" si="6"/>
        <v>#DIV/0!</v>
      </c>
      <c r="H474" s="22" t="str">
        <f t="shared" si="4"/>
        <v/>
      </c>
      <c r="I474" s="22" t="str">
        <f t="shared" si="1"/>
        <v>#N/A</v>
      </c>
      <c r="J474" s="22" t="str">
        <f t="shared" si="2"/>
        <v>#N/A</v>
      </c>
      <c r="K474" s="22" t="str">
        <f t="array" ref="K474">IF(H474="Crash",MATCH(TRUE, B475:B572 &gt;= B473, 0),"")</f>
        <v/>
      </c>
    </row>
    <row r="475" ht="15.75" customHeight="1">
      <c r="A475" s="31" t="str">
        <f>'EQUITY BACKTEST'!A478</f>
        <v/>
      </c>
      <c r="B475" s="22" t="str">
        <f>'EQUITY BACKTEST'!B478</f>
        <v/>
      </c>
      <c r="C475" s="22" t="str">
        <f>1/'EQUITY BACKTEST'!E478</f>
        <v>#DIV/0!</v>
      </c>
      <c r="D475" s="22" t="str">
        <f t="shared" si="5"/>
        <v>#DIV/0!</v>
      </c>
      <c r="E475" s="22" t="str">
        <f t="shared" si="3"/>
        <v/>
      </c>
      <c r="F475" s="22" t="str">
        <f t="shared" si="6"/>
        <v>#DIV/0!</v>
      </c>
      <c r="H475" s="22" t="str">
        <f t="shared" si="4"/>
        <v/>
      </c>
      <c r="I475" s="22" t="str">
        <f t="shared" si="1"/>
        <v>#N/A</v>
      </c>
      <c r="J475" s="22" t="str">
        <f t="shared" si="2"/>
        <v>#N/A</v>
      </c>
      <c r="K475" s="22" t="str">
        <f t="array" ref="K475">IF(H475="Crash",MATCH(TRUE, B476:B573 &gt;= B474, 0),"")</f>
        <v/>
      </c>
    </row>
    <row r="476" ht="15.75" customHeight="1">
      <c r="A476" s="31" t="str">
        <f>'EQUITY BACKTEST'!A479</f>
        <v/>
      </c>
      <c r="B476" s="22" t="str">
        <f>'EQUITY BACKTEST'!B479</f>
        <v/>
      </c>
      <c r="C476" s="22" t="str">
        <f>1/'EQUITY BACKTEST'!E479</f>
        <v>#DIV/0!</v>
      </c>
      <c r="D476" s="22" t="str">
        <f t="shared" si="5"/>
        <v>#DIV/0!</v>
      </c>
      <c r="E476" s="22" t="str">
        <f t="shared" si="3"/>
        <v/>
      </c>
      <c r="F476" s="22" t="str">
        <f t="shared" si="6"/>
        <v>#DIV/0!</v>
      </c>
      <c r="H476" s="22" t="str">
        <f t="shared" si="4"/>
        <v/>
      </c>
      <c r="I476" s="22" t="str">
        <f t="shared" si="1"/>
        <v>#N/A</v>
      </c>
      <c r="J476" s="22" t="str">
        <f t="shared" si="2"/>
        <v>#N/A</v>
      </c>
      <c r="K476" s="22" t="str">
        <f t="array" ref="K476">IF(H476="Crash",MATCH(TRUE, B477:B574 &gt;= B475, 0),"")</f>
        <v/>
      </c>
    </row>
    <row r="477" ht="15.75" customHeight="1">
      <c r="A477" s="31" t="str">
        <f>'EQUITY BACKTEST'!A480</f>
        <v/>
      </c>
      <c r="B477" s="22" t="str">
        <f>'EQUITY BACKTEST'!B480</f>
        <v/>
      </c>
      <c r="C477" s="22" t="str">
        <f>1/'EQUITY BACKTEST'!E480</f>
        <v>#DIV/0!</v>
      </c>
      <c r="D477" s="22" t="str">
        <f t="shared" si="5"/>
        <v>#DIV/0!</v>
      </c>
      <c r="E477" s="22" t="str">
        <f t="shared" si="3"/>
        <v/>
      </c>
      <c r="F477" s="22" t="str">
        <f t="shared" si="6"/>
        <v>#DIV/0!</v>
      </c>
      <c r="H477" s="22" t="str">
        <f t="shared" si="4"/>
        <v/>
      </c>
      <c r="I477" s="22" t="str">
        <f t="shared" si="1"/>
        <v>#N/A</v>
      </c>
      <c r="J477" s="22" t="str">
        <f t="shared" si="2"/>
        <v>#N/A</v>
      </c>
      <c r="K477" s="22" t="str">
        <f t="array" ref="K477">IF(H477="Crash",MATCH(TRUE, B478:B575 &gt;= B476, 0),"")</f>
        <v/>
      </c>
    </row>
    <row r="478" ht="15.75" customHeight="1">
      <c r="A478" s="31" t="str">
        <f>'EQUITY BACKTEST'!A481</f>
        <v/>
      </c>
      <c r="B478" s="22" t="str">
        <f>'EQUITY BACKTEST'!B481</f>
        <v/>
      </c>
      <c r="C478" s="22" t="str">
        <f>1/'EQUITY BACKTEST'!E481</f>
        <v>#DIV/0!</v>
      </c>
      <c r="D478" s="22" t="str">
        <f t="shared" si="5"/>
        <v>#DIV/0!</v>
      </c>
      <c r="E478" s="22" t="str">
        <f t="shared" si="3"/>
        <v/>
      </c>
      <c r="F478" s="22" t="str">
        <f t="shared" si="6"/>
        <v>#DIV/0!</v>
      </c>
      <c r="H478" s="22" t="str">
        <f t="shared" si="4"/>
        <v/>
      </c>
      <c r="I478" s="22" t="str">
        <f t="shared" si="1"/>
        <v>#N/A</v>
      </c>
      <c r="J478" s="22" t="str">
        <f t="shared" si="2"/>
        <v>#N/A</v>
      </c>
      <c r="K478" s="22" t="str">
        <f t="array" ref="K478">IF(H478="Crash",MATCH(TRUE, B479:B576 &gt;= B477, 0),"")</f>
        <v/>
      </c>
    </row>
    <row r="479" ht="15.75" customHeight="1">
      <c r="A479" s="31" t="str">
        <f>'EQUITY BACKTEST'!A482</f>
        <v/>
      </c>
      <c r="B479" s="22" t="str">
        <f>'EQUITY BACKTEST'!B482</f>
        <v/>
      </c>
      <c r="C479" s="22" t="str">
        <f>1/'EQUITY BACKTEST'!E482</f>
        <v>#DIV/0!</v>
      </c>
      <c r="D479" s="22" t="str">
        <f t="shared" si="5"/>
        <v>#DIV/0!</v>
      </c>
      <c r="E479" s="22" t="str">
        <f t="shared" si="3"/>
        <v/>
      </c>
      <c r="F479" s="22" t="str">
        <f t="shared" si="6"/>
        <v>#DIV/0!</v>
      </c>
      <c r="H479" s="22" t="str">
        <f t="shared" si="4"/>
        <v/>
      </c>
      <c r="I479" s="22" t="str">
        <f t="shared" si="1"/>
        <v>#N/A</v>
      </c>
      <c r="J479" s="22" t="str">
        <f t="shared" si="2"/>
        <v>#N/A</v>
      </c>
      <c r="K479" s="22" t="str">
        <f t="array" ref="K479">IF(H479="Crash",MATCH(TRUE, B480:B577 &gt;= B478, 0),"")</f>
        <v/>
      </c>
    </row>
    <row r="480" ht="15.75" customHeight="1">
      <c r="A480" s="31" t="str">
        <f>'EQUITY BACKTEST'!A483</f>
        <v/>
      </c>
      <c r="B480" s="22" t="str">
        <f>'EQUITY BACKTEST'!B483</f>
        <v/>
      </c>
      <c r="C480" s="22" t="str">
        <f>1/'EQUITY BACKTEST'!E483</f>
        <v>#DIV/0!</v>
      </c>
      <c r="D480" s="22" t="str">
        <f t="shared" si="5"/>
        <v>#DIV/0!</v>
      </c>
      <c r="E480" s="22" t="str">
        <f t="shared" si="3"/>
        <v/>
      </c>
      <c r="F480" s="22" t="str">
        <f t="shared" si="6"/>
        <v>#DIV/0!</v>
      </c>
      <c r="H480" s="22" t="str">
        <f t="shared" si="4"/>
        <v/>
      </c>
      <c r="I480" s="22" t="str">
        <f t="shared" si="1"/>
        <v>#N/A</v>
      </c>
      <c r="J480" s="22" t="str">
        <f t="shared" si="2"/>
        <v>#N/A</v>
      </c>
      <c r="K480" s="22" t="str">
        <f t="array" ref="K480">IF(H480="Crash",MATCH(TRUE, B481:B578 &gt;= B479, 0),"")</f>
        <v/>
      </c>
    </row>
    <row r="481" ht="15.75" customHeight="1">
      <c r="A481" s="31" t="str">
        <f>'EQUITY BACKTEST'!A484</f>
        <v/>
      </c>
      <c r="B481" s="22" t="str">
        <f>'EQUITY BACKTEST'!B484</f>
        <v/>
      </c>
      <c r="C481" s="22" t="str">
        <f>1/'EQUITY BACKTEST'!E484</f>
        <v>#DIV/0!</v>
      </c>
      <c r="D481" s="22" t="str">
        <f t="shared" si="5"/>
        <v>#DIV/0!</v>
      </c>
      <c r="E481" s="22" t="str">
        <f t="shared" si="3"/>
        <v/>
      </c>
      <c r="F481" s="22" t="str">
        <f t="shared" si="6"/>
        <v>#DIV/0!</v>
      </c>
      <c r="H481" s="22" t="str">
        <f t="shared" si="4"/>
        <v/>
      </c>
      <c r="I481" s="22" t="str">
        <f t="shared" si="1"/>
        <v>#N/A</v>
      </c>
      <c r="J481" s="22" t="str">
        <f t="shared" si="2"/>
        <v>#N/A</v>
      </c>
      <c r="K481" s="22" t="str">
        <f t="array" ref="K481">IF(H481="Crash",MATCH(TRUE, B482:B579 &gt;= B480, 0),"")</f>
        <v/>
      </c>
    </row>
    <row r="482" ht="15.75" customHeight="1">
      <c r="A482" s="31" t="str">
        <f>'EQUITY BACKTEST'!A485</f>
        <v/>
      </c>
      <c r="B482" s="22" t="str">
        <f>'EQUITY BACKTEST'!B485</f>
        <v/>
      </c>
      <c r="C482" s="22" t="str">
        <f>1/'EQUITY BACKTEST'!E485</f>
        <v>#DIV/0!</v>
      </c>
      <c r="D482" s="22" t="str">
        <f t="shared" si="5"/>
        <v>#DIV/0!</v>
      </c>
      <c r="E482" s="22" t="str">
        <f t="shared" si="3"/>
        <v/>
      </c>
      <c r="F482" s="22" t="str">
        <f t="shared" si="6"/>
        <v>#DIV/0!</v>
      </c>
      <c r="H482" s="22" t="str">
        <f t="shared" si="4"/>
        <v/>
      </c>
      <c r="I482" s="22" t="str">
        <f t="shared" si="1"/>
        <v>#N/A</v>
      </c>
      <c r="J482" s="22" t="str">
        <f t="shared" si="2"/>
        <v>#N/A</v>
      </c>
      <c r="K482" s="22" t="str">
        <f t="array" ref="K482">IF(H482="Crash",MATCH(TRUE, B483:B580 &gt;= B481, 0),"")</f>
        <v/>
      </c>
    </row>
    <row r="483" ht="15.75" customHeight="1">
      <c r="A483" s="31" t="str">
        <f>'EQUITY BACKTEST'!A486</f>
        <v/>
      </c>
      <c r="B483" s="22" t="str">
        <f>'EQUITY BACKTEST'!B486</f>
        <v/>
      </c>
      <c r="C483" s="22" t="str">
        <f>1/'EQUITY BACKTEST'!E486</f>
        <v>#DIV/0!</v>
      </c>
      <c r="D483" s="22" t="str">
        <f t="shared" si="5"/>
        <v>#DIV/0!</v>
      </c>
      <c r="E483" s="22" t="str">
        <f t="shared" si="3"/>
        <v/>
      </c>
      <c r="F483" s="22" t="str">
        <f t="shared" si="6"/>
        <v>#DIV/0!</v>
      </c>
      <c r="H483" s="22" t="str">
        <f t="shared" si="4"/>
        <v/>
      </c>
      <c r="I483" s="22" t="str">
        <f t="shared" si="1"/>
        <v>#N/A</v>
      </c>
      <c r="J483" s="22" t="str">
        <f t="shared" si="2"/>
        <v>#N/A</v>
      </c>
      <c r="K483" s="22" t="str">
        <f t="array" ref="K483">IF(H483="Crash",MATCH(TRUE, B484:B581 &gt;= B482, 0),"")</f>
        <v/>
      </c>
    </row>
    <row r="484" ht="15.75" customHeight="1">
      <c r="A484" s="31" t="str">
        <f>'EQUITY BACKTEST'!A487</f>
        <v/>
      </c>
      <c r="B484" s="22" t="str">
        <f>'EQUITY BACKTEST'!B487</f>
        <v/>
      </c>
      <c r="C484" s="22" t="str">
        <f>1/'EQUITY BACKTEST'!E487</f>
        <v>#DIV/0!</v>
      </c>
      <c r="D484" s="22" t="str">
        <f t="shared" si="5"/>
        <v>#DIV/0!</v>
      </c>
      <c r="E484" s="22" t="str">
        <f t="shared" si="3"/>
        <v/>
      </c>
      <c r="F484" s="22" t="str">
        <f t="shared" si="6"/>
        <v>#DIV/0!</v>
      </c>
      <c r="H484" s="22" t="str">
        <f t="shared" si="4"/>
        <v/>
      </c>
      <c r="I484" s="22" t="str">
        <f t="shared" si="1"/>
        <v>#N/A</v>
      </c>
      <c r="J484" s="22" t="str">
        <f t="shared" si="2"/>
        <v>#N/A</v>
      </c>
      <c r="K484" s="22" t="str">
        <f t="array" ref="K484">IF(H484="Crash",MATCH(TRUE, B485:B582 &gt;= B483, 0),"")</f>
        <v/>
      </c>
    </row>
    <row r="485" ht="15.75" customHeight="1">
      <c r="A485" s="31" t="str">
        <f>'EQUITY BACKTEST'!A488</f>
        <v/>
      </c>
      <c r="B485" s="22" t="str">
        <f>'EQUITY BACKTEST'!B488</f>
        <v/>
      </c>
      <c r="C485" s="22" t="str">
        <f>1/'EQUITY BACKTEST'!E488</f>
        <v>#DIV/0!</v>
      </c>
      <c r="D485" s="22" t="str">
        <f t="shared" si="5"/>
        <v>#DIV/0!</v>
      </c>
      <c r="E485" s="22" t="str">
        <f t="shared" si="3"/>
        <v/>
      </c>
      <c r="F485" s="22" t="str">
        <f t="shared" si="6"/>
        <v>#DIV/0!</v>
      </c>
      <c r="H485" s="22" t="str">
        <f t="shared" si="4"/>
        <v/>
      </c>
      <c r="I485" s="22" t="str">
        <f t="shared" si="1"/>
        <v>#N/A</v>
      </c>
      <c r="J485" s="22" t="str">
        <f t="shared" si="2"/>
        <v>#N/A</v>
      </c>
      <c r="K485" s="22" t="str">
        <f t="array" ref="K485">IF(H485="Crash",MATCH(TRUE, B486:B583 &gt;= B484, 0),"")</f>
        <v/>
      </c>
    </row>
    <row r="486" ht="15.75" customHeight="1">
      <c r="A486" s="31" t="str">
        <f>'EQUITY BACKTEST'!A489</f>
        <v/>
      </c>
      <c r="B486" s="22" t="str">
        <f>'EQUITY BACKTEST'!B489</f>
        <v/>
      </c>
      <c r="C486" s="22" t="str">
        <f>1/'EQUITY BACKTEST'!E489</f>
        <v>#DIV/0!</v>
      </c>
      <c r="D486" s="22" t="str">
        <f t="shared" si="5"/>
        <v>#DIV/0!</v>
      </c>
      <c r="E486" s="22" t="str">
        <f t="shared" si="3"/>
        <v/>
      </c>
      <c r="F486" s="22" t="str">
        <f t="shared" si="6"/>
        <v>#DIV/0!</v>
      </c>
      <c r="H486" s="22" t="str">
        <f t="shared" si="4"/>
        <v/>
      </c>
      <c r="I486" s="22" t="str">
        <f t="shared" si="1"/>
        <v>#N/A</v>
      </c>
      <c r="J486" s="22" t="str">
        <f t="shared" si="2"/>
        <v>#N/A</v>
      </c>
      <c r="K486" s="22" t="str">
        <f t="array" ref="K486">IF(H486="Crash",MATCH(TRUE, B487:B584 &gt;= B485, 0),"")</f>
        <v/>
      </c>
    </row>
    <row r="487" ht="15.75" customHeight="1">
      <c r="A487" s="31" t="str">
        <f>'EQUITY BACKTEST'!A490</f>
        <v/>
      </c>
      <c r="B487" s="22" t="str">
        <f>'EQUITY BACKTEST'!B490</f>
        <v/>
      </c>
      <c r="C487" s="22" t="str">
        <f>1/'EQUITY BACKTEST'!E490</f>
        <v>#DIV/0!</v>
      </c>
      <c r="D487" s="22" t="str">
        <f t="shared" si="5"/>
        <v>#DIV/0!</v>
      </c>
      <c r="E487" s="22" t="str">
        <f t="shared" si="3"/>
        <v/>
      </c>
      <c r="F487" s="22" t="str">
        <f t="shared" si="6"/>
        <v>#DIV/0!</v>
      </c>
      <c r="H487" s="22" t="str">
        <f t="shared" si="4"/>
        <v/>
      </c>
      <c r="I487" s="22" t="str">
        <f t="shared" si="1"/>
        <v>#N/A</v>
      </c>
      <c r="J487" s="22" t="str">
        <f t="shared" si="2"/>
        <v>#N/A</v>
      </c>
      <c r="K487" s="22" t="str">
        <f t="array" ref="K487">IF(H487="Crash",MATCH(TRUE, B488:B585 &gt;= B486, 0),"")</f>
        <v/>
      </c>
    </row>
    <row r="488" ht="15.75" customHeight="1">
      <c r="A488" s="31" t="str">
        <f>'EQUITY BACKTEST'!A491</f>
        <v/>
      </c>
      <c r="B488" s="22" t="str">
        <f>'EQUITY BACKTEST'!B491</f>
        <v/>
      </c>
      <c r="C488" s="22" t="str">
        <f>1/'EQUITY BACKTEST'!E491</f>
        <v>#DIV/0!</v>
      </c>
      <c r="D488" s="22" t="str">
        <f t="shared" si="5"/>
        <v>#DIV/0!</v>
      </c>
      <c r="E488" s="22" t="str">
        <f t="shared" si="3"/>
        <v/>
      </c>
      <c r="F488" s="22" t="str">
        <f t="shared" si="6"/>
        <v>#DIV/0!</v>
      </c>
      <c r="H488" s="22" t="str">
        <f t="shared" si="4"/>
        <v/>
      </c>
      <c r="I488" s="22" t="str">
        <f t="shared" si="1"/>
        <v>#N/A</v>
      </c>
      <c r="J488" s="22" t="str">
        <f t="shared" si="2"/>
        <v>#N/A</v>
      </c>
      <c r="K488" s="22" t="str">
        <f t="array" ref="K488">IF(H488="Crash",MATCH(TRUE, B489:B586 &gt;= B487, 0),"")</f>
        <v/>
      </c>
    </row>
    <row r="489" ht="15.75" customHeight="1">
      <c r="A489" s="31" t="str">
        <f>'EQUITY BACKTEST'!A492</f>
        <v/>
      </c>
      <c r="B489" s="22" t="str">
        <f>'EQUITY BACKTEST'!B492</f>
        <v/>
      </c>
      <c r="C489" s="22" t="str">
        <f>1/'EQUITY BACKTEST'!E492</f>
        <v>#DIV/0!</v>
      </c>
      <c r="D489" s="22" t="str">
        <f t="shared" si="5"/>
        <v>#DIV/0!</v>
      </c>
      <c r="E489" s="22" t="str">
        <f t="shared" si="3"/>
        <v/>
      </c>
      <c r="F489" s="22" t="str">
        <f t="shared" si="6"/>
        <v>#DIV/0!</v>
      </c>
      <c r="H489" s="22" t="str">
        <f t="shared" si="4"/>
        <v/>
      </c>
      <c r="I489" s="22" t="str">
        <f t="shared" si="1"/>
        <v>#N/A</v>
      </c>
      <c r="J489" s="22" t="str">
        <f t="shared" si="2"/>
        <v>#N/A</v>
      </c>
      <c r="K489" s="22" t="str">
        <f t="array" ref="K489">IF(H489="Crash",MATCH(TRUE, B490:B587 &gt;= B488, 0),"")</f>
        <v/>
      </c>
    </row>
    <row r="490" ht="15.75" customHeight="1">
      <c r="A490" s="31" t="str">
        <f>'EQUITY BACKTEST'!A493</f>
        <v/>
      </c>
      <c r="B490" s="22" t="str">
        <f>'EQUITY BACKTEST'!B493</f>
        <v/>
      </c>
      <c r="C490" s="22" t="str">
        <f>1/'EQUITY BACKTEST'!E493</f>
        <v>#DIV/0!</v>
      </c>
      <c r="D490" s="22" t="str">
        <f t="shared" si="5"/>
        <v>#DIV/0!</v>
      </c>
      <c r="E490" s="22" t="str">
        <f t="shared" si="3"/>
        <v/>
      </c>
      <c r="F490" s="22" t="str">
        <f t="shared" si="6"/>
        <v>#DIV/0!</v>
      </c>
      <c r="H490" s="22" t="str">
        <f t="shared" si="4"/>
        <v/>
      </c>
      <c r="I490" s="22" t="str">
        <f t="shared" si="1"/>
        <v>#N/A</v>
      </c>
      <c r="J490" s="22" t="str">
        <f t="shared" si="2"/>
        <v>#N/A</v>
      </c>
      <c r="K490" s="22" t="str">
        <f t="array" ref="K490">IF(H490="Crash",MATCH(TRUE, B491:B588 &gt;= B489, 0),"")</f>
        <v/>
      </c>
    </row>
    <row r="491" ht="15.75" customHeight="1">
      <c r="A491" s="31" t="str">
        <f>'EQUITY BACKTEST'!A494</f>
        <v/>
      </c>
      <c r="B491" s="22" t="str">
        <f>'EQUITY BACKTEST'!B494</f>
        <v/>
      </c>
      <c r="C491" s="22" t="str">
        <f>1/'EQUITY BACKTEST'!E494</f>
        <v>#DIV/0!</v>
      </c>
      <c r="D491" s="22" t="str">
        <f t="shared" si="5"/>
        <v>#DIV/0!</v>
      </c>
      <c r="E491" s="22" t="str">
        <f t="shared" si="3"/>
        <v/>
      </c>
      <c r="F491" s="22" t="str">
        <f t="shared" si="6"/>
        <v>#DIV/0!</v>
      </c>
      <c r="H491" s="22" t="str">
        <f t="shared" si="4"/>
        <v/>
      </c>
      <c r="I491" s="22" t="str">
        <f t="shared" si="1"/>
        <v>#N/A</v>
      </c>
      <c r="J491" s="22" t="str">
        <f t="shared" si="2"/>
        <v>#N/A</v>
      </c>
      <c r="K491" s="22" t="str">
        <f t="array" ref="K491">IF(H491="Crash",MATCH(TRUE, B492:B589 &gt;= B490, 0),"")</f>
        <v/>
      </c>
    </row>
    <row r="492" ht="15.75" customHeight="1">
      <c r="A492" s="31" t="str">
        <f>'EQUITY BACKTEST'!A495</f>
        <v/>
      </c>
      <c r="B492" s="22" t="str">
        <f>'EQUITY BACKTEST'!B495</f>
        <v/>
      </c>
      <c r="C492" s="22" t="str">
        <f>1/'EQUITY BACKTEST'!E495</f>
        <v>#DIV/0!</v>
      </c>
      <c r="D492" s="22" t="str">
        <f t="shared" si="5"/>
        <v>#DIV/0!</v>
      </c>
      <c r="E492" s="22" t="str">
        <f t="shared" si="3"/>
        <v/>
      </c>
      <c r="F492" s="22" t="str">
        <f t="shared" si="6"/>
        <v>#DIV/0!</v>
      </c>
      <c r="H492" s="22" t="str">
        <f t="shared" si="4"/>
        <v/>
      </c>
      <c r="I492" s="22" t="str">
        <f t="shared" si="1"/>
        <v>#N/A</v>
      </c>
      <c r="J492" s="22" t="str">
        <f t="shared" si="2"/>
        <v>#N/A</v>
      </c>
      <c r="K492" s="22" t="str">
        <f t="array" ref="K492">IF(H492="Crash",MATCH(TRUE, B493:B590 &gt;= B491, 0),"")</f>
        <v/>
      </c>
    </row>
    <row r="493" ht="15.75" customHeight="1">
      <c r="A493" s="31" t="str">
        <f>'EQUITY BACKTEST'!A496</f>
        <v/>
      </c>
      <c r="B493" s="22" t="str">
        <f>'EQUITY BACKTEST'!B496</f>
        <v/>
      </c>
      <c r="C493" s="22" t="str">
        <f>1/'EQUITY BACKTEST'!E496</f>
        <v>#DIV/0!</v>
      </c>
      <c r="D493" s="22" t="str">
        <f t="shared" si="5"/>
        <v>#DIV/0!</v>
      </c>
      <c r="E493" s="22" t="str">
        <f t="shared" si="3"/>
        <v/>
      </c>
      <c r="F493" s="22" t="str">
        <f t="shared" si="6"/>
        <v>#DIV/0!</v>
      </c>
      <c r="H493" s="22" t="str">
        <f t="shared" si="4"/>
        <v/>
      </c>
      <c r="I493" s="22" t="str">
        <f t="shared" si="1"/>
        <v>#N/A</v>
      </c>
      <c r="J493" s="22" t="str">
        <f t="shared" si="2"/>
        <v>#N/A</v>
      </c>
      <c r="K493" s="22" t="str">
        <f t="array" ref="K493">IF(H493="Crash",MATCH(TRUE, B494:B591 &gt;= B492, 0),"")</f>
        <v/>
      </c>
    </row>
    <row r="494" ht="15.75" customHeight="1">
      <c r="A494" s="31" t="str">
        <f>'EQUITY BACKTEST'!A497</f>
        <v/>
      </c>
      <c r="B494" s="22" t="str">
        <f>'EQUITY BACKTEST'!B497</f>
        <v/>
      </c>
      <c r="C494" s="22" t="str">
        <f>1/'EQUITY BACKTEST'!E497</f>
        <v>#DIV/0!</v>
      </c>
      <c r="D494" s="22" t="str">
        <f t="shared" si="5"/>
        <v>#DIV/0!</v>
      </c>
      <c r="E494" s="22" t="str">
        <f t="shared" si="3"/>
        <v/>
      </c>
      <c r="F494" s="22" t="str">
        <f t="shared" si="6"/>
        <v>#DIV/0!</v>
      </c>
      <c r="H494" s="22" t="str">
        <f t="shared" si="4"/>
        <v/>
      </c>
      <c r="I494" s="22" t="str">
        <f t="shared" si="1"/>
        <v>#N/A</v>
      </c>
      <c r="J494" s="22" t="str">
        <f t="shared" si="2"/>
        <v>#N/A</v>
      </c>
      <c r="K494" s="22" t="str">
        <f t="array" ref="K494">IF(H494="Crash",MATCH(TRUE, B495:B592 &gt;= B493, 0),"")</f>
        <v/>
      </c>
    </row>
    <row r="495" ht="15.75" customHeight="1">
      <c r="A495" s="31" t="str">
        <f>'EQUITY BACKTEST'!A498</f>
        <v/>
      </c>
      <c r="B495" s="22" t="str">
        <f>'EQUITY BACKTEST'!B498</f>
        <v/>
      </c>
      <c r="C495" s="22" t="str">
        <f>1/'EQUITY BACKTEST'!E498</f>
        <v>#DIV/0!</v>
      </c>
      <c r="D495" s="22" t="str">
        <f t="shared" si="5"/>
        <v>#DIV/0!</v>
      </c>
      <c r="E495" s="22" t="str">
        <f t="shared" si="3"/>
        <v/>
      </c>
      <c r="F495" s="22" t="str">
        <f t="shared" si="6"/>
        <v>#DIV/0!</v>
      </c>
      <c r="H495" s="22" t="str">
        <f t="shared" si="4"/>
        <v/>
      </c>
      <c r="I495" s="22" t="str">
        <f t="shared" si="1"/>
        <v>#N/A</v>
      </c>
      <c r="J495" s="22" t="str">
        <f t="shared" si="2"/>
        <v>#N/A</v>
      </c>
      <c r="K495" s="22" t="str">
        <f t="array" ref="K495">IF(H495="Crash",MATCH(TRUE, B496:B593 &gt;= B494, 0),"")</f>
        <v/>
      </c>
    </row>
    <row r="496" ht="15.75" customHeight="1">
      <c r="A496" s="31" t="str">
        <f>'EQUITY BACKTEST'!A499</f>
        <v/>
      </c>
      <c r="B496" s="22" t="str">
        <f>'EQUITY BACKTEST'!B499</f>
        <v/>
      </c>
      <c r="C496" s="22" t="str">
        <f>1/'EQUITY BACKTEST'!E499</f>
        <v>#DIV/0!</v>
      </c>
      <c r="D496" s="22" t="str">
        <f t="shared" si="5"/>
        <v>#DIV/0!</v>
      </c>
      <c r="E496" s="22" t="str">
        <f t="shared" si="3"/>
        <v/>
      </c>
      <c r="F496" s="22" t="str">
        <f t="shared" si="6"/>
        <v>#DIV/0!</v>
      </c>
      <c r="H496" s="22" t="str">
        <f t="shared" si="4"/>
        <v/>
      </c>
      <c r="I496" s="22" t="str">
        <f t="shared" si="1"/>
        <v>#N/A</v>
      </c>
      <c r="J496" s="22" t="str">
        <f t="shared" si="2"/>
        <v>#N/A</v>
      </c>
      <c r="K496" s="22" t="str">
        <f t="array" ref="K496">IF(H496="Crash",MATCH(TRUE, B497:B594 &gt;= B495, 0),"")</f>
        <v/>
      </c>
    </row>
    <row r="497" ht="15.75" customHeight="1">
      <c r="A497" s="31" t="str">
        <f>'EQUITY BACKTEST'!A500</f>
        <v/>
      </c>
      <c r="B497" s="22" t="str">
        <f>'EQUITY BACKTEST'!B500</f>
        <v/>
      </c>
      <c r="C497" s="22" t="str">
        <f>1/'EQUITY BACKTEST'!E500</f>
        <v>#DIV/0!</v>
      </c>
      <c r="D497" s="22" t="str">
        <f t="shared" si="5"/>
        <v>#DIV/0!</v>
      </c>
      <c r="E497" s="22" t="str">
        <f t="shared" si="3"/>
        <v/>
      </c>
      <c r="F497" s="22" t="str">
        <f t="shared" si="6"/>
        <v>#DIV/0!</v>
      </c>
      <c r="H497" s="22" t="str">
        <f t="shared" si="4"/>
        <v/>
      </c>
      <c r="I497" s="22" t="str">
        <f t="shared" si="1"/>
        <v>#N/A</v>
      </c>
      <c r="J497" s="22" t="str">
        <f t="shared" si="2"/>
        <v>#N/A</v>
      </c>
      <c r="K497" s="22" t="str">
        <f t="array" ref="K497">IF(H497="Crash",MATCH(TRUE, B498:B595 &gt;= B496, 0),"")</f>
        <v/>
      </c>
    </row>
    <row r="498" ht="15.75" customHeight="1">
      <c r="A498" s="31" t="str">
        <f>'EQUITY BACKTEST'!A501</f>
        <v/>
      </c>
      <c r="B498" s="22" t="str">
        <f>'EQUITY BACKTEST'!B501</f>
        <v/>
      </c>
      <c r="C498" s="22" t="str">
        <f>1/'EQUITY BACKTEST'!E501</f>
        <v>#DIV/0!</v>
      </c>
      <c r="D498" s="22" t="str">
        <f t="shared" si="5"/>
        <v>#DIV/0!</v>
      </c>
      <c r="E498" s="22" t="str">
        <f t="shared" si="3"/>
        <v/>
      </c>
      <c r="F498" s="22" t="str">
        <f t="shared" si="6"/>
        <v>#DIV/0!</v>
      </c>
      <c r="H498" s="22" t="str">
        <f t="shared" si="4"/>
        <v/>
      </c>
      <c r="I498" s="22" t="str">
        <f t="shared" si="1"/>
        <v>#N/A</v>
      </c>
      <c r="J498" s="22" t="str">
        <f t="shared" si="2"/>
        <v>#N/A</v>
      </c>
      <c r="K498" s="22" t="str">
        <f t="array" ref="K498">IF(H498="Crash",MATCH(TRUE, B499:B596 &gt;= B497, 0),"")</f>
        <v/>
      </c>
    </row>
    <row r="499" ht="15.75" customHeight="1">
      <c r="A499" s="31" t="str">
        <f>'EQUITY BACKTEST'!A502</f>
        <v/>
      </c>
      <c r="B499" s="22" t="str">
        <f>'EQUITY BACKTEST'!B502</f>
        <v/>
      </c>
      <c r="C499" s="22" t="str">
        <f>1/'EQUITY BACKTEST'!E502</f>
        <v>#DIV/0!</v>
      </c>
      <c r="D499" s="22" t="str">
        <f t="shared" si="5"/>
        <v>#DIV/0!</v>
      </c>
      <c r="E499" s="22" t="str">
        <f t="shared" si="3"/>
        <v/>
      </c>
      <c r="F499" s="22" t="str">
        <f t="shared" si="6"/>
        <v>#DIV/0!</v>
      </c>
      <c r="H499" s="22" t="str">
        <f t="shared" si="4"/>
        <v/>
      </c>
      <c r="I499" s="22" t="str">
        <f t="shared" si="1"/>
        <v>#N/A</v>
      </c>
      <c r="J499" s="22" t="str">
        <f t="shared" si="2"/>
        <v>#N/A</v>
      </c>
      <c r="K499" s="22" t="str">
        <f t="array" ref="K499">IF(H499="Crash",MATCH(TRUE, B500:B597 &gt;= B498, 0),"")</f>
        <v/>
      </c>
    </row>
    <row r="500" ht="15.75" customHeight="1">
      <c r="A500" s="31" t="str">
        <f>'EQUITY BACKTEST'!A503</f>
        <v/>
      </c>
      <c r="B500" s="22" t="str">
        <f>'EQUITY BACKTEST'!B503</f>
        <v/>
      </c>
      <c r="C500" s="22" t="str">
        <f>1/'EQUITY BACKTEST'!E503</f>
        <v>#DIV/0!</v>
      </c>
      <c r="D500" s="22" t="str">
        <f t="shared" si="5"/>
        <v>#DIV/0!</v>
      </c>
      <c r="E500" s="22" t="str">
        <f t="shared" si="3"/>
        <v/>
      </c>
      <c r="F500" s="22" t="str">
        <f t="shared" si="6"/>
        <v>#DIV/0!</v>
      </c>
      <c r="H500" s="22" t="str">
        <f t="shared" si="4"/>
        <v/>
      </c>
      <c r="I500" s="22" t="str">
        <f t="shared" si="1"/>
        <v>#N/A</v>
      </c>
      <c r="J500" s="22" t="str">
        <f t="shared" si="2"/>
        <v>#N/A</v>
      </c>
      <c r="K500" s="22" t="str">
        <f t="array" ref="K500">IF(H500="Crash",MATCH(TRUE, B501:B598 &gt;= B499, 0),"")</f>
        <v/>
      </c>
    </row>
    <row r="501" ht="15.75" customHeight="1">
      <c r="A501" s="31" t="str">
        <f>'EQUITY BACKTEST'!A504</f>
        <v/>
      </c>
      <c r="B501" s="22" t="str">
        <f>'EQUITY BACKTEST'!B504</f>
        <v/>
      </c>
      <c r="C501" s="22" t="str">
        <f>1/'EQUITY BACKTEST'!E504</f>
        <v>#DIV/0!</v>
      </c>
      <c r="D501" s="22" t="str">
        <f t="shared" si="5"/>
        <v>#DIV/0!</v>
      </c>
      <c r="E501" s="22" t="str">
        <f t="shared" si="3"/>
        <v/>
      </c>
      <c r="F501" s="22" t="str">
        <f t="shared" si="6"/>
        <v>#DIV/0!</v>
      </c>
      <c r="H501" s="22" t="str">
        <f t="shared" si="4"/>
        <v/>
      </c>
      <c r="I501" s="22" t="str">
        <f t="shared" si="1"/>
        <v>#N/A</v>
      </c>
      <c r="J501" s="22" t="str">
        <f t="shared" si="2"/>
        <v>#N/A</v>
      </c>
      <c r="K501" s="22" t="str">
        <f t="array" ref="K501">IF(H501="Crash",MATCH(TRUE, B502:B599 &gt;= B500, 0),"")</f>
        <v/>
      </c>
    </row>
    <row r="502" ht="15.75" customHeight="1">
      <c r="A502" s="31" t="str">
        <f>'EQUITY BACKTEST'!A505</f>
        <v/>
      </c>
      <c r="B502" s="22" t="str">
        <f>'EQUITY BACKTEST'!B505</f>
        <v/>
      </c>
      <c r="C502" s="22" t="str">
        <f>1/'EQUITY BACKTEST'!E505</f>
        <v>#DIV/0!</v>
      </c>
      <c r="D502" s="22" t="str">
        <f t="shared" si="5"/>
        <v>#DIV/0!</v>
      </c>
      <c r="E502" s="22" t="str">
        <f t="shared" si="3"/>
        <v/>
      </c>
      <c r="F502" s="22" t="str">
        <f t="shared" si="6"/>
        <v>#DIV/0!</v>
      </c>
      <c r="H502" s="22" t="str">
        <f t="shared" si="4"/>
        <v/>
      </c>
      <c r="I502" s="22" t="str">
        <f t="shared" si="1"/>
        <v>#N/A</v>
      </c>
      <c r="J502" s="22" t="str">
        <f t="shared" si="2"/>
        <v>#N/A</v>
      </c>
      <c r="K502" s="22" t="str">
        <f t="array" ref="K502">IF(H502="Crash",MATCH(TRUE, B503:B600 &gt;= B501, 0),"")</f>
        <v/>
      </c>
    </row>
    <row r="503" ht="15.75" customHeight="1">
      <c r="A503" s="31" t="str">
        <f>'EQUITY BACKTEST'!A506</f>
        <v/>
      </c>
      <c r="B503" s="22" t="str">
        <f>'EQUITY BACKTEST'!B506</f>
        <v/>
      </c>
      <c r="C503" s="22" t="str">
        <f>1/'EQUITY BACKTEST'!E506</f>
        <v>#DIV/0!</v>
      </c>
      <c r="D503" s="22" t="str">
        <f t="shared" si="5"/>
        <v>#DIV/0!</v>
      </c>
      <c r="E503" s="22" t="str">
        <f t="shared" si="3"/>
        <v/>
      </c>
      <c r="F503" s="22" t="str">
        <f t="shared" si="6"/>
        <v>#DIV/0!</v>
      </c>
      <c r="H503" s="22" t="str">
        <f t="shared" si="4"/>
        <v/>
      </c>
      <c r="I503" s="22" t="str">
        <f t="shared" si="1"/>
        <v>#N/A</v>
      </c>
      <c r="J503" s="22" t="str">
        <f t="shared" si="2"/>
        <v>#N/A</v>
      </c>
      <c r="K503" s="22" t="str">
        <f t="array" ref="K503">IF(H503="Crash",MATCH(TRUE, B504:B601 &gt;= B502, 0),"")</f>
        <v/>
      </c>
    </row>
    <row r="504" ht="15.75" customHeight="1">
      <c r="A504" s="31" t="str">
        <f>'EQUITY BACKTEST'!A507</f>
        <v/>
      </c>
      <c r="B504" s="22" t="str">
        <f>'EQUITY BACKTEST'!B507</f>
        <v/>
      </c>
      <c r="C504" s="22" t="str">
        <f>1/'EQUITY BACKTEST'!E507</f>
        <v>#DIV/0!</v>
      </c>
      <c r="D504" s="22" t="str">
        <f t="shared" si="5"/>
        <v>#DIV/0!</v>
      </c>
      <c r="E504" s="22" t="str">
        <f t="shared" si="3"/>
        <v/>
      </c>
      <c r="F504" s="22" t="str">
        <f t="shared" si="6"/>
        <v>#DIV/0!</v>
      </c>
      <c r="H504" s="22" t="str">
        <f t="shared" si="4"/>
        <v/>
      </c>
      <c r="I504" s="22" t="str">
        <f t="shared" si="1"/>
        <v>#N/A</v>
      </c>
      <c r="J504" s="22" t="str">
        <f t="shared" si="2"/>
        <v>#N/A</v>
      </c>
      <c r="K504" s="22" t="str">
        <f t="array" ref="K504">IF(H504="Crash",MATCH(TRUE, B505:B602 &gt;= B503, 0),"")</f>
        <v/>
      </c>
    </row>
    <row r="505" ht="15.75" customHeight="1">
      <c r="A505" s="31" t="str">
        <f>'EQUITY BACKTEST'!A508</f>
        <v/>
      </c>
      <c r="B505" s="22" t="str">
        <f>'EQUITY BACKTEST'!B508</f>
        <v/>
      </c>
      <c r="C505" s="22" t="str">
        <f>1/'EQUITY BACKTEST'!E508</f>
        <v>#DIV/0!</v>
      </c>
      <c r="D505" s="22" t="str">
        <f t="shared" si="5"/>
        <v>#DIV/0!</v>
      </c>
      <c r="E505" s="22" t="str">
        <f t="shared" si="3"/>
        <v/>
      </c>
      <c r="F505" s="22" t="str">
        <f t="shared" si="6"/>
        <v>#DIV/0!</v>
      </c>
      <c r="H505" s="22" t="str">
        <f t="shared" si="4"/>
        <v/>
      </c>
      <c r="I505" s="22" t="str">
        <f t="shared" si="1"/>
        <v>#N/A</v>
      </c>
      <c r="J505" s="22" t="str">
        <f t="shared" si="2"/>
        <v>#N/A</v>
      </c>
      <c r="K505" s="22" t="str">
        <f t="array" ref="K505">IF(H505="Crash",MATCH(TRUE, B506:B603 &gt;= B504, 0),"")</f>
        <v/>
      </c>
    </row>
    <row r="506" ht="15.75" customHeight="1">
      <c r="A506" s="31" t="str">
        <f>'EQUITY BACKTEST'!A509</f>
        <v/>
      </c>
      <c r="B506" s="22" t="str">
        <f>'EQUITY BACKTEST'!B509</f>
        <v/>
      </c>
      <c r="C506" s="22" t="str">
        <f>1/'EQUITY BACKTEST'!E509</f>
        <v>#DIV/0!</v>
      </c>
      <c r="D506" s="22" t="str">
        <f t="shared" si="5"/>
        <v>#DIV/0!</v>
      </c>
      <c r="E506" s="22" t="str">
        <f t="shared" si="3"/>
        <v/>
      </c>
      <c r="F506" s="22" t="str">
        <f t="shared" si="6"/>
        <v>#DIV/0!</v>
      </c>
      <c r="H506" s="22" t="str">
        <f t="shared" si="4"/>
        <v/>
      </c>
      <c r="I506" s="22" t="str">
        <f t="shared" si="1"/>
        <v>#N/A</v>
      </c>
      <c r="J506" s="22" t="str">
        <f t="shared" si="2"/>
        <v>#N/A</v>
      </c>
      <c r="K506" s="22" t="str">
        <f t="array" ref="K506">IF(H506="Crash",MATCH(TRUE, B507:B604 &gt;= B505, 0),"")</f>
        <v/>
      </c>
    </row>
    <row r="507" ht="15.75" customHeight="1">
      <c r="A507" s="31" t="str">
        <f>'EQUITY BACKTEST'!A510</f>
        <v/>
      </c>
      <c r="B507" s="22" t="str">
        <f>'EQUITY BACKTEST'!B510</f>
        <v/>
      </c>
      <c r="C507" s="22" t="str">
        <f>1/'EQUITY BACKTEST'!E510</f>
        <v>#DIV/0!</v>
      </c>
      <c r="D507" s="22" t="str">
        <f t="shared" si="5"/>
        <v>#DIV/0!</v>
      </c>
      <c r="E507" s="22" t="str">
        <f t="shared" si="3"/>
        <v/>
      </c>
      <c r="F507" s="22" t="str">
        <f t="shared" si="6"/>
        <v>#DIV/0!</v>
      </c>
      <c r="H507" s="22" t="str">
        <f t="shared" si="4"/>
        <v/>
      </c>
      <c r="I507" s="22" t="str">
        <f t="shared" si="1"/>
        <v>#N/A</v>
      </c>
      <c r="J507" s="22" t="str">
        <f t="shared" si="2"/>
        <v>#N/A</v>
      </c>
      <c r="K507" s="22" t="str">
        <f t="array" ref="K507">IF(H507="Crash",MATCH(TRUE, B508:B605 &gt;= B506, 0),"")</f>
        <v/>
      </c>
    </row>
    <row r="508" ht="15.75" customHeight="1">
      <c r="A508" s="31" t="str">
        <f>'EQUITY BACKTEST'!A511</f>
        <v/>
      </c>
      <c r="B508" s="22" t="str">
        <f>'EQUITY BACKTEST'!B511</f>
        <v/>
      </c>
      <c r="C508" s="22" t="str">
        <f>1/'EQUITY BACKTEST'!E511</f>
        <v>#DIV/0!</v>
      </c>
      <c r="D508" s="22" t="str">
        <f t="shared" si="5"/>
        <v>#DIV/0!</v>
      </c>
      <c r="E508" s="22" t="str">
        <f t="shared" si="3"/>
        <v/>
      </c>
      <c r="F508" s="22" t="str">
        <f t="shared" si="6"/>
        <v>#DIV/0!</v>
      </c>
      <c r="H508" s="22" t="str">
        <f t="shared" si="4"/>
        <v/>
      </c>
      <c r="I508" s="22" t="str">
        <f t="shared" si="1"/>
        <v>#N/A</v>
      </c>
      <c r="J508" s="22" t="str">
        <f t="shared" si="2"/>
        <v>#N/A</v>
      </c>
      <c r="K508" s="22" t="str">
        <f t="array" ref="K508">IF(H508="Crash",MATCH(TRUE, B509:B606 &gt;= B507, 0),"")</f>
        <v/>
      </c>
    </row>
    <row r="509" ht="15.75" customHeight="1">
      <c r="A509" s="31" t="str">
        <f>'EQUITY BACKTEST'!A512</f>
        <v/>
      </c>
      <c r="B509" s="22" t="str">
        <f>'EQUITY BACKTEST'!B512</f>
        <v/>
      </c>
      <c r="C509" s="22" t="str">
        <f>1/'EQUITY BACKTEST'!E512</f>
        <v>#DIV/0!</v>
      </c>
      <c r="D509" s="22" t="str">
        <f t="shared" si="5"/>
        <v>#DIV/0!</v>
      </c>
      <c r="E509" s="22" t="str">
        <f t="shared" si="3"/>
        <v/>
      </c>
      <c r="F509" s="22" t="str">
        <f t="shared" si="6"/>
        <v>#DIV/0!</v>
      </c>
      <c r="H509" s="22" t="str">
        <f t="shared" si="4"/>
        <v/>
      </c>
      <c r="I509" s="22" t="str">
        <f t="shared" si="1"/>
        <v>#N/A</v>
      </c>
      <c r="J509" s="22" t="str">
        <f t="shared" si="2"/>
        <v>#N/A</v>
      </c>
      <c r="K509" s="22" t="str">
        <f t="array" ref="K509">IF(H509="Crash",MATCH(TRUE, B510:B607 &gt;= B508, 0),"")</f>
        <v/>
      </c>
    </row>
    <row r="510" ht="15.75" customHeight="1">
      <c r="A510" s="31" t="str">
        <f>'EQUITY BACKTEST'!A513</f>
        <v/>
      </c>
      <c r="B510" s="22" t="str">
        <f>'EQUITY BACKTEST'!B513</f>
        <v/>
      </c>
      <c r="C510" s="22" t="str">
        <f>1/'EQUITY BACKTEST'!E513</f>
        <v>#DIV/0!</v>
      </c>
      <c r="D510" s="22" t="str">
        <f t="shared" si="5"/>
        <v>#DIV/0!</v>
      </c>
      <c r="E510" s="22" t="str">
        <f t="shared" si="3"/>
        <v/>
      </c>
      <c r="F510" s="22" t="str">
        <f t="shared" si="6"/>
        <v>#DIV/0!</v>
      </c>
      <c r="H510" s="22" t="str">
        <f t="shared" si="4"/>
        <v/>
      </c>
      <c r="I510" s="22" t="str">
        <f t="shared" si="1"/>
        <v>#N/A</v>
      </c>
      <c r="J510" s="22" t="str">
        <f t="shared" si="2"/>
        <v>#N/A</v>
      </c>
      <c r="K510" s="22" t="str">
        <f t="array" ref="K510">IF(H510="Crash",MATCH(TRUE, B511:B608 &gt;= B509, 0),"")</f>
        <v/>
      </c>
    </row>
    <row r="511" ht="15.75" customHeight="1">
      <c r="A511" s="31" t="str">
        <f>'EQUITY BACKTEST'!A514</f>
        <v/>
      </c>
      <c r="B511" s="22" t="str">
        <f>'EQUITY BACKTEST'!B514</f>
        <v/>
      </c>
      <c r="C511" s="22" t="str">
        <f>1/'EQUITY BACKTEST'!E514</f>
        <v>#DIV/0!</v>
      </c>
      <c r="D511" s="22" t="str">
        <f t="shared" si="5"/>
        <v>#DIV/0!</v>
      </c>
      <c r="E511" s="22" t="str">
        <f t="shared" si="3"/>
        <v/>
      </c>
      <c r="F511" s="22" t="str">
        <f t="shared" si="6"/>
        <v>#DIV/0!</v>
      </c>
      <c r="H511" s="22" t="str">
        <f t="shared" si="4"/>
        <v/>
      </c>
      <c r="I511" s="22" t="str">
        <f t="shared" si="1"/>
        <v>#N/A</v>
      </c>
      <c r="J511" s="22" t="str">
        <f t="shared" si="2"/>
        <v>#N/A</v>
      </c>
      <c r="K511" s="22" t="str">
        <f t="array" ref="K511">IF(H511="Crash",MATCH(TRUE, B512:B609 &gt;= B510, 0),"")</f>
        <v/>
      </c>
    </row>
    <row r="512" ht="15.75" customHeight="1">
      <c r="A512" s="31" t="str">
        <f>'EQUITY BACKTEST'!A515</f>
        <v/>
      </c>
      <c r="B512" s="22" t="str">
        <f>'EQUITY BACKTEST'!B515</f>
        <v/>
      </c>
      <c r="C512" s="22" t="str">
        <f>1/'EQUITY BACKTEST'!E515</f>
        <v>#DIV/0!</v>
      </c>
      <c r="D512" s="22" t="str">
        <f t="shared" si="5"/>
        <v>#DIV/0!</v>
      </c>
      <c r="E512" s="22" t="str">
        <f t="shared" si="3"/>
        <v/>
      </c>
      <c r="F512" s="22" t="str">
        <f t="shared" si="6"/>
        <v>#DIV/0!</v>
      </c>
      <c r="H512" s="22" t="str">
        <f t="shared" si="4"/>
        <v/>
      </c>
      <c r="I512" s="22" t="str">
        <f t="shared" si="1"/>
        <v>#N/A</v>
      </c>
      <c r="J512" s="22" t="str">
        <f t="shared" si="2"/>
        <v>#N/A</v>
      </c>
      <c r="K512" s="22" t="str">
        <f t="array" ref="K512">IF(H512="Crash",MATCH(TRUE, B513:B610 &gt;= B511, 0),"")</f>
        <v/>
      </c>
    </row>
    <row r="513" ht="15.75" customHeight="1">
      <c r="A513" s="31" t="str">
        <f>'EQUITY BACKTEST'!A516</f>
        <v/>
      </c>
      <c r="B513" s="22" t="str">
        <f>'EQUITY BACKTEST'!B516</f>
        <v/>
      </c>
      <c r="C513" s="22" t="str">
        <f>1/'EQUITY BACKTEST'!E516</f>
        <v>#DIV/0!</v>
      </c>
      <c r="D513" s="22" t="str">
        <f t="shared" si="5"/>
        <v>#DIV/0!</v>
      </c>
      <c r="E513" s="22" t="str">
        <f t="shared" si="3"/>
        <v/>
      </c>
      <c r="F513" s="22" t="str">
        <f t="shared" si="6"/>
        <v>#DIV/0!</v>
      </c>
      <c r="H513" s="22" t="str">
        <f t="shared" si="4"/>
        <v/>
      </c>
      <c r="I513" s="22" t="str">
        <f t="shared" si="1"/>
        <v>#N/A</v>
      </c>
      <c r="J513" s="22" t="str">
        <f t="shared" si="2"/>
        <v>#N/A</v>
      </c>
      <c r="K513" s="22" t="str">
        <f t="array" ref="K513">IF(H513="Crash",MATCH(TRUE, B514:B611 &gt;= B512, 0),"")</f>
        <v/>
      </c>
    </row>
    <row r="514" ht="15.75" customHeight="1">
      <c r="A514" s="31" t="str">
        <f>'EQUITY BACKTEST'!A517</f>
        <v/>
      </c>
      <c r="B514" s="22" t="str">
        <f>'EQUITY BACKTEST'!B517</f>
        <v/>
      </c>
      <c r="C514" s="22" t="str">
        <f>1/'EQUITY BACKTEST'!E517</f>
        <v>#DIV/0!</v>
      </c>
      <c r="D514" s="22" t="str">
        <f t="shared" si="5"/>
        <v>#DIV/0!</v>
      </c>
      <c r="E514" s="22" t="str">
        <f t="shared" si="3"/>
        <v/>
      </c>
      <c r="F514" s="22" t="str">
        <f t="shared" si="6"/>
        <v>#DIV/0!</v>
      </c>
      <c r="H514" s="22" t="str">
        <f t="shared" si="4"/>
        <v/>
      </c>
      <c r="I514" s="22" t="str">
        <f t="shared" si="1"/>
        <v>#N/A</v>
      </c>
      <c r="J514" s="22" t="str">
        <f t="shared" si="2"/>
        <v>#N/A</v>
      </c>
      <c r="K514" s="22" t="str">
        <f t="array" ref="K514">IF(H514="Crash",MATCH(TRUE, B515:B612 &gt;= B513, 0),"")</f>
        <v/>
      </c>
    </row>
    <row r="515" ht="15.75" customHeight="1">
      <c r="A515" s="31" t="str">
        <f>'EQUITY BACKTEST'!A518</f>
        <v/>
      </c>
      <c r="B515" s="22" t="str">
        <f>'EQUITY BACKTEST'!B518</f>
        <v/>
      </c>
      <c r="C515" s="22" t="str">
        <f>1/'EQUITY BACKTEST'!E518</f>
        <v>#DIV/0!</v>
      </c>
      <c r="D515" s="22" t="str">
        <f t="shared" si="5"/>
        <v>#DIV/0!</v>
      </c>
      <c r="E515" s="22" t="str">
        <f t="shared" si="3"/>
        <v/>
      </c>
      <c r="F515" s="22" t="str">
        <f t="shared" si="6"/>
        <v>#DIV/0!</v>
      </c>
      <c r="H515" s="22" t="str">
        <f t="shared" si="4"/>
        <v/>
      </c>
      <c r="I515" s="22" t="str">
        <f t="shared" si="1"/>
        <v>#N/A</v>
      </c>
      <c r="J515" s="22" t="str">
        <f t="shared" si="2"/>
        <v>#N/A</v>
      </c>
      <c r="K515" s="22" t="str">
        <f t="array" ref="K515">IF(H515="Crash",MATCH(TRUE, B516:B613 &gt;= B514, 0),"")</f>
        <v/>
      </c>
    </row>
    <row r="516" ht="15.75" customHeight="1">
      <c r="A516" s="31" t="str">
        <f>'EQUITY BACKTEST'!A519</f>
        <v/>
      </c>
      <c r="B516" s="22" t="str">
        <f>'EQUITY BACKTEST'!B519</f>
        <v/>
      </c>
      <c r="C516" s="22" t="str">
        <f>1/'EQUITY BACKTEST'!E519</f>
        <v>#DIV/0!</v>
      </c>
      <c r="D516" s="22" t="str">
        <f t="shared" si="5"/>
        <v>#DIV/0!</v>
      </c>
      <c r="E516" s="22" t="str">
        <f t="shared" si="3"/>
        <v/>
      </c>
      <c r="F516" s="22" t="str">
        <f t="shared" si="6"/>
        <v>#DIV/0!</v>
      </c>
      <c r="H516" s="22" t="str">
        <f t="shared" si="4"/>
        <v/>
      </c>
      <c r="I516" s="22" t="str">
        <f t="shared" si="1"/>
        <v>#N/A</v>
      </c>
      <c r="J516" s="22" t="str">
        <f t="shared" si="2"/>
        <v>#N/A</v>
      </c>
      <c r="K516" s="22" t="str">
        <f t="array" ref="K516">IF(H516="Crash",MATCH(TRUE, B517:B614 &gt;= B515, 0),"")</f>
        <v/>
      </c>
    </row>
    <row r="517" ht="15.75" customHeight="1">
      <c r="A517" s="31" t="str">
        <f>'EQUITY BACKTEST'!A520</f>
        <v/>
      </c>
      <c r="B517" s="22" t="str">
        <f>'EQUITY BACKTEST'!B520</f>
        <v/>
      </c>
      <c r="C517" s="22" t="str">
        <f>1/'EQUITY BACKTEST'!E520</f>
        <v>#DIV/0!</v>
      </c>
      <c r="D517" s="22" t="str">
        <f t="shared" si="5"/>
        <v>#DIV/0!</v>
      </c>
      <c r="E517" s="22" t="str">
        <f t="shared" si="3"/>
        <v/>
      </c>
      <c r="F517" s="22" t="str">
        <f t="shared" si="6"/>
        <v>#DIV/0!</v>
      </c>
      <c r="H517" s="22" t="str">
        <f t="shared" si="4"/>
        <v/>
      </c>
      <c r="I517" s="22" t="str">
        <f t="shared" si="1"/>
        <v>#N/A</v>
      </c>
      <c r="J517" s="22" t="str">
        <f t="shared" si="2"/>
        <v>#N/A</v>
      </c>
      <c r="K517" s="22" t="str">
        <f t="array" ref="K517">IF(H517="Crash",MATCH(TRUE, B518:B615 &gt;= B516, 0),"")</f>
        <v/>
      </c>
    </row>
    <row r="518" ht="15.75" customHeight="1">
      <c r="A518" s="31" t="str">
        <f>'EQUITY BACKTEST'!A521</f>
        <v/>
      </c>
      <c r="B518" s="22" t="str">
        <f>'EQUITY BACKTEST'!B521</f>
        <v/>
      </c>
      <c r="C518" s="22" t="str">
        <f>1/'EQUITY BACKTEST'!E521</f>
        <v>#DIV/0!</v>
      </c>
      <c r="D518" s="22" t="str">
        <f t="shared" si="5"/>
        <v>#DIV/0!</v>
      </c>
      <c r="E518" s="22" t="str">
        <f t="shared" si="3"/>
        <v/>
      </c>
      <c r="F518" s="22" t="str">
        <f t="shared" si="6"/>
        <v>#DIV/0!</v>
      </c>
      <c r="H518" s="22" t="str">
        <f t="shared" si="4"/>
        <v/>
      </c>
      <c r="I518" s="22" t="str">
        <f t="shared" si="1"/>
        <v>#N/A</v>
      </c>
      <c r="J518" s="22" t="str">
        <f t="shared" si="2"/>
        <v>#N/A</v>
      </c>
      <c r="K518" s="22" t="str">
        <f t="array" ref="K518">IF(H518="Crash",MATCH(TRUE, B519:B616 &gt;= B517, 0),"")</f>
        <v/>
      </c>
    </row>
    <row r="519" ht="15.75" customHeight="1">
      <c r="A519" s="31" t="str">
        <f>'EQUITY BACKTEST'!A522</f>
        <v/>
      </c>
      <c r="B519" s="22" t="str">
        <f>'EQUITY BACKTEST'!B522</f>
        <v/>
      </c>
      <c r="C519" s="22" t="str">
        <f>1/'EQUITY BACKTEST'!E522</f>
        <v>#DIV/0!</v>
      </c>
      <c r="D519" s="22" t="str">
        <f t="shared" si="5"/>
        <v>#DIV/0!</v>
      </c>
      <c r="E519" s="22" t="str">
        <f t="shared" si="3"/>
        <v/>
      </c>
      <c r="F519" s="22" t="str">
        <f t="shared" si="6"/>
        <v>#DIV/0!</v>
      </c>
      <c r="H519" s="22" t="str">
        <f t="shared" si="4"/>
        <v/>
      </c>
      <c r="I519" s="22" t="str">
        <f t="shared" si="1"/>
        <v>#N/A</v>
      </c>
      <c r="J519" s="22" t="str">
        <f t="shared" si="2"/>
        <v>#N/A</v>
      </c>
      <c r="K519" s="22" t="str">
        <f t="array" ref="K519">IF(H519="Crash",MATCH(TRUE, B520:B617 &gt;= B518, 0),"")</f>
        <v/>
      </c>
    </row>
    <row r="520" ht="15.75" customHeight="1">
      <c r="A520" s="31" t="str">
        <f>'EQUITY BACKTEST'!A523</f>
        <v/>
      </c>
      <c r="B520" s="22" t="str">
        <f>'EQUITY BACKTEST'!B523</f>
        <v/>
      </c>
      <c r="C520" s="22" t="str">
        <f>1/'EQUITY BACKTEST'!E523</f>
        <v>#DIV/0!</v>
      </c>
      <c r="D520" s="22" t="str">
        <f t="shared" si="5"/>
        <v>#DIV/0!</v>
      </c>
      <c r="E520" s="22" t="str">
        <f t="shared" si="3"/>
        <v/>
      </c>
      <c r="F520" s="22" t="str">
        <f t="shared" si="6"/>
        <v>#DIV/0!</v>
      </c>
      <c r="H520" s="22" t="str">
        <f t="shared" si="4"/>
        <v/>
      </c>
      <c r="I520" s="22" t="str">
        <f t="shared" si="1"/>
        <v>#N/A</v>
      </c>
      <c r="J520" s="22" t="str">
        <f t="shared" si="2"/>
        <v>#N/A</v>
      </c>
      <c r="K520" s="22" t="str">
        <f t="array" ref="K520">IF(H520="Crash",MATCH(TRUE, B521:B618 &gt;= B519, 0),"")</f>
        <v/>
      </c>
    </row>
    <row r="521" ht="15.75" customHeight="1">
      <c r="A521" s="31" t="str">
        <f>'EQUITY BACKTEST'!A524</f>
        <v/>
      </c>
      <c r="B521" s="22" t="str">
        <f>'EQUITY BACKTEST'!B524</f>
        <v/>
      </c>
      <c r="C521" s="22" t="str">
        <f>1/'EQUITY BACKTEST'!E524</f>
        <v>#DIV/0!</v>
      </c>
      <c r="D521" s="22" t="str">
        <f t="shared" si="5"/>
        <v>#DIV/0!</v>
      </c>
      <c r="E521" s="22" t="str">
        <f t="shared" si="3"/>
        <v/>
      </c>
      <c r="F521" s="22" t="str">
        <f t="shared" si="6"/>
        <v>#DIV/0!</v>
      </c>
      <c r="H521" s="22" t="str">
        <f t="shared" si="4"/>
        <v/>
      </c>
      <c r="I521" s="22" t="str">
        <f t="shared" si="1"/>
        <v>#N/A</v>
      </c>
      <c r="J521" s="22" t="str">
        <f t="shared" si="2"/>
        <v>#N/A</v>
      </c>
      <c r="K521" s="22" t="str">
        <f t="array" ref="K521">IF(H521="Crash",MATCH(TRUE, B522:B619 &gt;= B520, 0),"")</f>
        <v/>
      </c>
    </row>
    <row r="522" ht="15.75" customHeight="1">
      <c r="A522" s="31" t="str">
        <f>'EQUITY BACKTEST'!A525</f>
        <v/>
      </c>
      <c r="B522" s="22" t="str">
        <f>'EQUITY BACKTEST'!B525</f>
        <v/>
      </c>
      <c r="C522" s="22" t="str">
        <f>1/'EQUITY BACKTEST'!E525</f>
        <v>#DIV/0!</v>
      </c>
      <c r="D522" s="22" t="str">
        <f t="shared" si="5"/>
        <v>#DIV/0!</v>
      </c>
      <c r="E522" s="22" t="str">
        <f t="shared" si="3"/>
        <v/>
      </c>
      <c r="F522" s="22" t="str">
        <f t="shared" si="6"/>
        <v>#DIV/0!</v>
      </c>
      <c r="H522" s="22" t="str">
        <f t="shared" si="4"/>
        <v/>
      </c>
      <c r="I522" s="22" t="str">
        <f t="shared" si="1"/>
        <v>#N/A</v>
      </c>
      <c r="J522" s="22" t="str">
        <f t="shared" si="2"/>
        <v>#N/A</v>
      </c>
      <c r="K522" s="22" t="str">
        <f t="array" ref="K522">IF(H522="Crash",MATCH(TRUE, B523:B620 &gt;= B521, 0),"")</f>
        <v/>
      </c>
    </row>
    <row r="523" ht="15.75" customHeight="1">
      <c r="A523" s="31" t="str">
        <f>'EQUITY BACKTEST'!A526</f>
        <v/>
      </c>
      <c r="B523" s="22" t="str">
        <f>'EQUITY BACKTEST'!B526</f>
        <v/>
      </c>
      <c r="C523" s="22" t="str">
        <f>1/'EQUITY BACKTEST'!E526</f>
        <v>#DIV/0!</v>
      </c>
      <c r="D523" s="22" t="str">
        <f t="shared" si="5"/>
        <v>#DIV/0!</v>
      </c>
      <c r="E523" s="22" t="str">
        <f t="shared" si="3"/>
        <v/>
      </c>
      <c r="F523" s="22" t="str">
        <f t="shared" si="6"/>
        <v>#DIV/0!</v>
      </c>
      <c r="H523" s="22" t="str">
        <f t="shared" si="4"/>
        <v/>
      </c>
      <c r="I523" s="22" t="str">
        <f t="shared" si="1"/>
        <v>#N/A</v>
      </c>
      <c r="J523" s="22" t="str">
        <f t="shared" si="2"/>
        <v>#N/A</v>
      </c>
      <c r="K523" s="22" t="str">
        <f t="array" ref="K523">IF(H523="Crash",MATCH(TRUE, B524:B621 &gt;= B522, 0),"")</f>
        <v/>
      </c>
    </row>
    <row r="524" ht="15.75" customHeight="1">
      <c r="A524" s="31" t="str">
        <f>'EQUITY BACKTEST'!A527</f>
        <v/>
      </c>
      <c r="B524" s="22" t="str">
        <f>'EQUITY BACKTEST'!B527</f>
        <v/>
      </c>
      <c r="C524" s="22" t="str">
        <f>1/'EQUITY BACKTEST'!E527</f>
        <v>#DIV/0!</v>
      </c>
      <c r="D524" s="22" t="str">
        <f t="shared" si="5"/>
        <v>#DIV/0!</v>
      </c>
      <c r="E524" s="22" t="str">
        <f t="shared" si="3"/>
        <v/>
      </c>
      <c r="F524" s="22" t="str">
        <f t="shared" si="6"/>
        <v>#DIV/0!</v>
      </c>
      <c r="H524" s="22" t="str">
        <f t="shared" si="4"/>
        <v/>
      </c>
      <c r="I524" s="22" t="str">
        <f t="shared" si="1"/>
        <v>#N/A</v>
      </c>
      <c r="J524" s="22" t="str">
        <f t="shared" si="2"/>
        <v>#N/A</v>
      </c>
      <c r="K524" s="22" t="str">
        <f t="array" ref="K524">IF(H524="Crash",MATCH(TRUE, B525:B622 &gt;= B523, 0),"")</f>
        <v/>
      </c>
    </row>
    <row r="525" ht="15.75" customHeight="1">
      <c r="A525" s="31" t="str">
        <f>'EQUITY BACKTEST'!A528</f>
        <v/>
      </c>
      <c r="B525" s="22" t="str">
        <f>'EQUITY BACKTEST'!B528</f>
        <v/>
      </c>
      <c r="C525" s="22" t="str">
        <f>1/'EQUITY BACKTEST'!E528</f>
        <v>#DIV/0!</v>
      </c>
      <c r="D525" s="22" t="str">
        <f t="shared" si="5"/>
        <v>#DIV/0!</v>
      </c>
      <c r="E525" s="22" t="str">
        <f t="shared" si="3"/>
        <v/>
      </c>
      <c r="F525" s="22" t="str">
        <f t="shared" si="6"/>
        <v>#DIV/0!</v>
      </c>
      <c r="H525" s="22" t="str">
        <f t="shared" si="4"/>
        <v/>
      </c>
      <c r="I525" s="22" t="str">
        <f t="shared" si="1"/>
        <v>#N/A</v>
      </c>
      <c r="J525" s="22" t="str">
        <f t="shared" si="2"/>
        <v>#N/A</v>
      </c>
      <c r="K525" s="22" t="str">
        <f t="array" ref="K525">IF(H525="Crash",MATCH(TRUE, B526:B623 &gt;= B524, 0),"")</f>
        <v/>
      </c>
    </row>
    <row r="526" ht="15.75" customHeight="1">
      <c r="A526" s="31" t="str">
        <f>'EQUITY BACKTEST'!A529</f>
        <v/>
      </c>
      <c r="B526" s="22" t="str">
        <f>'EQUITY BACKTEST'!B529</f>
        <v/>
      </c>
      <c r="C526" s="22" t="str">
        <f>1/'EQUITY BACKTEST'!E529</f>
        <v>#DIV/0!</v>
      </c>
      <c r="D526" s="22" t="str">
        <f t="shared" si="5"/>
        <v>#DIV/0!</v>
      </c>
      <c r="E526" s="22" t="str">
        <f t="shared" si="3"/>
        <v/>
      </c>
      <c r="F526" s="22" t="str">
        <f t="shared" si="6"/>
        <v>#DIV/0!</v>
      </c>
      <c r="H526" s="22" t="str">
        <f t="shared" si="4"/>
        <v/>
      </c>
      <c r="I526" s="22" t="str">
        <f t="shared" si="1"/>
        <v>#N/A</v>
      </c>
      <c r="J526" s="22" t="str">
        <f t="shared" si="2"/>
        <v>#N/A</v>
      </c>
      <c r="K526" s="22" t="str">
        <f t="array" ref="K526">IF(H526="Crash",MATCH(TRUE, B527:B624 &gt;= B525, 0),"")</f>
        <v/>
      </c>
    </row>
    <row r="527" ht="15.75" customHeight="1">
      <c r="A527" s="31" t="str">
        <f>'EQUITY BACKTEST'!A530</f>
        <v/>
      </c>
      <c r="B527" s="22" t="str">
        <f>'EQUITY BACKTEST'!B530</f>
        <v/>
      </c>
      <c r="C527" s="22" t="str">
        <f>1/'EQUITY BACKTEST'!E530</f>
        <v>#DIV/0!</v>
      </c>
      <c r="D527" s="22" t="str">
        <f t="shared" si="5"/>
        <v>#DIV/0!</v>
      </c>
      <c r="E527" s="22" t="str">
        <f t="shared" si="3"/>
        <v/>
      </c>
      <c r="F527" s="22" t="str">
        <f t="shared" si="6"/>
        <v>#DIV/0!</v>
      </c>
      <c r="H527" s="22" t="str">
        <f t="shared" si="4"/>
        <v/>
      </c>
      <c r="I527" s="22" t="str">
        <f t="shared" si="1"/>
        <v>#N/A</v>
      </c>
      <c r="J527" s="22" t="str">
        <f t="shared" si="2"/>
        <v>#N/A</v>
      </c>
      <c r="K527" s="22" t="str">
        <f t="array" ref="K527">IF(H527="Crash",MATCH(TRUE, B528:B625 &gt;= B526, 0),"")</f>
        <v/>
      </c>
    </row>
    <row r="528" ht="15.75" customHeight="1">
      <c r="A528" s="31" t="str">
        <f>'EQUITY BACKTEST'!A531</f>
        <v/>
      </c>
      <c r="B528" s="22" t="str">
        <f>'EQUITY BACKTEST'!B531</f>
        <v/>
      </c>
      <c r="C528" s="22" t="str">
        <f>1/'EQUITY BACKTEST'!E531</f>
        <v>#DIV/0!</v>
      </c>
      <c r="D528" s="22" t="str">
        <f t="shared" si="5"/>
        <v>#DIV/0!</v>
      </c>
      <c r="E528" s="22" t="str">
        <f t="shared" si="3"/>
        <v/>
      </c>
      <c r="F528" s="22" t="str">
        <f t="shared" si="6"/>
        <v>#DIV/0!</v>
      </c>
      <c r="H528" s="22" t="str">
        <f t="shared" si="4"/>
        <v/>
      </c>
      <c r="I528" s="22" t="str">
        <f t="shared" si="1"/>
        <v>#N/A</v>
      </c>
      <c r="J528" s="22" t="str">
        <f t="shared" si="2"/>
        <v>#N/A</v>
      </c>
      <c r="K528" s="22" t="str">
        <f t="array" ref="K528">IF(H528="Crash",MATCH(TRUE, B529:B626 &gt;= B527, 0),"")</f>
        <v/>
      </c>
    </row>
    <row r="529" ht="15.75" customHeight="1">
      <c r="A529" s="31" t="str">
        <f>'EQUITY BACKTEST'!A532</f>
        <v/>
      </c>
      <c r="B529" s="22" t="str">
        <f>'EQUITY BACKTEST'!B532</f>
        <v/>
      </c>
      <c r="C529" s="22" t="str">
        <f>1/'EQUITY BACKTEST'!E532</f>
        <v>#DIV/0!</v>
      </c>
      <c r="D529" s="22" t="str">
        <f t="shared" si="5"/>
        <v>#DIV/0!</v>
      </c>
      <c r="E529" s="22" t="str">
        <f t="shared" si="3"/>
        <v/>
      </c>
      <c r="F529" s="22" t="str">
        <f t="shared" si="6"/>
        <v>#DIV/0!</v>
      </c>
      <c r="H529" s="22" t="str">
        <f t="shared" si="4"/>
        <v/>
      </c>
      <c r="I529" s="22" t="str">
        <f t="shared" si="1"/>
        <v>#N/A</v>
      </c>
      <c r="J529" s="22" t="str">
        <f t="shared" si="2"/>
        <v>#N/A</v>
      </c>
      <c r="K529" s="22" t="str">
        <f t="array" ref="K529">IF(H529="Crash",MATCH(TRUE, B530:B627 &gt;= B528, 0),"")</f>
        <v/>
      </c>
    </row>
    <row r="530" ht="15.75" customHeight="1">
      <c r="A530" s="31" t="str">
        <f>'EQUITY BACKTEST'!A533</f>
        <v/>
      </c>
      <c r="B530" s="22" t="str">
        <f>'EQUITY BACKTEST'!B533</f>
        <v/>
      </c>
      <c r="C530" s="22" t="str">
        <f>1/'EQUITY BACKTEST'!E533</f>
        <v>#DIV/0!</v>
      </c>
      <c r="D530" s="22" t="str">
        <f t="shared" si="5"/>
        <v>#DIV/0!</v>
      </c>
      <c r="E530" s="22" t="str">
        <f t="shared" si="3"/>
        <v/>
      </c>
      <c r="F530" s="22" t="str">
        <f t="shared" si="6"/>
        <v>#DIV/0!</v>
      </c>
      <c r="H530" s="22" t="str">
        <f t="shared" si="4"/>
        <v/>
      </c>
      <c r="I530" s="22" t="str">
        <f t="shared" si="1"/>
        <v>#N/A</v>
      </c>
      <c r="J530" s="22" t="str">
        <f t="shared" si="2"/>
        <v>#N/A</v>
      </c>
      <c r="K530" s="22" t="str">
        <f t="array" ref="K530">IF(H530="Crash",MATCH(TRUE, B531:B628 &gt;= B529, 0),"")</f>
        <v/>
      </c>
    </row>
    <row r="531" ht="15.75" customHeight="1">
      <c r="A531" s="31" t="str">
        <f>'EQUITY BACKTEST'!A534</f>
        <v/>
      </c>
      <c r="B531" s="22" t="str">
        <f>'EQUITY BACKTEST'!B534</f>
        <v/>
      </c>
      <c r="C531" s="22" t="str">
        <f>1/'EQUITY BACKTEST'!E534</f>
        <v>#DIV/0!</v>
      </c>
      <c r="D531" s="22" t="str">
        <f t="shared" si="5"/>
        <v>#DIV/0!</v>
      </c>
      <c r="E531" s="22" t="str">
        <f t="shared" si="3"/>
        <v/>
      </c>
      <c r="F531" s="22" t="str">
        <f t="shared" si="6"/>
        <v>#DIV/0!</v>
      </c>
      <c r="H531" s="22" t="str">
        <f t="shared" si="4"/>
        <v/>
      </c>
      <c r="I531" s="22" t="str">
        <f t="shared" si="1"/>
        <v>#N/A</v>
      </c>
      <c r="J531" s="22" t="str">
        <f t="shared" si="2"/>
        <v>#N/A</v>
      </c>
      <c r="K531" s="22" t="str">
        <f t="array" ref="K531">IF(H531="Crash",MATCH(TRUE, B532:B629 &gt;= B530, 0),"")</f>
        <v/>
      </c>
    </row>
    <row r="532" ht="15.75" customHeight="1">
      <c r="A532" s="31" t="str">
        <f>'EQUITY BACKTEST'!A535</f>
        <v/>
      </c>
      <c r="B532" s="22" t="str">
        <f>'EQUITY BACKTEST'!B535</f>
        <v/>
      </c>
      <c r="C532" s="22" t="str">
        <f>1/'EQUITY BACKTEST'!E535</f>
        <v>#DIV/0!</v>
      </c>
      <c r="D532" s="22" t="str">
        <f t="shared" si="5"/>
        <v>#DIV/0!</v>
      </c>
      <c r="E532" s="22" t="str">
        <f t="shared" si="3"/>
        <v/>
      </c>
      <c r="F532" s="22" t="str">
        <f t="shared" si="6"/>
        <v>#DIV/0!</v>
      </c>
      <c r="H532" s="22" t="str">
        <f t="shared" si="4"/>
        <v/>
      </c>
      <c r="I532" s="22" t="str">
        <f t="shared" si="1"/>
        <v>#N/A</v>
      </c>
      <c r="J532" s="22" t="str">
        <f t="shared" si="2"/>
        <v>#N/A</v>
      </c>
      <c r="K532" s="22" t="str">
        <f t="array" ref="K532">IF(H532="Crash",MATCH(TRUE, B533:B630 &gt;= B531, 0),"")</f>
        <v/>
      </c>
    </row>
    <row r="533" ht="15.75" customHeight="1">
      <c r="A533" s="31" t="str">
        <f>'EQUITY BACKTEST'!A536</f>
        <v/>
      </c>
      <c r="B533" s="22" t="str">
        <f>'EQUITY BACKTEST'!B536</f>
        <v/>
      </c>
      <c r="C533" s="22" t="str">
        <f>1/'EQUITY BACKTEST'!E536</f>
        <v>#DIV/0!</v>
      </c>
      <c r="D533" s="22" t="str">
        <f t="shared" si="5"/>
        <v>#DIV/0!</v>
      </c>
      <c r="E533" s="22" t="str">
        <f t="shared" si="3"/>
        <v/>
      </c>
      <c r="F533" s="22" t="str">
        <f t="shared" si="6"/>
        <v>#DIV/0!</v>
      </c>
      <c r="H533" s="22" t="str">
        <f t="shared" si="4"/>
        <v/>
      </c>
      <c r="I533" s="22" t="str">
        <f t="shared" si="1"/>
        <v>#N/A</v>
      </c>
      <c r="J533" s="22" t="str">
        <f t="shared" si="2"/>
        <v>#N/A</v>
      </c>
      <c r="K533" s="22" t="str">
        <f t="array" ref="K533">IF(H533="Crash",MATCH(TRUE, B534:B631 &gt;= B532, 0),"")</f>
        <v/>
      </c>
    </row>
    <row r="534" ht="15.75" customHeight="1">
      <c r="A534" s="31" t="str">
        <f>'EQUITY BACKTEST'!A537</f>
        <v/>
      </c>
      <c r="B534" s="22" t="str">
        <f>'EQUITY BACKTEST'!B537</f>
        <v/>
      </c>
      <c r="C534" s="22" t="str">
        <f>1/'EQUITY BACKTEST'!E537</f>
        <v>#DIV/0!</v>
      </c>
      <c r="D534" s="22" t="str">
        <f t="shared" si="5"/>
        <v>#DIV/0!</v>
      </c>
      <c r="E534" s="22" t="str">
        <f t="shared" si="3"/>
        <v/>
      </c>
      <c r="F534" s="22" t="str">
        <f t="shared" si="6"/>
        <v>#DIV/0!</v>
      </c>
      <c r="H534" s="22" t="str">
        <f t="shared" si="4"/>
        <v/>
      </c>
      <c r="I534" s="22" t="str">
        <f t="shared" si="1"/>
        <v>#N/A</v>
      </c>
      <c r="J534" s="22" t="str">
        <f t="shared" si="2"/>
        <v>#N/A</v>
      </c>
      <c r="K534" s="22" t="str">
        <f t="array" ref="K534">IF(H534="Crash",MATCH(TRUE, B535:B632 &gt;= B533, 0),"")</f>
        <v/>
      </c>
    </row>
    <row r="535" ht="15.75" customHeight="1">
      <c r="A535" s="31" t="str">
        <f>'EQUITY BACKTEST'!A538</f>
        <v/>
      </c>
      <c r="B535" s="22" t="str">
        <f>'EQUITY BACKTEST'!B538</f>
        <v/>
      </c>
      <c r="C535" s="22" t="str">
        <f>1/'EQUITY BACKTEST'!E538</f>
        <v>#DIV/0!</v>
      </c>
      <c r="D535" s="22" t="str">
        <f t="shared" si="5"/>
        <v>#DIV/0!</v>
      </c>
      <c r="E535" s="22" t="str">
        <f t="shared" si="3"/>
        <v/>
      </c>
      <c r="F535" s="22" t="str">
        <f t="shared" si="6"/>
        <v>#DIV/0!</v>
      </c>
      <c r="H535" s="22" t="str">
        <f t="shared" si="4"/>
        <v/>
      </c>
      <c r="I535" s="22" t="str">
        <f t="shared" si="1"/>
        <v>#N/A</v>
      </c>
      <c r="J535" s="22" t="str">
        <f t="shared" si="2"/>
        <v>#N/A</v>
      </c>
      <c r="K535" s="22" t="str">
        <f t="array" ref="K535">IF(H535="Crash",MATCH(TRUE, B536:B633 &gt;= B534, 0),"")</f>
        <v/>
      </c>
      <c r="L535" s="22" t="str">
        <f>C534/C528-1</f>
        <v>#DIV/0!</v>
      </c>
    </row>
    <row r="536" ht="15.75" customHeight="1">
      <c r="A536" s="31" t="str">
        <f>'EQUITY BACKTEST'!A539</f>
        <v/>
      </c>
      <c r="B536" s="22" t="str">
        <f>'EQUITY BACKTEST'!B539</f>
        <v/>
      </c>
      <c r="C536" s="22" t="str">
        <f>1/'EQUITY BACKTEST'!E539</f>
        <v>#DIV/0!</v>
      </c>
      <c r="D536" s="22" t="str">
        <f t="shared" si="5"/>
        <v>#DIV/0!</v>
      </c>
      <c r="E536" s="22" t="str">
        <f t="shared" si="3"/>
        <v/>
      </c>
      <c r="F536" s="22" t="str">
        <f t="shared" si="6"/>
        <v>#DIV/0!</v>
      </c>
      <c r="H536" s="22" t="str">
        <f t="shared" si="4"/>
        <v/>
      </c>
      <c r="I536" s="22" t="str">
        <f t="shared" si="1"/>
        <v>#N/A</v>
      </c>
      <c r="J536" s="22" t="str">
        <f t="shared" si="2"/>
        <v>#N/A</v>
      </c>
      <c r="K536" s="22" t="str">
        <f t="array" ref="K536">IF(H536="Crash",MATCH(TRUE, B537:B634 &gt;= B535, 0),"")</f>
        <v/>
      </c>
    </row>
    <row r="537" ht="15.75" customHeight="1">
      <c r="A537" s="31" t="str">
        <f>'EQUITY BACKTEST'!A540</f>
        <v/>
      </c>
      <c r="B537" s="22" t="str">
        <f>'EQUITY BACKTEST'!B540</f>
        <v/>
      </c>
      <c r="C537" s="22" t="str">
        <f>1/'EQUITY BACKTEST'!E540</f>
        <v>#DIV/0!</v>
      </c>
      <c r="D537" s="22" t="str">
        <f t="shared" si="5"/>
        <v>#DIV/0!</v>
      </c>
      <c r="E537" s="22" t="str">
        <f t="shared" si="3"/>
        <v/>
      </c>
      <c r="F537" s="22" t="str">
        <f t="shared" si="6"/>
        <v>#DIV/0!</v>
      </c>
      <c r="H537" s="22" t="str">
        <f t="shared" si="4"/>
        <v/>
      </c>
      <c r="I537" s="22" t="str">
        <f t="shared" si="1"/>
        <v>#N/A</v>
      </c>
      <c r="J537" s="22" t="str">
        <f t="shared" si="2"/>
        <v>#N/A</v>
      </c>
      <c r="K537" s="22" t="str">
        <f t="array" ref="K537">IF(H537="Crash",MATCH(TRUE, B538:B635 &gt;= B536, 0),"")</f>
        <v/>
      </c>
    </row>
    <row r="538" ht="15.75" customHeight="1">
      <c r="A538" s="31" t="str">
        <f>'EQUITY BACKTEST'!A541</f>
        <v/>
      </c>
      <c r="B538" s="22" t="str">
        <f>'EQUITY BACKTEST'!B541</f>
        <v/>
      </c>
      <c r="C538" s="22" t="str">
        <f>1/'EQUITY BACKTEST'!E541</f>
        <v>#DIV/0!</v>
      </c>
      <c r="D538" s="22" t="str">
        <f t="shared" si="5"/>
        <v>#DIV/0!</v>
      </c>
      <c r="E538" s="22" t="str">
        <f t="shared" si="3"/>
        <v/>
      </c>
      <c r="F538" s="22" t="str">
        <f t="shared" si="6"/>
        <v>#DIV/0!</v>
      </c>
      <c r="H538" s="22" t="str">
        <f t="shared" si="4"/>
        <v/>
      </c>
      <c r="I538" s="22" t="str">
        <f t="shared" si="1"/>
        <v>#N/A</v>
      </c>
      <c r="J538" s="22" t="str">
        <f t="shared" si="2"/>
        <v>#N/A</v>
      </c>
      <c r="K538" s="22" t="str">
        <f t="array" ref="K538">IF(H538="Crash",MATCH(TRUE, B539:B636 &gt;= B537, 0),"")</f>
        <v/>
      </c>
    </row>
    <row r="539" ht="15.75" customHeight="1">
      <c r="A539" s="31" t="str">
        <f>'EQUITY BACKTEST'!A542</f>
        <v/>
      </c>
      <c r="B539" s="22" t="str">
        <f>'EQUITY BACKTEST'!B542</f>
        <v/>
      </c>
      <c r="C539" s="22" t="str">
        <f>1/'EQUITY BACKTEST'!E542</f>
        <v>#DIV/0!</v>
      </c>
      <c r="D539" s="22" t="str">
        <f t="shared" si="5"/>
        <v>#DIV/0!</v>
      </c>
      <c r="E539" s="22" t="str">
        <f t="shared" si="3"/>
        <v/>
      </c>
      <c r="F539" s="22" t="str">
        <f t="shared" si="6"/>
        <v>#DIV/0!</v>
      </c>
      <c r="H539" s="22" t="str">
        <f t="shared" si="4"/>
        <v/>
      </c>
      <c r="I539" s="22" t="str">
        <f t="shared" si="1"/>
        <v>#N/A</v>
      </c>
      <c r="J539" s="22" t="str">
        <f t="shared" si="2"/>
        <v>#N/A</v>
      </c>
      <c r="K539" s="22" t="str">
        <f t="array" ref="K539">IF(H539="Crash",MATCH(TRUE, B540:B637 &gt;= B538, 0),"")</f>
        <v/>
      </c>
    </row>
    <row r="540" ht="15.75" customHeight="1">
      <c r="A540" s="31" t="str">
        <f>'EQUITY BACKTEST'!A543</f>
        <v/>
      </c>
      <c r="B540" s="22" t="str">
        <f>'EQUITY BACKTEST'!B543</f>
        <v/>
      </c>
      <c r="C540" s="22" t="str">
        <f>1/'EQUITY BACKTEST'!E543</f>
        <v>#DIV/0!</v>
      </c>
      <c r="D540" s="22" t="str">
        <f t="shared" si="5"/>
        <v>#DIV/0!</v>
      </c>
      <c r="E540" s="22" t="str">
        <f t="shared" si="3"/>
        <v/>
      </c>
      <c r="F540" s="22" t="str">
        <f t="shared" si="6"/>
        <v>#DIV/0!</v>
      </c>
      <c r="H540" s="22" t="str">
        <f t="shared" si="4"/>
        <v/>
      </c>
      <c r="I540" s="22" t="str">
        <f t="shared" si="1"/>
        <v>#N/A</v>
      </c>
      <c r="J540" s="22" t="str">
        <f t="shared" si="2"/>
        <v>#N/A</v>
      </c>
      <c r="K540" s="22" t="str">
        <f t="array" ref="K540">IF(H540="Crash",MATCH(TRUE, B541:B638 &gt;= B539, 0),"")</f>
        <v/>
      </c>
    </row>
    <row r="541" ht="15.75" customHeight="1">
      <c r="A541" s="31" t="str">
        <f>'EQUITY BACKTEST'!A544</f>
        <v/>
      </c>
      <c r="B541" s="22" t="str">
        <f>'EQUITY BACKTEST'!B544</f>
        <v/>
      </c>
      <c r="C541" s="22" t="str">
        <f>1/'EQUITY BACKTEST'!E544</f>
        <v>#DIV/0!</v>
      </c>
      <c r="D541" s="22" t="str">
        <f t="shared" si="5"/>
        <v>#DIV/0!</v>
      </c>
      <c r="E541" s="22" t="str">
        <f t="shared" si="3"/>
        <v/>
      </c>
      <c r="F541" s="22" t="str">
        <f t="shared" si="6"/>
        <v>#DIV/0!</v>
      </c>
      <c r="H541" s="22" t="str">
        <f t="shared" si="4"/>
        <v/>
      </c>
      <c r="I541" s="22" t="str">
        <f t="shared" si="1"/>
        <v>#N/A</v>
      </c>
      <c r="J541" s="22" t="str">
        <f t="shared" si="2"/>
        <v>#N/A</v>
      </c>
      <c r="K541" s="22" t="str">
        <f t="array" ref="K541">IF(H541="Crash",MATCH(TRUE, B542:B639 &gt;= B540, 0),"")</f>
        <v/>
      </c>
    </row>
    <row r="542" ht="15.75" customHeight="1">
      <c r="A542" s="31" t="str">
        <f>'EQUITY BACKTEST'!A545</f>
        <v/>
      </c>
      <c r="B542" s="22" t="str">
        <f>'EQUITY BACKTEST'!B545</f>
        <v/>
      </c>
      <c r="C542" s="22" t="str">
        <f>1/'EQUITY BACKTEST'!E545</f>
        <v>#DIV/0!</v>
      </c>
      <c r="D542" s="22" t="str">
        <f t="shared" si="5"/>
        <v>#DIV/0!</v>
      </c>
      <c r="E542" s="22" t="str">
        <f t="shared" si="3"/>
        <v/>
      </c>
      <c r="F542" s="22" t="str">
        <f t="shared" si="6"/>
        <v>#DIV/0!</v>
      </c>
      <c r="H542" s="22" t="str">
        <f t="shared" si="4"/>
        <v/>
      </c>
      <c r="I542" s="22" t="str">
        <f t="shared" si="1"/>
        <v>#N/A</v>
      </c>
      <c r="J542" s="22" t="str">
        <f t="shared" si="2"/>
        <v>#N/A</v>
      </c>
      <c r="K542" s="22" t="str">
        <f t="array" ref="K542">IF(H542="Crash",MATCH(TRUE, B543:B640 &gt;= B541, 0),"")</f>
        <v/>
      </c>
    </row>
    <row r="543" ht="15.75" customHeight="1">
      <c r="A543" s="31" t="str">
        <f>'EQUITY BACKTEST'!A546</f>
        <v/>
      </c>
      <c r="B543" s="22" t="str">
        <f>'EQUITY BACKTEST'!B546</f>
        <v/>
      </c>
      <c r="C543" s="22" t="str">
        <f>1/'EQUITY BACKTEST'!E546</f>
        <v>#DIV/0!</v>
      </c>
      <c r="D543" s="22" t="str">
        <f t="shared" si="5"/>
        <v>#DIV/0!</v>
      </c>
      <c r="E543" s="22" t="str">
        <f t="shared" si="3"/>
        <v/>
      </c>
      <c r="F543" s="22" t="str">
        <f t="shared" si="6"/>
        <v>#DIV/0!</v>
      </c>
      <c r="H543" s="22" t="str">
        <f t="shared" si="4"/>
        <v/>
      </c>
      <c r="I543" s="22" t="str">
        <f t="shared" si="1"/>
        <v>#N/A</v>
      </c>
      <c r="J543" s="22" t="str">
        <f t="shared" si="2"/>
        <v>#N/A</v>
      </c>
      <c r="K543" s="22" t="str">
        <f t="array" ref="K543">IF(H543="Crash",MATCH(TRUE, B544:B641 &gt;= B542, 0),"")</f>
        <v/>
      </c>
    </row>
    <row r="544" ht="15.75" customHeight="1">
      <c r="A544" s="31" t="str">
        <f>'EQUITY BACKTEST'!A547</f>
        <v/>
      </c>
      <c r="B544" s="22" t="str">
        <f>'EQUITY BACKTEST'!B547</f>
        <v/>
      </c>
      <c r="C544" s="22" t="str">
        <f>1/'EQUITY BACKTEST'!E547</f>
        <v>#DIV/0!</v>
      </c>
      <c r="D544" s="22" t="str">
        <f t="shared" si="5"/>
        <v>#DIV/0!</v>
      </c>
      <c r="E544" s="22" t="str">
        <f t="shared" si="3"/>
        <v/>
      </c>
      <c r="F544" s="22" t="str">
        <f t="shared" si="6"/>
        <v>#DIV/0!</v>
      </c>
      <c r="H544" s="22" t="str">
        <f t="shared" si="4"/>
        <v/>
      </c>
      <c r="I544" s="22" t="str">
        <f t="shared" si="1"/>
        <v>#N/A</v>
      </c>
      <c r="J544" s="22" t="str">
        <f t="shared" si="2"/>
        <v>#N/A</v>
      </c>
      <c r="K544" s="22" t="str">
        <f t="array" ref="K544">IF(H544="Crash",MATCH(TRUE, B545:B642 &gt;= B543, 0),"")</f>
        <v/>
      </c>
    </row>
    <row r="545" ht="15.75" customHeight="1">
      <c r="A545" s="31" t="str">
        <f>'EQUITY BACKTEST'!A548</f>
        <v/>
      </c>
      <c r="B545" s="22" t="str">
        <f>'EQUITY BACKTEST'!B548</f>
        <v/>
      </c>
      <c r="C545" s="22" t="str">
        <f>1/'EQUITY BACKTEST'!E548</f>
        <v>#DIV/0!</v>
      </c>
      <c r="D545" s="22" t="str">
        <f t="shared" si="5"/>
        <v>#DIV/0!</v>
      </c>
      <c r="E545" s="22" t="str">
        <f t="shared" si="3"/>
        <v/>
      </c>
      <c r="F545" s="22" t="str">
        <f t="shared" si="6"/>
        <v>#DIV/0!</v>
      </c>
      <c r="H545" s="22" t="str">
        <f t="shared" si="4"/>
        <v/>
      </c>
      <c r="I545" s="22" t="str">
        <f t="shared" si="1"/>
        <v>#N/A</v>
      </c>
      <c r="J545" s="22" t="str">
        <f t="shared" si="2"/>
        <v>#N/A</v>
      </c>
      <c r="K545" s="22" t="str">
        <f t="array" ref="K545">IF(H545="Crash",MATCH(TRUE, B546:B643 &gt;= B544, 0),"")</f>
        <v/>
      </c>
    </row>
    <row r="546" ht="15.75" customHeight="1">
      <c r="A546" s="31" t="str">
        <f>'EQUITY BACKTEST'!A549</f>
        <v/>
      </c>
      <c r="B546" s="22" t="str">
        <f>'EQUITY BACKTEST'!B549</f>
        <v/>
      </c>
      <c r="C546" s="22" t="str">
        <f>1/'EQUITY BACKTEST'!E549</f>
        <v>#DIV/0!</v>
      </c>
      <c r="D546" s="22" t="str">
        <f t="shared" si="5"/>
        <v>#DIV/0!</v>
      </c>
      <c r="E546" s="22" t="str">
        <f t="shared" si="3"/>
        <v/>
      </c>
      <c r="F546" s="22" t="str">
        <f t="shared" si="6"/>
        <v>#DIV/0!</v>
      </c>
      <c r="H546" s="22" t="str">
        <f t="shared" si="4"/>
        <v/>
      </c>
      <c r="I546" s="22" t="str">
        <f t="shared" si="1"/>
        <v>#N/A</v>
      </c>
      <c r="J546" s="22" t="str">
        <f t="shared" si="2"/>
        <v>#N/A</v>
      </c>
      <c r="K546" s="22" t="str">
        <f t="array" ref="K546">IF(H546="Crash",MATCH(TRUE, B547:B644 &gt;= B545, 0),"")</f>
        <v/>
      </c>
    </row>
    <row r="547" ht="15.75" customHeight="1">
      <c r="A547" s="31" t="str">
        <f>'EQUITY BACKTEST'!A550</f>
        <v/>
      </c>
      <c r="B547" s="22" t="str">
        <f>'EQUITY BACKTEST'!B550</f>
        <v/>
      </c>
      <c r="C547" s="22" t="str">
        <f>1/'EQUITY BACKTEST'!E550</f>
        <v>#DIV/0!</v>
      </c>
      <c r="D547" s="22" t="str">
        <f t="shared" si="5"/>
        <v>#DIV/0!</v>
      </c>
      <c r="E547" s="22" t="str">
        <f t="shared" si="3"/>
        <v/>
      </c>
      <c r="F547" s="22" t="str">
        <f t="shared" si="6"/>
        <v>#DIV/0!</v>
      </c>
      <c r="H547" s="22" t="str">
        <f t="shared" si="4"/>
        <v/>
      </c>
      <c r="I547" s="22" t="str">
        <f t="shared" si="1"/>
        <v>#N/A</v>
      </c>
      <c r="J547" s="22" t="str">
        <f t="shared" si="2"/>
        <v>#N/A</v>
      </c>
      <c r="K547" s="22" t="str">
        <f t="array" ref="K547">IF(H547="Crash",MATCH(TRUE, B548:B645 &gt;= B546, 0),"")</f>
        <v/>
      </c>
    </row>
    <row r="548" ht="15.75" customHeight="1">
      <c r="A548" s="31" t="str">
        <f>'EQUITY BACKTEST'!A551</f>
        <v/>
      </c>
      <c r="B548" s="22" t="str">
        <f>'EQUITY BACKTEST'!B551</f>
        <v/>
      </c>
      <c r="C548" s="22" t="str">
        <f>1/'EQUITY BACKTEST'!E551</f>
        <v>#DIV/0!</v>
      </c>
      <c r="D548" s="22" t="str">
        <f t="shared" si="5"/>
        <v>#DIV/0!</v>
      </c>
      <c r="E548" s="22" t="str">
        <f t="shared" si="3"/>
        <v/>
      </c>
      <c r="F548" s="22" t="str">
        <f t="shared" si="6"/>
        <v>#DIV/0!</v>
      </c>
      <c r="H548" s="22" t="str">
        <f t="shared" si="4"/>
        <v/>
      </c>
      <c r="I548" s="22" t="str">
        <f t="shared" si="1"/>
        <v>#N/A</v>
      </c>
      <c r="J548" s="22" t="str">
        <f t="shared" si="2"/>
        <v>#N/A</v>
      </c>
      <c r="K548" s="22" t="str">
        <f t="array" ref="K548">IF(H548="Crash",MATCH(TRUE, B549:B646 &gt;= B547, 0),"")</f>
        <v/>
      </c>
    </row>
    <row r="549" ht="15.75" customHeight="1">
      <c r="A549" s="31" t="str">
        <f>'EQUITY BACKTEST'!A552</f>
        <v/>
      </c>
      <c r="B549" s="22" t="str">
        <f>'EQUITY BACKTEST'!B552</f>
        <v/>
      </c>
      <c r="C549" s="22" t="str">
        <f>1/'EQUITY BACKTEST'!E552</f>
        <v>#DIV/0!</v>
      </c>
      <c r="D549" s="22" t="str">
        <f t="shared" si="5"/>
        <v>#DIV/0!</v>
      </c>
      <c r="E549" s="22" t="str">
        <f t="shared" si="3"/>
        <v/>
      </c>
      <c r="F549" s="22" t="str">
        <f t="shared" si="6"/>
        <v>#DIV/0!</v>
      </c>
      <c r="H549" s="22" t="str">
        <f t="shared" si="4"/>
        <v/>
      </c>
      <c r="I549" s="22" t="str">
        <f t="shared" si="1"/>
        <v>#N/A</v>
      </c>
      <c r="J549" s="22" t="str">
        <f t="shared" si="2"/>
        <v>#N/A</v>
      </c>
      <c r="K549" s="22" t="str">
        <f t="array" ref="K549">IF(H549="Crash",MATCH(TRUE, B550:B647 &gt;= B548, 0),"")</f>
        <v/>
      </c>
    </row>
    <row r="550" ht="15.75" customHeight="1">
      <c r="A550" s="31" t="str">
        <f>'EQUITY BACKTEST'!A553</f>
        <v/>
      </c>
      <c r="B550" s="22" t="str">
        <f>'EQUITY BACKTEST'!B553</f>
        <v/>
      </c>
      <c r="C550" s="22" t="str">
        <f>1/'EQUITY BACKTEST'!E553</f>
        <v>#DIV/0!</v>
      </c>
      <c r="D550" s="22" t="str">
        <f t="shared" si="5"/>
        <v>#DIV/0!</v>
      </c>
      <c r="E550" s="22" t="str">
        <f t="shared" si="3"/>
        <v/>
      </c>
      <c r="F550" s="22" t="str">
        <f t="shared" si="6"/>
        <v>#DIV/0!</v>
      </c>
      <c r="H550" s="22" t="str">
        <f t="shared" si="4"/>
        <v/>
      </c>
      <c r="I550" s="22" t="str">
        <f t="shared" si="1"/>
        <v>#N/A</v>
      </c>
      <c r="J550" s="22" t="str">
        <f t="shared" si="2"/>
        <v>#N/A</v>
      </c>
      <c r="K550" s="22" t="str">
        <f t="array" ref="K550">IF(H550="Crash",MATCH(TRUE, B551:B648 &gt;= B549, 0),"")</f>
        <v/>
      </c>
    </row>
    <row r="551" ht="15.75" customHeight="1">
      <c r="A551" s="31" t="str">
        <f>'EQUITY BACKTEST'!A554</f>
        <v/>
      </c>
      <c r="B551" s="22" t="str">
        <f>'EQUITY BACKTEST'!B554</f>
        <v/>
      </c>
      <c r="C551" s="22" t="str">
        <f>1/'EQUITY BACKTEST'!E554</f>
        <v>#DIV/0!</v>
      </c>
      <c r="D551" s="22" t="str">
        <f t="shared" si="5"/>
        <v>#DIV/0!</v>
      </c>
      <c r="E551" s="22" t="str">
        <f t="shared" si="3"/>
        <v/>
      </c>
      <c r="F551" s="22" t="str">
        <f t="shared" si="6"/>
        <v>#DIV/0!</v>
      </c>
      <c r="H551" s="22" t="str">
        <f t="shared" si="4"/>
        <v/>
      </c>
      <c r="I551" s="22" t="str">
        <f t="shared" si="1"/>
        <v>#N/A</v>
      </c>
      <c r="J551" s="22" t="str">
        <f t="shared" si="2"/>
        <v>#N/A</v>
      </c>
      <c r="K551" s="22" t="str">
        <f t="array" ref="K551">IF(H551="Crash",MATCH(TRUE, B552:B649 &gt;= B550, 0),"")</f>
        <v/>
      </c>
    </row>
    <row r="552" ht="15.75" customHeight="1">
      <c r="A552" s="31" t="str">
        <f>'EQUITY BACKTEST'!A555</f>
        <v/>
      </c>
      <c r="B552" s="22" t="str">
        <f>'EQUITY BACKTEST'!B555</f>
        <v/>
      </c>
      <c r="C552" s="22" t="str">
        <f>1/'EQUITY BACKTEST'!E555</f>
        <v>#DIV/0!</v>
      </c>
      <c r="D552" s="22" t="str">
        <f t="shared" si="5"/>
        <v>#DIV/0!</v>
      </c>
      <c r="E552" s="22" t="str">
        <f t="shared" si="3"/>
        <v/>
      </c>
      <c r="F552" s="22" t="str">
        <f t="shared" si="6"/>
        <v>#DIV/0!</v>
      </c>
      <c r="H552" s="22" t="str">
        <f t="shared" si="4"/>
        <v/>
      </c>
      <c r="I552" s="22" t="str">
        <f t="shared" si="1"/>
        <v>#N/A</v>
      </c>
      <c r="J552" s="22" t="str">
        <f t="shared" si="2"/>
        <v>#N/A</v>
      </c>
      <c r="K552" s="22" t="str">
        <f t="array" ref="K552">IF(H552="Crash",MATCH(TRUE, B553:B650 &gt;= B551, 0),"")</f>
        <v/>
      </c>
    </row>
    <row r="553" ht="15.75" customHeight="1">
      <c r="A553" s="31" t="str">
        <f>'EQUITY BACKTEST'!A556</f>
        <v/>
      </c>
      <c r="B553" s="22" t="str">
        <f>'EQUITY BACKTEST'!B556</f>
        <v/>
      </c>
      <c r="C553" s="22" t="str">
        <f>1/'EQUITY BACKTEST'!E556</f>
        <v>#DIV/0!</v>
      </c>
      <c r="D553" s="22" t="str">
        <f t="shared" si="5"/>
        <v>#DIV/0!</v>
      </c>
      <c r="E553" s="22" t="str">
        <f t="shared" si="3"/>
        <v/>
      </c>
      <c r="F553" s="22" t="str">
        <f t="shared" si="6"/>
        <v>#DIV/0!</v>
      </c>
      <c r="H553" s="22" t="str">
        <f t="shared" si="4"/>
        <v/>
      </c>
      <c r="I553" s="22" t="str">
        <f t="shared" si="1"/>
        <v>#N/A</v>
      </c>
      <c r="J553" s="22" t="str">
        <f t="shared" si="2"/>
        <v>#N/A</v>
      </c>
      <c r="K553" s="22" t="str">
        <f t="array" ref="K553">IF(H553="Crash",MATCH(TRUE, B554:B651 &gt;= B552, 0),"")</f>
        <v/>
      </c>
    </row>
    <row r="554" ht="15.75" customHeight="1">
      <c r="A554" s="31" t="str">
        <f>'EQUITY BACKTEST'!A557</f>
        <v/>
      </c>
      <c r="B554" s="22" t="str">
        <f>'EQUITY BACKTEST'!B557</f>
        <v/>
      </c>
      <c r="C554" s="22" t="str">
        <f>1/'EQUITY BACKTEST'!E557</f>
        <v>#DIV/0!</v>
      </c>
      <c r="D554" s="22" t="str">
        <f t="shared" si="5"/>
        <v>#DIV/0!</v>
      </c>
      <c r="E554" s="22" t="str">
        <f t="shared" si="3"/>
        <v/>
      </c>
      <c r="F554" s="22" t="str">
        <f t="shared" si="6"/>
        <v>#DIV/0!</v>
      </c>
      <c r="H554" s="22" t="str">
        <f t="shared" si="4"/>
        <v/>
      </c>
      <c r="I554" s="22" t="str">
        <f t="shared" si="1"/>
        <v>#N/A</v>
      </c>
      <c r="J554" s="22" t="str">
        <f t="shared" si="2"/>
        <v>#N/A</v>
      </c>
      <c r="K554" s="22" t="str">
        <f t="array" ref="K554">IF(H554="Crash",MATCH(TRUE, B555:B652 &gt;= B553, 0),"")</f>
        <v/>
      </c>
    </row>
    <row r="555" ht="15.75" customHeight="1">
      <c r="A555" s="31" t="str">
        <f>'EQUITY BACKTEST'!A558</f>
        <v/>
      </c>
      <c r="B555" s="22" t="str">
        <f>'EQUITY BACKTEST'!B558</f>
        <v/>
      </c>
      <c r="C555" s="22" t="str">
        <f>1/'EQUITY BACKTEST'!E558</f>
        <v>#DIV/0!</v>
      </c>
      <c r="D555" s="22" t="str">
        <f t="shared" si="5"/>
        <v>#DIV/0!</v>
      </c>
      <c r="E555" s="22" t="str">
        <f t="shared" si="3"/>
        <v/>
      </c>
      <c r="F555" s="22" t="str">
        <f t="shared" si="6"/>
        <v>#DIV/0!</v>
      </c>
      <c r="H555" s="22" t="str">
        <f t="shared" si="4"/>
        <v/>
      </c>
      <c r="I555" s="22" t="str">
        <f t="shared" si="1"/>
        <v>#N/A</v>
      </c>
      <c r="J555" s="22" t="str">
        <f t="shared" si="2"/>
        <v>#N/A</v>
      </c>
      <c r="K555" s="22" t="str">
        <f t="array" ref="K555">IF(H555="Crash",MATCH(TRUE, B556:B653 &gt;= B554, 0),"")</f>
        <v/>
      </c>
    </row>
    <row r="556" ht="15.75" customHeight="1">
      <c r="A556" s="31" t="str">
        <f>'EQUITY BACKTEST'!A559</f>
        <v/>
      </c>
      <c r="B556" s="22" t="str">
        <f>'EQUITY BACKTEST'!B559</f>
        <v/>
      </c>
      <c r="C556" s="22" t="str">
        <f>1/'EQUITY BACKTEST'!E559</f>
        <v>#DIV/0!</v>
      </c>
      <c r="D556" s="22" t="str">
        <f t="shared" si="5"/>
        <v>#DIV/0!</v>
      </c>
      <c r="E556" s="22" t="str">
        <f t="shared" si="3"/>
        <v/>
      </c>
      <c r="F556" s="22" t="str">
        <f t="shared" si="6"/>
        <v>#DIV/0!</v>
      </c>
      <c r="H556" s="22" t="str">
        <f t="shared" si="4"/>
        <v/>
      </c>
      <c r="I556" s="22" t="str">
        <f t="shared" si="1"/>
        <v>#N/A</v>
      </c>
      <c r="J556" s="22" t="str">
        <f t="shared" si="2"/>
        <v>#N/A</v>
      </c>
      <c r="K556" s="22" t="str">
        <f t="array" ref="K556">IF(H556="Crash",MATCH(TRUE, B557:B654 &gt;= B555, 0),"")</f>
        <v/>
      </c>
    </row>
    <row r="557" ht="15.75" customHeight="1">
      <c r="A557" s="31" t="str">
        <f>'EQUITY BACKTEST'!A560</f>
        <v/>
      </c>
      <c r="B557" s="22" t="str">
        <f>'EQUITY BACKTEST'!B560</f>
        <v/>
      </c>
      <c r="C557" s="22" t="str">
        <f>1/'EQUITY BACKTEST'!E560</f>
        <v>#DIV/0!</v>
      </c>
      <c r="D557" s="22" t="str">
        <f t="shared" si="5"/>
        <v>#DIV/0!</v>
      </c>
      <c r="E557" s="22" t="str">
        <f t="shared" si="3"/>
        <v/>
      </c>
      <c r="F557" s="22" t="str">
        <f t="shared" si="6"/>
        <v>#DIV/0!</v>
      </c>
      <c r="H557" s="22" t="str">
        <f t="shared" si="4"/>
        <v/>
      </c>
      <c r="I557" s="22" t="str">
        <f t="shared" si="1"/>
        <v>#N/A</v>
      </c>
      <c r="J557" s="22" t="str">
        <f t="shared" si="2"/>
        <v>#N/A</v>
      </c>
      <c r="K557" s="22" t="str">
        <f t="array" ref="K557">IF(H557="Crash",MATCH(TRUE, B558:B655 &gt;= B556, 0),"")</f>
        <v/>
      </c>
    </row>
    <row r="558" ht="15.75" customHeight="1">
      <c r="A558" s="31" t="str">
        <f>'EQUITY BACKTEST'!A561</f>
        <v/>
      </c>
      <c r="B558" s="22" t="str">
        <f>'EQUITY BACKTEST'!B561</f>
        <v/>
      </c>
      <c r="C558" s="22" t="str">
        <f>1/'EQUITY BACKTEST'!E561</f>
        <v>#DIV/0!</v>
      </c>
      <c r="D558" s="22" t="str">
        <f t="shared" si="5"/>
        <v>#DIV/0!</v>
      </c>
      <c r="E558" s="22" t="str">
        <f t="shared" si="3"/>
        <v/>
      </c>
      <c r="F558" s="22" t="str">
        <f t="shared" si="6"/>
        <v>#DIV/0!</v>
      </c>
      <c r="H558" s="22" t="str">
        <f t="shared" si="4"/>
        <v/>
      </c>
      <c r="I558" s="22" t="str">
        <f t="shared" si="1"/>
        <v>#N/A</v>
      </c>
      <c r="J558" s="22" t="str">
        <f t="shared" si="2"/>
        <v>#N/A</v>
      </c>
      <c r="K558" s="22" t="str">
        <f t="array" ref="K558">IF(H558="Crash",MATCH(TRUE, B559:B656 &gt;= B557, 0),"")</f>
        <v/>
      </c>
    </row>
    <row r="559" ht="15.75" customHeight="1">
      <c r="A559" s="31" t="str">
        <f>'EQUITY BACKTEST'!A562</f>
        <v/>
      </c>
      <c r="B559" s="22" t="str">
        <f>'EQUITY BACKTEST'!B562</f>
        <v/>
      </c>
      <c r="C559" s="22" t="str">
        <f>1/'EQUITY BACKTEST'!E562</f>
        <v>#DIV/0!</v>
      </c>
      <c r="D559" s="22" t="str">
        <f t="shared" si="5"/>
        <v>#DIV/0!</v>
      </c>
      <c r="E559" s="22" t="str">
        <f t="shared" si="3"/>
        <v/>
      </c>
      <c r="F559" s="22" t="str">
        <f t="shared" si="6"/>
        <v>#DIV/0!</v>
      </c>
      <c r="H559" s="22" t="str">
        <f t="shared" si="4"/>
        <v/>
      </c>
      <c r="I559" s="22" t="str">
        <f t="shared" si="1"/>
        <v>#N/A</v>
      </c>
      <c r="J559" s="22" t="str">
        <f t="shared" si="2"/>
        <v>#N/A</v>
      </c>
      <c r="K559" s="22" t="str">
        <f t="array" ref="K559">IF(H559="Crash",MATCH(TRUE, B560:B657 &gt;= B558, 0),"")</f>
        <v/>
      </c>
    </row>
    <row r="560" ht="15.75" customHeight="1">
      <c r="A560" s="31" t="str">
        <f>'EQUITY BACKTEST'!A563</f>
        <v/>
      </c>
      <c r="B560" s="22" t="str">
        <f>'EQUITY BACKTEST'!B563</f>
        <v/>
      </c>
      <c r="C560" s="22" t="str">
        <f>1/'EQUITY BACKTEST'!E563</f>
        <v>#DIV/0!</v>
      </c>
      <c r="D560" s="22" t="str">
        <f t="shared" si="5"/>
        <v>#DIV/0!</v>
      </c>
      <c r="E560" s="22" t="str">
        <f t="shared" si="3"/>
        <v/>
      </c>
      <c r="F560" s="22" t="str">
        <f t="shared" si="6"/>
        <v>#DIV/0!</v>
      </c>
      <c r="H560" s="22" t="str">
        <f t="shared" si="4"/>
        <v/>
      </c>
      <c r="I560" s="22" t="str">
        <f t="shared" si="1"/>
        <v>#N/A</v>
      </c>
      <c r="J560" s="22" t="str">
        <f t="shared" si="2"/>
        <v>#N/A</v>
      </c>
      <c r="K560" s="22" t="str">
        <f t="array" ref="K560">IF(H560="Crash",MATCH(TRUE, B561:B658 &gt;= B559, 0),"")</f>
        <v/>
      </c>
    </row>
    <row r="561" ht="15.75" customHeight="1">
      <c r="A561" s="31" t="str">
        <f>'EQUITY BACKTEST'!A564</f>
        <v/>
      </c>
      <c r="B561" s="22" t="str">
        <f>'EQUITY BACKTEST'!B564</f>
        <v/>
      </c>
      <c r="C561" s="22" t="str">
        <f>1/'EQUITY BACKTEST'!E564</f>
        <v>#DIV/0!</v>
      </c>
      <c r="D561" s="22" t="str">
        <f t="shared" si="5"/>
        <v>#DIV/0!</v>
      </c>
      <c r="E561" s="22" t="str">
        <f t="shared" si="3"/>
        <v/>
      </c>
      <c r="F561" s="22" t="str">
        <f t="shared" si="6"/>
        <v>#DIV/0!</v>
      </c>
      <c r="H561" s="22" t="str">
        <f t="shared" si="4"/>
        <v/>
      </c>
      <c r="I561" s="22" t="str">
        <f t="shared" si="1"/>
        <v>#N/A</v>
      </c>
      <c r="J561" s="22" t="str">
        <f t="shared" si="2"/>
        <v>#N/A</v>
      </c>
      <c r="K561" s="22" t="str">
        <f t="array" ref="K561">IF(H561="Crash",MATCH(TRUE, B562:B659 &gt;= B560, 0),"")</f>
        <v/>
      </c>
    </row>
    <row r="562" ht="15.75" customHeight="1">
      <c r="A562" s="31" t="str">
        <f>'EQUITY BACKTEST'!A565</f>
        <v/>
      </c>
      <c r="B562" s="22" t="str">
        <f>'EQUITY BACKTEST'!B565</f>
        <v/>
      </c>
      <c r="C562" s="22" t="str">
        <f>1/'EQUITY BACKTEST'!E565</f>
        <v>#DIV/0!</v>
      </c>
      <c r="D562" s="22" t="str">
        <f t="shared" si="5"/>
        <v>#DIV/0!</v>
      </c>
      <c r="E562" s="22" t="str">
        <f t="shared" si="3"/>
        <v/>
      </c>
      <c r="F562" s="22" t="str">
        <f t="shared" si="6"/>
        <v>#DIV/0!</v>
      </c>
      <c r="H562" s="22" t="str">
        <f t="shared" si="4"/>
        <v/>
      </c>
      <c r="I562" s="22" t="str">
        <f t="shared" si="1"/>
        <v>#N/A</v>
      </c>
      <c r="J562" s="22" t="str">
        <f t="shared" si="2"/>
        <v>#N/A</v>
      </c>
      <c r="K562" s="22" t="str">
        <f t="array" ref="K562">IF(H562="Crash",MATCH(TRUE, B563:B660 &gt;= B561, 0),"")</f>
        <v/>
      </c>
    </row>
    <row r="563" ht="15.75" customHeight="1">
      <c r="A563" s="31" t="str">
        <f>'EQUITY BACKTEST'!A566</f>
        <v/>
      </c>
      <c r="B563" s="22" t="str">
        <f>'EQUITY BACKTEST'!B566</f>
        <v/>
      </c>
      <c r="C563" s="22" t="str">
        <f>1/'EQUITY BACKTEST'!E566</f>
        <v>#DIV/0!</v>
      </c>
      <c r="D563" s="22" t="str">
        <f t="shared" si="5"/>
        <v>#DIV/0!</v>
      </c>
      <c r="E563" s="22" t="str">
        <f t="shared" si="3"/>
        <v/>
      </c>
      <c r="F563" s="22" t="str">
        <f t="shared" si="6"/>
        <v>#DIV/0!</v>
      </c>
      <c r="H563" s="22" t="str">
        <f t="shared" si="4"/>
        <v/>
      </c>
      <c r="I563" s="22" t="str">
        <f t="shared" si="1"/>
        <v>#N/A</v>
      </c>
      <c r="J563" s="22" t="str">
        <f t="shared" si="2"/>
        <v>#N/A</v>
      </c>
      <c r="K563" s="22" t="str">
        <f t="array" ref="K563">IF(H563="Crash",MATCH(TRUE, B564:B661 &gt;= B562, 0),"")</f>
        <v/>
      </c>
    </row>
    <row r="564" ht="15.75" customHeight="1">
      <c r="A564" s="31" t="str">
        <f>'EQUITY BACKTEST'!A567</f>
        <v/>
      </c>
      <c r="B564" s="22" t="str">
        <f>'EQUITY BACKTEST'!B567</f>
        <v/>
      </c>
      <c r="C564" s="22" t="str">
        <f>1/'EQUITY BACKTEST'!E567</f>
        <v>#DIV/0!</v>
      </c>
      <c r="D564" s="22" t="str">
        <f t="shared" si="5"/>
        <v>#DIV/0!</v>
      </c>
      <c r="E564" s="22" t="str">
        <f t="shared" si="3"/>
        <v/>
      </c>
      <c r="F564" s="22" t="str">
        <f t="shared" si="6"/>
        <v>#DIV/0!</v>
      </c>
      <c r="H564" s="22" t="str">
        <f t="shared" si="4"/>
        <v/>
      </c>
      <c r="I564" s="22" t="str">
        <f t="shared" si="1"/>
        <v>#N/A</v>
      </c>
      <c r="J564" s="22" t="str">
        <f t="shared" si="2"/>
        <v>#N/A</v>
      </c>
      <c r="K564" s="22" t="str">
        <f t="array" ref="K564">IF(H564="Crash",MATCH(TRUE, B565:B662 &gt;= B563, 0),"")</f>
        <v/>
      </c>
    </row>
    <row r="565" ht="15.75" customHeight="1">
      <c r="A565" s="31" t="str">
        <f>'EQUITY BACKTEST'!A568</f>
        <v/>
      </c>
      <c r="B565" s="22" t="str">
        <f>'EQUITY BACKTEST'!B568</f>
        <v/>
      </c>
      <c r="C565" s="22" t="str">
        <f>1/'EQUITY BACKTEST'!E568</f>
        <v>#DIV/0!</v>
      </c>
      <c r="D565" s="22" t="str">
        <f t="shared" si="5"/>
        <v>#DIV/0!</v>
      </c>
      <c r="E565" s="22" t="str">
        <f t="shared" si="3"/>
        <v/>
      </c>
      <c r="F565" s="22" t="str">
        <f t="shared" si="6"/>
        <v>#DIV/0!</v>
      </c>
      <c r="H565" s="22" t="str">
        <f t="shared" si="4"/>
        <v/>
      </c>
      <c r="I565" s="22" t="str">
        <f t="shared" si="1"/>
        <v>#N/A</v>
      </c>
      <c r="J565" s="22" t="str">
        <f t="shared" si="2"/>
        <v>#N/A</v>
      </c>
      <c r="K565" s="22" t="str">
        <f t="array" ref="K565">IF(H565="Crash",MATCH(TRUE, B566:B663 &gt;= B564, 0),"")</f>
        <v/>
      </c>
    </row>
    <row r="566" ht="15.75" customHeight="1">
      <c r="A566" s="31" t="str">
        <f>'EQUITY BACKTEST'!A569</f>
        <v/>
      </c>
      <c r="B566" s="22" t="str">
        <f>'EQUITY BACKTEST'!B569</f>
        <v/>
      </c>
      <c r="C566" s="22" t="str">
        <f>1/'EQUITY BACKTEST'!E569</f>
        <v>#DIV/0!</v>
      </c>
      <c r="D566" s="22" t="str">
        <f t="shared" si="5"/>
        <v>#DIV/0!</v>
      </c>
      <c r="E566" s="22" t="str">
        <f t="shared" si="3"/>
        <v/>
      </c>
      <c r="F566" s="22" t="str">
        <f t="shared" si="6"/>
        <v>#DIV/0!</v>
      </c>
      <c r="H566" s="22" t="str">
        <f t="shared" si="4"/>
        <v/>
      </c>
      <c r="I566" s="22" t="str">
        <f t="shared" si="1"/>
        <v>#N/A</v>
      </c>
      <c r="J566" s="22" t="str">
        <f t="shared" si="2"/>
        <v>#N/A</v>
      </c>
      <c r="K566" s="22" t="str">
        <f t="array" ref="K566">IF(H566="Crash",MATCH(TRUE, B567:B664 &gt;= B565, 0),"")</f>
        <v/>
      </c>
    </row>
    <row r="567" ht="15.75" customHeight="1">
      <c r="A567" s="31" t="str">
        <f>'EQUITY BACKTEST'!A570</f>
        <v/>
      </c>
      <c r="B567" s="22" t="str">
        <f>'EQUITY BACKTEST'!B570</f>
        <v/>
      </c>
      <c r="C567" s="22" t="str">
        <f>1/'EQUITY BACKTEST'!E570</f>
        <v>#DIV/0!</v>
      </c>
      <c r="D567" s="22" t="str">
        <f t="shared" si="5"/>
        <v>#DIV/0!</v>
      </c>
      <c r="E567" s="22" t="str">
        <f t="shared" si="3"/>
        <v/>
      </c>
      <c r="F567" s="22" t="str">
        <f t="shared" si="6"/>
        <v>#DIV/0!</v>
      </c>
      <c r="H567" s="22" t="str">
        <f t="shared" si="4"/>
        <v/>
      </c>
      <c r="I567" s="22" t="str">
        <f t="shared" si="1"/>
        <v>#N/A</v>
      </c>
      <c r="J567" s="22" t="str">
        <f t="shared" si="2"/>
        <v>#N/A</v>
      </c>
      <c r="K567" s="22" t="str">
        <f t="array" ref="K567">IF(H567="Crash",MATCH(TRUE, B568:B665 &gt;= B566, 0),"")</f>
        <v/>
      </c>
    </row>
    <row r="568" ht="15.75" customHeight="1">
      <c r="A568" s="31" t="str">
        <f>'EQUITY BACKTEST'!A571</f>
        <v/>
      </c>
      <c r="B568" s="22" t="str">
        <f>'EQUITY BACKTEST'!B571</f>
        <v/>
      </c>
      <c r="C568" s="22" t="str">
        <f>1/'EQUITY BACKTEST'!E571</f>
        <v>#DIV/0!</v>
      </c>
      <c r="D568" s="22" t="str">
        <f t="shared" si="5"/>
        <v>#DIV/0!</v>
      </c>
      <c r="E568" s="22" t="str">
        <f t="shared" si="3"/>
        <v/>
      </c>
      <c r="F568" s="22" t="str">
        <f t="shared" si="6"/>
        <v>#DIV/0!</v>
      </c>
      <c r="H568" s="22" t="str">
        <f t="shared" si="4"/>
        <v/>
      </c>
      <c r="I568" s="22" t="str">
        <f t="shared" si="1"/>
        <v>#N/A</v>
      </c>
      <c r="J568" s="22" t="str">
        <f t="shared" si="2"/>
        <v>#N/A</v>
      </c>
      <c r="K568" s="22" t="str">
        <f t="array" ref="K568">IF(H568="Crash",MATCH(TRUE, B569:B666 &gt;= B567, 0),"")</f>
        <v/>
      </c>
    </row>
    <row r="569" ht="15.75" customHeight="1">
      <c r="A569" s="31" t="str">
        <f>'EQUITY BACKTEST'!A572</f>
        <v/>
      </c>
      <c r="B569" s="22" t="str">
        <f>'EQUITY BACKTEST'!B572</f>
        <v/>
      </c>
      <c r="C569" s="22" t="str">
        <f>1/'EQUITY BACKTEST'!E572</f>
        <v>#DIV/0!</v>
      </c>
      <c r="D569" s="22" t="str">
        <f t="shared" si="5"/>
        <v>#DIV/0!</v>
      </c>
      <c r="E569" s="22" t="str">
        <f t="shared" si="3"/>
        <v/>
      </c>
      <c r="F569" s="22" t="str">
        <f t="shared" si="6"/>
        <v>#DIV/0!</v>
      </c>
      <c r="H569" s="22" t="str">
        <f t="shared" si="4"/>
        <v/>
      </c>
      <c r="I569" s="22" t="str">
        <f t="shared" si="1"/>
        <v>#N/A</v>
      </c>
      <c r="J569" s="22" t="str">
        <f t="shared" si="2"/>
        <v>#N/A</v>
      </c>
      <c r="K569" s="22" t="str">
        <f t="array" ref="K569">IF(H569="Crash",MATCH(TRUE, B570:B667 &gt;= B568, 0),"")</f>
        <v/>
      </c>
    </row>
    <row r="570" ht="15.75" customHeight="1">
      <c r="A570" s="31" t="str">
        <f>'EQUITY BACKTEST'!A573</f>
        <v/>
      </c>
      <c r="B570" s="22" t="str">
        <f>'EQUITY BACKTEST'!B573</f>
        <v/>
      </c>
      <c r="C570" s="22" t="str">
        <f>1/'EQUITY BACKTEST'!E573</f>
        <v>#DIV/0!</v>
      </c>
      <c r="D570" s="22" t="str">
        <f t="shared" si="5"/>
        <v>#DIV/0!</v>
      </c>
      <c r="E570" s="22" t="str">
        <f t="shared" si="3"/>
        <v/>
      </c>
      <c r="F570" s="22" t="str">
        <f t="shared" si="6"/>
        <v>#DIV/0!</v>
      </c>
      <c r="H570" s="22" t="str">
        <f t="shared" si="4"/>
        <v/>
      </c>
      <c r="I570" s="22" t="str">
        <f t="shared" si="1"/>
        <v>#N/A</v>
      </c>
      <c r="J570" s="22" t="str">
        <f t="shared" si="2"/>
        <v>#N/A</v>
      </c>
      <c r="K570" s="22" t="str">
        <f t="array" ref="K570">IF(H570="Crash",MATCH(TRUE, B571:B668 &gt;= B569, 0),"")</f>
        <v/>
      </c>
    </row>
    <row r="571" ht="15.75" customHeight="1">
      <c r="A571" s="31" t="str">
        <f>'EQUITY BACKTEST'!A574</f>
        <v/>
      </c>
      <c r="B571" s="22" t="str">
        <f>'EQUITY BACKTEST'!B574</f>
        <v/>
      </c>
      <c r="C571" s="22" t="str">
        <f>1/'EQUITY BACKTEST'!E574</f>
        <v>#DIV/0!</v>
      </c>
      <c r="D571" s="22" t="str">
        <f t="shared" si="5"/>
        <v>#DIV/0!</v>
      </c>
      <c r="E571" s="22" t="str">
        <f t="shared" si="3"/>
        <v/>
      </c>
      <c r="F571" s="22" t="str">
        <f t="shared" si="6"/>
        <v>#DIV/0!</v>
      </c>
      <c r="H571" s="22" t="str">
        <f t="shared" si="4"/>
        <v/>
      </c>
      <c r="I571" s="22" t="str">
        <f t="shared" si="1"/>
        <v>#N/A</v>
      </c>
      <c r="J571" s="22" t="str">
        <f t="shared" si="2"/>
        <v>#N/A</v>
      </c>
      <c r="K571" s="22" t="str">
        <f t="array" ref="K571">IF(H571="Crash",MATCH(TRUE, B572:B669 &gt;= B570, 0),"")</f>
        <v/>
      </c>
    </row>
    <row r="572" ht="15.75" customHeight="1">
      <c r="A572" s="31" t="str">
        <f>'EQUITY BACKTEST'!A575</f>
        <v/>
      </c>
      <c r="B572" s="22" t="str">
        <f>'EQUITY BACKTEST'!B575</f>
        <v/>
      </c>
      <c r="C572" s="22" t="str">
        <f>1/'EQUITY BACKTEST'!E575</f>
        <v>#DIV/0!</v>
      </c>
      <c r="D572" s="22" t="str">
        <f t="shared" si="5"/>
        <v>#DIV/0!</v>
      </c>
      <c r="E572" s="22" t="str">
        <f t="shared" si="3"/>
        <v/>
      </c>
      <c r="F572" s="22" t="str">
        <f t="shared" si="6"/>
        <v>#DIV/0!</v>
      </c>
      <c r="H572" s="22" t="str">
        <f t="shared" si="4"/>
        <v/>
      </c>
      <c r="I572" s="22" t="str">
        <f t="shared" si="1"/>
        <v>#N/A</v>
      </c>
      <c r="J572" s="22" t="str">
        <f t="shared" si="2"/>
        <v>#N/A</v>
      </c>
      <c r="K572" s="22" t="str">
        <f t="array" ref="K572">IF(H572="Crash",MATCH(TRUE, B573:B670 &gt;= B571, 0),"")</f>
        <v/>
      </c>
    </row>
    <row r="573" ht="15.75" customHeight="1">
      <c r="A573" s="31" t="str">
        <f>'EQUITY BACKTEST'!A576</f>
        <v/>
      </c>
      <c r="B573" s="22" t="str">
        <f>'EQUITY BACKTEST'!B576</f>
        <v/>
      </c>
      <c r="C573" s="22" t="str">
        <f>1/'EQUITY BACKTEST'!E576</f>
        <v>#DIV/0!</v>
      </c>
      <c r="D573" s="22" t="str">
        <f t="shared" si="5"/>
        <v>#DIV/0!</v>
      </c>
      <c r="E573" s="22" t="str">
        <f t="shared" si="3"/>
        <v/>
      </c>
      <c r="F573" s="22" t="str">
        <f t="shared" si="6"/>
        <v>#DIV/0!</v>
      </c>
      <c r="H573" s="22" t="str">
        <f t="shared" si="4"/>
        <v/>
      </c>
      <c r="I573" s="22" t="str">
        <f t="shared" si="1"/>
        <v>#N/A</v>
      </c>
      <c r="J573" s="22" t="str">
        <f t="shared" si="2"/>
        <v>#N/A</v>
      </c>
      <c r="K573" s="22" t="str">
        <f t="array" ref="K573">IF(H573="Crash",MATCH(TRUE, B574:B671 &gt;= B572, 0),"")</f>
        <v/>
      </c>
    </row>
    <row r="574" ht="15.75" customHeight="1">
      <c r="A574" s="31" t="str">
        <f>'EQUITY BACKTEST'!A577</f>
        <v/>
      </c>
      <c r="B574" s="22" t="str">
        <f>'EQUITY BACKTEST'!B577</f>
        <v/>
      </c>
      <c r="C574" s="22" t="str">
        <f>1/'EQUITY BACKTEST'!E577</f>
        <v>#DIV/0!</v>
      </c>
      <c r="D574" s="22" t="str">
        <f t="shared" si="5"/>
        <v>#DIV/0!</v>
      </c>
      <c r="E574" s="22" t="str">
        <f t="shared" si="3"/>
        <v/>
      </c>
      <c r="F574" s="22" t="str">
        <f t="shared" si="6"/>
        <v>#DIV/0!</v>
      </c>
      <c r="H574" s="22" t="str">
        <f t="shared" si="4"/>
        <v/>
      </c>
      <c r="I574" s="22" t="str">
        <f t="shared" si="1"/>
        <v>#N/A</v>
      </c>
      <c r="J574" s="22" t="str">
        <f t="shared" si="2"/>
        <v>#N/A</v>
      </c>
      <c r="K574" s="22" t="str">
        <f t="array" ref="K574">IF(H574="Crash",MATCH(TRUE, B575:B672 &gt;= B573, 0),"")</f>
        <v/>
      </c>
    </row>
    <row r="575" ht="15.75" customHeight="1">
      <c r="A575" s="31" t="str">
        <f>'EQUITY BACKTEST'!A578</f>
        <v/>
      </c>
      <c r="B575" s="22" t="str">
        <f>'EQUITY BACKTEST'!B578</f>
        <v/>
      </c>
      <c r="C575" s="22" t="str">
        <f>1/'EQUITY BACKTEST'!E578</f>
        <v>#DIV/0!</v>
      </c>
      <c r="D575" s="22" t="str">
        <f t="shared" si="5"/>
        <v>#DIV/0!</v>
      </c>
      <c r="E575" s="22" t="str">
        <f t="shared" si="3"/>
        <v/>
      </c>
      <c r="F575" s="22" t="str">
        <f t="shared" si="6"/>
        <v>#DIV/0!</v>
      </c>
      <c r="H575" s="22" t="str">
        <f t="shared" si="4"/>
        <v/>
      </c>
      <c r="I575" s="22" t="str">
        <f t="shared" si="1"/>
        <v>#N/A</v>
      </c>
      <c r="J575" s="22" t="str">
        <f t="shared" si="2"/>
        <v>#N/A</v>
      </c>
      <c r="K575" s="22" t="str">
        <f t="array" ref="K575">IF(H575="Crash",MATCH(TRUE, B576:B673 &gt;= B574, 0),"")</f>
        <v/>
      </c>
    </row>
    <row r="576" ht="15.75" customHeight="1">
      <c r="A576" s="31" t="str">
        <f>'EQUITY BACKTEST'!A579</f>
        <v/>
      </c>
      <c r="B576" s="22" t="str">
        <f>'EQUITY BACKTEST'!B579</f>
        <v/>
      </c>
      <c r="C576" s="22" t="str">
        <f>1/'EQUITY BACKTEST'!E579</f>
        <v>#DIV/0!</v>
      </c>
      <c r="D576" s="22" t="str">
        <f t="shared" si="5"/>
        <v>#DIV/0!</v>
      </c>
      <c r="E576" s="22" t="str">
        <f t="shared" si="3"/>
        <v/>
      </c>
      <c r="F576" s="22" t="str">
        <f t="shared" si="6"/>
        <v>#DIV/0!</v>
      </c>
      <c r="H576" s="22" t="str">
        <f t="shared" si="4"/>
        <v/>
      </c>
      <c r="I576" s="22" t="str">
        <f t="shared" si="1"/>
        <v>#N/A</v>
      </c>
      <c r="J576" s="22" t="str">
        <f t="shared" si="2"/>
        <v>#N/A</v>
      </c>
      <c r="K576" s="22" t="str">
        <f t="array" ref="K576">IF(H576="Crash",MATCH(TRUE, B577:B674 &gt;= B575, 0),"")</f>
        <v/>
      </c>
    </row>
    <row r="577" ht="15.75" customHeight="1">
      <c r="A577" s="31" t="str">
        <f>'EQUITY BACKTEST'!A580</f>
        <v/>
      </c>
      <c r="B577" s="22" t="str">
        <f>'EQUITY BACKTEST'!B580</f>
        <v/>
      </c>
      <c r="C577" s="22" t="str">
        <f>1/'EQUITY BACKTEST'!E580</f>
        <v>#DIV/0!</v>
      </c>
      <c r="D577" s="22" t="str">
        <f t="shared" si="5"/>
        <v>#DIV/0!</v>
      </c>
      <c r="E577" s="22" t="str">
        <f t="shared" si="3"/>
        <v/>
      </c>
      <c r="F577" s="22" t="str">
        <f t="shared" si="6"/>
        <v>#DIV/0!</v>
      </c>
      <c r="H577" s="22" t="str">
        <f t="shared" si="4"/>
        <v/>
      </c>
      <c r="I577" s="22" t="str">
        <f t="shared" si="1"/>
        <v>#N/A</v>
      </c>
      <c r="J577" s="22" t="str">
        <f t="shared" si="2"/>
        <v>#N/A</v>
      </c>
      <c r="K577" s="22" t="str">
        <f t="array" ref="K577">IF(H577="Crash",MATCH(TRUE, B578:B675 &gt;= B576, 0),"")</f>
        <v/>
      </c>
    </row>
    <row r="578" ht="15.75" customHeight="1">
      <c r="A578" s="31" t="str">
        <f>'EQUITY BACKTEST'!A581</f>
        <v/>
      </c>
      <c r="B578" s="22" t="str">
        <f>'EQUITY BACKTEST'!B581</f>
        <v/>
      </c>
      <c r="C578" s="22" t="str">
        <f>1/'EQUITY BACKTEST'!E581</f>
        <v>#DIV/0!</v>
      </c>
      <c r="D578" s="22" t="str">
        <f t="shared" si="5"/>
        <v>#DIV/0!</v>
      </c>
      <c r="E578" s="22" t="str">
        <f t="shared" si="3"/>
        <v/>
      </c>
      <c r="F578" s="22" t="str">
        <f t="shared" si="6"/>
        <v>#DIV/0!</v>
      </c>
      <c r="H578" s="22" t="str">
        <f t="shared" si="4"/>
        <v/>
      </c>
      <c r="I578" s="22" t="str">
        <f t="shared" si="1"/>
        <v>#N/A</v>
      </c>
      <c r="J578" s="22" t="str">
        <f t="shared" si="2"/>
        <v>#N/A</v>
      </c>
      <c r="K578" s="22" t="str">
        <f t="array" ref="K578">IF(H578="Crash",MATCH(TRUE, B579:B676 &gt;= B577, 0),"")</f>
        <v/>
      </c>
    </row>
    <row r="579" ht="15.75" customHeight="1">
      <c r="A579" s="31" t="str">
        <f>'EQUITY BACKTEST'!A582</f>
        <v/>
      </c>
      <c r="B579" s="22" t="str">
        <f>'EQUITY BACKTEST'!B582</f>
        <v/>
      </c>
      <c r="C579" s="22" t="str">
        <f>1/'EQUITY BACKTEST'!E582</f>
        <v>#DIV/0!</v>
      </c>
      <c r="D579" s="22" t="str">
        <f t="shared" si="5"/>
        <v>#DIV/0!</v>
      </c>
      <c r="E579" s="22" t="str">
        <f t="shared" si="3"/>
        <v/>
      </c>
      <c r="F579" s="22" t="str">
        <f t="shared" si="6"/>
        <v>#DIV/0!</v>
      </c>
      <c r="H579" s="22" t="str">
        <f t="shared" si="4"/>
        <v/>
      </c>
      <c r="I579" s="22" t="str">
        <f t="shared" si="1"/>
        <v>#N/A</v>
      </c>
      <c r="J579" s="22" t="str">
        <f t="shared" si="2"/>
        <v>#N/A</v>
      </c>
      <c r="K579" s="22" t="str">
        <f t="array" ref="K579">IF(H579="Crash",MATCH(TRUE, B580:B677 &gt;= B578, 0),"")</f>
        <v/>
      </c>
    </row>
    <row r="580" ht="15.75" customHeight="1">
      <c r="A580" s="31" t="str">
        <f>'EQUITY BACKTEST'!A583</f>
        <v/>
      </c>
      <c r="B580" s="22" t="str">
        <f>'EQUITY BACKTEST'!B583</f>
        <v/>
      </c>
      <c r="C580" s="22" t="str">
        <f>1/'EQUITY BACKTEST'!E583</f>
        <v>#DIV/0!</v>
      </c>
      <c r="D580" s="22" t="str">
        <f t="shared" si="5"/>
        <v>#DIV/0!</v>
      </c>
      <c r="E580" s="22" t="str">
        <f t="shared" si="3"/>
        <v/>
      </c>
      <c r="F580" s="22" t="str">
        <f t="shared" si="6"/>
        <v>#DIV/0!</v>
      </c>
      <c r="H580" s="22" t="str">
        <f t="shared" si="4"/>
        <v/>
      </c>
      <c r="I580" s="22" t="str">
        <f t="shared" si="1"/>
        <v>#N/A</v>
      </c>
      <c r="J580" s="22" t="str">
        <f t="shared" si="2"/>
        <v>#N/A</v>
      </c>
      <c r="K580" s="22" t="str">
        <f t="array" ref="K580">IF(H580="Crash",MATCH(TRUE, B581:B678 &gt;= B579, 0),"")</f>
        <v/>
      </c>
    </row>
    <row r="581" ht="15.75" customHeight="1">
      <c r="A581" s="31" t="str">
        <f>'EQUITY BACKTEST'!A584</f>
        <v/>
      </c>
      <c r="B581" s="22" t="str">
        <f>'EQUITY BACKTEST'!B584</f>
        <v/>
      </c>
      <c r="C581" s="22" t="str">
        <f>1/'EQUITY BACKTEST'!E584</f>
        <v>#DIV/0!</v>
      </c>
      <c r="D581" s="22" t="str">
        <f t="shared" si="5"/>
        <v>#DIV/0!</v>
      </c>
      <c r="E581" s="22" t="str">
        <f t="shared" si="3"/>
        <v/>
      </c>
      <c r="F581" s="22" t="str">
        <f t="shared" si="6"/>
        <v>#DIV/0!</v>
      </c>
      <c r="H581" s="22" t="str">
        <f t="shared" si="4"/>
        <v/>
      </c>
      <c r="I581" s="22" t="str">
        <f t="shared" si="1"/>
        <v>#N/A</v>
      </c>
      <c r="J581" s="22" t="str">
        <f t="shared" si="2"/>
        <v>#N/A</v>
      </c>
      <c r="K581" s="22" t="str">
        <f t="array" ref="K581">IF(H581="Crash",MATCH(TRUE, B582:B679 &gt;= B580, 0),"")</f>
        <v/>
      </c>
    </row>
    <row r="582" ht="15.75" customHeight="1">
      <c r="A582" s="31" t="str">
        <f>'EQUITY BACKTEST'!A585</f>
        <v/>
      </c>
      <c r="B582" s="22" t="str">
        <f>'EQUITY BACKTEST'!B585</f>
        <v/>
      </c>
      <c r="C582" s="22" t="str">
        <f>1/'EQUITY BACKTEST'!E585</f>
        <v>#DIV/0!</v>
      </c>
      <c r="D582" s="22" t="str">
        <f t="shared" si="5"/>
        <v>#DIV/0!</v>
      </c>
      <c r="E582" s="22" t="str">
        <f t="shared" si="3"/>
        <v/>
      </c>
      <c r="F582" s="22" t="str">
        <f t="shared" si="6"/>
        <v>#DIV/0!</v>
      </c>
      <c r="H582" s="22" t="str">
        <f t="shared" si="4"/>
        <v/>
      </c>
      <c r="I582" s="22" t="str">
        <f t="shared" si="1"/>
        <v>#N/A</v>
      </c>
      <c r="J582" s="22" t="str">
        <f t="shared" si="2"/>
        <v>#N/A</v>
      </c>
      <c r="K582" s="22" t="str">
        <f t="array" ref="K582">IF(H582="Crash",MATCH(TRUE, B583:B680 &gt;= B581, 0),"")</f>
        <v/>
      </c>
    </row>
    <row r="583" ht="15.75" customHeight="1">
      <c r="A583" s="31" t="str">
        <f>'EQUITY BACKTEST'!A586</f>
        <v/>
      </c>
      <c r="B583" s="22" t="str">
        <f>'EQUITY BACKTEST'!B586</f>
        <v/>
      </c>
      <c r="C583" s="22" t="str">
        <f>1/'EQUITY BACKTEST'!E586</f>
        <v>#DIV/0!</v>
      </c>
      <c r="D583" s="22" t="str">
        <f t="shared" si="5"/>
        <v>#DIV/0!</v>
      </c>
      <c r="E583" s="22" t="str">
        <f t="shared" si="3"/>
        <v/>
      </c>
      <c r="F583" s="22" t="str">
        <f t="shared" si="6"/>
        <v>#DIV/0!</v>
      </c>
      <c r="H583" s="22" t="str">
        <f t="shared" si="4"/>
        <v/>
      </c>
      <c r="I583" s="22" t="str">
        <f t="shared" si="1"/>
        <v>#N/A</v>
      </c>
      <c r="J583" s="22" t="str">
        <f t="shared" si="2"/>
        <v>#N/A</v>
      </c>
      <c r="K583" s="22" t="str">
        <f t="array" ref="K583">IF(H583="Crash",MATCH(TRUE, B584:B681 &gt;= B582, 0),"")</f>
        <v/>
      </c>
    </row>
    <row r="584" ht="15.75" customHeight="1">
      <c r="A584" s="31" t="str">
        <f>'EQUITY BACKTEST'!A587</f>
        <v/>
      </c>
      <c r="B584" s="22" t="str">
        <f>'EQUITY BACKTEST'!B587</f>
        <v/>
      </c>
      <c r="C584" s="22" t="str">
        <f>1/'EQUITY BACKTEST'!E587</f>
        <v>#DIV/0!</v>
      </c>
      <c r="D584" s="22" t="str">
        <f t="shared" si="5"/>
        <v>#DIV/0!</v>
      </c>
      <c r="E584" s="22" t="str">
        <f t="shared" si="3"/>
        <v/>
      </c>
      <c r="F584" s="22" t="str">
        <f t="shared" si="6"/>
        <v>#DIV/0!</v>
      </c>
      <c r="H584" s="22" t="str">
        <f t="shared" si="4"/>
        <v/>
      </c>
      <c r="I584" s="22" t="str">
        <f t="shared" si="1"/>
        <v>#N/A</v>
      </c>
      <c r="J584" s="22" t="str">
        <f t="shared" si="2"/>
        <v>#N/A</v>
      </c>
      <c r="K584" s="22" t="str">
        <f t="array" ref="K584">IF(H584="Crash",MATCH(TRUE, B585:B682 &gt;= B583, 0),"")</f>
        <v/>
      </c>
    </row>
    <row r="585" ht="15.75" customHeight="1">
      <c r="A585" s="31" t="str">
        <f>'EQUITY BACKTEST'!A588</f>
        <v/>
      </c>
      <c r="B585" s="22" t="str">
        <f>'EQUITY BACKTEST'!B588</f>
        <v/>
      </c>
      <c r="C585" s="22" t="str">
        <f>1/'EQUITY BACKTEST'!E588</f>
        <v>#DIV/0!</v>
      </c>
      <c r="D585" s="22" t="str">
        <f t="shared" si="5"/>
        <v>#DIV/0!</v>
      </c>
      <c r="E585" s="22" t="str">
        <f t="shared" si="3"/>
        <v/>
      </c>
      <c r="F585" s="22" t="str">
        <f t="shared" si="6"/>
        <v>#DIV/0!</v>
      </c>
      <c r="H585" s="22" t="str">
        <f t="shared" si="4"/>
        <v/>
      </c>
      <c r="I585" s="22" t="str">
        <f t="shared" si="1"/>
        <v>#N/A</v>
      </c>
      <c r="J585" s="22" t="str">
        <f t="shared" si="2"/>
        <v>#N/A</v>
      </c>
      <c r="K585" s="22" t="str">
        <f t="array" ref="K585">IF(H585="Crash",MATCH(TRUE, B586:B683 &gt;= B584, 0),"")</f>
        <v/>
      </c>
    </row>
    <row r="586" ht="15.75" customHeight="1">
      <c r="A586" s="31" t="str">
        <f>'EQUITY BACKTEST'!A589</f>
        <v/>
      </c>
      <c r="B586" s="22" t="str">
        <f>'EQUITY BACKTEST'!B589</f>
        <v/>
      </c>
      <c r="C586" s="22" t="str">
        <f>1/'EQUITY BACKTEST'!E589</f>
        <v>#DIV/0!</v>
      </c>
      <c r="D586" s="22" t="str">
        <f t="shared" si="5"/>
        <v>#DIV/0!</v>
      </c>
      <c r="E586" s="22" t="str">
        <f t="shared" si="3"/>
        <v/>
      </c>
      <c r="F586" s="22" t="str">
        <f t="shared" si="6"/>
        <v>#DIV/0!</v>
      </c>
      <c r="H586" s="22" t="str">
        <f t="shared" si="4"/>
        <v/>
      </c>
      <c r="I586" s="22" t="str">
        <f t="shared" si="1"/>
        <v>#N/A</v>
      </c>
      <c r="J586" s="22" t="str">
        <f t="shared" si="2"/>
        <v>#N/A</v>
      </c>
      <c r="K586" s="22" t="str">
        <f t="array" ref="K586">IF(H586="Crash",MATCH(TRUE, B587:B684 &gt;= B585, 0),"")</f>
        <v/>
      </c>
    </row>
    <row r="587" ht="15.75" customHeight="1">
      <c r="A587" s="31" t="str">
        <f>'EQUITY BACKTEST'!A590</f>
        <v/>
      </c>
      <c r="B587" s="22" t="str">
        <f>'EQUITY BACKTEST'!B590</f>
        <v/>
      </c>
      <c r="C587" s="22" t="str">
        <f>1/'EQUITY BACKTEST'!E590</f>
        <v>#DIV/0!</v>
      </c>
      <c r="D587" s="22" t="str">
        <f t="shared" si="5"/>
        <v>#DIV/0!</v>
      </c>
      <c r="E587" s="22" t="str">
        <f t="shared" si="3"/>
        <v/>
      </c>
      <c r="F587" s="22" t="str">
        <f t="shared" si="6"/>
        <v>#DIV/0!</v>
      </c>
      <c r="H587" s="22" t="str">
        <f t="shared" si="4"/>
        <v/>
      </c>
      <c r="I587" s="22" t="str">
        <f t="shared" si="1"/>
        <v>#N/A</v>
      </c>
      <c r="J587" s="22" t="str">
        <f t="shared" si="2"/>
        <v>#N/A</v>
      </c>
      <c r="K587" s="22" t="str">
        <f t="array" ref="K587">IF(H587="Crash",MATCH(TRUE, B588:B685 &gt;= B586, 0),"")</f>
        <v/>
      </c>
    </row>
    <row r="588" ht="15.75" customHeight="1">
      <c r="A588" s="31" t="str">
        <f>'EQUITY BACKTEST'!A591</f>
        <v/>
      </c>
      <c r="B588" s="22" t="str">
        <f>'EQUITY BACKTEST'!B591</f>
        <v/>
      </c>
      <c r="C588" s="22" t="str">
        <f>1/'EQUITY BACKTEST'!E591</f>
        <v>#DIV/0!</v>
      </c>
      <c r="D588" s="22" t="str">
        <f t="shared" si="5"/>
        <v>#DIV/0!</v>
      </c>
      <c r="E588" s="22" t="str">
        <f t="shared" si="3"/>
        <v/>
      </c>
      <c r="F588" s="22" t="str">
        <f t="shared" si="6"/>
        <v>#DIV/0!</v>
      </c>
      <c r="H588" s="22" t="str">
        <f t="shared" si="4"/>
        <v/>
      </c>
      <c r="I588" s="22" t="str">
        <f t="shared" si="1"/>
        <v>#N/A</v>
      </c>
      <c r="J588" s="22" t="str">
        <f t="shared" si="2"/>
        <v>#N/A</v>
      </c>
      <c r="K588" s="22" t="str">
        <f t="array" ref="K588">IF(H588="Crash",MATCH(TRUE, B589:B686 &gt;= B587, 0),"")</f>
        <v/>
      </c>
    </row>
    <row r="589" ht="15.75" customHeight="1">
      <c r="A589" s="31" t="str">
        <f>'EQUITY BACKTEST'!A592</f>
        <v/>
      </c>
      <c r="B589" s="22" t="str">
        <f>'EQUITY BACKTEST'!B592</f>
        <v/>
      </c>
      <c r="C589" s="22" t="str">
        <f>1/'EQUITY BACKTEST'!E592</f>
        <v>#DIV/0!</v>
      </c>
      <c r="D589" s="22" t="str">
        <f t="shared" si="5"/>
        <v>#DIV/0!</v>
      </c>
      <c r="E589" s="22" t="str">
        <f t="shared" si="3"/>
        <v/>
      </c>
      <c r="F589" s="22" t="str">
        <f t="shared" si="6"/>
        <v>#DIV/0!</v>
      </c>
      <c r="H589" s="22" t="str">
        <f t="shared" si="4"/>
        <v/>
      </c>
      <c r="I589" s="22" t="str">
        <f t="shared" si="1"/>
        <v>#N/A</v>
      </c>
      <c r="J589" s="22" t="str">
        <f t="shared" si="2"/>
        <v>#N/A</v>
      </c>
      <c r="K589" s="22" t="str">
        <f t="array" ref="K589">IF(H589="Crash",MATCH(TRUE, B590:B687 &gt;= B588, 0),"")</f>
        <v/>
      </c>
    </row>
    <row r="590" ht="15.75" customHeight="1">
      <c r="A590" s="31" t="str">
        <f>'EQUITY BACKTEST'!A593</f>
        <v/>
      </c>
      <c r="B590" s="22" t="str">
        <f>'EQUITY BACKTEST'!B593</f>
        <v/>
      </c>
      <c r="C590" s="22" t="str">
        <f>1/'EQUITY BACKTEST'!E593</f>
        <v>#DIV/0!</v>
      </c>
      <c r="D590" s="22" t="str">
        <f t="shared" si="5"/>
        <v>#DIV/0!</v>
      </c>
      <c r="E590" s="22" t="str">
        <f t="shared" si="3"/>
        <v/>
      </c>
      <c r="F590" s="22" t="str">
        <f t="shared" si="6"/>
        <v>#DIV/0!</v>
      </c>
      <c r="H590" s="22" t="str">
        <f t="shared" si="4"/>
        <v/>
      </c>
      <c r="I590" s="22" t="str">
        <f t="shared" si="1"/>
        <v>#N/A</v>
      </c>
      <c r="J590" s="22" t="str">
        <f t="shared" si="2"/>
        <v>#N/A</v>
      </c>
      <c r="K590" s="22" t="str">
        <f t="array" ref="K590">IF(H590="Crash",MATCH(TRUE, B591:B688 &gt;= B589, 0),"")</f>
        <v/>
      </c>
    </row>
    <row r="591" ht="15.75" customHeight="1">
      <c r="A591" s="31" t="str">
        <f>'EQUITY BACKTEST'!A594</f>
        <v/>
      </c>
      <c r="B591" s="22" t="str">
        <f>'EQUITY BACKTEST'!B594</f>
        <v/>
      </c>
      <c r="C591" s="22" t="str">
        <f>1/'EQUITY BACKTEST'!E594</f>
        <v>#DIV/0!</v>
      </c>
      <c r="D591" s="22" t="str">
        <f t="shared" si="5"/>
        <v>#DIV/0!</v>
      </c>
      <c r="E591" s="22" t="str">
        <f t="shared" si="3"/>
        <v/>
      </c>
      <c r="F591" s="22" t="str">
        <f t="shared" si="6"/>
        <v>#DIV/0!</v>
      </c>
      <c r="H591" s="22" t="str">
        <f t="shared" si="4"/>
        <v/>
      </c>
      <c r="I591" s="22" t="str">
        <f t="shared" si="1"/>
        <v>#N/A</v>
      </c>
      <c r="J591" s="22" t="str">
        <f t="shared" si="2"/>
        <v>#N/A</v>
      </c>
      <c r="K591" s="22" t="str">
        <f t="array" ref="K591">IF(H591="Crash",MATCH(TRUE, B592:B689 &gt;= B590, 0),"")</f>
        <v/>
      </c>
    </row>
    <row r="592" ht="15.75" customHeight="1">
      <c r="A592" s="31" t="str">
        <f>'EQUITY BACKTEST'!A595</f>
        <v/>
      </c>
      <c r="B592" s="22" t="str">
        <f>'EQUITY BACKTEST'!B595</f>
        <v/>
      </c>
      <c r="C592" s="22" t="str">
        <f>1/'EQUITY BACKTEST'!E595</f>
        <v>#DIV/0!</v>
      </c>
      <c r="D592" s="22" t="str">
        <f t="shared" si="5"/>
        <v>#DIV/0!</v>
      </c>
      <c r="E592" s="22" t="str">
        <f t="shared" si="3"/>
        <v/>
      </c>
      <c r="F592" s="22" t="str">
        <f t="shared" si="6"/>
        <v>#DIV/0!</v>
      </c>
      <c r="H592" s="22" t="str">
        <f t="shared" si="4"/>
        <v/>
      </c>
      <c r="I592" s="22" t="str">
        <f t="shared" si="1"/>
        <v>#N/A</v>
      </c>
      <c r="J592" s="22" t="str">
        <f t="shared" si="2"/>
        <v>#N/A</v>
      </c>
      <c r="K592" s="22" t="str">
        <f t="array" ref="K592">IF(H592="Crash",MATCH(TRUE, B593:B690 &gt;= B591, 0),"")</f>
        <v/>
      </c>
    </row>
    <row r="593" ht="15.75" customHeight="1">
      <c r="A593" s="31" t="str">
        <f>'EQUITY BACKTEST'!A596</f>
        <v/>
      </c>
      <c r="B593" s="22" t="str">
        <f>'EQUITY BACKTEST'!B596</f>
        <v/>
      </c>
      <c r="C593" s="22" t="str">
        <f>1/'EQUITY BACKTEST'!E596</f>
        <v>#DIV/0!</v>
      </c>
      <c r="D593" s="22" t="str">
        <f t="shared" si="5"/>
        <v>#DIV/0!</v>
      </c>
      <c r="E593" s="22" t="str">
        <f t="shared" si="3"/>
        <v/>
      </c>
      <c r="F593" s="22" t="str">
        <f t="shared" si="6"/>
        <v>#DIV/0!</v>
      </c>
      <c r="H593" s="22" t="str">
        <f t="shared" si="4"/>
        <v/>
      </c>
      <c r="I593" s="22" t="str">
        <f t="shared" si="1"/>
        <v>#N/A</v>
      </c>
      <c r="J593" s="22" t="str">
        <f t="shared" si="2"/>
        <v>#N/A</v>
      </c>
      <c r="K593" s="22" t="str">
        <f t="array" ref="K593">IF(H593="Crash",MATCH(TRUE, B594:B691 &gt;= B592, 0),"")</f>
        <v/>
      </c>
    </row>
    <row r="594" ht="15.75" customHeight="1">
      <c r="A594" s="31" t="str">
        <f>'EQUITY BACKTEST'!A597</f>
        <v/>
      </c>
      <c r="B594" s="22" t="str">
        <f>'EQUITY BACKTEST'!B597</f>
        <v/>
      </c>
      <c r="C594" s="22" t="str">
        <f>1/'EQUITY BACKTEST'!E597</f>
        <v>#DIV/0!</v>
      </c>
      <c r="D594" s="22" t="str">
        <f t="shared" si="5"/>
        <v>#DIV/0!</v>
      </c>
      <c r="E594" s="22" t="str">
        <f t="shared" si="3"/>
        <v/>
      </c>
      <c r="F594" s="22" t="str">
        <f t="shared" si="6"/>
        <v>#DIV/0!</v>
      </c>
      <c r="H594" s="22" t="str">
        <f t="shared" si="4"/>
        <v/>
      </c>
      <c r="I594" s="22" t="str">
        <f t="shared" si="1"/>
        <v>#N/A</v>
      </c>
      <c r="J594" s="22" t="str">
        <f t="shared" si="2"/>
        <v>#N/A</v>
      </c>
      <c r="K594" s="22" t="str">
        <f t="array" ref="K594">IF(H594="Crash",MATCH(TRUE, B595:B692 &gt;= B593, 0),"")</f>
        <v/>
      </c>
    </row>
    <row r="595" ht="15.75" customHeight="1">
      <c r="A595" s="31" t="str">
        <f>'EQUITY BACKTEST'!A598</f>
        <v/>
      </c>
      <c r="B595" s="22" t="str">
        <f>'EQUITY BACKTEST'!B598</f>
        <v/>
      </c>
      <c r="C595" s="22" t="str">
        <f>1/'EQUITY BACKTEST'!E598</f>
        <v>#DIV/0!</v>
      </c>
      <c r="D595" s="22" t="str">
        <f t="shared" si="5"/>
        <v>#DIV/0!</v>
      </c>
      <c r="E595" s="22" t="str">
        <f t="shared" si="3"/>
        <v/>
      </c>
      <c r="F595" s="22" t="str">
        <f t="shared" si="6"/>
        <v>#DIV/0!</v>
      </c>
      <c r="H595" s="22" t="str">
        <f t="shared" si="4"/>
        <v/>
      </c>
      <c r="I595" s="22" t="str">
        <f t="shared" si="1"/>
        <v>#N/A</v>
      </c>
      <c r="J595" s="22" t="str">
        <f t="shared" si="2"/>
        <v>#N/A</v>
      </c>
      <c r="K595" s="22" t="str">
        <f t="array" ref="K595">IF(H595="Crash",MATCH(TRUE, B596:B693 &gt;= B594, 0),"")</f>
        <v/>
      </c>
    </row>
    <row r="596" ht="15.75" customHeight="1">
      <c r="A596" s="31" t="str">
        <f>'EQUITY BACKTEST'!A599</f>
        <v/>
      </c>
      <c r="B596" s="22" t="str">
        <f>'EQUITY BACKTEST'!B599</f>
        <v/>
      </c>
      <c r="C596" s="22" t="str">
        <f>1/'EQUITY BACKTEST'!E599</f>
        <v>#DIV/0!</v>
      </c>
      <c r="D596" s="22" t="str">
        <f t="shared" si="5"/>
        <v>#DIV/0!</v>
      </c>
      <c r="E596" s="22" t="str">
        <f t="shared" si="3"/>
        <v/>
      </c>
      <c r="F596" s="22" t="str">
        <f t="shared" si="6"/>
        <v>#DIV/0!</v>
      </c>
      <c r="H596" s="22" t="str">
        <f t="shared" si="4"/>
        <v/>
      </c>
      <c r="I596" s="22" t="str">
        <f t="shared" si="1"/>
        <v>#N/A</v>
      </c>
      <c r="J596" s="22" t="str">
        <f t="shared" si="2"/>
        <v>#N/A</v>
      </c>
      <c r="K596" s="22" t="str">
        <f t="array" ref="K596">IF(H596="Crash",MATCH(TRUE, B597:B694 &gt;= B595, 0),"")</f>
        <v/>
      </c>
    </row>
    <row r="597" ht="15.75" customHeight="1">
      <c r="A597" s="31" t="str">
        <f>'EQUITY BACKTEST'!A600</f>
        <v/>
      </c>
      <c r="B597" s="22" t="str">
        <f>'EQUITY BACKTEST'!B600</f>
        <v/>
      </c>
      <c r="C597" s="22" t="str">
        <f>1/'EQUITY BACKTEST'!E600</f>
        <v>#DIV/0!</v>
      </c>
      <c r="D597" s="22" t="str">
        <f t="shared" si="5"/>
        <v>#DIV/0!</v>
      </c>
      <c r="E597" s="22" t="str">
        <f t="shared" si="3"/>
        <v/>
      </c>
      <c r="F597" s="22" t="str">
        <f t="shared" si="6"/>
        <v>#DIV/0!</v>
      </c>
      <c r="H597" s="22" t="str">
        <f t="shared" si="4"/>
        <v/>
      </c>
      <c r="I597" s="22" t="str">
        <f t="shared" si="1"/>
        <v>#N/A</v>
      </c>
      <c r="J597" s="22" t="str">
        <f t="shared" si="2"/>
        <v>#N/A</v>
      </c>
      <c r="K597" s="22" t="str">
        <f t="array" ref="K597">IF(H597="Crash",MATCH(TRUE, B598:B695 &gt;= B596, 0),"")</f>
        <v/>
      </c>
    </row>
    <row r="598" ht="15.75" customHeight="1">
      <c r="A598" s="31" t="str">
        <f>'EQUITY BACKTEST'!A601</f>
        <v/>
      </c>
      <c r="B598" s="22" t="str">
        <f>'EQUITY BACKTEST'!B601</f>
        <v/>
      </c>
      <c r="C598" s="22" t="str">
        <f>1/'EQUITY BACKTEST'!E601</f>
        <v>#DIV/0!</v>
      </c>
      <c r="D598" s="22" t="str">
        <f t="shared" si="5"/>
        <v>#DIV/0!</v>
      </c>
      <c r="E598" s="22" t="str">
        <f t="shared" si="3"/>
        <v/>
      </c>
      <c r="F598" s="22" t="str">
        <f t="shared" si="6"/>
        <v>#DIV/0!</v>
      </c>
      <c r="H598" s="22" t="str">
        <f t="shared" si="4"/>
        <v/>
      </c>
      <c r="I598" s="22" t="str">
        <f t="shared" si="1"/>
        <v>#N/A</v>
      </c>
      <c r="J598" s="22" t="str">
        <f t="shared" si="2"/>
        <v>#N/A</v>
      </c>
      <c r="K598" s="22" t="str">
        <f t="array" ref="K598">IF(H598="Crash",MATCH(TRUE, B599:B696 &gt;= B597, 0),"")</f>
        <v/>
      </c>
    </row>
    <row r="599" ht="15.75" customHeight="1">
      <c r="A599" s="31" t="str">
        <f>'EQUITY BACKTEST'!A602</f>
        <v/>
      </c>
      <c r="B599" s="22" t="str">
        <f>'EQUITY BACKTEST'!B602</f>
        <v/>
      </c>
      <c r="C599" s="22" t="str">
        <f>1/'EQUITY BACKTEST'!E602</f>
        <v>#DIV/0!</v>
      </c>
      <c r="D599" s="22" t="str">
        <f t="shared" si="5"/>
        <v>#DIV/0!</v>
      </c>
      <c r="E599" s="22" t="str">
        <f t="shared" si="3"/>
        <v/>
      </c>
      <c r="F599" s="22" t="str">
        <f t="shared" si="6"/>
        <v>#DIV/0!</v>
      </c>
      <c r="H599" s="22" t="str">
        <f t="shared" si="4"/>
        <v/>
      </c>
      <c r="I599" s="22" t="str">
        <f t="shared" si="1"/>
        <v>#N/A</v>
      </c>
      <c r="J599" s="22" t="str">
        <f t="shared" si="2"/>
        <v>#N/A</v>
      </c>
      <c r="K599" s="22" t="str">
        <f t="array" ref="K599">IF(H599="Crash",MATCH(TRUE, B600:B697 &gt;= B598, 0),"")</f>
        <v/>
      </c>
    </row>
    <row r="600" ht="15.75" customHeight="1">
      <c r="A600" s="31" t="str">
        <f>'EQUITY BACKTEST'!A603</f>
        <v/>
      </c>
      <c r="B600" s="22" t="str">
        <f>'EQUITY BACKTEST'!B603</f>
        <v/>
      </c>
      <c r="C600" s="22" t="str">
        <f>1/'EQUITY BACKTEST'!E603</f>
        <v>#DIV/0!</v>
      </c>
      <c r="D600" s="22" t="str">
        <f t="shared" si="5"/>
        <v>#DIV/0!</v>
      </c>
      <c r="E600" s="22" t="str">
        <f t="shared" si="3"/>
        <v/>
      </c>
      <c r="F600" s="22" t="str">
        <f t="shared" si="6"/>
        <v>#DIV/0!</v>
      </c>
      <c r="H600" s="22" t="str">
        <f t="shared" si="4"/>
        <v/>
      </c>
      <c r="I600" s="22" t="str">
        <f t="shared" si="1"/>
        <v>#N/A</v>
      </c>
      <c r="J600" s="22" t="str">
        <f t="shared" si="2"/>
        <v>#N/A</v>
      </c>
      <c r="K600" s="22" t="str">
        <f t="array" ref="K600">IF(H600="Crash",MATCH(TRUE, B601:B698 &gt;= B599, 0),"")</f>
        <v/>
      </c>
    </row>
    <row r="601" ht="15.75" customHeight="1">
      <c r="A601" s="31" t="str">
        <f>'EQUITY BACKTEST'!A604</f>
        <v/>
      </c>
      <c r="B601" s="22" t="str">
        <f>'EQUITY BACKTEST'!B604</f>
        <v/>
      </c>
      <c r="C601" s="22" t="str">
        <f>1/'EQUITY BACKTEST'!E604</f>
        <v>#DIV/0!</v>
      </c>
      <c r="D601" s="22" t="str">
        <f t="shared" si="5"/>
        <v>#DIV/0!</v>
      </c>
      <c r="E601" s="22" t="str">
        <f t="shared" si="3"/>
        <v/>
      </c>
      <c r="F601" s="22" t="str">
        <f t="shared" si="6"/>
        <v>#DIV/0!</v>
      </c>
      <c r="H601" s="22" t="str">
        <f t="shared" si="4"/>
        <v/>
      </c>
      <c r="I601" s="22" t="str">
        <f t="shared" si="1"/>
        <v>#N/A</v>
      </c>
      <c r="J601" s="22" t="str">
        <f t="shared" si="2"/>
        <v>#N/A</v>
      </c>
      <c r="K601" s="22" t="str">
        <f t="array" ref="K601">IF(H601="Crash",MATCH(TRUE, B602:B699 &gt;= B600, 0),"")</f>
        <v/>
      </c>
    </row>
    <row r="602" ht="15.75" customHeight="1">
      <c r="A602" s="31" t="str">
        <f>'EQUITY BACKTEST'!A605</f>
        <v/>
      </c>
      <c r="B602" s="22" t="str">
        <f>'EQUITY BACKTEST'!B605</f>
        <v/>
      </c>
      <c r="C602" s="22" t="str">
        <f>1/'EQUITY BACKTEST'!E605</f>
        <v>#DIV/0!</v>
      </c>
      <c r="D602" s="22" t="str">
        <f t="shared" si="5"/>
        <v>#DIV/0!</v>
      </c>
      <c r="E602" s="22" t="str">
        <f t="shared" si="3"/>
        <v/>
      </c>
      <c r="F602" s="22" t="str">
        <f t="shared" si="6"/>
        <v>#DIV/0!</v>
      </c>
      <c r="H602" s="22" t="str">
        <f t="shared" si="4"/>
        <v/>
      </c>
      <c r="I602" s="22" t="str">
        <f t="shared" si="1"/>
        <v>#N/A</v>
      </c>
      <c r="J602" s="22" t="str">
        <f t="shared" si="2"/>
        <v>#N/A</v>
      </c>
      <c r="K602" s="22" t="str">
        <f t="array" ref="K602">IF(H602="Crash",MATCH(TRUE, B603:B700 &gt;= B601, 0),"")</f>
        <v/>
      </c>
    </row>
    <row r="603" ht="15.75" customHeight="1">
      <c r="A603" s="31" t="str">
        <f>'EQUITY BACKTEST'!A606</f>
        <v/>
      </c>
      <c r="B603" s="22" t="str">
        <f>'EQUITY BACKTEST'!B606</f>
        <v/>
      </c>
      <c r="C603" s="22" t="str">
        <f>1/'EQUITY BACKTEST'!E606</f>
        <v>#DIV/0!</v>
      </c>
      <c r="D603" s="22" t="str">
        <f t="shared" si="5"/>
        <v>#DIV/0!</v>
      </c>
      <c r="E603" s="22" t="str">
        <f t="shared" si="3"/>
        <v/>
      </c>
      <c r="F603" s="22" t="str">
        <f t="shared" si="6"/>
        <v>#DIV/0!</v>
      </c>
      <c r="H603" s="22" t="str">
        <f t="shared" si="4"/>
        <v/>
      </c>
      <c r="I603" s="22" t="str">
        <f t="shared" si="1"/>
        <v>#N/A</v>
      </c>
      <c r="J603" s="22" t="str">
        <f t="shared" si="2"/>
        <v>#N/A</v>
      </c>
      <c r="K603" s="22" t="str">
        <f t="array" ref="K603">IF(H603="Crash",MATCH(TRUE, B604:B701 &gt;= B602, 0),"")</f>
        <v/>
      </c>
    </row>
    <row r="604" ht="15.75" customHeight="1">
      <c r="A604" s="31" t="str">
        <f>'EQUITY BACKTEST'!A607</f>
        <v/>
      </c>
      <c r="B604" s="22" t="str">
        <f>'EQUITY BACKTEST'!B607</f>
        <v/>
      </c>
      <c r="C604" s="22" t="str">
        <f>1/'EQUITY BACKTEST'!E607</f>
        <v>#DIV/0!</v>
      </c>
      <c r="D604" s="22" t="str">
        <f t="shared" si="5"/>
        <v>#DIV/0!</v>
      </c>
      <c r="E604" s="22" t="str">
        <f t="shared" si="3"/>
        <v/>
      </c>
      <c r="F604" s="22" t="str">
        <f t="shared" si="6"/>
        <v>#DIV/0!</v>
      </c>
      <c r="H604" s="22" t="str">
        <f t="shared" si="4"/>
        <v/>
      </c>
      <c r="I604" s="22" t="str">
        <f t="shared" si="1"/>
        <v>#N/A</v>
      </c>
      <c r="J604" s="22" t="str">
        <f t="shared" si="2"/>
        <v>#N/A</v>
      </c>
      <c r="K604" s="22" t="str">
        <f t="array" ref="K604">IF(H604="Crash",MATCH(TRUE, B605:B702 &gt;= B603, 0),"")</f>
        <v/>
      </c>
    </row>
    <row r="605" ht="15.75" customHeight="1">
      <c r="A605" s="31" t="str">
        <f>'EQUITY BACKTEST'!A608</f>
        <v/>
      </c>
      <c r="B605" s="22" t="str">
        <f>'EQUITY BACKTEST'!B608</f>
        <v/>
      </c>
      <c r="C605" s="22" t="str">
        <f>1/'EQUITY BACKTEST'!E608</f>
        <v>#DIV/0!</v>
      </c>
      <c r="D605" s="22" t="str">
        <f t="shared" si="5"/>
        <v>#DIV/0!</v>
      </c>
      <c r="E605" s="22" t="str">
        <f t="shared" si="3"/>
        <v/>
      </c>
      <c r="F605" s="22" t="str">
        <f t="shared" si="6"/>
        <v>#DIV/0!</v>
      </c>
      <c r="H605" s="22" t="str">
        <f t="shared" si="4"/>
        <v/>
      </c>
      <c r="I605" s="22" t="str">
        <f t="shared" si="1"/>
        <v>#N/A</v>
      </c>
      <c r="J605" s="22" t="str">
        <f t="shared" si="2"/>
        <v>#N/A</v>
      </c>
      <c r="K605" s="22" t="str">
        <f t="array" ref="K605">IF(H605="Crash",MATCH(TRUE, B606:B703 &gt;= B604, 0),"")</f>
        <v/>
      </c>
    </row>
    <row r="606" ht="15.75" customHeight="1">
      <c r="A606" s="31" t="str">
        <f>'EQUITY BACKTEST'!A609</f>
        <v/>
      </c>
      <c r="B606" s="22" t="str">
        <f>'EQUITY BACKTEST'!B609</f>
        <v/>
      </c>
      <c r="C606" s="22" t="str">
        <f>1/'EQUITY BACKTEST'!E609</f>
        <v>#DIV/0!</v>
      </c>
      <c r="D606" s="22" t="str">
        <f t="shared" si="5"/>
        <v>#DIV/0!</v>
      </c>
      <c r="E606" s="22" t="str">
        <f t="shared" si="3"/>
        <v/>
      </c>
      <c r="F606" s="22" t="str">
        <f t="shared" si="6"/>
        <v>#DIV/0!</v>
      </c>
      <c r="H606" s="22" t="str">
        <f t="shared" si="4"/>
        <v/>
      </c>
      <c r="I606" s="22" t="str">
        <f t="shared" si="1"/>
        <v>#N/A</v>
      </c>
      <c r="J606" s="22" t="str">
        <f t="shared" si="2"/>
        <v>#N/A</v>
      </c>
      <c r="K606" s="22" t="str">
        <f t="array" ref="K606">IF(H606="Crash",MATCH(TRUE, B607:B704 &gt;= B605, 0),"")</f>
        <v/>
      </c>
    </row>
    <row r="607" ht="15.75" customHeight="1">
      <c r="A607" s="31" t="str">
        <f>'EQUITY BACKTEST'!A610</f>
        <v/>
      </c>
      <c r="B607" s="22" t="str">
        <f>'EQUITY BACKTEST'!B610</f>
        <v/>
      </c>
      <c r="C607" s="22" t="str">
        <f>1/'EQUITY BACKTEST'!E610</f>
        <v>#DIV/0!</v>
      </c>
      <c r="D607" s="22" t="str">
        <f t="shared" si="5"/>
        <v>#DIV/0!</v>
      </c>
      <c r="E607" s="22" t="str">
        <f t="shared" si="3"/>
        <v/>
      </c>
      <c r="F607" s="22" t="str">
        <f t="shared" si="6"/>
        <v>#DIV/0!</v>
      </c>
      <c r="H607" s="22" t="str">
        <f t="shared" si="4"/>
        <v/>
      </c>
      <c r="I607" s="22" t="str">
        <f t="shared" si="1"/>
        <v>#N/A</v>
      </c>
      <c r="J607" s="22" t="str">
        <f t="shared" si="2"/>
        <v>#N/A</v>
      </c>
      <c r="K607" s="22" t="str">
        <f t="array" ref="K607">IF(H607="Crash",MATCH(TRUE, B608:B705 &gt;= B606, 0),"")</f>
        <v/>
      </c>
    </row>
    <row r="608" ht="15.75" customHeight="1">
      <c r="A608" s="31" t="str">
        <f>'EQUITY BACKTEST'!A611</f>
        <v/>
      </c>
      <c r="B608" s="22" t="str">
        <f>'EQUITY BACKTEST'!B611</f>
        <v/>
      </c>
      <c r="C608" s="22" t="str">
        <f>1/'EQUITY BACKTEST'!E611</f>
        <v>#DIV/0!</v>
      </c>
      <c r="D608" s="22" t="str">
        <f t="shared" si="5"/>
        <v>#DIV/0!</v>
      </c>
      <c r="E608" s="22" t="str">
        <f t="shared" si="3"/>
        <v/>
      </c>
      <c r="F608" s="22" t="str">
        <f t="shared" si="6"/>
        <v>#DIV/0!</v>
      </c>
      <c r="H608" s="22" t="str">
        <f t="shared" si="4"/>
        <v/>
      </c>
      <c r="I608" s="22" t="str">
        <f t="shared" si="1"/>
        <v>#N/A</v>
      </c>
      <c r="J608" s="22" t="str">
        <f t="shared" si="2"/>
        <v>#N/A</v>
      </c>
      <c r="K608" s="22" t="str">
        <f t="array" ref="K608">IF(H608="Crash",MATCH(TRUE, B609:B706 &gt;= B607, 0),"")</f>
        <v/>
      </c>
    </row>
    <row r="609" ht="15.75" customHeight="1">
      <c r="A609" s="31" t="str">
        <f>'EQUITY BACKTEST'!A612</f>
        <v/>
      </c>
      <c r="B609" s="22" t="str">
        <f>'EQUITY BACKTEST'!B612</f>
        <v/>
      </c>
      <c r="C609" s="22" t="str">
        <f>1/'EQUITY BACKTEST'!E612</f>
        <v>#DIV/0!</v>
      </c>
      <c r="D609" s="22" t="str">
        <f t="shared" si="5"/>
        <v>#DIV/0!</v>
      </c>
      <c r="E609" s="22" t="str">
        <f t="shared" si="3"/>
        <v/>
      </c>
      <c r="F609" s="22" t="str">
        <f t="shared" si="6"/>
        <v>#DIV/0!</v>
      </c>
      <c r="H609" s="22" t="str">
        <f t="shared" si="4"/>
        <v/>
      </c>
      <c r="I609" s="22" t="str">
        <f t="shared" si="1"/>
        <v>#N/A</v>
      </c>
      <c r="J609" s="22" t="str">
        <f t="shared" si="2"/>
        <v>#N/A</v>
      </c>
      <c r="K609" s="22" t="str">
        <f t="array" ref="K609">IF(H609="Crash",MATCH(TRUE, B610:B707 &gt;= B608, 0),"")</f>
        <v/>
      </c>
    </row>
    <row r="610" ht="15.75" customHeight="1">
      <c r="A610" s="31" t="str">
        <f>'EQUITY BACKTEST'!A613</f>
        <v/>
      </c>
      <c r="B610" s="22" t="str">
        <f>'EQUITY BACKTEST'!B613</f>
        <v/>
      </c>
      <c r="C610" s="22" t="str">
        <f>1/'EQUITY BACKTEST'!E613</f>
        <v>#DIV/0!</v>
      </c>
      <c r="D610" s="22" t="str">
        <f t="shared" si="5"/>
        <v>#DIV/0!</v>
      </c>
      <c r="E610" s="22" t="str">
        <f t="shared" si="3"/>
        <v/>
      </c>
      <c r="F610" s="22" t="str">
        <f t="shared" si="6"/>
        <v>#DIV/0!</v>
      </c>
      <c r="H610" s="22" t="str">
        <f t="shared" si="4"/>
        <v/>
      </c>
      <c r="I610" s="22" t="str">
        <f t="shared" si="1"/>
        <v>#N/A</v>
      </c>
      <c r="J610" s="22" t="str">
        <f t="shared" si="2"/>
        <v>#N/A</v>
      </c>
      <c r="K610" s="22" t="str">
        <f t="array" ref="K610">IF(H610="Crash",MATCH(TRUE, B611:B708 &gt;= B609, 0),"")</f>
        <v/>
      </c>
    </row>
    <row r="611" ht="15.75" customHeight="1">
      <c r="A611" s="31" t="str">
        <f>'EQUITY BACKTEST'!A614</f>
        <v/>
      </c>
      <c r="B611" s="22" t="str">
        <f>'EQUITY BACKTEST'!B614</f>
        <v/>
      </c>
      <c r="C611" s="22" t="str">
        <f>1/'EQUITY BACKTEST'!E614</f>
        <v>#DIV/0!</v>
      </c>
      <c r="D611" s="22" t="str">
        <f t="shared" si="5"/>
        <v>#DIV/0!</v>
      </c>
      <c r="E611" s="22" t="str">
        <f t="shared" si="3"/>
        <v/>
      </c>
      <c r="F611" s="22" t="str">
        <f t="shared" si="6"/>
        <v>#DIV/0!</v>
      </c>
      <c r="H611" s="22" t="str">
        <f t="shared" si="4"/>
        <v/>
      </c>
      <c r="I611" s="22" t="str">
        <f t="shared" si="1"/>
        <v>#N/A</v>
      </c>
      <c r="J611" s="22" t="str">
        <f t="shared" si="2"/>
        <v>#N/A</v>
      </c>
      <c r="K611" s="22" t="str">
        <f t="array" ref="K611">IF(H611="Crash",MATCH(TRUE, B612:B709 &gt;= B610, 0),"")</f>
        <v/>
      </c>
    </row>
    <row r="612" ht="15.75" customHeight="1">
      <c r="A612" s="31" t="str">
        <f>'EQUITY BACKTEST'!A615</f>
        <v/>
      </c>
      <c r="B612" s="22" t="str">
        <f>'EQUITY BACKTEST'!B615</f>
        <v/>
      </c>
      <c r="C612" s="22" t="str">
        <f>1/'EQUITY BACKTEST'!E615</f>
        <v>#DIV/0!</v>
      </c>
      <c r="D612" s="22" t="str">
        <f t="shared" si="5"/>
        <v>#DIV/0!</v>
      </c>
      <c r="E612" s="22" t="str">
        <f t="shared" si="3"/>
        <v/>
      </c>
      <c r="F612" s="22" t="str">
        <f t="shared" si="6"/>
        <v>#DIV/0!</v>
      </c>
      <c r="H612" s="22" t="str">
        <f t="shared" si="4"/>
        <v/>
      </c>
      <c r="I612" s="22" t="str">
        <f t="shared" si="1"/>
        <v>#N/A</v>
      </c>
      <c r="J612" s="22" t="str">
        <f t="shared" si="2"/>
        <v>#N/A</v>
      </c>
      <c r="K612" s="22" t="str">
        <f t="array" ref="K612">IF(H612="Crash",MATCH(TRUE, B613:B710 &gt;= B611, 0),"")</f>
        <v/>
      </c>
    </row>
    <row r="613" ht="15.75" customHeight="1">
      <c r="A613" s="31" t="str">
        <f>'EQUITY BACKTEST'!A616</f>
        <v/>
      </c>
      <c r="B613" s="22" t="str">
        <f>'EQUITY BACKTEST'!B616</f>
        <v/>
      </c>
      <c r="C613" s="22" t="str">
        <f>1/'EQUITY BACKTEST'!E616</f>
        <v>#DIV/0!</v>
      </c>
      <c r="D613" s="22" t="str">
        <f t="shared" si="5"/>
        <v>#DIV/0!</v>
      </c>
      <c r="E613" s="22" t="str">
        <f t="shared" si="3"/>
        <v/>
      </c>
      <c r="F613" s="22" t="str">
        <f t="shared" si="6"/>
        <v>#DIV/0!</v>
      </c>
      <c r="H613" s="22" t="str">
        <f t="shared" si="4"/>
        <v/>
      </c>
      <c r="I613" s="22" t="str">
        <f t="shared" si="1"/>
        <v>#N/A</v>
      </c>
      <c r="J613" s="22" t="str">
        <f t="shared" si="2"/>
        <v>#N/A</v>
      </c>
      <c r="K613" s="22" t="str">
        <f t="array" ref="K613">IF(H613="Crash",MATCH(TRUE, B614:B711 &gt;= B612, 0),"")</f>
        <v/>
      </c>
    </row>
    <row r="614" ht="15.75" customHeight="1">
      <c r="A614" s="31" t="str">
        <f>'EQUITY BACKTEST'!A617</f>
        <v/>
      </c>
      <c r="B614" s="22" t="str">
        <f>'EQUITY BACKTEST'!B617</f>
        <v/>
      </c>
      <c r="C614" s="22" t="str">
        <f>1/'EQUITY BACKTEST'!E617</f>
        <v>#DIV/0!</v>
      </c>
      <c r="D614" s="22" t="str">
        <f t="shared" si="5"/>
        <v>#DIV/0!</v>
      </c>
      <c r="E614" s="22" t="str">
        <f t="shared" si="3"/>
        <v/>
      </c>
      <c r="F614" s="22" t="str">
        <f t="shared" si="6"/>
        <v>#DIV/0!</v>
      </c>
      <c r="H614" s="22" t="str">
        <f t="shared" si="4"/>
        <v/>
      </c>
      <c r="I614" s="22" t="str">
        <f t="shared" si="1"/>
        <v>#N/A</v>
      </c>
      <c r="J614" s="22" t="str">
        <f t="shared" si="2"/>
        <v>#N/A</v>
      </c>
      <c r="K614" s="22" t="str">
        <f t="array" ref="K614">IF(H614="Crash",MATCH(TRUE, B615:B712 &gt;= B613, 0),"")</f>
        <v/>
      </c>
    </row>
    <row r="615" ht="15.75" customHeight="1">
      <c r="A615" s="31" t="str">
        <f>'EQUITY BACKTEST'!A618</f>
        <v/>
      </c>
      <c r="B615" s="22" t="str">
        <f>'EQUITY BACKTEST'!B618</f>
        <v/>
      </c>
      <c r="C615" s="22" t="str">
        <f>1/'EQUITY BACKTEST'!E618</f>
        <v>#DIV/0!</v>
      </c>
      <c r="D615" s="22" t="str">
        <f t="shared" si="5"/>
        <v>#DIV/0!</v>
      </c>
      <c r="E615" s="22" t="str">
        <f t="shared" si="3"/>
        <v/>
      </c>
      <c r="F615" s="22" t="str">
        <f t="shared" si="6"/>
        <v>#DIV/0!</v>
      </c>
      <c r="H615" s="22" t="str">
        <f t="shared" si="4"/>
        <v/>
      </c>
      <c r="I615" s="22" t="str">
        <f t="shared" si="1"/>
        <v>#N/A</v>
      </c>
      <c r="J615" s="22" t="str">
        <f t="shared" si="2"/>
        <v>#N/A</v>
      </c>
      <c r="K615" s="22" t="str">
        <f t="array" ref="K615">IF(H615="Crash",MATCH(TRUE, B616:B713 &gt;= B614, 0),"")</f>
        <v/>
      </c>
    </row>
    <row r="616" ht="15.75" customHeight="1">
      <c r="A616" s="31" t="str">
        <f>'EQUITY BACKTEST'!A619</f>
        <v/>
      </c>
      <c r="B616" s="22" t="str">
        <f>'EQUITY BACKTEST'!B619</f>
        <v/>
      </c>
      <c r="C616" s="22" t="str">
        <f>1/'EQUITY BACKTEST'!E619</f>
        <v>#DIV/0!</v>
      </c>
      <c r="D616" s="22" t="str">
        <f t="shared" si="5"/>
        <v>#DIV/0!</v>
      </c>
      <c r="E616" s="22" t="str">
        <f t="shared" si="3"/>
        <v/>
      </c>
      <c r="F616" s="22" t="str">
        <f t="shared" si="6"/>
        <v>#DIV/0!</v>
      </c>
      <c r="H616" s="22" t="str">
        <f t="shared" si="4"/>
        <v/>
      </c>
      <c r="I616" s="22" t="str">
        <f t="shared" si="1"/>
        <v>#N/A</v>
      </c>
      <c r="J616" s="22" t="str">
        <f t="shared" si="2"/>
        <v>#N/A</v>
      </c>
      <c r="K616" s="22" t="str">
        <f t="array" ref="K616">IF(H616="Crash",MATCH(TRUE, B617:B714 &gt;= B615, 0),"")</f>
        <v/>
      </c>
    </row>
    <row r="617" ht="15.75" customHeight="1">
      <c r="A617" s="31" t="str">
        <f>'EQUITY BACKTEST'!A620</f>
        <v/>
      </c>
      <c r="B617" s="22" t="str">
        <f>'EQUITY BACKTEST'!B620</f>
        <v/>
      </c>
      <c r="C617" s="22" t="str">
        <f>1/'EQUITY BACKTEST'!E620</f>
        <v>#DIV/0!</v>
      </c>
      <c r="D617" s="22" t="str">
        <f t="shared" si="5"/>
        <v>#DIV/0!</v>
      </c>
      <c r="E617" s="22" t="str">
        <f t="shared" si="3"/>
        <v/>
      </c>
      <c r="F617" s="22" t="str">
        <f t="shared" si="6"/>
        <v>#DIV/0!</v>
      </c>
      <c r="H617" s="22" t="str">
        <f t="shared" si="4"/>
        <v/>
      </c>
      <c r="I617" s="22" t="str">
        <f t="shared" si="1"/>
        <v>#N/A</v>
      </c>
      <c r="J617" s="22" t="str">
        <f t="shared" si="2"/>
        <v>#N/A</v>
      </c>
      <c r="K617" s="22" t="str">
        <f t="array" ref="K617">IF(H617="Crash",MATCH(TRUE, B618:B715 &gt;= B616, 0),"")</f>
        <v/>
      </c>
    </row>
    <row r="618" ht="15.75" customHeight="1">
      <c r="A618" s="31" t="str">
        <f>'EQUITY BACKTEST'!A621</f>
        <v/>
      </c>
      <c r="B618" s="22" t="str">
        <f>'EQUITY BACKTEST'!B621</f>
        <v/>
      </c>
      <c r="C618" s="22" t="str">
        <f>1/'EQUITY BACKTEST'!E621</f>
        <v>#DIV/0!</v>
      </c>
      <c r="D618" s="22" t="str">
        <f t="shared" si="5"/>
        <v>#DIV/0!</v>
      </c>
      <c r="E618" s="22" t="str">
        <f t="shared" si="3"/>
        <v/>
      </c>
      <c r="F618" s="22" t="str">
        <f t="shared" si="6"/>
        <v>#DIV/0!</v>
      </c>
      <c r="H618" s="22" t="str">
        <f t="shared" si="4"/>
        <v/>
      </c>
      <c r="I618" s="22" t="str">
        <f t="shared" si="1"/>
        <v>#N/A</v>
      </c>
      <c r="J618" s="22" t="str">
        <f t="shared" si="2"/>
        <v>#N/A</v>
      </c>
      <c r="K618" s="22" t="str">
        <f t="array" ref="K618">IF(H618="Crash",MATCH(TRUE, B619:B716 &gt;= B617, 0),"")</f>
        <v/>
      </c>
    </row>
    <row r="619" ht="15.75" customHeight="1">
      <c r="A619" s="31" t="str">
        <f>'EQUITY BACKTEST'!A622</f>
        <v/>
      </c>
      <c r="B619" s="22" t="str">
        <f>'EQUITY BACKTEST'!B622</f>
        <v/>
      </c>
      <c r="C619" s="22" t="str">
        <f>1/'EQUITY BACKTEST'!E622</f>
        <v>#DIV/0!</v>
      </c>
      <c r="D619" s="22" t="str">
        <f t="shared" si="5"/>
        <v>#DIV/0!</v>
      </c>
      <c r="E619" s="22" t="str">
        <f t="shared" si="3"/>
        <v/>
      </c>
      <c r="F619" s="22" t="str">
        <f t="shared" si="6"/>
        <v>#DIV/0!</v>
      </c>
      <c r="H619" s="22" t="str">
        <f t="shared" si="4"/>
        <v/>
      </c>
      <c r="I619" s="22" t="str">
        <f t="shared" si="1"/>
        <v>#N/A</v>
      </c>
      <c r="J619" s="22" t="str">
        <f t="shared" si="2"/>
        <v>#N/A</v>
      </c>
      <c r="K619" s="22" t="str">
        <f t="array" ref="K619">IF(H619="Crash",MATCH(TRUE, B620:B717 &gt;= B618, 0),"")</f>
        <v/>
      </c>
    </row>
    <row r="620" ht="15.75" customHeight="1">
      <c r="A620" s="31" t="str">
        <f>'EQUITY BACKTEST'!A623</f>
        <v/>
      </c>
      <c r="B620" s="22" t="str">
        <f>'EQUITY BACKTEST'!B623</f>
        <v/>
      </c>
      <c r="C620" s="22" t="str">
        <f>1/'EQUITY BACKTEST'!E623</f>
        <v>#DIV/0!</v>
      </c>
      <c r="D620" s="22" t="str">
        <f t="shared" si="5"/>
        <v>#DIV/0!</v>
      </c>
      <c r="E620" s="22" t="str">
        <f t="shared" si="3"/>
        <v/>
      </c>
      <c r="F620" s="22" t="str">
        <f t="shared" si="6"/>
        <v>#DIV/0!</v>
      </c>
      <c r="H620" s="22" t="str">
        <f t="shared" si="4"/>
        <v/>
      </c>
      <c r="I620" s="22" t="str">
        <f t="shared" si="1"/>
        <v>#N/A</v>
      </c>
      <c r="J620" s="22" t="str">
        <f t="shared" si="2"/>
        <v>#N/A</v>
      </c>
      <c r="K620" s="22" t="str">
        <f t="array" ref="K620">IF(H620="Crash",MATCH(TRUE, B621:B718 &gt;= B619, 0),"")</f>
        <v/>
      </c>
    </row>
    <row r="621" ht="15.75" customHeight="1">
      <c r="A621" s="31" t="str">
        <f>'EQUITY BACKTEST'!A624</f>
        <v/>
      </c>
      <c r="B621" s="22" t="str">
        <f>'EQUITY BACKTEST'!B624</f>
        <v/>
      </c>
      <c r="C621" s="22" t="str">
        <f>1/'EQUITY BACKTEST'!E624</f>
        <v>#DIV/0!</v>
      </c>
      <c r="D621" s="22" t="str">
        <f t="shared" si="5"/>
        <v>#DIV/0!</v>
      </c>
      <c r="E621" s="22" t="str">
        <f t="shared" si="3"/>
        <v/>
      </c>
      <c r="F621" s="22" t="str">
        <f t="shared" si="6"/>
        <v>#DIV/0!</v>
      </c>
      <c r="H621" s="22" t="str">
        <f t="shared" si="4"/>
        <v/>
      </c>
      <c r="I621" s="22" t="str">
        <f t="shared" si="1"/>
        <v>#N/A</v>
      </c>
      <c r="J621" s="22" t="str">
        <f t="shared" si="2"/>
        <v>#N/A</v>
      </c>
      <c r="K621" s="22" t="str">
        <f t="array" ref="K621">IF(H621="Crash",MATCH(TRUE, B622:B719 &gt;= B620, 0),"")</f>
        <v/>
      </c>
    </row>
    <row r="622" ht="15.75" customHeight="1">
      <c r="A622" s="31" t="str">
        <f>'EQUITY BACKTEST'!A625</f>
        <v/>
      </c>
      <c r="B622" s="22" t="str">
        <f>'EQUITY BACKTEST'!B625</f>
        <v/>
      </c>
      <c r="C622" s="22" t="str">
        <f>1/'EQUITY BACKTEST'!E625</f>
        <v>#DIV/0!</v>
      </c>
      <c r="D622" s="22" t="str">
        <f t="shared" si="5"/>
        <v>#DIV/0!</v>
      </c>
      <c r="E622" s="22" t="str">
        <f t="shared" si="3"/>
        <v/>
      </c>
      <c r="F622" s="22" t="str">
        <f t="shared" si="6"/>
        <v>#DIV/0!</v>
      </c>
      <c r="H622" s="22" t="str">
        <f t="shared" si="4"/>
        <v/>
      </c>
      <c r="I622" s="22" t="str">
        <f t="shared" si="1"/>
        <v>#N/A</v>
      </c>
      <c r="J622" s="22" t="str">
        <f t="shared" si="2"/>
        <v>#N/A</v>
      </c>
      <c r="K622" s="22" t="str">
        <f t="array" ref="K622">IF(H622="Crash",MATCH(TRUE, B623:B720 &gt;= B621, 0),"")</f>
        <v/>
      </c>
    </row>
    <row r="623" ht="15.75" customHeight="1">
      <c r="A623" s="31" t="str">
        <f>'EQUITY BACKTEST'!A626</f>
        <v/>
      </c>
      <c r="B623" s="22" t="str">
        <f>'EQUITY BACKTEST'!B626</f>
        <v/>
      </c>
      <c r="C623" s="22" t="str">
        <f>1/'EQUITY BACKTEST'!E626</f>
        <v>#DIV/0!</v>
      </c>
      <c r="D623" s="22" t="str">
        <f t="shared" si="5"/>
        <v>#DIV/0!</v>
      </c>
      <c r="E623" s="22" t="str">
        <f t="shared" si="3"/>
        <v/>
      </c>
      <c r="F623" s="22" t="str">
        <f t="shared" si="6"/>
        <v>#DIV/0!</v>
      </c>
      <c r="H623" s="22" t="str">
        <f t="shared" si="4"/>
        <v/>
      </c>
      <c r="I623" s="22" t="str">
        <f t="shared" si="1"/>
        <v>#N/A</v>
      </c>
      <c r="J623" s="22" t="str">
        <f t="shared" si="2"/>
        <v>#N/A</v>
      </c>
      <c r="K623" s="22" t="str">
        <f t="array" ref="K623">IF(H623="Crash",MATCH(TRUE, B624:B721 &gt;= B622, 0),"")</f>
        <v/>
      </c>
    </row>
    <row r="624" ht="15.75" customHeight="1">
      <c r="A624" s="31" t="str">
        <f>'EQUITY BACKTEST'!A627</f>
        <v/>
      </c>
      <c r="B624" s="22" t="str">
        <f>'EQUITY BACKTEST'!B627</f>
        <v/>
      </c>
      <c r="C624" s="22" t="str">
        <f>1/'EQUITY BACKTEST'!E627</f>
        <v>#DIV/0!</v>
      </c>
      <c r="D624" s="22" t="str">
        <f t="shared" si="5"/>
        <v>#DIV/0!</v>
      </c>
      <c r="E624" s="22" t="str">
        <f t="shared" si="3"/>
        <v/>
      </c>
      <c r="F624" s="22" t="str">
        <f t="shared" si="6"/>
        <v>#DIV/0!</v>
      </c>
      <c r="H624" s="22" t="str">
        <f t="shared" si="4"/>
        <v/>
      </c>
      <c r="I624" s="22" t="str">
        <f t="shared" si="1"/>
        <v>#N/A</v>
      </c>
      <c r="J624" s="22" t="str">
        <f t="shared" si="2"/>
        <v>#N/A</v>
      </c>
      <c r="K624" s="22" t="str">
        <f t="array" ref="K624">IF(H624="Crash",MATCH(TRUE, B625:B722 &gt;= B623, 0),"")</f>
        <v/>
      </c>
    </row>
    <row r="625" ht="15.75" customHeight="1">
      <c r="A625" s="31" t="str">
        <f>'EQUITY BACKTEST'!A628</f>
        <v/>
      </c>
      <c r="B625" s="22" t="str">
        <f>'EQUITY BACKTEST'!B628</f>
        <v/>
      </c>
      <c r="C625" s="22" t="str">
        <f>1/'EQUITY BACKTEST'!E628</f>
        <v>#DIV/0!</v>
      </c>
      <c r="D625" s="22" t="str">
        <f t="shared" si="5"/>
        <v>#DIV/0!</v>
      </c>
      <c r="E625" s="22" t="str">
        <f t="shared" si="3"/>
        <v/>
      </c>
      <c r="F625" s="22" t="str">
        <f t="shared" si="6"/>
        <v>#DIV/0!</v>
      </c>
      <c r="H625" s="22" t="str">
        <f t="shared" si="4"/>
        <v/>
      </c>
      <c r="I625" s="22" t="str">
        <f t="shared" si="1"/>
        <v>#N/A</v>
      </c>
      <c r="J625" s="22" t="str">
        <f t="shared" si="2"/>
        <v>#N/A</v>
      </c>
      <c r="K625" s="22" t="str">
        <f t="array" ref="K625">IF(H625="Crash",MATCH(TRUE, B626:B723 &gt;= B624, 0),"")</f>
        <v/>
      </c>
    </row>
    <row r="626" ht="15.75" customHeight="1">
      <c r="A626" s="31" t="str">
        <f>'EQUITY BACKTEST'!A629</f>
        <v/>
      </c>
      <c r="B626" s="22" t="str">
        <f>'EQUITY BACKTEST'!B629</f>
        <v/>
      </c>
      <c r="C626" s="22" t="str">
        <f>1/'EQUITY BACKTEST'!E629</f>
        <v>#DIV/0!</v>
      </c>
      <c r="D626" s="22" t="str">
        <f t="shared" si="5"/>
        <v>#DIV/0!</v>
      </c>
      <c r="E626" s="22" t="str">
        <f t="shared" si="3"/>
        <v/>
      </c>
      <c r="F626" s="22" t="str">
        <f t="shared" si="6"/>
        <v>#DIV/0!</v>
      </c>
      <c r="H626" s="22" t="str">
        <f t="shared" si="4"/>
        <v/>
      </c>
      <c r="I626" s="22" t="str">
        <f t="shared" si="1"/>
        <v>#N/A</v>
      </c>
      <c r="J626" s="22" t="str">
        <f t="shared" si="2"/>
        <v>#N/A</v>
      </c>
      <c r="K626" s="22" t="str">
        <f t="array" ref="K626">IF(H626="Crash",MATCH(TRUE, B627:B724 &gt;= B625, 0),"")</f>
        <v/>
      </c>
    </row>
    <row r="627" ht="15.75" customHeight="1">
      <c r="A627" s="31" t="str">
        <f>'EQUITY BACKTEST'!A630</f>
        <v/>
      </c>
      <c r="B627" s="22" t="str">
        <f>'EQUITY BACKTEST'!B630</f>
        <v/>
      </c>
      <c r="C627" s="22" t="str">
        <f>1/'EQUITY BACKTEST'!E630</f>
        <v>#DIV/0!</v>
      </c>
      <c r="D627" s="22" t="str">
        <f t="shared" si="5"/>
        <v>#DIV/0!</v>
      </c>
      <c r="E627" s="22" t="str">
        <f t="shared" si="3"/>
        <v/>
      </c>
      <c r="F627" s="22" t="str">
        <f t="shared" si="6"/>
        <v>#DIV/0!</v>
      </c>
      <c r="H627" s="22" t="str">
        <f t="shared" si="4"/>
        <v/>
      </c>
      <c r="I627" s="22" t="str">
        <f t="shared" si="1"/>
        <v>#N/A</v>
      </c>
      <c r="J627" s="22" t="str">
        <f t="shared" si="2"/>
        <v>#N/A</v>
      </c>
      <c r="K627" s="22" t="str">
        <f t="array" ref="K627">IF(H627="Crash",MATCH(TRUE, B628:B725 &gt;= B626, 0),"")</f>
        <v/>
      </c>
    </row>
    <row r="628" ht="15.75" customHeight="1">
      <c r="A628" s="31" t="str">
        <f>'EQUITY BACKTEST'!A631</f>
        <v/>
      </c>
      <c r="B628" s="22" t="str">
        <f>'EQUITY BACKTEST'!B631</f>
        <v/>
      </c>
      <c r="C628" s="22" t="str">
        <f>1/'EQUITY BACKTEST'!E631</f>
        <v>#DIV/0!</v>
      </c>
      <c r="D628" s="22" t="str">
        <f t="shared" si="5"/>
        <v>#DIV/0!</v>
      </c>
      <c r="E628" s="22" t="str">
        <f t="shared" si="3"/>
        <v/>
      </c>
      <c r="F628" s="22" t="str">
        <f t="shared" si="6"/>
        <v>#DIV/0!</v>
      </c>
      <c r="H628" s="22" t="str">
        <f t="shared" si="4"/>
        <v/>
      </c>
      <c r="I628" s="22" t="str">
        <f t="shared" si="1"/>
        <v>#N/A</v>
      </c>
      <c r="J628" s="22" t="str">
        <f t="shared" si="2"/>
        <v>#N/A</v>
      </c>
      <c r="K628" s="22" t="str">
        <f t="array" ref="K628">IF(H628="Crash",MATCH(TRUE, B629:B726 &gt;= B627, 0),"")</f>
        <v/>
      </c>
    </row>
    <row r="629" ht="15.75" customHeight="1">
      <c r="A629" s="31" t="str">
        <f>'EQUITY BACKTEST'!A632</f>
        <v/>
      </c>
      <c r="B629" s="22" t="str">
        <f>'EQUITY BACKTEST'!B632</f>
        <v/>
      </c>
      <c r="C629" s="22" t="str">
        <f>1/'EQUITY BACKTEST'!E632</f>
        <v>#DIV/0!</v>
      </c>
      <c r="D629" s="22" t="str">
        <f t="shared" si="5"/>
        <v>#DIV/0!</v>
      </c>
      <c r="E629" s="22" t="str">
        <f t="shared" si="3"/>
        <v/>
      </c>
      <c r="F629" s="22" t="str">
        <f t="shared" si="6"/>
        <v>#DIV/0!</v>
      </c>
      <c r="H629" s="22" t="str">
        <f t="shared" si="4"/>
        <v/>
      </c>
      <c r="I629" s="22" t="str">
        <f t="shared" si="1"/>
        <v>#N/A</v>
      </c>
      <c r="J629" s="22" t="str">
        <f t="shared" si="2"/>
        <v>#N/A</v>
      </c>
      <c r="K629" s="22" t="str">
        <f t="array" ref="K629">IF(H629="Crash",MATCH(TRUE, B630:B727 &gt;= B628, 0),"")</f>
        <v/>
      </c>
    </row>
    <row r="630" ht="15.75" customHeight="1">
      <c r="A630" s="31" t="str">
        <f>'EQUITY BACKTEST'!A633</f>
        <v/>
      </c>
      <c r="B630" s="22" t="str">
        <f>'EQUITY BACKTEST'!B633</f>
        <v/>
      </c>
      <c r="C630" s="22" t="str">
        <f>1/'EQUITY BACKTEST'!E633</f>
        <v>#DIV/0!</v>
      </c>
      <c r="D630" s="22" t="str">
        <f t="shared" si="5"/>
        <v>#DIV/0!</v>
      </c>
      <c r="E630" s="22" t="str">
        <f t="shared" si="3"/>
        <v/>
      </c>
      <c r="F630" s="22" t="str">
        <f t="shared" si="6"/>
        <v>#DIV/0!</v>
      </c>
      <c r="H630" s="22" t="str">
        <f t="shared" si="4"/>
        <v/>
      </c>
      <c r="I630" s="22" t="str">
        <f t="shared" si="1"/>
        <v>#N/A</v>
      </c>
      <c r="J630" s="22" t="str">
        <f t="shared" si="2"/>
        <v>#N/A</v>
      </c>
      <c r="K630" s="22" t="str">
        <f t="array" ref="K630">IF(H630="Crash",MATCH(TRUE, B631:B728 &gt;= B629, 0),"")</f>
        <v/>
      </c>
    </row>
    <row r="631" ht="15.75" customHeight="1">
      <c r="A631" s="31" t="str">
        <f>'EQUITY BACKTEST'!A634</f>
        <v/>
      </c>
      <c r="B631" s="22" t="str">
        <f>'EQUITY BACKTEST'!B634</f>
        <v/>
      </c>
      <c r="C631" s="22" t="str">
        <f>1/'EQUITY BACKTEST'!E634</f>
        <v>#DIV/0!</v>
      </c>
      <c r="D631" s="22" t="str">
        <f t="shared" si="5"/>
        <v>#DIV/0!</v>
      </c>
      <c r="E631" s="22" t="str">
        <f t="shared" si="3"/>
        <v/>
      </c>
      <c r="F631" s="22" t="str">
        <f t="shared" si="6"/>
        <v>#DIV/0!</v>
      </c>
      <c r="H631" s="22" t="str">
        <f t="shared" si="4"/>
        <v/>
      </c>
      <c r="I631" s="22" t="str">
        <f t="shared" si="1"/>
        <v>#N/A</v>
      </c>
      <c r="J631" s="22" t="str">
        <f t="shared" si="2"/>
        <v>#N/A</v>
      </c>
      <c r="K631" s="22" t="str">
        <f t="array" ref="K631">IF(H631="Crash",MATCH(TRUE, B632:B729 &gt;= B630, 0),"")</f>
        <v/>
      </c>
    </row>
    <row r="632" ht="15.75" customHeight="1">
      <c r="A632" s="31" t="str">
        <f>'EQUITY BACKTEST'!A635</f>
        <v/>
      </c>
      <c r="B632" s="22" t="str">
        <f>'EQUITY BACKTEST'!B635</f>
        <v/>
      </c>
      <c r="C632" s="22" t="str">
        <f>1/'EQUITY BACKTEST'!E635</f>
        <v>#DIV/0!</v>
      </c>
      <c r="D632" s="22" t="str">
        <f t="shared" si="5"/>
        <v>#DIV/0!</v>
      </c>
      <c r="E632" s="22" t="str">
        <f t="shared" si="3"/>
        <v/>
      </c>
      <c r="F632" s="22" t="str">
        <f t="shared" si="6"/>
        <v>#DIV/0!</v>
      </c>
      <c r="H632" s="22" t="str">
        <f t="shared" si="4"/>
        <v/>
      </c>
      <c r="I632" s="22" t="str">
        <f t="shared" si="1"/>
        <v>#N/A</v>
      </c>
      <c r="J632" s="22" t="str">
        <f t="shared" si="2"/>
        <v>#N/A</v>
      </c>
      <c r="K632" s="22" t="str">
        <f t="array" ref="K632">IF(H632="Crash",MATCH(TRUE, B633:B730 &gt;= B631, 0),"")</f>
        <v/>
      </c>
    </row>
    <row r="633" ht="15.75" customHeight="1">
      <c r="A633" s="31" t="str">
        <f>'EQUITY BACKTEST'!A636</f>
        <v/>
      </c>
      <c r="B633" s="22" t="str">
        <f>'EQUITY BACKTEST'!B636</f>
        <v/>
      </c>
      <c r="C633" s="22" t="str">
        <f>1/'EQUITY BACKTEST'!E636</f>
        <v>#DIV/0!</v>
      </c>
      <c r="D633" s="22" t="str">
        <f t="shared" si="5"/>
        <v>#DIV/0!</v>
      </c>
      <c r="E633" s="22" t="str">
        <f t="shared" si="3"/>
        <v/>
      </c>
      <c r="F633" s="22" t="str">
        <f t="shared" si="6"/>
        <v>#DIV/0!</v>
      </c>
      <c r="H633" s="22" t="str">
        <f t="shared" si="4"/>
        <v/>
      </c>
      <c r="I633" s="22" t="str">
        <f t="shared" si="1"/>
        <v>#N/A</v>
      </c>
      <c r="J633" s="22" t="str">
        <f t="shared" si="2"/>
        <v>#N/A</v>
      </c>
      <c r="K633" s="22" t="str">
        <f t="array" ref="K633">IF(H633="Crash",MATCH(TRUE, B634:B731 &gt;= B632, 0),"")</f>
        <v/>
      </c>
    </row>
    <row r="634" ht="15.75" customHeight="1">
      <c r="A634" s="31" t="str">
        <f>'EQUITY BACKTEST'!A637</f>
        <v/>
      </c>
      <c r="B634" s="22" t="str">
        <f>'EQUITY BACKTEST'!B637</f>
        <v/>
      </c>
      <c r="C634" s="22" t="str">
        <f>1/'EQUITY BACKTEST'!E637</f>
        <v>#DIV/0!</v>
      </c>
      <c r="D634" s="22" t="str">
        <f t="shared" si="5"/>
        <v>#DIV/0!</v>
      </c>
      <c r="E634" s="22" t="str">
        <f t="shared" si="3"/>
        <v/>
      </c>
      <c r="F634" s="22" t="str">
        <f t="shared" si="6"/>
        <v>#DIV/0!</v>
      </c>
      <c r="H634" s="22" t="str">
        <f t="shared" si="4"/>
        <v/>
      </c>
      <c r="I634" s="22" t="str">
        <f t="shared" si="1"/>
        <v>#N/A</v>
      </c>
      <c r="J634" s="22" t="str">
        <f t="shared" si="2"/>
        <v>#N/A</v>
      </c>
      <c r="K634" s="22" t="str">
        <f t="array" ref="K634">IF(H634="Crash",MATCH(TRUE, B635:B732 &gt;= B633, 0),"")</f>
        <v/>
      </c>
    </row>
    <row r="635" ht="15.75" customHeight="1">
      <c r="A635" s="31" t="str">
        <f>'EQUITY BACKTEST'!A638</f>
        <v/>
      </c>
      <c r="B635" s="22" t="str">
        <f>'EQUITY BACKTEST'!B638</f>
        <v/>
      </c>
      <c r="C635" s="22" t="str">
        <f>1/'EQUITY BACKTEST'!E638</f>
        <v>#DIV/0!</v>
      </c>
      <c r="D635" s="22" t="str">
        <f t="shared" si="5"/>
        <v>#DIV/0!</v>
      </c>
      <c r="E635" s="22" t="str">
        <f t="shared" si="3"/>
        <v/>
      </c>
      <c r="F635" s="22" t="str">
        <f t="shared" si="6"/>
        <v>#DIV/0!</v>
      </c>
      <c r="H635" s="22" t="str">
        <f t="shared" si="4"/>
        <v/>
      </c>
      <c r="I635" s="22" t="str">
        <f t="shared" si="1"/>
        <v>#N/A</v>
      </c>
      <c r="J635" s="22" t="str">
        <f t="shared" si="2"/>
        <v>#N/A</v>
      </c>
      <c r="K635" s="22" t="str">
        <f t="array" ref="K635">IF(H635="Crash",MATCH(TRUE, B636:B733 &gt;= B634, 0),"")</f>
        <v/>
      </c>
    </row>
    <row r="636" ht="15.75" customHeight="1">
      <c r="A636" s="31" t="str">
        <f>'EQUITY BACKTEST'!A639</f>
        <v/>
      </c>
      <c r="B636" s="22" t="str">
        <f>'EQUITY BACKTEST'!B639</f>
        <v/>
      </c>
      <c r="C636" s="22" t="str">
        <f>1/'EQUITY BACKTEST'!E639</f>
        <v>#DIV/0!</v>
      </c>
      <c r="D636" s="22" t="str">
        <f t="shared" si="5"/>
        <v>#DIV/0!</v>
      </c>
      <c r="E636" s="22" t="str">
        <f t="shared" si="3"/>
        <v/>
      </c>
      <c r="F636" s="22" t="str">
        <f t="shared" si="6"/>
        <v>#DIV/0!</v>
      </c>
      <c r="H636" s="22" t="str">
        <f t="shared" si="4"/>
        <v/>
      </c>
      <c r="I636" s="22" t="str">
        <f t="shared" si="1"/>
        <v>#N/A</v>
      </c>
      <c r="J636" s="22" t="str">
        <f t="shared" si="2"/>
        <v>#N/A</v>
      </c>
      <c r="K636" s="22" t="str">
        <f t="array" ref="K636">IF(H636="Crash",MATCH(TRUE, B637:B734 &gt;= B635, 0),"")</f>
        <v/>
      </c>
    </row>
    <row r="637" ht="15.75" customHeight="1">
      <c r="A637" s="31" t="str">
        <f>'EQUITY BACKTEST'!A640</f>
        <v/>
      </c>
      <c r="B637" s="22" t="str">
        <f>'EQUITY BACKTEST'!B640</f>
        <v/>
      </c>
      <c r="C637" s="22" t="str">
        <f>1/'EQUITY BACKTEST'!E640</f>
        <v>#DIV/0!</v>
      </c>
      <c r="D637" s="22" t="str">
        <f t="shared" si="5"/>
        <v>#DIV/0!</v>
      </c>
      <c r="E637" s="22" t="str">
        <f t="shared" si="3"/>
        <v/>
      </c>
      <c r="F637" s="22" t="str">
        <f t="shared" si="6"/>
        <v>#DIV/0!</v>
      </c>
      <c r="H637" s="22" t="str">
        <f t="shared" si="4"/>
        <v/>
      </c>
      <c r="I637" s="22" t="str">
        <f t="shared" si="1"/>
        <v>#N/A</v>
      </c>
      <c r="J637" s="22" t="str">
        <f t="shared" si="2"/>
        <v>#N/A</v>
      </c>
      <c r="K637" s="22" t="str">
        <f t="array" ref="K637">IF(H637="Crash",MATCH(TRUE, B638:B735 &gt;= B636, 0),"")</f>
        <v/>
      </c>
    </row>
    <row r="638" ht="15.75" customHeight="1">
      <c r="A638" s="31" t="str">
        <f>'EQUITY BACKTEST'!A641</f>
        <v/>
      </c>
      <c r="B638" s="22" t="str">
        <f>'EQUITY BACKTEST'!B641</f>
        <v/>
      </c>
      <c r="C638" s="22" t="str">
        <f>1/'EQUITY BACKTEST'!E641</f>
        <v>#DIV/0!</v>
      </c>
      <c r="D638" s="22" t="str">
        <f t="shared" si="5"/>
        <v>#DIV/0!</v>
      </c>
      <c r="E638" s="22" t="str">
        <f t="shared" si="3"/>
        <v/>
      </c>
      <c r="F638" s="22" t="str">
        <f t="shared" si="6"/>
        <v>#DIV/0!</v>
      </c>
      <c r="H638" s="22" t="str">
        <f t="shared" si="4"/>
        <v/>
      </c>
      <c r="I638" s="22" t="str">
        <f t="shared" si="1"/>
        <v>#N/A</v>
      </c>
      <c r="J638" s="22" t="str">
        <f t="shared" si="2"/>
        <v>#N/A</v>
      </c>
      <c r="K638" s="22" t="str">
        <f t="array" ref="K638">IF(H638="Crash",MATCH(TRUE, B639:B736 &gt;= B637, 0),"")</f>
        <v/>
      </c>
    </row>
    <row r="639" ht="15.75" customHeight="1">
      <c r="A639" s="31" t="str">
        <f>'EQUITY BACKTEST'!A642</f>
        <v/>
      </c>
      <c r="B639" s="22" t="str">
        <f>'EQUITY BACKTEST'!B642</f>
        <v/>
      </c>
      <c r="C639" s="22" t="str">
        <f>1/'EQUITY BACKTEST'!E642</f>
        <v>#DIV/0!</v>
      </c>
      <c r="D639" s="22" t="str">
        <f t="shared" si="5"/>
        <v>#DIV/0!</v>
      </c>
      <c r="E639" s="22" t="str">
        <f t="shared" si="3"/>
        <v/>
      </c>
      <c r="F639" s="22" t="str">
        <f t="shared" si="6"/>
        <v>#DIV/0!</v>
      </c>
      <c r="H639" s="22" t="str">
        <f t="shared" si="4"/>
        <v/>
      </c>
      <c r="I639" s="22" t="str">
        <f t="shared" si="1"/>
        <v>#N/A</v>
      </c>
      <c r="J639" s="22" t="str">
        <f t="shared" si="2"/>
        <v>#N/A</v>
      </c>
      <c r="K639" s="22" t="str">
        <f t="array" ref="K639">IF(H639="Crash",MATCH(TRUE, B640:B737 &gt;= B638, 0),"")</f>
        <v/>
      </c>
    </row>
    <row r="640" ht="15.75" customHeight="1">
      <c r="A640" s="31" t="str">
        <f>'EQUITY BACKTEST'!A643</f>
        <v/>
      </c>
      <c r="B640" s="22" t="str">
        <f>'EQUITY BACKTEST'!B643</f>
        <v/>
      </c>
      <c r="C640" s="22" t="str">
        <f>1/'EQUITY BACKTEST'!E643</f>
        <v>#DIV/0!</v>
      </c>
      <c r="D640" s="22" t="str">
        <f t="shared" si="5"/>
        <v>#DIV/0!</v>
      </c>
      <c r="E640" s="22" t="str">
        <f t="shared" si="3"/>
        <v/>
      </c>
      <c r="F640" s="22" t="str">
        <f t="shared" si="6"/>
        <v>#DIV/0!</v>
      </c>
      <c r="H640" s="22" t="str">
        <f t="shared" si="4"/>
        <v/>
      </c>
      <c r="I640" s="22" t="str">
        <f t="shared" si="1"/>
        <v>#N/A</v>
      </c>
      <c r="J640" s="22" t="str">
        <f t="shared" si="2"/>
        <v>#N/A</v>
      </c>
      <c r="K640" s="22" t="str">
        <f t="array" ref="K640">IF(H640="Crash",MATCH(TRUE, B641:B738 &gt;= B639, 0),"")</f>
        <v/>
      </c>
    </row>
    <row r="641" ht="15.75" customHeight="1">
      <c r="A641" s="31" t="str">
        <f>'EQUITY BACKTEST'!A644</f>
        <v/>
      </c>
      <c r="B641" s="22" t="str">
        <f>'EQUITY BACKTEST'!B644</f>
        <v/>
      </c>
      <c r="C641" s="22" t="str">
        <f>1/'EQUITY BACKTEST'!E644</f>
        <v>#DIV/0!</v>
      </c>
      <c r="D641" s="22" t="str">
        <f t="shared" si="5"/>
        <v>#DIV/0!</v>
      </c>
      <c r="E641" s="22" t="str">
        <f t="shared" si="3"/>
        <v/>
      </c>
      <c r="F641" s="22" t="str">
        <f t="shared" si="6"/>
        <v>#DIV/0!</v>
      </c>
      <c r="H641" s="22" t="str">
        <f t="shared" si="4"/>
        <v/>
      </c>
      <c r="I641" s="22" t="str">
        <f t="shared" si="1"/>
        <v>#N/A</v>
      </c>
      <c r="J641" s="22" t="str">
        <f t="shared" si="2"/>
        <v>#N/A</v>
      </c>
      <c r="K641" s="22" t="str">
        <f t="array" ref="K641">IF(H641="Crash",MATCH(TRUE, B642:B739 &gt;= B640, 0),"")</f>
        <v/>
      </c>
    </row>
    <row r="642" ht="15.75" customHeight="1">
      <c r="A642" s="31" t="str">
        <f>'EQUITY BACKTEST'!A645</f>
        <v/>
      </c>
      <c r="B642" s="22" t="str">
        <f>'EQUITY BACKTEST'!B645</f>
        <v/>
      </c>
      <c r="C642" s="22" t="str">
        <f>1/'EQUITY BACKTEST'!E645</f>
        <v>#DIV/0!</v>
      </c>
      <c r="D642" s="22" t="str">
        <f t="shared" si="5"/>
        <v>#DIV/0!</v>
      </c>
      <c r="E642" s="22" t="str">
        <f t="shared" si="3"/>
        <v/>
      </c>
      <c r="F642" s="22" t="str">
        <f t="shared" si="6"/>
        <v>#DIV/0!</v>
      </c>
      <c r="H642" s="22" t="str">
        <f t="shared" si="4"/>
        <v/>
      </c>
      <c r="I642" s="22" t="str">
        <f t="shared" si="1"/>
        <v>#N/A</v>
      </c>
      <c r="J642" s="22" t="str">
        <f t="shared" si="2"/>
        <v>#N/A</v>
      </c>
      <c r="K642" s="22" t="str">
        <f t="array" ref="K642">IF(H642="Crash",MATCH(TRUE, B643:B740 &gt;= B641, 0),"")</f>
        <v/>
      </c>
    </row>
    <row r="643" ht="15.75" customHeight="1">
      <c r="A643" s="31" t="str">
        <f>'EQUITY BACKTEST'!A646</f>
        <v/>
      </c>
      <c r="B643" s="22" t="str">
        <f>'EQUITY BACKTEST'!B646</f>
        <v/>
      </c>
      <c r="C643" s="22" t="str">
        <f>1/'EQUITY BACKTEST'!E646</f>
        <v>#DIV/0!</v>
      </c>
      <c r="D643" s="22" t="str">
        <f t="shared" si="5"/>
        <v>#DIV/0!</v>
      </c>
      <c r="E643" s="22" t="str">
        <f t="shared" si="3"/>
        <v/>
      </c>
      <c r="F643" s="22" t="str">
        <f t="shared" si="6"/>
        <v>#DIV/0!</v>
      </c>
      <c r="H643" s="22" t="str">
        <f t="shared" si="4"/>
        <v/>
      </c>
      <c r="I643" s="22" t="str">
        <f t="shared" si="1"/>
        <v>#N/A</v>
      </c>
      <c r="J643" s="22" t="str">
        <f t="shared" si="2"/>
        <v>#N/A</v>
      </c>
      <c r="K643" s="22" t="str">
        <f t="array" ref="K643">IF(H643="Crash",MATCH(TRUE, B644:B741 &gt;= B642, 0),"")</f>
        <v/>
      </c>
    </row>
    <row r="644" ht="15.75" customHeight="1">
      <c r="A644" s="31" t="str">
        <f>'EQUITY BACKTEST'!A647</f>
        <v/>
      </c>
      <c r="B644" s="22" t="str">
        <f>'EQUITY BACKTEST'!B647</f>
        <v/>
      </c>
      <c r="C644" s="22" t="str">
        <f>1/'EQUITY BACKTEST'!E647</f>
        <v>#DIV/0!</v>
      </c>
      <c r="D644" s="22" t="str">
        <f t="shared" si="5"/>
        <v>#DIV/0!</v>
      </c>
      <c r="E644" s="22" t="str">
        <f t="shared" si="3"/>
        <v/>
      </c>
      <c r="F644" s="22" t="str">
        <f t="shared" si="6"/>
        <v>#DIV/0!</v>
      </c>
      <c r="H644" s="22" t="str">
        <f t="shared" si="4"/>
        <v/>
      </c>
      <c r="I644" s="22" t="str">
        <f t="shared" si="1"/>
        <v>#N/A</v>
      </c>
      <c r="J644" s="22" t="str">
        <f t="shared" si="2"/>
        <v>#N/A</v>
      </c>
      <c r="K644" s="22" t="str">
        <f t="array" ref="K644">IF(H644="Crash",MATCH(TRUE, B645:B742 &gt;= B643, 0),"")</f>
        <v/>
      </c>
    </row>
    <row r="645" ht="15.75" customHeight="1">
      <c r="A645" s="31" t="str">
        <f>'EQUITY BACKTEST'!A648</f>
        <v/>
      </c>
      <c r="B645" s="22" t="str">
        <f>'EQUITY BACKTEST'!B648</f>
        <v/>
      </c>
      <c r="C645" s="22" t="str">
        <f>1/'EQUITY BACKTEST'!E648</f>
        <v>#DIV/0!</v>
      </c>
      <c r="D645" s="22" t="str">
        <f t="shared" si="5"/>
        <v>#DIV/0!</v>
      </c>
      <c r="E645" s="22" t="str">
        <f t="shared" si="3"/>
        <v/>
      </c>
      <c r="F645" s="22" t="str">
        <f t="shared" si="6"/>
        <v>#DIV/0!</v>
      </c>
      <c r="H645" s="22" t="str">
        <f t="shared" si="4"/>
        <v/>
      </c>
      <c r="I645" s="22" t="str">
        <f t="shared" si="1"/>
        <v>#N/A</v>
      </c>
      <c r="J645" s="22" t="str">
        <f t="shared" si="2"/>
        <v>#N/A</v>
      </c>
      <c r="K645" s="22" t="str">
        <f t="array" ref="K645">IF(H645="Crash",MATCH(TRUE, B646:B743 &gt;= B644, 0),"")</f>
        <v/>
      </c>
    </row>
    <row r="646" ht="15.75" customHeight="1">
      <c r="A646" s="31" t="str">
        <f>'EQUITY BACKTEST'!A649</f>
        <v/>
      </c>
      <c r="B646" s="22" t="str">
        <f>'EQUITY BACKTEST'!B649</f>
        <v/>
      </c>
      <c r="C646" s="22" t="str">
        <f>1/'EQUITY BACKTEST'!E649</f>
        <v>#DIV/0!</v>
      </c>
      <c r="D646" s="22" t="str">
        <f t="shared" si="5"/>
        <v>#DIV/0!</v>
      </c>
      <c r="E646" s="22" t="str">
        <f t="shared" si="3"/>
        <v/>
      </c>
      <c r="F646" s="22" t="str">
        <f t="shared" si="6"/>
        <v>#DIV/0!</v>
      </c>
      <c r="H646" s="22" t="str">
        <f t="shared" si="4"/>
        <v/>
      </c>
      <c r="I646" s="22" t="str">
        <f t="shared" si="1"/>
        <v>#N/A</v>
      </c>
      <c r="J646" s="22" t="str">
        <f t="shared" si="2"/>
        <v>#N/A</v>
      </c>
      <c r="K646" s="22" t="str">
        <f t="array" ref="K646">IF(H646="Crash",MATCH(TRUE, B647:B744 &gt;= B645, 0),"")</f>
        <v/>
      </c>
    </row>
    <row r="647" ht="15.75" customHeight="1">
      <c r="A647" s="31" t="str">
        <f>'EQUITY BACKTEST'!A650</f>
        <v/>
      </c>
      <c r="B647" s="22" t="str">
        <f>'EQUITY BACKTEST'!B650</f>
        <v/>
      </c>
      <c r="C647" s="22" t="str">
        <f>1/'EQUITY BACKTEST'!E650</f>
        <v>#DIV/0!</v>
      </c>
      <c r="D647" s="22" t="str">
        <f t="shared" si="5"/>
        <v>#DIV/0!</v>
      </c>
      <c r="E647" s="22" t="str">
        <f t="shared" si="3"/>
        <v/>
      </c>
      <c r="F647" s="22" t="str">
        <f t="shared" si="6"/>
        <v>#DIV/0!</v>
      </c>
      <c r="H647" s="22" t="str">
        <f t="shared" si="4"/>
        <v/>
      </c>
      <c r="I647" s="22" t="str">
        <f t="shared" si="1"/>
        <v>#N/A</v>
      </c>
      <c r="J647" s="22" t="str">
        <f t="shared" si="2"/>
        <v>#N/A</v>
      </c>
      <c r="K647" s="22" t="str">
        <f t="array" ref="K647">IF(H647="Crash",MATCH(TRUE, B648:B745 &gt;= B646, 0),"")</f>
        <v/>
      </c>
    </row>
    <row r="648" ht="15.75" customHeight="1">
      <c r="A648" s="31" t="str">
        <f>'EQUITY BACKTEST'!A651</f>
        <v/>
      </c>
      <c r="B648" s="22" t="str">
        <f>'EQUITY BACKTEST'!B651</f>
        <v/>
      </c>
      <c r="C648" s="22" t="str">
        <f>1/'EQUITY BACKTEST'!E651</f>
        <v>#DIV/0!</v>
      </c>
      <c r="D648" s="22" t="str">
        <f t="shared" si="5"/>
        <v>#DIV/0!</v>
      </c>
      <c r="E648" s="22" t="str">
        <f t="shared" si="3"/>
        <v/>
      </c>
      <c r="F648" s="22" t="str">
        <f t="shared" si="6"/>
        <v>#DIV/0!</v>
      </c>
      <c r="H648" s="22" t="str">
        <f t="shared" si="4"/>
        <v/>
      </c>
      <c r="I648" s="22" t="str">
        <f t="shared" si="1"/>
        <v>#N/A</v>
      </c>
      <c r="J648" s="22" t="str">
        <f t="shared" si="2"/>
        <v>#N/A</v>
      </c>
      <c r="K648" s="22" t="str">
        <f t="array" ref="K648">IF(H648="Crash",MATCH(TRUE, B649:B746 &gt;= B647, 0),"")</f>
        <v/>
      </c>
    </row>
    <row r="649" ht="15.75" customHeight="1">
      <c r="A649" s="31" t="str">
        <f>'EQUITY BACKTEST'!A652</f>
        <v/>
      </c>
      <c r="B649" s="22" t="str">
        <f>'EQUITY BACKTEST'!B652</f>
        <v/>
      </c>
      <c r="C649" s="22" t="str">
        <f>1/'EQUITY BACKTEST'!E652</f>
        <v>#DIV/0!</v>
      </c>
      <c r="D649" s="22" t="str">
        <f t="shared" si="5"/>
        <v>#DIV/0!</v>
      </c>
      <c r="E649" s="22" t="str">
        <f t="shared" si="3"/>
        <v/>
      </c>
      <c r="F649" s="22" t="str">
        <f t="shared" si="6"/>
        <v>#DIV/0!</v>
      </c>
      <c r="H649" s="22" t="str">
        <f t="shared" si="4"/>
        <v/>
      </c>
      <c r="I649" s="22" t="str">
        <f t="shared" si="1"/>
        <v>#N/A</v>
      </c>
      <c r="J649" s="22" t="str">
        <f t="shared" si="2"/>
        <v>#N/A</v>
      </c>
      <c r="K649" s="22" t="str">
        <f t="array" ref="K649">IF(H649="Crash",MATCH(TRUE, B650:B747 &gt;= B648, 0),"")</f>
        <v/>
      </c>
    </row>
    <row r="650" ht="15.75" customHeight="1">
      <c r="A650" s="31" t="str">
        <f>'EQUITY BACKTEST'!A653</f>
        <v/>
      </c>
      <c r="B650" s="22" t="str">
        <f>'EQUITY BACKTEST'!B653</f>
        <v/>
      </c>
      <c r="C650" s="22" t="str">
        <f>1/'EQUITY BACKTEST'!E653</f>
        <v>#DIV/0!</v>
      </c>
      <c r="D650" s="22" t="str">
        <f t="shared" si="5"/>
        <v>#DIV/0!</v>
      </c>
      <c r="E650" s="22" t="str">
        <f t="shared" si="3"/>
        <v/>
      </c>
      <c r="F650" s="22" t="str">
        <f t="shared" si="6"/>
        <v>#DIV/0!</v>
      </c>
      <c r="H650" s="22" t="str">
        <f t="shared" si="4"/>
        <v/>
      </c>
      <c r="I650" s="22" t="str">
        <f t="shared" si="1"/>
        <v>#N/A</v>
      </c>
      <c r="J650" s="22" t="str">
        <f t="shared" si="2"/>
        <v>#N/A</v>
      </c>
      <c r="K650" s="22" t="str">
        <f t="array" ref="K650">IF(H650="Crash",MATCH(TRUE, B651:B748 &gt;= B649, 0),"")</f>
        <v/>
      </c>
    </row>
    <row r="651" ht="15.75" customHeight="1">
      <c r="A651" s="31" t="str">
        <f>'EQUITY BACKTEST'!A654</f>
        <v/>
      </c>
      <c r="B651" s="22" t="str">
        <f>'EQUITY BACKTEST'!B654</f>
        <v/>
      </c>
      <c r="C651" s="22" t="str">
        <f>1/'EQUITY BACKTEST'!E654</f>
        <v>#DIV/0!</v>
      </c>
      <c r="D651" s="22" t="str">
        <f t="shared" si="5"/>
        <v>#DIV/0!</v>
      </c>
      <c r="E651" s="22" t="str">
        <f t="shared" si="3"/>
        <v/>
      </c>
      <c r="F651" s="22" t="str">
        <f t="shared" si="6"/>
        <v>#DIV/0!</v>
      </c>
      <c r="H651" s="22" t="str">
        <f t="shared" si="4"/>
        <v/>
      </c>
      <c r="I651" s="22" t="str">
        <f t="shared" si="1"/>
        <v>#N/A</v>
      </c>
      <c r="J651" s="22" t="str">
        <f t="shared" si="2"/>
        <v>#N/A</v>
      </c>
      <c r="K651" s="22" t="str">
        <f t="array" ref="K651">IF(H651="Crash",MATCH(TRUE, B652:B749 &gt;= B650, 0),"")</f>
        <v/>
      </c>
    </row>
    <row r="652" ht="15.75" customHeight="1">
      <c r="A652" s="31" t="str">
        <f>'EQUITY BACKTEST'!A655</f>
        <v/>
      </c>
      <c r="B652" s="22" t="str">
        <f>'EQUITY BACKTEST'!B655</f>
        <v/>
      </c>
      <c r="C652" s="22" t="str">
        <f>1/'EQUITY BACKTEST'!E655</f>
        <v>#DIV/0!</v>
      </c>
      <c r="D652" s="22" t="str">
        <f t="shared" si="5"/>
        <v>#DIV/0!</v>
      </c>
      <c r="E652" s="22" t="str">
        <f t="shared" si="3"/>
        <v/>
      </c>
      <c r="F652" s="22" t="str">
        <f t="shared" si="6"/>
        <v>#DIV/0!</v>
      </c>
      <c r="H652" s="22" t="str">
        <f t="shared" si="4"/>
        <v/>
      </c>
      <c r="I652" s="22" t="str">
        <f t="shared" si="1"/>
        <v>#N/A</v>
      </c>
      <c r="J652" s="22" t="str">
        <f t="shared" si="2"/>
        <v>#N/A</v>
      </c>
      <c r="K652" s="22" t="str">
        <f t="array" ref="K652">IF(H652="Crash",MATCH(TRUE, B653:B750 &gt;= B651, 0),"")</f>
        <v/>
      </c>
    </row>
    <row r="653" ht="15.75" customHeight="1">
      <c r="A653" s="31" t="str">
        <f>'EQUITY BACKTEST'!A656</f>
        <v/>
      </c>
      <c r="B653" s="22" t="str">
        <f>'EQUITY BACKTEST'!B656</f>
        <v/>
      </c>
      <c r="C653" s="22" t="str">
        <f>1/'EQUITY BACKTEST'!E656</f>
        <v>#DIV/0!</v>
      </c>
      <c r="D653" s="22" t="str">
        <f t="shared" si="5"/>
        <v>#DIV/0!</v>
      </c>
      <c r="E653" s="22" t="str">
        <f t="shared" si="3"/>
        <v/>
      </c>
      <c r="F653" s="22" t="str">
        <f t="shared" si="6"/>
        <v>#DIV/0!</v>
      </c>
      <c r="H653" s="22" t="str">
        <f t="shared" si="4"/>
        <v/>
      </c>
      <c r="I653" s="22" t="str">
        <f t="shared" si="1"/>
        <v>#N/A</v>
      </c>
      <c r="J653" s="22" t="str">
        <f t="shared" si="2"/>
        <v>#N/A</v>
      </c>
      <c r="K653" s="22" t="str">
        <f t="array" ref="K653">IF(H653="Crash",MATCH(TRUE, B654:B751 &gt;= B652, 0),"")</f>
        <v/>
      </c>
    </row>
    <row r="654" ht="15.75" customHeight="1">
      <c r="A654" s="31" t="str">
        <f>'EQUITY BACKTEST'!A657</f>
        <v/>
      </c>
      <c r="B654" s="22" t="str">
        <f>'EQUITY BACKTEST'!B657</f>
        <v/>
      </c>
      <c r="C654" s="22" t="str">
        <f>1/'EQUITY BACKTEST'!E657</f>
        <v>#DIV/0!</v>
      </c>
      <c r="D654" s="22" t="str">
        <f t="shared" si="5"/>
        <v>#DIV/0!</v>
      </c>
      <c r="E654" s="22" t="str">
        <f t="shared" si="3"/>
        <v/>
      </c>
      <c r="F654" s="22" t="str">
        <f t="shared" si="6"/>
        <v>#DIV/0!</v>
      </c>
      <c r="H654" s="22" t="str">
        <f t="shared" si="4"/>
        <v/>
      </c>
      <c r="I654" s="22" t="str">
        <f t="shared" si="1"/>
        <v>#N/A</v>
      </c>
      <c r="J654" s="22" t="str">
        <f t="shared" si="2"/>
        <v>#N/A</v>
      </c>
      <c r="K654" s="22" t="str">
        <f t="array" ref="K654">IF(H654="Crash",MATCH(TRUE, B655:B752 &gt;= B653, 0),"")</f>
        <v/>
      </c>
    </row>
    <row r="655" ht="15.75" customHeight="1">
      <c r="A655" s="31" t="str">
        <f>'EQUITY BACKTEST'!A658</f>
        <v/>
      </c>
      <c r="B655" s="22" t="str">
        <f>'EQUITY BACKTEST'!B658</f>
        <v/>
      </c>
      <c r="C655" s="22" t="str">
        <f>1/'EQUITY BACKTEST'!E658</f>
        <v>#DIV/0!</v>
      </c>
      <c r="D655" s="22" t="str">
        <f t="shared" si="5"/>
        <v>#DIV/0!</v>
      </c>
      <c r="E655" s="22" t="str">
        <f t="shared" si="3"/>
        <v/>
      </c>
      <c r="F655" s="22" t="str">
        <f t="shared" si="6"/>
        <v>#DIV/0!</v>
      </c>
      <c r="H655" s="22" t="str">
        <f t="shared" si="4"/>
        <v/>
      </c>
      <c r="I655" s="22" t="str">
        <f t="shared" si="1"/>
        <v>#N/A</v>
      </c>
      <c r="J655" s="22" t="str">
        <f t="shared" si="2"/>
        <v>#N/A</v>
      </c>
      <c r="K655" s="22" t="str">
        <f t="array" ref="K655">IF(H655="Crash",MATCH(TRUE, B656:B753 &gt;= B654, 0),"")</f>
        <v/>
      </c>
    </row>
    <row r="656" ht="15.75" customHeight="1">
      <c r="A656" s="31" t="str">
        <f>'EQUITY BACKTEST'!A659</f>
        <v/>
      </c>
      <c r="B656" s="22" t="str">
        <f>'EQUITY BACKTEST'!B659</f>
        <v/>
      </c>
      <c r="C656" s="22" t="str">
        <f>1/'EQUITY BACKTEST'!E659</f>
        <v>#DIV/0!</v>
      </c>
      <c r="D656" s="22" t="str">
        <f t="shared" si="5"/>
        <v>#DIV/0!</v>
      </c>
      <c r="E656" s="22" t="str">
        <f t="shared" si="3"/>
        <v/>
      </c>
      <c r="F656" s="22" t="str">
        <f t="shared" si="6"/>
        <v>#DIV/0!</v>
      </c>
      <c r="H656" s="22" t="str">
        <f t="shared" si="4"/>
        <v/>
      </c>
      <c r="I656" s="22" t="str">
        <f t="shared" si="1"/>
        <v>#N/A</v>
      </c>
      <c r="J656" s="22" t="str">
        <f t="shared" si="2"/>
        <v>#N/A</v>
      </c>
      <c r="K656" s="22" t="str">
        <f t="array" ref="K656">IF(H656="Crash",MATCH(TRUE, B657:B754 &gt;= B655, 0),"")</f>
        <v/>
      </c>
    </row>
    <row r="657" ht="15.75" customHeight="1">
      <c r="A657" s="31" t="str">
        <f>'EQUITY BACKTEST'!A660</f>
        <v/>
      </c>
      <c r="B657" s="22" t="str">
        <f>'EQUITY BACKTEST'!B660</f>
        <v/>
      </c>
      <c r="C657" s="22" t="str">
        <f>1/'EQUITY BACKTEST'!E660</f>
        <v>#DIV/0!</v>
      </c>
      <c r="D657" s="22" t="str">
        <f t="shared" si="5"/>
        <v>#DIV/0!</v>
      </c>
      <c r="E657" s="22" t="str">
        <f t="shared" si="3"/>
        <v/>
      </c>
      <c r="F657" s="22" t="str">
        <f t="shared" si="6"/>
        <v>#DIV/0!</v>
      </c>
      <c r="H657" s="22" t="str">
        <f t="shared" si="4"/>
        <v/>
      </c>
      <c r="I657" s="22" t="str">
        <f t="shared" si="1"/>
        <v>#N/A</v>
      </c>
      <c r="J657" s="22" t="str">
        <f t="shared" si="2"/>
        <v>#N/A</v>
      </c>
      <c r="K657" s="22" t="str">
        <f t="array" ref="K657">IF(H657="Crash",MATCH(TRUE, B658:B755 &gt;= B656, 0),"")</f>
        <v/>
      </c>
    </row>
    <row r="658" ht="15.75" customHeight="1">
      <c r="A658" s="31" t="str">
        <f>'EQUITY BACKTEST'!A661</f>
        <v/>
      </c>
      <c r="B658" s="22" t="str">
        <f>'EQUITY BACKTEST'!B661</f>
        <v/>
      </c>
      <c r="C658" s="22" t="str">
        <f>1/'EQUITY BACKTEST'!E661</f>
        <v>#DIV/0!</v>
      </c>
      <c r="D658" s="22" t="str">
        <f t="shared" si="5"/>
        <v>#DIV/0!</v>
      </c>
      <c r="E658" s="22" t="str">
        <f t="shared" si="3"/>
        <v/>
      </c>
      <c r="F658" s="22" t="str">
        <f t="shared" si="6"/>
        <v>#DIV/0!</v>
      </c>
      <c r="H658" s="22" t="str">
        <f t="shared" si="4"/>
        <v/>
      </c>
      <c r="I658" s="22" t="str">
        <f t="shared" si="1"/>
        <v>#N/A</v>
      </c>
      <c r="J658" s="22" t="str">
        <f t="shared" si="2"/>
        <v>#N/A</v>
      </c>
      <c r="K658" s="22" t="str">
        <f t="array" ref="K658">IF(H658="Crash",MATCH(TRUE, B659:B756 &gt;= B657, 0),"")</f>
        <v/>
      </c>
    </row>
    <row r="659" ht="15.75" customHeight="1">
      <c r="A659" s="31" t="str">
        <f>'EQUITY BACKTEST'!A662</f>
        <v/>
      </c>
      <c r="B659" s="22" t="str">
        <f>'EQUITY BACKTEST'!B662</f>
        <v/>
      </c>
      <c r="C659" s="22" t="str">
        <f>1/'EQUITY BACKTEST'!E662</f>
        <v>#DIV/0!</v>
      </c>
      <c r="D659" s="22" t="str">
        <f t="shared" si="5"/>
        <v>#DIV/0!</v>
      </c>
      <c r="E659" s="22" t="str">
        <f t="shared" si="3"/>
        <v/>
      </c>
      <c r="F659" s="22" t="str">
        <f t="shared" si="6"/>
        <v>#DIV/0!</v>
      </c>
      <c r="H659" s="22" t="str">
        <f t="shared" si="4"/>
        <v/>
      </c>
      <c r="I659" s="22" t="str">
        <f t="shared" si="1"/>
        <v>#N/A</v>
      </c>
      <c r="J659" s="22" t="str">
        <f t="shared" si="2"/>
        <v>#N/A</v>
      </c>
      <c r="K659" s="22" t="str">
        <f t="array" ref="K659">IF(H659="Crash",MATCH(TRUE, B660:B757 &gt;= B658, 0),"")</f>
        <v/>
      </c>
    </row>
    <row r="660" ht="15.75" customHeight="1">
      <c r="A660" s="31" t="str">
        <f>'EQUITY BACKTEST'!A663</f>
        <v/>
      </c>
      <c r="B660" s="22" t="str">
        <f>'EQUITY BACKTEST'!B663</f>
        <v/>
      </c>
      <c r="C660" s="22" t="str">
        <f>1/'EQUITY BACKTEST'!E663</f>
        <v>#DIV/0!</v>
      </c>
      <c r="D660" s="22" t="str">
        <f t="shared" si="5"/>
        <v>#DIV/0!</v>
      </c>
      <c r="E660" s="22" t="str">
        <f t="shared" si="3"/>
        <v/>
      </c>
      <c r="F660" s="22" t="str">
        <f t="shared" si="6"/>
        <v>#DIV/0!</v>
      </c>
      <c r="H660" s="22" t="str">
        <f t="shared" si="4"/>
        <v/>
      </c>
      <c r="I660" s="22" t="str">
        <f t="shared" si="1"/>
        <v>#N/A</v>
      </c>
      <c r="J660" s="22" t="str">
        <f t="shared" si="2"/>
        <v>#N/A</v>
      </c>
      <c r="K660" s="22" t="str">
        <f t="array" ref="K660">IF(H660="Crash",MATCH(TRUE, B661:B758 &gt;= B659, 0),"")</f>
        <v/>
      </c>
    </row>
    <row r="661" ht="15.75" customHeight="1">
      <c r="A661" s="31" t="str">
        <f>'EQUITY BACKTEST'!A664</f>
        <v/>
      </c>
      <c r="B661" s="22" t="str">
        <f>'EQUITY BACKTEST'!B664</f>
        <v/>
      </c>
      <c r="C661" s="22" t="str">
        <f>1/'EQUITY BACKTEST'!E664</f>
        <v>#DIV/0!</v>
      </c>
      <c r="D661" s="22" t="str">
        <f t="shared" si="5"/>
        <v>#DIV/0!</v>
      </c>
      <c r="E661" s="22" t="str">
        <f t="shared" si="3"/>
        <v/>
      </c>
      <c r="F661" s="22" t="str">
        <f t="shared" si="6"/>
        <v>#DIV/0!</v>
      </c>
      <c r="H661" s="22" t="str">
        <f t="shared" si="4"/>
        <v/>
      </c>
      <c r="I661" s="22" t="str">
        <f t="shared" si="1"/>
        <v>#N/A</v>
      </c>
      <c r="J661" s="22" t="str">
        <f t="shared" si="2"/>
        <v>#N/A</v>
      </c>
      <c r="K661" s="22" t="str">
        <f t="array" ref="K661">IF(H661="Crash",MATCH(TRUE, B662:B759 &gt;= B660, 0),"")</f>
        <v/>
      </c>
    </row>
    <row r="662" ht="15.75" customHeight="1">
      <c r="A662" s="31" t="str">
        <f>'EQUITY BACKTEST'!A665</f>
        <v/>
      </c>
      <c r="B662" s="22" t="str">
        <f>'EQUITY BACKTEST'!B665</f>
        <v/>
      </c>
      <c r="C662" s="22" t="str">
        <f>1/'EQUITY BACKTEST'!E665</f>
        <v>#DIV/0!</v>
      </c>
      <c r="D662" s="22" t="str">
        <f t="shared" si="5"/>
        <v>#DIV/0!</v>
      </c>
      <c r="E662" s="22" t="str">
        <f t="shared" si="3"/>
        <v/>
      </c>
      <c r="F662" s="22" t="str">
        <f t="shared" si="6"/>
        <v>#DIV/0!</v>
      </c>
      <c r="H662" s="22" t="str">
        <f t="shared" si="4"/>
        <v/>
      </c>
      <c r="I662" s="22" t="str">
        <f t="shared" si="1"/>
        <v>#N/A</v>
      </c>
      <c r="J662" s="22" t="str">
        <f t="shared" si="2"/>
        <v>#N/A</v>
      </c>
      <c r="K662" s="22" t="str">
        <f t="array" ref="K662">IF(H662="Crash",MATCH(TRUE, B663:B760 &gt;= B661, 0),"")</f>
        <v/>
      </c>
    </row>
    <row r="663" ht="15.75" customHeight="1">
      <c r="A663" s="31" t="str">
        <f>'EQUITY BACKTEST'!A666</f>
        <v/>
      </c>
      <c r="B663" s="22" t="str">
        <f>'EQUITY BACKTEST'!B666</f>
        <v/>
      </c>
      <c r="C663" s="22" t="str">
        <f>1/'EQUITY BACKTEST'!E666</f>
        <v>#DIV/0!</v>
      </c>
      <c r="D663" s="22" t="str">
        <f t="shared" si="5"/>
        <v>#DIV/0!</v>
      </c>
      <c r="E663" s="22" t="str">
        <f t="shared" si="3"/>
        <v/>
      </c>
      <c r="F663" s="22" t="str">
        <f t="shared" si="6"/>
        <v>#DIV/0!</v>
      </c>
      <c r="H663" s="22" t="str">
        <f t="shared" si="4"/>
        <v/>
      </c>
      <c r="I663" s="22" t="str">
        <f t="shared" si="1"/>
        <v>#N/A</v>
      </c>
      <c r="J663" s="22" t="str">
        <f t="shared" si="2"/>
        <v>#N/A</v>
      </c>
      <c r="K663" s="22" t="str">
        <f t="array" ref="K663">IF(H663="Crash",MATCH(TRUE, B664:B761 &gt;= B662, 0),"")</f>
        <v/>
      </c>
    </row>
    <row r="664" ht="15.75" customHeight="1">
      <c r="A664" s="31" t="str">
        <f>'EQUITY BACKTEST'!A667</f>
        <v/>
      </c>
      <c r="B664" s="22" t="str">
        <f>'EQUITY BACKTEST'!B667</f>
        <v/>
      </c>
      <c r="C664" s="22" t="str">
        <f>1/'EQUITY BACKTEST'!E667</f>
        <v>#DIV/0!</v>
      </c>
      <c r="D664" s="22" t="str">
        <f t="shared" si="5"/>
        <v>#DIV/0!</v>
      </c>
      <c r="E664" s="22" t="str">
        <f t="shared" si="3"/>
        <v/>
      </c>
      <c r="F664" s="22" t="str">
        <f t="shared" si="6"/>
        <v>#DIV/0!</v>
      </c>
      <c r="H664" s="22" t="str">
        <f t="shared" si="4"/>
        <v/>
      </c>
      <c r="I664" s="22" t="str">
        <f t="shared" si="1"/>
        <v>#N/A</v>
      </c>
      <c r="J664" s="22" t="str">
        <f t="shared" si="2"/>
        <v>#N/A</v>
      </c>
      <c r="K664" s="22" t="str">
        <f t="array" ref="K664">IF(H664="Crash",MATCH(TRUE, B665:B762 &gt;= B663, 0),"")</f>
        <v/>
      </c>
    </row>
    <row r="665" ht="15.75" customHeight="1">
      <c r="A665" s="31" t="str">
        <f>'EQUITY BACKTEST'!A668</f>
        <v/>
      </c>
      <c r="B665" s="22" t="str">
        <f>'EQUITY BACKTEST'!B668</f>
        <v/>
      </c>
      <c r="C665" s="22" t="str">
        <f>1/'EQUITY BACKTEST'!E668</f>
        <v>#DIV/0!</v>
      </c>
      <c r="D665" s="22" t="str">
        <f t="shared" si="5"/>
        <v>#DIV/0!</v>
      </c>
      <c r="E665" s="22" t="str">
        <f t="shared" si="3"/>
        <v/>
      </c>
      <c r="F665" s="22" t="str">
        <f t="shared" si="6"/>
        <v>#DIV/0!</v>
      </c>
      <c r="H665" s="22" t="str">
        <f t="shared" si="4"/>
        <v/>
      </c>
      <c r="I665" s="22" t="str">
        <f t="shared" si="1"/>
        <v>#N/A</v>
      </c>
      <c r="J665" s="22" t="str">
        <f t="shared" si="2"/>
        <v>#N/A</v>
      </c>
      <c r="K665" s="22" t="str">
        <f t="array" ref="K665">IF(H665="Crash",MATCH(TRUE, B666:B763 &gt;= B664, 0),"")</f>
        <v/>
      </c>
    </row>
    <row r="666" ht="15.75" customHeight="1">
      <c r="A666" s="31" t="str">
        <f>'EQUITY BACKTEST'!A669</f>
        <v/>
      </c>
      <c r="B666" s="22" t="str">
        <f>'EQUITY BACKTEST'!B669</f>
        <v/>
      </c>
      <c r="C666" s="22" t="str">
        <f>1/'EQUITY BACKTEST'!E669</f>
        <v>#DIV/0!</v>
      </c>
      <c r="D666" s="22" t="str">
        <f t="shared" si="5"/>
        <v>#DIV/0!</v>
      </c>
      <c r="E666" s="22" t="str">
        <f t="shared" si="3"/>
        <v/>
      </c>
      <c r="F666" s="22" t="str">
        <f t="shared" si="6"/>
        <v>#DIV/0!</v>
      </c>
      <c r="H666" s="22" t="str">
        <f t="shared" si="4"/>
        <v/>
      </c>
      <c r="I666" s="22" t="str">
        <f t="shared" si="1"/>
        <v>#N/A</v>
      </c>
      <c r="J666" s="22" t="str">
        <f t="shared" si="2"/>
        <v>#N/A</v>
      </c>
      <c r="K666" s="22" t="str">
        <f t="array" ref="K666">IF(H666="Crash",MATCH(TRUE, B667:B764 &gt;= B665, 0),"")</f>
        <v/>
      </c>
    </row>
    <row r="667" ht="15.75" customHeight="1">
      <c r="A667" s="31" t="str">
        <f>'EQUITY BACKTEST'!A670</f>
        <v/>
      </c>
      <c r="B667" s="22" t="str">
        <f>'EQUITY BACKTEST'!B670</f>
        <v/>
      </c>
      <c r="C667" s="22" t="str">
        <f>1/'EQUITY BACKTEST'!E670</f>
        <v>#DIV/0!</v>
      </c>
      <c r="D667" s="22" t="str">
        <f t="shared" si="5"/>
        <v>#DIV/0!</v>
      </c>
      <c r="E667" s="22" t="str">
        <f t="shared" si="3"/>
        <v/>
      </c>
      <c r="F667" s="22" t="str">
        <f t="shared" si="6"/>
        <v>#DIV/0!</v>
      </c>
      <c r="H667" s="22" t="str">
        <f t="shared" si="4"/>
        <v/>
      </c>
      <c r="I667" s="22" t="str">
        <f t="shared" si="1"/>
        <v>#N/A</v>
      </c>
      <c r="J667" s="22" t="str">
        <f t="shared" si="2"/>
        <v>#N/A</v>
      </c>
      <c r="K667" s="22" t="str">
        <f t="array" ref="K667">IF(H667="Crash",MATCH(TRUE, B668:B765 &gt;= B666, 0),"")</f>
        <v/>
      </c>
    </row>
    <row r="668" ht="15.75" customHeight="1">
      <c r="A668" s="31" t="str">
        <f>'EQUITY BACKTEST'!A671</f>
        <v/>
      </c>
      <c r="B668" s="22" t="str">
        <f>'EQUITY BACKTEST'!B671</f>
        <v/>
      </c>
      <c r="C668" s="22" t="str">
        <f>1/'EQUITY BACKTEST'!E671</f>
        <v>#DIV/0!</v>
      </c>
      <c r="D668" s="22" t="str">
        <f t="shared" si="5"/>
        <v>#DIV/0!</v>
      </c>
      <c r="E668" s="22" t="str">
        <f t="shared" si="3"/>
        <v/>
      </c>
      <c r="F668" s="22" t="str">
        <f t="shared" si="6"/>
        <v>#DIV/0!</v>
      </c>
      <c r="H668" s="22" t="str">
        <f t="shared" si="4"/>
        <v/>
      </c>
      <c r="I668" s="22" t="str">
        <f t="shared" si="1"/>
        <v>#N/A</v>
      </c>
      <c r="J668" s="22" t="str">
        <f t="shared" si="2"/>
        <v>#N/A</v>
      </c>
      <c r="K668" s="22" t="str">
        <f t="array" ref="K668">IF(H668="Crash",MATCH(TRUE, B669:B766 &gt;= B667, 0),"")</f>
        <v/>
      </c>
    </row>
    <row r="669" ht="15.75" customHeight="1">
      <c r="A669" s="31" t="str">
        <f>'EQUITY BACKTEST'!A672</f>
        <v/>
      </c>
      <c r="B669" s="22" t="str">
        <f>'EQUITY BACKTEST'!B672</f>
        <v/>
      </c>
      <c r="C669" s="22" t="str">
        <f>1/'EQUITY BACKTEST'!E672</f>
        <v>#DIV/0!</v>
      </c>
      <c r="D669" s="22" t="str">
        <f t="shared" si="5"/>
        <v>#DIV/0!</v>
      </c>
      <c r="E669" s="22" t="str">
        <f t="shared" si="3"/>
        <v/>
      </c>
      <c r="F669" s="22" t="str">
        <f t="shared" si="6"/>
        <v>#DIV/0!</v>
      </c>
      <c r="H669" s="22" t="str">
        <f t="shared" si="4"/>
        <v/>
      </c>
      <c r="I669" s="22" t="str">
        <f t="shared" si="1"/>
        <v>#N/A</v>
      </c>
      <c r="J669" s="22" t="str">
        <f t="shared" si="2"/>
        <v>#N/A</v>
      </c>
      <c r="K669" s="22" t="str">
        <f t="array" ref="K669">IF(H669="Crash",MATCH(TRUE, B670:B767 &gt;= B668, 0),"")</f>
        <v/>
      </c>
    </row>
    <row r="670" ht="15.75" customHeight="1">
      <c r="A670" s="31" t="str">
        <f>'EQUITY BACKTEST'!A673</f>
        <v/>
      </c>
      <c r="B670" s="22" t="str">
        <f>'EQUITY BACKTEST'!B673</f>
        <v/>
      </c>
      <c r="C670" s="22" t="str">
        <f>1/'EQUITY BACKTEST'!E673</f>
        <v>#DIV/0!</v>
      </c>
      <c r="D670" s="22" t="str">
        <f t="shared" si="5"/>
        <v>#DIV/0!</v>
      </c>
      <c r="E670" s="22" t="str">
        <f t="shared" si="3"/>
        <v/>
      </c>
      <c r="F670" s="22" t="str">
        <f t="shared" si="6"/>
        <v>#DIV/0!</v>
      </c>
      <c r="H670" s="22" t="str">
        <f t="shared" si="4"/>
        <v/>
      </c>
      <c r="I670" s="22" t="str">
        <f t="shared" si="1"/>
        <v>#N/A</v>
      </c>
      <c r="J670" s="22" t="str">
        <f t="shared" si="2"/>
        <v>#N/A</v>
      </c>
      <c r="K670" s="22" t="str">
        <f t="array" ref="K670">IF(H670="Crash",MATCH(TRUE, B671:B768 &gt;= B669, 0),"")</f>
        <v/>
      </c>
    </row>
    <row r="671" ht="15.75" customHeight="1">
      <c r="A671" s="31" t="str">
        <f>'EQUITY BACKTEST'!A674</f>
        <v/>
      </c>
      <c r="B671" s="22" t="str">
        <f>'EQUITY BACKTEST'!B674</f>
        <v/>
      </c>
      <c r="C671" s="22" t="str">
        <f>1/'EQUITY BACKTEST'!E674</f>
        <v>#DIV/0!</v>
      </c>
      <c r="D671" s="22" t="str">
        <f t="shared" si="5"/>
        <v>#DIV/0!</v>
      </c>
      <c r="E671" s="22" t="str">
        <f t="shared" si="3"/>
        <v/>
      </c>
      <c r="F671" s="22" t="str">
        <f t="shared" si="6"/>
        <v>#DIV/0!</v>
      </c>
      <c r="H671" s="22" t="str">
        <f t="shared" si="4"/>
        <v/>
      </c>
      <c r="I671" s="22" t="str">
        <f t="shared" si="1"/>
        <v>#N/A</v>
      </c>
      <c r="J671" s="22" t="str">
        <f t="shared" si="2"/>
        <v>#N/A</v>
      </c>
      <c r="K671" s="22" t="str">
        <f t="array" ref="K671">IF(H671="Crash",MATCH(TRUE, B672:B769 &gt;= B670, 0),"")</f>
        <v/>
      </c>
    </row>
    <row r="672" ht="15.75" customHeight="1">
      <c r="A672" s="31" t="str">
        <f>'EQUITY BACKTEST'!A675</f>
        <v/>
      </c>
      <c r="B672" s="22" t="str">
        <f>'EQUITY BACKTEST'!B675</f>
        <v/>
      </c>
      <c r="C672" s="22" t="str">
        <f>1/'EQUITY BACKTEST'!E675</f>
        <v>#DIV/0!</v>
      </c>
      <c r="D672" s="22" t="str">
        <f t="shared" si="5"/>
        <v>#DIV/0!</v>
      </c>
      <c r="E672" s="22" t="str">
        <f t="shared" si="3"/>
        <v/>
      </c>
      <c r="F672" s="22" t="str">
        <f t="shared" si="6"/>
        <v>#DIV/0!</v>
      </c>
      <c r="H672" s="22" t="str">
        <f t="shared" si="4"/>
        <v/>
      </c>
      <c r="I672" s="22" t="str">
        <f t="shared" si="1"/>
        <v>#N/A</v>
      </c>
      <c r="J672" s="22" t="str">
        <f t="shared" si="2"/>
        <v>#N/A</v>
      </c>
      <c r="K672" s="22" t="str">
        <f t="array" ref="K672">IF(H672="Crash",MATCH(TRUE, B673:B770 &gt;= B671, 0),"")</f>
        <v/>
      </c>
    </row>
    <row r="673" ht="15.75" customHeight="1">
      <c r="A673" s="31" t="str">
        <f>'EQUITY BACKTEST'!A676</f>
        <v/>
      </c>
      <c r="B673" s="22" t="str">
        <f>'EQUITY BACKTEST'!B676</f>
        <v/>
      </c>
      <c r="C673" s="22" t="str">
        <f>1/'EQUITY BACKTEST'!E676</f>
        <v>#DIV/0!</v>
      </c>
      <c r="D673" s="22" t="str">
        <f t="shared" si="5"/>
        <v>#DIV/0!</v>
      </c>
      <c r="E673" s="22" t="str">
        <f t="shared" si="3"/>
        <v/>
      </c>
      <c r="F673" s="22" t="str">
        <f t="shared" si="6"/>
        <v>#DIV/0!</v>
      </c>
      <c r="H673" s="22" t="str">
        <f t="shared" si="4"/>
        <v/>
      </c>
      <c r="I673" s="22" t="str">
        <f t="shared" si="1"/>
        <v>#N/A</v>
      </c>
      <c r="J673" s="22" t="str">
        <f t="shared" si="2"/>
        <v>#N/A</v>
      </c>
      <c r="K673" s="22" t="str">
        <f t="array" ref="K673">IF(H673="Crash",MATCH(TRUE, B674:B771 &gt;= B672, 0),"")</f>
        <v/>
      </c>
    </row>
    <row r="674" ht="15.75" customHeight="1">
      <c r="A674" s="31" t="str">
        <f>'EQUITY BACKTEST'!A677</f>
        <v/>
      </c>
      <c r="B674" s="22" t="str">
        <f>'EQUITY BACKTEST'!B677</f>
        <v/>
      </c>
      <c r="C674" s="22" t="str">
        <f>1/'EQUITY BACKTEST'!E677</f>
        <v>#DIV/0!</v>
      </c>
      <c r="D674" s="22" t="str">
        <f t="shared" si="5"/>
        <v>#DIV/0!</v>
      </c>
      <c r="E674" s="22" t="str">
        <f t="shared" si="3"/>
        <v/>
      </c>
      <c r="F674" s="22" t="str">
        <f t="shared" si="6"/>
        <v>#DIV/0!</v>
      </c>
      <c r="H674" s="22" t="str">
        <f t="shared" si="4"/>
        <v/>
      </c>
      <c r="I674" s="22" t="str">
        <f t="shared" si="1"/>
        <v>#N/A</v>
      </c>
      <c r="J674" s="22" t="str">
        <f t="shared" si="2"/>
        <v>#N/A</v>
      </c>
      <c r="K674" s="22" t="str">
        <f t="array" ref="K674">IF(H674="Crash",MATCH(TRUE, B675:B772 &gt;= B673, 0),"")</f>
        <v/>
      </c>
    </row>
    <row r="675" ht="15.75" customHeight="1">
      <c r="A675" s="31" t="str">
        <f>'EQUITY BACKTEST'!A678</f>
        <v/>
      </c>
      <c r="B675" s="22" t="str">
        <f>'EQUITY BACKTEST'!B678</f>
        <v/>
      </c>
      <c r="C675" s="22" t="str">
        <f>1/'EQUITY BACKTEST'!E678</f>
        <v>#DIV/0!</v>
      </c>
      <c r="D675" s="22" t="str">
        <f t="shared" si="5"/>
        <v>#DIV/0!</v>
      </c>
      <c r="E675" s="22" t="str">
        <f t="shared" si="3"/>
        <v/>
      </c>
      <c r="F675" s="22" t="str">
        <f t="shared" si="6"/>
        <v>#DIV/0!</v>
      </c>
      <c r="H675" s="22" t="str">
        <f t="shared" si="4"/>
        <v/>
      </c>
      <c r="I675" s="22" t="str">
        <f t="shared" si="1"/>
        <v>#N/A</v>
      </c>
      <c r="J675" s="22" t="str">
        <f t="shared" si="2"/>
        <v>#N/A</v>
      </c>
      <c r="K675" s="22" t="str">
        <f t="array" ref="K675">IF(H675="Crash",MATCH(TRUE, B676:B773 &gt;= B674, 0),"")</f>
        <v/>
      </c>
    </row>
    <row r="676" ht="15.75" customHeight="1">
      <c r="A676" s="31" t="str">
        <f>'EQUITY BACKTEST'!A679</f>
        <v/>
      </c>
      <c r="B676" s="22" t="str">
        <f>'EQUITY BACKTEST'!B679</f>
        <v/>
      </c>
      <c r="C676" s="22" t="str">
        <f>1/'EQUITY BACKTEST'!E679</f>
        <v>#DIV/0!</v>
      </c>
      <c r="D676" s="22" t="str">
        <f t="shared" si="5"/>
        <v>#DIV/0!</v>
      </c>
      <c r="E676" s="22" t="str">
        <f t="shared" si="3"/>
        <v/>
      </c>
      <c r="F676" s="22" t="str">
        <f t="shared" si="6"/>
        <v>#DIV/0!</v>
      </c>
      <c r="H676" s="22" t="str">
        <f t="shared" si="4"/>
        <v/>
      </c>
      <c r="I676" s="22" t="str">
        <f t="shared" si="1"/>
        <v>#N/A</v>
      </c>
      <c r="J676" s="22" t="str">
        <f t="shared" si="2"/>
        <v>#N/A</v>
      </c>
      <c r="K676" s="22" t="str">
        <f t="array" ref="K676">IF(H676="Crash",MATCH(TRUE, B677:B774 &gt;= B675, 0),"")</f>
        <v/>
      </c>
    </row>
    <row r="677" ht="15.75" customHeight="1">
      <c r="A677" s="31" t="str">
        <f>'EQUITY BACKTEST'!A680</f>
        <v/>
      </c>
      <c r="B677" s="22" t="str">
        <f>'EQUITY BACKTEST'!B680</f>
        <v/>
      </c>
      <c r="C677" s="22" t="str">
        <f>1/'EQUITY BACKTEST'!E680</f>
        <v>#DIV/0!</v>
      </c>
      <c r="D677" s="22" t="str">
        <f t="shared" si="5"/>
        <v>#DIV/0!</v>
      </c>
      <c r="E677" s="22" t="str">
        <f t="shared" si="3"/>
        <v/>
      </c>
      <c r="F677" s="22" t="str">
        <f t="shared" si="6"/>
        <v>#DIV/0!</v>
      </c>
      <c r="H677" s="22" t="str">
        <f t="shared" si="4"/>
        <v/>
      </c>
      <c r="I677" s="22" t="str">
        <f t="shared" si="1"/>
        <v>#N/A</v>
      </c>
      <c r="J677" s="22" t="str">
        <f t="shared" si="2"/>
        <v>#N/A</v>
      </c>
      <c r="K677" s="22" t="str">
        <f t="array" ref="K677">IF(H677="Crash",MATCH(TRUE, B678:B775 &gt;= B676, 0),"")</f>
        <v/>
      </c>
    </row>
    <row r="678" ht="15.75" customHeight="1">
      <c r="A678" s="31" t="str">
        <f>'EQUITY BACKTEST'!A681</f>
        <v/>
      </c>
      <c r="B678" s="22" t="str">
        <f>'EQUITY BACKTEST'!B681</f>
        <v/>
      </c>
      <c r="C678" s="22" t="str">
        <f>1/'EQUITY BACKTEST'!E681</f>
        <v>#DIV/0!</v>
      </c>
      <c r="D678" s="22" t="str">
        <f t="shared" si="5"/>
        <v>#DIV/0!</v>
      </c>
      <c r="E678" s="22" t="str">
        <f t="shared" si="3"/>
        <v/>
      </c>
      <c r="F678" s="22" t="str">
        <f t="shared" si="6"/>
        <v>#DIV/0!</v>
      </c>
      <c r="H678" s="22" t="str">
        <f t="shared" si="4"/>
        <v/>
      </c>
      <c r="I678" s="22" t="str">
        <f t="shared" si="1"/>
        <v>#N/A</v>
      </c>
      <c r="J678" s="22" t="str">
        <f t="shared" si="2"/>
        <v>#N/A</v>
      </c>
      <c r="K678" s="22" t="str">
        <f t="array" ref="K678">IF(H678="Crash",MATCH(TRUE, B679:B776 &gt;= B677, 0),"")</f>
        <v/>
      </c>
    </row>
    <row r="679" ht="15.75" customHeight="1">
      <c r="A679" s="31" t="str">
        <f>'EQUITY BACKTEST'!A682</f>
        <v/>
      </c>
      <c r="B679" s="22" t="str">
        <f>'EQUITY BACKTEST'!B682</f>
        <v/>
      </c>
      <c r="C679" s="22" t="str">
        <f>1/'EQUITY BACKTEST'!E682</f>
        <v>#DIV/0!</v>
      </c>
      <c r="D679" s="22" t="str">
        <f t="shared" si="5"/>
        <v>#DIV/0!</v>
      </c>
      <c r="E679" s="22" t="str">
        <f t="shared" si="3"/>
        <v/>
      </c>
      <c r="F679" s="22" t="str">
        <f t="shared" si="6"/>
        <v>#DIV/0!</v>
      </c>
      <c r="H679" s="22" t="str">
        <f t="shared" si="4"/>
        <v/>
      </c>
      <c r="I679" s="22" t="str">
        <f t="shared" si="1"/>
        <v>#N/A</v>
      </c>
      <c r="J679" s="22" t="str">
        <f t="shared" si="2"/>
        <v>#N/A</v>
      </c>
      <c r="K679" s="22" t="str">
        <f t="array" ref="K679">IF(H679="Crash",MATCH(TRUE, B680:B777 &gt;= B678, 0),"")</f>
        <v/>
      </c>
    </row>
    <row r="680" ht="15.75" customHeight="1">
      <c r="A680" s="31" t="str">
        <f>'EQUITY BACKTEST'!A683</f>
        <v/>
      </c>
      <c r="B680" s="22" t="str">
        <f>'EQUITY BACKTEST'!B683</f>
        <v/>
      </c>
      <c r="C680" s="22" t="str">
        <f>1/'EQUITY BACKTEST'!E683</f>
        <v>#DIV/0!</v>
      </c>
      <c r="D680" s="22" t="str">
        <f t="shared" si="5"/>
        <v>#DIV/0!</v>
      </c>
      <c r="E680" s="22" t="str">
        <f t="shared" si="3"/>
        <v/>
      </c>
      <c r="F680" s="22" t="str">
        <f t="shared" si="6"/>
        <v>#DIV/0!</v>
      </c>
      <c r="H680" s="22" t="str">
        <f t="shared" si="4"/>
        <v/>
      </c>
      <c r="I680" s="22" t="str">
        <f t="shared" si="1"/>
        <v>#N/A</v>
      </c>
      <c r="J680" s="22" t="str">
        <f t="shared" si="2"/>
        <v>#N/A</v>
      </c>
      <c r="K680" s="22" t="str">
        <f t="array" ref="K680">IF(H680="Crash",MATCH(TRUE, B681:B778 &gt;= B679, 0),"")</f>
        <v/>
      </c>
    </row>
    <row r="681" ht="15.75" customHeight="1">
      <c r="A681" s="31" t="str">
        <f>'EQUITY BACKTEST'!A684</f>
        <v/>
      </c>
      <c r="B681" s="22" t="str">
        <f>'EQUITY BACKTEST'!B684</f>
        <v/>
      </c>
      <c r="C681" s="22" t="str">
        <f>1/'EQUITY BACKTEST'!E684</f>
        <v>#DIV/0!</v>
      </c>
      <c r="D681" s="22" t="str">
        <f t="shared" si="5"/>
        <v>#DIV/0!</v>
      </c>
      <c r="E681" s="22" t="str">
        <f t="shared" si="3"/>
        <v/>
      </c>
      <c r="F681" s="22" t="str">
        <f t="shared" si="6"/>
        <v>#DIV/0!</v>
      </c>
      <c r="H681" s="22" t="str">
        <f t="shared" si="4"/>
        <v/>
      </c>
      <c r="I681" s="22" t="str">
        <f t="shared" si="1"/>
        <v>#N/A</v>
      </c>
      <c r="J681" s="22" t="str">
        <f t="shared" si="2"/>
        <v>#N/A</v>
      </c>
      <c r="K681" s="22" t="str">
        <f t="array" ref="K681">IF(H681="Crash",MATCH(TRUE, B682:B779 &gt;= B680, 0),"")</f>
        <v/>
      </c>
    </row>
    <row r="682" ht="15.75" customHeight="1">
      <c r="A682" s="31" t="str">
        <f>'EQUITY BACKTEST'!A685</f>
        <v/>
      </c>
      <c r="B682" s="22" t="str">
        <f>'EQUITY BACKTEST'!B685</f>
        <v/>
      </c>
      <c r="C682" s="22" t="str">
        <f>1/'EQUITY BACKTEST'!E685</f>
        <v>#DIV/0!</v>
      </c>
      <c r="D682" s="22" t="str">
        <f t="shared" si="5"/>
        <v>#DIV/0!</v>
      </c>
      <c r="E682" s="22" t="str">
        <f t="shared" si="3"/>
        <v/>
      </c>
      <c r="F682" s="22" t="str">
        <f t="shared" si="6"/>
        <v>#DIV/0!</v>
      </c>
      <c r="H682" s="22" t="str">
        <f t="shared" si="4"/>
        <v/>
      </c>
      <c r="I682" s="22" t="str">
        <f t="shared" si="1"/>
        <v>#N/A</v>
      </c>
      <c r="J682" s="22" t="str">
        <f t="shared" si="2"/>
        <v>#N/A</v>
      </c>
      <c r="K682" s="22" t="str">
        <f t="array" ref="K682">IF(H682="Crash",MATCH(TRUE, B683:B780 &gt;= B681, 0),"")</f>
        <v/>
      </c>
    </row>
    <row r="683" ht="15.75" customHeight="1">
      <c r="A683" s="31" t="str">
        <f>'EQUITY BACKTEST'!A686</f>
        <v/>
      </c>
      <c r="B683" s="22" t="str">
        <f>'EQUITY BACKTEST'!B686</f>
        <v/>
      </c>
      <c r="C683" s="22" t="str">
        <f>1/'EQUITY BACKTEST'!E686</f>
        <v>#DIV/0!</v>
      </c>
      <c r="D683" s="22" t="str">
        <f t="shared" si="5"/>
        <v>#DIV/0!</v>
      </c>
      <c r="E683" s="22" t="str">
        <f t="shared" si="3"/>
        <v/>
      </c>
      <c r="F683" s="22" t="str">
        <f t="shared" si="6"/>
        <v>#DIV/0!</v>
      </c>
      <c r="H683" s="22" t="str">
        <f t="shared" si="4"/>
        <v/>
      </c>
      <c r="I683" s="22" t="str">
        <f t="shared" si="1"/>
        <v>#N/A</v>
      </c>
      <c r="J683" s="22" t="str">
        <f t="shared" si="2"/>
        <v>#N/A</v>
      </c>
      <c r="K683" s="22" t="str">
        <f t="array" ref="K683">IF(H683="Crash",MATCH(TRUE, B684:B781 &gt;= B682, 0),"")</f>
        <v/>
      </c>
    </row>
    <row r="684" ht="15.75" customHeight="1">
      <c r="A684" s="31" t="str">
        <f>'EQUITY BACKTEST'!A687</f>
        <v/>
      </c>
      <c r="B684" s="22" t="str">
        <f>'EQUITY BACKTEST'!B687</f>
        <v/>
      </c>
      <c r="C684" s="22" t="str">
        <f>1/'EQUITY BACKTEST'!E687</f>
        <v>#DIV/0!</v>
      </c>
      <c r="D684" s="22" t="str">
        <f t="shared" si="5"/>
        <v>#DIV/0!</v>
      </c>
      <c r="E684" s="22" t="str">
        <f t="shared" si="3"/>
        <v/>
      </c>
      <c r="F684" s="22" t="str">
        <f t="shared" si="6"/>
        <v>#DIV/0!</v>
      </c>
      <c r="H684" s="22" t="str">
        <f t="shared" si="4"/>
        <v/>
      </c>
      <c r="I684" s="22" t="str">
        <f t="shared" si="1"/>
        <v>#N/A</v>
      </c>
      <c r="J684" s="22" t="str">
        <f t="shared" si="2"/>
        <v>#N/A</v>
      </c>
      <c r="K684" s="22" t="str">
        <f t="array" ref="K684">IF(H684="Crash",MATCH(TRUE, B685:B782 &gt;= B683, 0),"")</f>
        <v/>
      </c>
    </row>
    <row r="685" ht="15.75" customHeight="1">
      <c r="A685" s="31" t="str">
        <f>'EQUITY BACKTEST'!A688</f>
        <v/>
      </c>
      <c r="B685" s="22" t="str">
        <f>'EQUITY BACKTEST'!B688</f>
        <v/>
      </c>
      <c r="C685" s="22" t="str">
        <f>1/'EQUITY BACKTEST'!E688</f>
        <v>#DIV/0!</v>
      </c>
      <c r="D685" s="22" t="str">
        <f t="shared" si="5"/>
        <v>#DIV/0!</v>
      </c>
      <c r="E685" s="22" t="str">
        <f t="shared" si="3"/>
        <v/>
      </c>
      <c r="F685" s="22" t="str">
        <f t="shared" si="6"/>
        <v>#DIV/0!</v>
      </c>
      <c r="H685" s="22" t="str">
        <f t="shared" si="4"/>
        <v/>
      </c>
      <c r="I685" s="22" t="str">
        <f t="shared" si="1"/>
        <v>#N/A</v>
      </c>
      <c r="J685" s="22" t="str">
        <f t="shared" si="2"/>
        <v>#N/A</v>
      </c>
      <c r="K685" s="22" t="str">
        <f t="array" ref="K685">IF(H685="Crash",MATCH(TRUE, B686:B783 &gt;= B684, 0),"")</f>
        <v/>
      </c>
    </row>
    <row r="686" ht="15.75" customHeight="1">
      <c r="A686" s="31" t="str">
        <f>'EQUITY BACKTEST'!A689</f>
        <v/>
      </c>
      <c r="B686" s="22" t="str">
        <f>'EQUITY BACKTEST'!B689</f>
        <v/>
      </c>
      <c r="C686" s="22" t="str">
        <f>1/'EQUITY BACKTEST'!E689</f>
        <v>#DIV/0!</v>
      </c>
      <c r="D686" s="22" t="str">
        <f t="shared" si="5"/>
        <v>#DIV/0!</v>
      </c>
      <c r="E686" s="22" t="str">
        <f t="shared" si="3"/>
        <v/>
      </c>
      <c r="F686" s="22" t="str">
        <f t="shared" si="6"/>
        <v>#DIV/0!</v>
      </c>
      <c r="H686" s="22" t="str">
        <f t="shared" si="4"/>
        <v/>
      </c>
      <c r="I686" s="22" t="str">
        <f t="shared" si="1"/>
        <v>#N/A</v>
      </c>
      <c r="J686" s="22" t="str">
        <f t="shared" si="2"/>
        <v>#N/A</v>
      </c>
      <c r="K686" s="22" t="str">
        <f t="array" ref="K686">IF(H686="Crash",MATCH(TRUE, B687:B784 &gt;= B685, 0),"")</f>
        <v/>
      </c>
    </row>
    <row r="687" ht="15.75" customHeight="1">
      <c r="A687" s="31" t="str">
        <f>'EQUITY BACKTEST'!A690</f>
        <v/>
      </c>
      <c r="B687" s="22" t="str">
        <f>'EQUITY BACKTEST'!B690</f>
        <v/>
      </c>
      <c r="C687" s="22" t="str">
        <f>1/'EQUITY BACKTEST'!E690</f>
        <v>#DIV/0!</v>
      </c>
      <c r="D687" s="22" t="str">
        <f t="shared" si="5"/>
        <v>#DIV/0!</v>
      </c>
      <c r="E687" s="22" t="str">
        <f t="shared" si="3"/>
        <v/>
      </c>
      <c r="F687" s="22" t="str">
        <f t="shared" si="6"/>
        <v>#DIV/0!</v>
      </c>
      <c r="H687" s="22" t="str">
        <f t="shared" si="4"/>
        <v/>
      </c>
      <c r="I687" s="22" t="str">
        <f t="shared" si="1"/>
        <v>#N/A</v>
      </c>
      <c r="J687" s="22" t="str">
        <f t="shared" si="2"/>
        <v>#N/A</v>
      </c>
      <c r="K687" s="22" t="str">
        <f t="array" ref="K687">IF(H687="Crash",MATCH(TRUE, B688:B785 &gt;= B686, 0),"")</f>
        <v/>
      </c>
    </row>
    <row r="688" ht="15.75" customHeight="1">
      <c r="A688" s="31" t="str">
        <f>'EQUITY BACKTEST'!A691</f>
        <v/>
      </c>
      <c r="B688" s="22" t="str">
        <f>'EQUITY BACKTEST'!B691</f>
        <v/>
      </c>
      <c r="C688" s="22" t="str">
        <f>1/'EQUITY BACKTEST'!E691</f>
        <v>#DIV/0!</v>
      </c>
      <c r="D688" s="22" t="str">
        <f t="shared" si="5"/>
        <v>#DIV/0!</v>
      </c>
      <c r="E688" s="22" t="str">
        <f t="shared" si="3"/>
        <v/>
      </c>
      <c r="F688" s="22" t="str">
        <f t="shared" si="6"/>
        <v>#DIV/0!</v>
      </c>
      <c r="H688" s="22" t="str">
        <f t="shared" si="4"/>
        <v/>
      </c>
      <c r="I688" s="22" t="str">
        <f t="shared" si="1"/>
        <v>#N/A</v>
      </c>
      <c r="J688" s="22" t="str">
        <f t="shared" si="2"/>
        <v>#N/A</v>
      </c>
      <c r="K688" s="22" t="str">
        <f t="array" ref="K688">IF(H688="Crash",MATCH(TRUE, B689:B786 &gt;= B687, 0),"")</f>
        <v/>
      </c>
    </row>
    <row r="689" ht="15.75" customHeight="1">
      <c r="A689" s="31" t="str">
        <f>'EQUITY BACKTEST'!A692</f>
        <v/>
      </c>
      <c r="B689" s="22" t="str">
        <f>'EQUITY BACKTEST'!B692</f>
        <v/>
      </c>
      <c r="C689" s="22" t="str">
        <f>1/'EQUITY BACKTEST'!E692</f>
        <v>#DIV/0!</v>
      </c>
      <c r="D689" s="22" t="str">
        <f t="shared" si="5"/>
        <v>#DIV/0!</v>
      </c>
      <c r="E689" s="22" t="str">
        <f t="shared" si="3"/>
        <v/>
      </c>
      <c r="F689" s="22" t="str">
        <f t="shared" si="6"/>
        <v>#DIV/0!</v>
      </c>
      <c r="H689" s="22" t="str">
        <f t="shared" si="4"/>
        <v/>
      </c>
      <c r="I689" s="22" t="str">
        <f t="shared" si="1"/>
        <v>#N/A</v>
      </c>
      <c r="J689" s="22" t="str">
        <f t="shared" si="2"/>
        <v>#N/A</v>
      </c>
      <c r="K689" s="22" t="str">
        <f t="array" ref="K689">IF(H689="Crash",MATCH(TRUE, B690:B787 &gt;= B688, 0),"")</f>
        <v/>
      </c>
    </row>
    <row r="690" ht="15.75" customHeight="1">
      <c r="A690" s="31" t="str">
        <f>'EQUITY BACKTEST'!A693</f>
        <v/>
      </c>
      <c r="B690" s="22" t="str">
        <f>'EQUITY BACKTEST'!B693</f>
        <v/>
      </c>
      <c r="C690" s="22" t="str">
        <f>1/'EQUITY BACKTEST'!E693</f>
        <v>#DIV/0!</v>
      </c>
      <c r="D690" s="22" t="str">
        <f t="shared" si="5"/>
        <v>#DIV/0!</v>
      </c>
      <c r="E690" s="22" t="str">
        <f t="shared" si="3"/>
        <v/>
      </c>
      <c r="F690" s="22" t="str">
        <f t="shared" si="6"/>
        <v>#DIV/0!</v>
      </c>
      <c r="H690" s="22" t="str">
        <f t="shared" si="4"/>
        <v/>
      </c>
      <c r="I690" s="22" t="str">
        <f t="shared" si="1"/>
        <v>#N/A</v>
      </c>
      <c r="J690" s="22" t="str">
        <f t="shared" si="2"/>
        <v>#N/A</v>
      </c>
      <c r="K690" s="22" t="str">
        <f t="array" ref="K690">IF(H690="Crash",MATCH(TRUE, B691:B788 &gt;= B689, 0),"")</f>
        <v/>
      </c>
    </row>
    <row r="691" ht="15.75" customHeight="1">
      <c r="A691" s="31" t="str">
        <f>'EQUITY BACKTEST'!A694</f>
        <v/>
      </c>
      <c r="B691" s="22" t="str">
        <f>'EQUITY BACKTEST'!B694</f>
        <v/>
      </c>
      <c r="C691" s="22" t="str">
        <f>1/'EQUITY BACKTEST'!E694</f>
        <v>#DIV/0!</v>
      </c>
      <c r="D691" s="22" t="str">
        <f t="shared" si="5"/>
        <v>#DIV/0!</v>
      </c>
      <c r="E691" s="22" t="str">
        <f t="shared" si="3"/>
        <v/>
      </c>
      <c r="F691" s="22" t="str">
        <f t="shared" si="6"/>
        <v>#DIV/0!</v>
      </c>
      <c r="H691" s="22" t="str">
        <f t="shared" si="4"/>
        <v/>
      </c>
      <c r="I691" s="22" t="str">
        <f t="shared" si="1"/>
        <v>#N/A</v>
      </c>
      <c r="J691" s="22" t="str">
        <f t="shared" si="2"/>
        <v>#N/A</v>
      </c>
      <c r="K691" s="22" t="str">
        <f t="array" ref="K691">IF(H691="Crash",MATCH(TRUE, B692:B789 &gt;= B690, 0),"")</f>
        <v/>
      </c>
    </row>
    <row r="692" ht="15.75" customHeight="1">
      <c r="A692" s="31" t="str">
        <f>'EQUITY BACKTEST'!A695</f>
        <v/>
      </c>
      <c r="B692" s="22" t="str">
        <f>'EQUITY BACKTEST'!B695</f>
        <v/>
      </c>
      <c r="C692" s="22" t="str">
        <f>1/'EQUITY BACKTEST'!E695</f>
        <v>#DIV/0!</v>
      </c>
      <c r="D692" s="22" t="str">
        <f t="shared" si="5"/>
        <v>#DIV/0!</v>
      </c>
      <c r="E692" s="22" t="str">
        <f t="shared" si="3"/>
        <v/>
      </c>
      <c r="F692" s="22" t="str">
        <f t="shared" si="6"/>
        <v>#DIV/0!</v>
      </c>
      <c r="H692" s="22" t="str">
        <f t="shared" si="4"/>
        <v/>
      </c>
      <c r="I692" s="22" t="str">
        <f t="shared" si="1"/>
        <v>#N/A</v>
      </c>
      <c r="J692" s="22" t="str">
        <f t="shared" si="2"/>
        <v>#N/A</v>
      </c>
      <c r="K692" s="22" t="str">
        <f t="array" ref="K692">IF(H692="Crash",MATCH(TRUE, B693:B790 &gt;= B691, 0),"")</f>
        <v/>
      </c>
    </row>
    <row r="693" ht="15.75" customHeight="1">
      <c r="A693" s="31" t="str">
        <f>'EQUITY BACKTEST'!A696</f>
        <v/>
      </c>
      <c r="B693" s="22" t="str">
        <f>'EQUITY BACKTEST'!B696</f>
        <v/>
      </c>
      <c r="C693" s="22" t="str">
        <f>1/'EQUITY BACKTEST'!E696</f>
        <v>#DIV/0!</v>
      </c>
      <c r="D693" s="22" t="str">
        <f t="shared" si="5"/>
        <v>#DIV/0!</v>
      </c>
      <c r="E693" s="22" t="str">
        <f t="shared" si="3"/>
        <v/>
      </c>
      <c r="F693" s="22" t="str">
        <f t="shared" si="6"/>
        <v>#DIV/0!</v>
      </c>
      <c r="H693" s="22" t="str">
        <f t="shared" si="4"/>
        <v/>
      </c>
      <c r="I693" s="22" t="str">
        <f t="shared" si="1"/>
        <v>#N/A</v>
      </c>
      <c r="J693" s="22" t="str">
        <f t="shared" si="2"/>
        <v>#N/A</v>
      </c>
      <c r="K693" s="22" t="str">
        <f t="array" ref="K693">IF(H693="Crash",MATCH(TRUE, B694:B791 &gt;= B692, 0),"")</f>
        <v/>
      </c>
    </row>
    <row r="694" ht="15.75" customHeight="1">
      <c r="A694" s="31" t="str">
        <f>'EQUITY BACKTEST'!A697</f>
        <v/>
      </c>
      <c r="B694" s="22" t="str">
        <f>'EQUITY BACKTEST'!B697</f>
        <v/>
      </c>
      <c r="C694" s="22" t="str">
        <f>1/'EQUITY BACKTEST'!E697</f>
        <v>#DIV/0!</v>
      </c>
      <c r="D694" s="22" t="str">
        <f t="shared" si="5"/>
        <v>#DIV/0!</v>
      </c>
      <c r="E694" s="22" t="str">
        <f t="shared" si="3"/>
        <v/>
      </c>
      <c r="F694" s="22" t="str">
        <f t="shared" si="6"/>
        <v>#DIV/0!</v>
      </c>
      <c r="H694" s="22" t="str">
        <f t="shared" si="4"/>
        <v/>
      </c>
      <c r="I694" s="22" t="str">
        <f t="shared" si="1"/>
        <v>#N/A</v>
      </c>
      <c r="J694" s="22" t="str">
        <f t="shared" si="2"/>
        <v>#N/A</v>
      </c>
      <c r="K694" s="22" t="str">
        <f t="array" ref="K694">IF(H694="Crash",MATCH(TRUE, B695:B792 &gt;= B693, 0),"")</f>
        <v/>
      </c>
    </row>
    <row r="695" ht="15.75" customHeight="1">
      <c r="A695" s="31" t="str">
        <f>'EQUITY BACKTEST'!A698</f>
        <v/>
      </c>
      <c r="B695" s="22" t="str">
        <f>'EQUITY BACKTEST'!B698</f>
        <v/>
      </c>
      <c r="C695" s="22" t="str">
        <f>1/'EQUITY BACKTEST'!E698</f>
        <v>#DIV/0!</v>
      </c>
      <c r="D695" s="22" t="str">
        <f t="shared" si="5"/>
        <v>#DIV/0!</v>
      </c>
      <c r="E695" s="22" t="str">
        <f t="shared" si="3"/>
        <v/>
      </c>
      <c r="F695" s="22" t="str">
        <f t="shared" si="6"/>
        <v>#DIV/0!</v>
      </c>
      <c r="H695" s="22" t="str">
        <f t="shared" si="4"/>
        <v/>
      </c>
      <c r="I695" s="22" t="str">
        <f t="shared" si="1"/>
        <v>#N/A</v>
      </c>
      <c r="J695" s="22" t="str">
        <f t="shared" si="2"/>
        <v>#N/A</v>
      </c>
      <c r="K695" s="22" t="str">
        <f t="array" ref="K695">IF(H695="Crash",MATCH(TRUE, B696:B793 &gt;= B694, 0),"")</f>
        <v/>
      </c>
    </row>
    <row r="696" ht="15.75" customHeight="1">
      <c r="A696" s="31" t="str">
        <f>'EQUITY BACKTEST'!A699</f>
        <v/>
      </c>
      <c r="B696" s="22" t="str">
        <f>'EQUITY BACKTEST'!B699</f>
        <v/>
      </c>
      <c r="C696" s="22" t="str">
        <f>1/'EQUITY BACKTEST'!E699</f>
        <v>#DIV/0!</v>
      </c>
      <c r="D696" s="22" t="str">
        <f t="shared" si="5"/>
        <v>#DIV/0!</v>
      </c>
      <c r="E696" s="22" t="str">
        <f t="shared" si="3"/>
        <v/>
      </c>
      <c r="F696" s="22" t="str">
        <f t="shared" si="6"/>
        <v>#DIV/0!</v>
      </c>
      <c r="H696" s="22" t="str">
        <f t="shared" si="4"/>
        <v/>
      </c>
      <c r="I696" s="22" t="str">
        <f t="shared" si="1"/>
        <v>#N/A</v>
      </c>
      <c r="J696" s="22" t="str">
        <f t="shared" si="2"/>
        <v>#N/A</v>
      </c>
      <c r="K696" s="22" t="str">
        <f t="array" ref="K696">IF(H696="Crash",MATCH(TRUE, B697:B794 &gt;= B695, 0),"")</f>
        <v/>
      </c>
    </row>
    <row r="697" ht="15.75" customHeight="1">
      <c r="A697" s="31" t="str">
        <f>'EQUITY BACKTEST'!A700</f>
        <v/>
      </c>
      <c r="B697" s="22" t="str">
        <f>'EQUITY BACKTEST'!B700</f>
        <v/>
      </c>
      <c r="C697" s="22" t="str">
        <f>1/'EQUITY BACKTEST'!E700</f>
        <v>#DIV/0!</v>
      </c>
      <c r="D697" s="22" t="str">
        <f t="shared" si="5"/>
        <v>#DIV/0!</v>
      </c>
      <c r="E697" s="22" t="str">
        <f t="shared" si="3"/>
        <v/>
      </c>
      <c r="F697" s="22" t="str">
        <f t="shared" si="6"/>
        <v>#DIV/0!</v>
      </c>
      <c r="H697" s="22" t="str">
        <f t="shared" si="4"/>
        <v/>
      </c>
      <c r="I697" s="22" t="str">
        <f t="shared" si="1"/>
        <v>#N/A</v>
      </c>
      <c r="J697" s="22" t="str">
        <f t="shared" si="2"/>
        <v>#N/A</v>
      </c>
      <c r="K697" s="22" t="str">
        <f t="array" ref="K697">IF(H697="Crash",MATCH(TRUE, B698:B795 &gt;= B696, 0),"")</f>
        <v/>
      </c>
    </row>
    <row r="698" ht="15.75" customHeight="1">
      <c r="A698" s="31" t="str">
        <f>'EQUITY BACKTEST'!A701</f>
        <v/>
      </c>
      <c r="B698" s="22" t="str">
        <f>'EQUITY BACKTEST'!B701</f>
        <v/>
      </c>
      <c r="C698" s="22" t="str">
        <f>1/'EQUITY BACKTEST'!E701</f>
        <v>#DIV/0!</v>
      </c>
      <c r="D698" s="22" t="str">
        <f t="shared" si="5"/>
        <v>#DIV/0!</v>
      </c>
      <c r="E698" s="22" t="str">
        <f t="shared" si="3"/>
        <v/>
      </c>
      <c r="F698" s="22" t="str">
        <f t="shared" si="6"/>
        <v>#DIV/0!</v>
      </c>
      <c r="H698" s="22" t="str">
        <f t="shared" si="4"/>
        <v/>
      </c>
      <c r="I698" s="22" t="str">
        <f t="shared" si="1"/>
        <v>#N/A</v>
      </c>
      <c r="J698" s="22" t="str">
        <f t="shared" si="2"/>
        <v>#N/A</v>
      </c>
      <c r="K698" s="22" t="str">
        <f t="array" ref="K698">IF(H698="Crash",MATCH(TRUE, B699:B796 &gt;= B697, 0),"")</f>
        <v/>
      </c>
    </row>
    <row r="699" ht="15.75" customHeight="1">
      <c r="A699" s="31" t="str">
        <f>'EQUITY BACKTEST'!A702</f>
        <v/>
      </c>
      <c r="B699" s="22" t="str">
        <f>'EQUITY BACKTEST'!B702</f>
        <v/>
      </c>
      <c r="C699" s="22" t="str">
        <f>1/'EQUITY BACKTEST'!E702</f>
        <v>#DIV/0!</v>
      </c>
      <c r="D699" s="22" t="str">
        <f t="shared" si="5"/>
        <v>#DIV/0!</v>
      </c>
      <c r="E699" s="22" t="str">
        <f t="shared" si="3"/>
        <v/>
      </c>
      <c r="F699" s="22" t="str">
        <f t="shared" si="6"/>
        <v>#DIV/0!</v>
      </c>
      <c r="H699" s="22" t="str">
        <f t="shared" si="4"/>
        <v/>
      </c>
      <c r="I699" s="22" t="str">
        <f t="shared" si="1"/>
        <v>#N/A</v>
      </c>
      <c r="J699" s="22" t="str">
        <f t="shared" si="2"/>
        <v>#N/A</v>
      </c>
      <c r="K699" s="22" t="str">
        <f t="array" ref="K699">IF(H699="Crash",MATCH(TRUE, B700:B797 &gt;= B698, 0),"")</f>
        <v/>
      </c>
    </row>
    <row r="700" ht="15.75" customHeight="1">
      <c r="A700" s="31" t="str">
        <f>'EQUITY BACKTEST'!A703</f>
        <v/>
      </c>
      <c r="B700" s="22" t="str">
        <f>'EQUITY BACKTEST'!B703</f>
        <v/>
      </c>
      <c r="C700" s="22" t="str">
        <f>1/'EQUITY BACKTEST'!E703</f>
        <v>#DIV/0!</v>
      </c>
      <c r="D700" s="22" t="str">
        <f t="shared" si="5"/>
        <v>#DIV/0!</v>
      </c>
      <c r="E700" s="22" t="str">
        <f t="shared" si="3"/>
        <v/>
      </c>
      <c r="F700" s="22" t="str">
        <f t="shared" si="6"/>
        <v>#DIV/0!</v>
      </c>
      <c r="H700" s="22" t="str">
        <f t="shared" si="4"/>
        <v/>
      </c>
      <c r="I700" s="22" t="str">
        <f t="shared" si="1"/>
        <v>#N/A</v>
      </c>
      <c r="J700" s="22" t="str">
        <f t="shared" si="2"/>
        <v>#N/A</v>
      </c>
      <c r="K700" s="22" t="str">
        <f t="array" ref="K700">IF(H700="Crash",MATCH(TRUE, B701:B798 &gt;= B699, 0),"")</f>
        <v/>
      </c>
    </row>
    <row r="701" ht="15.75" customHeight="1">
      <c r="A701" s="31" t="str">
        <f>'EQUITY BACKTEST'!A704</f>
        <v/>
      </c>
      <c r="B701" s="22" t="str">
        <f>'EQUITY BACKTEST'!B704</f>
        <v/>
      </c>
      <c r="C701" s="22" t="str">
        <f>1/'EQUITY BACKTEST'!E704</f>
        <v>#DIV/0!</v>
      </c>
      <c r="D701" s="22" t="str">
        <f t="shared" si="5"/>
        <v>#DIV/0!</v>
      </c>
      <c r="E701" s="22" t="str">
        <f t="shared" si="3"/>
        <v/>
      </c>
      <c r="F701" s="22" t="str">
        <f t="shared" si="6"/>
        <v>#DIV/0!</v>
      </c>
      <c r="H701" s="22" t="str">
        <f t="shared" si="4"/>
        <v/>
      </c>
      <c r="I701" s="22" t="str">
        <f t="shared" si="1"/>
        <v>#N/A</v>
      </c>
      <c r="J701" s="22" t="str">
        <f t="shared" si="2"/>
        <v>#N/A</v>
      </c>
      <c r="K701" s="22" t="str">
        <f t="array" ref="K701">IF(H701="Crash",MATCH(TRUE, B702:B799 &gt;= B700, 0),"")</f>
        <v/>
      </c>
    </row>
    <row r="702" ht="15.75" customHeight="1">
      <c r="A702" s="31" t="str">
        <f>'EQUITY BACKTEST'!A705</f>
        <v/>
      </c>
      <c r="B702" s="22" t="str">
        <f>'EQUITY BACKTEST'!B705</f>
        <v/>
      </c>
      <c r="C702" s="22" t="str">
        <f>1/'EQUITY BACKTEST'!E705</f>
        <v>#DIV/0!</v>
      </c>
      <c r="D702" s="22" t="str">
        <f t="shared" si="5"/>
        <v>#DIV/0!</v>
      </c>
      <c r="E702" s="22" t="str">
        <f t="shared" si="3"/>
        <v/>
      </c>
      <c r="F702" s="22" t="str">
        <f t="shared" si="6"/>
        <v>#DIV/0!</v>
      </c>
      <c r="H702" s="22" t="str">
        <f t="shared" si="4"/>
        <v/>
      </c>
      <c r="I702" s="22" t="str">
        <f t="shared" si="1"/>
        <v>#N/A</v>
      </c>
      <c r="J702" s="22" t="str">
        <f t="shared" si="2"/>
        <v>#N/A</v>
      </c>
      <c r="K702" s="22" t="str">
        <f t="array" ref="K702">IF(H702="Crash",MATCH(TRUE, B703:B800 &gt;= B701, 0),"")</f>
        <v/>
      </c>
    </row>
    <row r="703" ht="15.75" customHeight="1">
      <c r="A703" s="31" t="str">
        <f>'EQUITY BACKTEST'!A706</f>
        <v/>
      </c>
      <c r="B703" s="22" t="str">
        <f>'EQUITY BACKTEST'!B706</f>
        <v/>
      </c>
      <c r="C703" s="22" t="str">
        <f>1/'EQUITY BACKTEST'!E706</f>
        <v>#DIV/0!</v>
      </c>
      <c r="D703" s="22" t="str">
        <f t="shared" si="5"/>
        <v>#DIV/0!</v>
      </c>
      <c r="E703" s="22" t="str">
        <f t="shared" si="3"/>
        <v/>
      </c>
      <c r="F703" s="22" t="str">
        <f t="shared" si="6"/>
        <v>#DIV/0!</v>
      </c>
      <c r="H703" s="22" t="str">
        <f t="shared" si="4"/>
        <v/>
      </c>
      <c r="I703" s="22" t="str">
        <f t="shared" si="1"/>
        <v>#N/A</v>
      </c>
      <c r="J703" s="22" t="str">
        <f t="shared" si="2"/>
        <v>#N/A</v>
      </c>
      <c r="K703" s="22" t="str">
        <f t="array" ref="K703">IF(H703="Crash",MATCH(TRUE, B704:B801 &gt;= B702, 0),"")</f>
        <v/>
      </c>
    </row>
    <row r="704" ht="15.75" customHeight="1">
      <c r="A704" s="31" t="str">
        <f>'EQUITY BACKTEST'!A707</f>
        <v/>
      </c>
      <c r="B704" s="22" t="str">
        <f>'EQUITY BACKTEST'!B707</f>
        <v/>
      </c>
      <c r="C704" s="22" t="str">
        <f>1/'EQUITY BACKTEST'!E707</f>
        <v>#DIV/0!</v>
      </c>
      <c r="D704" s="22" t="str">
        <f t="shared" si="5"/>
        <v>#DIV/0!</v>
      </c>
      <c r="E704" s="22" t="str">
        <f t="shared" si="3"/>
        <v/>
      </c>
      <c r="F704" s="22" t="str">
        <f t="shared" si="6"/>
        <v>#DIV/0!</v>
      </c>
      <c r="H704" s="22" t="str">
        <f t="shared" si="4"/>
        <v/>
      </c>
      <c r="I704" s="22" t="str">
        <f t="shared" si="1"/>
        <v>#N/A</v>
      </c>
      <c r="J704" s="22" t="str">
        <f t="shared" si="2"/>
        <v>#N/A</v>
      </c>
      <c r="K704" s="22" t="str">
        <f t="array" ref="K704">IF(H704="Crash",MATCH(TRUE, B705:B802 &gt;= B703, 0),"")</f>
        <v/>
      </c>
    </row>
    <row r="705" ht="15.75" customHeight="1">
      <c r="A705" s="31" t="str">
        <f>'EQUITY BACKTEST'!A708</f>
        <v/>
      </c>
      <c r="B705" s="22" t="str">
        <f>'EQUITY BACKTEST'!B708</f>
        <v/>
      </c>
      <c r="C705" s="22" t="str">
        <f>1/'EQUITY BACKTEST'!E708</f>
        <v>#DIV/0!</v>
      </c>
      <c r="D705" s="22" t="str">
        <f t="shared" si="5"/>
        <v>#DIV/0!</v>
      </c>
      <c r="E705" s="22" t="str">
        <f t="shared" si="3"/>
        <v/>
      </c>
      <c r="F705" s="22" t="str">
        <f t="shared" si="6"/>
        <v>#DIV/0!</v>
      </c>
      <c r="H705" s="22" t="str">
        <f t="shared" si="4"/>
        <v/>
      </c>
      <c r="I705" s="22" t="str">
        <f t="shared" si="1"/>
        <v>#N/A</v>
      </c>
      <c r="J705" s="22" t="str">
        <f t="shared" si="2"/>
        <v>#N/A</v>
      </c>
      <c r="K705" s="22" t="str">
        <f t="array" ref="K705">IF(H705="Crash",MATCH(TRUE, B706:B803 &gt;= B704, 0),"")</f>
        <v/>
      </c>
    </row>
    <row r="706" ht="15.75" customHeight="1">
      <c r="A706" s="31" t="str">
        <f>'EQUITY BACKTEST'!A709</f>
        <v/>
      </c>
      <c r="B706" s="22" t="str">
        <f>'EQUITY BACKTEST'!B709</f>
        <v/>
      </c>
      <c r="C706" s="22" t="str">
        <f>1/'EQUITY BACKTEST'!E709</f>
        <v>#DIV/0!</v>
      </c>
      <c r="D706" s="22" t="str">
        <f t="shared" si="5"/>
        <v>#DIV/0!</v>
      </c>
      <c r="E706" s="22" t="str">
        <f t="shared" si="3"/>
        <v/>
      </c>
      <c r="F706" s="22" t="str">
        <f t="shared" si="6"/>
        <v>#DIV/0!</v>
      </c>
      <c r="H706" s="22" t="str">
        <f t="shared" si="4"/>
        <v/>
      </c>
      <c r="I706" s="22" t="str">
        <f t="shared" si="1"/>
        <v>#N/A</v>
      </c>
      <c r="J706" s="22" t="str">
        <f t="shared" si="2"/>
        <v>#N/A</v>
      </c>
      <c r="K706" s="22" t="str">
        <f t="array" ref="K706">IF(H706="Crash",MATCH(TRUE, B707:B804 &gt;= B705, 0),"")</f>
        <v/>
      </c>
    </row>
    <row r="707" ht="15.75" customHeight="1">
      <c r="A707" s="31" t="str">
        <f>'EQUITY BACKTEST'!A710</f>
        <v/>
      </c>
      <c r="B707" s="22" t="str">
        <f>'EQUITY BACKTEST'!B710</f>
        <v/>
      </c>
      <c r="C707" s="22" t="str">
        <f>1/'EQUITY BACKTEST'!E710</f>
        <v>#DIV/0!</v>
      </c>
      <c r="D707" s="22" t="str">
        <f t="shared" si="5"/>
        <v>#DIV/0!</v>
      </c>
      <c r="E707" s="22" t="str">
        <f t="shared" si="3"/>
        <v/>
      </c>
      <c r="F707" s="22" t="str">
        <f t="shared" si="6"/>
        <v>#DIV/0!</v>
      </c>
      <c r="H707" s="22" t="str">
        <f t="shared" si="4"/>
        <v/>
      </c>
      <c r="I707" s="22" t="str">
        <f t="shared" si="1"/>
        <v>#N/A</v>
      </c>
      <c r="J707" s="22" t="str">
        <f t="shared" si="2"/>
        <v>#N/A</v>
      </c>
      <c r="K707" s="22" t="str">
        <f t="array" ref="K707">IF(H707="Crash",MATCH(TRUE, B708:B805 &gt;= B706, 0),"")</f>
        <v/>
      </c>
    </row>
    <row r="708" ht="15.75" customHeight="1">
      <c r="A708" s="31" t="str">
        <f>'EQUITY BACKTEST'!A711</f>
        <v/>
      </c>
      <c r="B708" s="22" t="str">
        <f>'EQUITY BACKTEST'!B711</f>
        <v/>
      </c>
      <c r="C708" s="22" t="str">
        <f>1/'EQUITY BACKTEST'!E711</f>
        <v>#DIV/0!</v>
      </c>
      <c r="D708" s="22" t="str">
        <f t="shared" si="5"/>
        <v>#DIV/0!</v>
      </c>
      <c r="E708" s="22" t="str">
        <f t="shared" si="3"/>
        <v/>
      </c>
      <c r="F708" s="22" t="str">
        <f t="shared" si="6"/>
        <v>#DIV/0!</v>
      </c>
      <c r="H708" s="22" t="str">
        <f t="shared" si="4"/>
        <v/>
      </c>
      <c r="I708" s="22" t="str">
        <f t="shared" si="1"/>
        <v>#N/A</v>
      </c>
      <c r="J708" s="22" t="str">
        <f t="shared" si="2"/>
        <v>#N/A</v>
      </c>
      <c r="K708" s="22" t="str">
        <f t="array" ref="K708">IF(H708="Crash",MATCH(TRUE, B709:B806 &gt;= B707, 0),"")</f>
        <v/>
      </c>
    </row>
    <row r="709" ht="15.75" customHeight="1">
      <c r="A709" s="31" t="str">
        <f>'EQUITY BACKTEST'!A712</f>
        <v/>
      </c>
      <c r="B709" s="22" t="str">
        <f>'EQUITY BACKTEST'!B712</f>
        <v/>
      </c>
      <c r="C709" s="22" t="str">
        <f>1/'EQUITY BACKTEST'!E712</f>
        <v>#DIV/0!</v>
      </c>
      <c r="D709" s="22" t="str">
        <f t="shared" si="5"/>
        <v>#DIV/0!</v>
      </c>
      <c r="E709" s="22" t="str">
        <f t="shared" si="3"/>
        <v/>
      </c>
      <c r="F709" s="22" t="str">
        <f t="shared" si="6"/>
        <v>#DIV/0!</v>
      </c>
      <c r="H709" s="22" t="str">
        <f t="shared" si="4"/>
        <v/>
      </c>
      <c r="I709" s="22" t="str">
        <f t="shared" si="1"/>
        <v>#N/A</v>
      </c>
      <c r="J709" s="22" t="str">
        <f t="shared" si="2"/>
        <v>#N/A</v>
      </c>
      <c r="K709" s="22" t="str">
        <f t="array" ref="K709">IF(H709="Crash",MATCH(TRUE, B710:B807 &gt;= B708, 0),"")</f>
        <v/>
      </c>
    </row>
    <row r="710" ht="15.75" customHeight="1">
      <c r="A710" s="31" t="str">
        <f>'EQUITY BACKTEST'!A713</f>
        <v/>
      </c>
      <c r="B710" s="22" t="str">
        <f>'EQUITY BACKTEST'!B713</f>
        <v/>
      </c>
      <c r="C710" s="22" t="str">
        <f>1/'EQUITY BACKTEST'!E713</f>
        <v>#DIV/0!</v>
      </c>
      <c r="D710" s="22" t="str">
        <f t="shared" si="5"/>
        <v>#DIV/0!</v>
      </c>
      <c r="E710" s="22" t="str">
        <f t="shared" si="3"/>
        <v/>
      </c>
      <c r="F710" s="22" t="str">
        <f t="shared" si="6"/>
        <v>#DIV/0!</v>
      </c>
      <c r="H710" s="22" t="str">
        <f t="shared" si="4"/>
        <v/>
      </c>
      <c r="I710" s="22" t="str">
        <f t="shared" si="1"/>
        <v>#N/A</v>
      </c>
      <c r="J710" s="22" t="str">
        <f t="shared" si="2"/>
        <v>#N/A</v>
      </c>
      <c r="K710" s="22" t="str">
        <f t="array" ref="K710">IF(H710="Crash",MATCH(TRUE, B711:B808 &gt;= B709, 0),"")</f>
        <v/>
      </c>
    </row>
    <row r="711" ht="15.75" customHeight="1">
      <c r="A711" s="31" t="str">
        <f>'EQUITY BACKTEST'!A714</f>
        <v/>
      </c>
      <c r="B711" s="22" t="str">
        <f>'EQUITY BACKTEST'!B714</f>
        <v/>
      </c>
      <c r="C711" s="22" t="str">
        <f>1/'EQUITY BACKTEST'!E714</f>
        <v>#DIV/0!</v>
      </c>
      <c r="D711" s="22" t="str">
        <f t="shared" si="5"/>
        <v>#DIV/0!</v>
      </c>
      <c r="E711" s="22" t="str">
        <f t="shared" si="3"/>
        <v/>
      </c>
      <c r="F711" s="22" t="str">
        <f t="shared" si="6"/>
        <v>#DIV/0!</v>
      </c>
      <c r="H711" s="22" t="str">
        <f t="shared" si="4"/>
        <v/>
      </c>
      <c r="I711" s="22" t="str">
        <f t="shared" si="1"/>
        <v>#N/A</v>
      </c>
      <c r="J711" s="22" t="str">
        <f t="shared" si="2"/>
        <v>#N/A</v>
      </c>
      <c r="K711" s="22" t="str">
        <f t="array" ref="K711">IF(H711="Crash",MATCH(TRUE, B712:B809 &gt;= B710, 0),"")</f>
        <v/>
      </c>
    </row>
    <row r="712" ht="15.75" customHeight="1">
      <c r="A712" s="31" t="str">
        <f>'EQUITY BACKTEST'!A715</f>
        <v/>
      </c>
      <c r="B712" s="22" t="str">
        <f>'EQUITY BACKTEST'!B715</f>
        <v/>
      </c>
      <c r="C712" s="22" t="str">
        <f>1/'EQUITY BACKTEST'!E715</f>
        <v>#DIV/0!</v>
      </c>
      <c r="D712" s="22" t="str">
        <f t="shared" si="5"/>
        <v>#DIV/0!</v>
      </c>
      <c r="E712" s="22" t="str">
        <f t="shared" si="3"/>
        <v/>
      </c>
      <c r="F712" s="22" t="str">
        <f t="shared" si="6"/>
        <v>#DIV/0!</v>
      </c>
      <c r="H712" s="22" t="str">
        <f t="shared" si="4"/>
        <v/>
      </c>
      <c r="I712" s="22" t="str">
        <f t="shared" si="1"/>
        <v>#N/A</v>
      </c>
      <c r="J712" s="22" t="str">
        <f t="shared" si="2"/>
        <v>#N/A</v>
      </c>
      <c r="K712" s="22" t="str">
        <f t="array" ref="K712">IF(H712="Crash",MATCH(TRUE, B713:B810 &gt;= B711, 0),"")</f>
        <v/>
      </c>
    </row>
    <row r="713" ht="15.75" customHeight="1">
      <c r="A713" s="31" t="str">
        <f>'EQUITY BACKTEST'!A716</f>
        <v/>
      </c>
      <c r="B713" s="22" t="str">
        <f>'EQUITY BACKTEST'!B716</f>
        <v/>
      </c>
      <c r="C713" s="22" t="str">
        <f>1/'EQUITY BACKTEST'!E716</f>
        <v>#DIV/0!</v>
      </c>
      <c r="D713" s="22" t="str">
        <f t="shared" si="5"/>
        <v>#DIV/0!</v>
      </c>
      <c r="E713" s="22" t="str">
        <f t="shared" si="3"/>
        <v/>
      </c>
      <c r="F713" s="22" t="str">
        <f t="shared" si="6"/>
        <v>#DIV/0!</v>
      </c>
      <c r="H713" s="22" t="str">
        <f t="shared" si="4"/>
        <v/>
      </c>
      <c r="I713" s="22" t="str">
        <f t="shared" si="1"/>
        <v>#N/A</v>
      </c>
      <c r="J713" s="22" t="str">
        <f t="shared" si="2"/>
        <v>#N/A</v>
      </c>
      <c r="K713" s="22" t="str">
        <f t="array" ref="K713">IF(H713="Crash",MATCH(TRUE, B714:B811 &gt;= B712, 0),"")</f>
        <v/>
      </c>
    </row>
    <row r="714" ht="15.75" customHeight="1">
      <c r="A714" s="31" t="str">
        <f>'EQUITY BACKTEST'!A717</f>
        <v/>
      </c>
      <c r="B714" s="22" t="str">
        <f>'EQUITY BACKTEST'!B717</f>
        <v/>
      </c>
      <c r="C714" s="22" t="str">
        <f>1/'EQUITY BACKTEST'!E717</f>
        <v>#DIV/0!</v>
      </c>
      <c r="D714" s="22" t="str">
        <f t="shared" si="5"/>
        <v>#DIV/0!</v>
      </c>
      <c r="E714" s="22" t="str">
        <f t="shared" si="3"/>
        <v/>
      </c>
      <c r="F714" s="22" t="str">
        <f t="shared" si="6"/>
        <v>#DIV/0!</v>
      </c>
      <c r="H714" s="22" t="str">
        <f t="shared" si="4"/>
        <v/>
      </c>
      <c r="I714" s="22" t="str">
        <f t="shared" si="1"/>
        <v>#N/A</v>
      </c>
      <c r="J714" s="22" t="str">
        <f t="shared" si="2"/>
        <v>#N/A</v>
      </c>
      <c r="K714" s="22" t="str">
        <f t="array" ref="K714">IF(H714="Crash",MATCH(TRUE, B715:B812 &gt;= B713, 0),"")</f>
        <v/>
      </c>
    </row>
    <row r="715" ht="15.75" customHeight="1">
      <c r="A715" s="31" t="str">
        <f>'EQUITY BACKTEST'!A718</f>
        <v/>
      </c>
      <c r="B715" s="22" t="str">
        <f>'EQUITY BACKTEST'!B718</f>
        <v/>
      </c>
      <c r="C715" s="22" t="str">
        <f>1/'EQUITY BACKTEST'!E718</f>
        <v>#DIV/0!</v>
      </c>
      <c r="D715" s="22" t="str">
        <f t="shared" si="5"/>
        <v>#DIV/0!</v>
      </c>
      <c r="E715" s="22" t="str">
        <f t="shared" si="3"/>
        <v/>
      </c>
      <c r="F715" s="22" t="str">
        <f t="shared" si="6"/>
        <v>#DIV/0!</v>
      </c>
      <c r="H715" s="22" t="str">
        <f t="shared" si="4"/>
        <v/>
      </c>
      <c r="I715" s="22" t="str">
        <f t="shared" si="1"/>
        <v>#N/A</v>
      </c>
      <c r="J715" s="22" t="str">
        <f t="shared" si="2"/>
        <v>#N/A</v>
      </c>
      <c r="K715" s="22" t="str">
        <f t="array" ref="K715">IF(H715="Crash",MATCH(TRUE, B716:B813 &gt;= B714, 0),"")</f>
        <v/>
      </c>
    </row>
    <row r="716" ht="15.75" customHeight="1">
      <c r="A716" s="31" t="str">
        <f>'EQUITY BACKTEST'!A719</f>
        <v/>
      </c>
      <c r="B716" s="22" t="str">
        <f>'EQUITY BACKTEST'!B719</f>
        <v/>
      </c>
      <c r="C716" s="22" t="str">
        <f>1/'EQUITY BACKTEST'!E719</f>
        <v>#DIV/0!</v>
      </c>
      <c r="D716" s="22" t="str">
        <f t="shared" si="5"/>
        <v>#DIV/0!</v>
      </c>
      <c r="E716" s="22" t="str">
        <f t="shared" si="3"/>
        <v/>
      </c>
      <c r="F716" s="22" t="str">
        <f t="shared" si="6"/>
        <v>#DIV/0!</v>
      </c>
      <c r="H716" s="22" t="str">
        <f t="shared" si="4"/>
        <v/>
      </c>
      <c r="I716" s="22" t="str">
        <f t="shared" si="1"/>
        <v>#N/A</v>
      </c>
      <c r="J716" s="22" t="str">
        <f t="shared" si="2"/>
        <v>#N/A</v>
      </c>
      <c r="K716" s="22" t="str">
        <f t="array" ref="K716">IF(H716="Crash",MATCH(TRUE, B717:B814 &gt;= B715, 0),"")</f>
        <v/>
      </c>
    </row>
    <row r="717" ht="15.75" customHeight="1">
      <c r="A717" s="31" t="str">
        <f>'EQUITY BACKTEST'!A720</f>
        <v/>
      </c>
      <c r="B717" s="22" t="str">
        <f>'EQUITY BACKTEST'!B720</f>
        <v/>
      </c>
      <c r="C717" s="22" t="str">
        <f>1/'EQUITY BACKTEST'!E720</f>
        <v>#DIV/0!</v>
      </c>
      <c r="D717" s="22" t="str">
        <f t="shared" si="5"/>
        <v>#DIV/0!</v>
      </c>
      <c r="E717" s="22" t="str">
        <f t="shared" si="3"/>
        <v/>
      </c>
      <c r="F717" s="22" t="str">
        <f t="shared" si="6"/>
        <v>#DIV/0!</v>
      </c>
      <c r="H717" s="22" t="str">
        <f t="shared" si="4"/>
        <v/>
      </c>
      <c r="I717" s="22" t="str">
        <f t="shared" si="1"/>
        <v>#N/A</v>
      </c>
      <c r="J717" s="22" t="str">
        <f t="shared" si="2"/>
        <v>#N/A</v>
      </c>
      <c r="K717" s="22" t="str">
        <f t="array" ref="K717">IF(H717="Crash",MATCH(TRUE, B718:B815 &gt;= B716, 0),"")</f>
        <v/>
      </c>
    </row>
    <row r="718" ht="15.75" customHeight="1">
      <c r="A718" s="31" t="str">
        <f>'EQUITY BACKTEST'!A721</f>
        <v/>
      </c>
      <c r="B718" s="22" t="str">
        <f>'EQUITY BACKTEST'!B721</f>
        <v/>
      </c>
      <c r="C718" s="22" t="str">
        <f>1/'EQUITY BACKTEST'!E721</f>
        <v>#DIV/0!</v>
      </c>
      <c r="D718" s="22" t="str">
        <f t="shared" si="5"/>
        <v>#DIV/0!</v>
      </c>
      <c r="E718" s="22" t="str">
        <f t="shared" si="3"/>
        <v/>
      </c>
      <c r="F718" s="22" t="str">
        <f t="shared" si="6"/>
        <v>#DIV/0!</v>
      </c>
      <c r="H718" s="22" t="str">
        <f t="shared" si="4"/>
        <v/>
      </c>
      <c r="I718" s="22" t="str">
        <f t="shared" si="1"/>
        <v>#N/A</v>
      </c>
      <c r="J718" s="22" t="str">
        <f t="shared" si="2"/>
        <v>#N/A</v>
      </c>
      <c r="K718" s="22" t="str">
        <f t="array" ref="K718">IF(H718="Crash",MATCH(TRUE, B719:B816 &gt;= B717, 0),"")</f>
        <v/>
      </c>
    </row>
    <row r="719" ht="15.75" customHeight="1">
      <c r="A719" s="31" t="str">
        <f>'EQUITY BACKTEST'!A722</f>
        <v/>
      </c>
      <c r="B719" s="22" t="str">
        <f>'EQUITY BACKTEST'!B722</f>
        <v/>
      </c>
      <c r="C719" s="22" t="str">
        <f>1/'EQUITY BACKTEST'!E722</f>
        <v>#DIV/0!</v>
      </c>
      <c r="D719" s="22" t="str">
        <f t="shared" si="5"/>
        <v>#DIV/0!</v>
      </c>
      <c r="E719" s="22" t="str">
        <f t="shared" si="3"/>
        <v/>
      </c>
      <c r="F719" s="22" t="str">
        <f t="shared" si="6"/>
        <v>#DIV/0!</v>
      </c>
      <c r="H719" s="22" t="str">
        <f t="shared" si="4"/>
        <v/>
      </c>
      <c r="I719" s="22" t="str">
        <f t="shared" si="1"/>
        <v>#N/A</v>
      </c>
      <c r="J719" s="22" t="str">
        <f t="shared" si="2"/>
        <v>#N/A</v>
      </c>
      <c r="K719" s="22" t="str">
        <f t="array" ref="K719">IF(H719="Crash",MATCH(TRUE, B720:B817 &gt;= B718, 0),"")</f>
        <v/>
      </c>
    </row>
    <row r="720" ht="15.75" customHeight="1">
      <c r="A720" s="31" t="str">
        <f>'EQUITY BACKTEST'!A723</f>
        <v/>
      </c>
      <c r="B720" s="22" t="str">
        <f>'EQUITY BACKTEST'!B723</f>
        <v/>
      </c>
      <c r="C720" s="22" t="str">
        <f>1/'EQUITY BACKTEST'!E723</f>
        <v>#DIV/0!</v>
      </c>
      <c r="D720" s="22" t="str">
        <f t="shared" si="5"/>
        <v>#DIV/0!</v>
      </c>
      <c r="E720" s="22" t="str">
        <f t="shared" si="3"/>
        <v/>
      </c>
      <c r="F720" s="22" t="str">
        <f t="shared" si="6"/>
        <v>#DIV/0!</v>
      </c>
      <c r="H720" s="22" t="str">
        <f t="shared" si="4"/>
        <v/>
      </c>
      <c r="I720" s="22" t="str">
        <f t="shared" si="1"/>
        <v>#N/A</v>
      </c>
      <c r="J720" s="22" t="str">
        <f t="shared" si="2"/>
        <v>#N/A</v>
      </c>
      <c r="K720" s="22" t="str">
        <f t="array" ref="K720">IF(H720="Crash",MATCH(TRUE, B721:B818 &gt;= B719, 0),"")</f>
        <v/>
      </c>
    </row>
    <row r="721" ht="15.75" customHeight="1">
      <c r="A721" s="31" t="str">
        <f>'EQUITY BACKTEST'!A724</f>
        <v/>
      </c>
      <c r="B721" s="22" t="str">
        <f>'EQUITY BACKTEST'!B724</f>
        <v/>
      </c>
      <c r="C721" s="22" t="str">
        <f>1/'EQUITY BACKTEST'!E724</f>
        <v>#DIV/0!</v>
      </c>
      <c r="D721" s="22" t="str">
        <f t="shared" si="5"/>
        <v>#DIV/0!</v>
      </c>
      <c r="E721" s="22" t="str">
        <f t="shared" si="3"/>
        <v/>
      </c>
      <c r="F721" s="22" t="str">
        <f t="shared" si="6"/>
        <v>#DIV/0!</v>
      </c>
      <c r="H721" s="22" t="str">
        <f t="shared" si="4"/>
        <v/>
      </c>
      <c r="I721" s="22" t="str">
        <f t="shared" si="1"/>
        <v>#N/A</v>
      </c>
      <c r="J721" s="22" t="str">
        <f t="shared" si="2"/>
        <v>#N/A</v>
      </c>
      <c r="K721" s="22" t="str">
        <f t="array" ref="K721">IF(H721="Crash",MATCH(TRUE, B722:B819 &gt;= B720, 0),"")</f>
        <v/>
      </c>
    </row>
    <row r="722" ht="15.75" customHeight="1">
      <c r="A722" s="31" t="str">
        <f>'EQUITY BACKTEST'!A725</f>
        <v/>
      </c>
      <c r="B722" s="22" t="str">
        <f>'EQUITY BACKTEST'!B725</f>
        <v/>
      </c>
      <c r="C722" s="22" t="str">
        <f>1/'EQUITY BACKTEST'!E725</f>
        <v>#DIV/0!</v>
      </c>
      <c r="D722" s="22" t="str">
        <f t="shared" si="5"/>
        <v>#DIV/0!</v>
      </c>
      <c r="E722" s="22" t="str">
        <f t="shared" si="3"/>
        <v/>
      </c>
      <c r="F722" s="22" t="str">
        <f t="shared" si="6"/>
        <v>#DIV/0!</v>
      </c>
      <c r="H722" s="22" t="str">
        <f t="shared" si="4"/>
        <v/>
      </c>
      <c r="I722" s="22" t="str">
        <f t="shared" si="1"/>
        <v>#N/A</v>
      </c>
      <c r="J722" s="22" t="str">
        <f t="shared" si="2"/>
        <v>#N/A</v>
      </c>
      <c r="K722" s="22" t="str">
        <f t="array" ref="K722">IF(H722="Crash",MATCH(TRUE, B723:B820 &gt;= B721, 0),"")</f>
        <v/>
      </c>
    </row>
    <row r="723" ht="15.75" customHeight="1">
      <c r="A723" s="31" t="str">
        <f>'EQUITY BACKTEST'!A726</f>
        <v/>
      </c>
      <c r="B723" s="22" t="str">
        <f>'EQUITY BACKTEST'!B726</f>
        <v/>
      </c>
      <c r="C723" s="22" t="str">
        <f>1/'EQUITY BACKTEST'!E726</f>
        <v>#DIV/0!</v>
      </c>
      <c r="D723" s="22" t="str">
        <f t="shared" si="5"/>
        <v>#DIV/0!</v>
      </c>
      <c r="E723" s="22" t="str">
        <f t="shared" si="3"/>
        <v/>
      </c>
      <c r="F723" s="22" t="str">
        <f t="shared" si="6"/>
        <v>#DIV/0!</v>
      </c>
      <c r="H723" s="22" t="str">
        <f t="shared" si="4"/>
        <v/>
      </c>
      <c r="I723" s="22" t="str">
        <f t="shared" si="1"/>
        <v>#N/A</v>
      </c>
      <c r="J723" s="22" t="str">
        <f t="shared" si="2"/>
        <v>#N/A</v>
      </c>
      <c r="K723" s="22" t="str">
        <f t="array" ref="K723">IF(H723="Crash",MATCH(TRUE, B724:B821 &gt;= B722, 0),"")</f>
        <v/>
      </c>
    </row>
    <row r="724" ht="15.75" customHeight="1">
      <c r="A724" s="31" t="str">
        <f>'EQUITY BACKTEST'!A727</f>
        <v/>
      </c>
      <c r="B724" s="22" t="str">
        <f>'EQUITY BACKTEST'!B727</f>
        <v/>
      </c>
      <c r="C724" s="22" t="str">
        <f>1/'EQUITY BACKTEST'!E727</f>
        <v>#DIV/0!</v>
      </c>
      <c r="D724" s="22" t="str">
        <f t="shared" si="5"/>
        <v>#DIV/0!</v>
      </c>
      <c r="E724" s="22" t="str">
        <f t="shared" si="3"/>
        <v/>
      </c>
      <c r="F724" s="22" t="str">
        <f t="shared" si="6"/>
        <v>#DIV/0!</v>
      </c>
      <c r="H724" s="22" t="str">
        <f t="shared" si="4"/>
        <v/>
      </c>
      <c r="I724" s="22" t="str">
        <f t="shared" si="1"/>
        <v>#N/A</v>
      </c>
      <c r="J724" s="22" t="str">
        <f t="shared" si="2"/>
        <v>#N/A</v>
      </c>
      <c r="K724" s="22" t="str">
        <f t="array" ref="K724">IF(H724="Crash",MATCH(TRUE, B725:B822 &gt;= B723, 0),"")</f>
        <v/>
      </c>
    </row>
    <row r="725" ht="15.75" customHeight="1">
      <c r="A725" s="31" t="str">
        <f>'EQUITY BACKTEST'!A728</f>
        <v/>
      </c>
      <c r="B725" s="22" t="str">
        <f>'EQUITY BACKTEST'!B728</f>
        <v/>
      </c>
      <c r="C725" s="22" t="str">
        <f>1/'EQUITY BACKTEST'!E728</f>
        <v>#DIV/0!</v>
      </c>
      <c r="D725" s="22" t="str">
        <f t="shared" si="5"/>
        <v>#DIV/0!</v>
      </c>
      <c r="E725" s="22" t="str">
        <f t="shared" si="3"/>
        <v/>
      </c>
      <c r="F725" s="22" t="str">
        <f t="shared" si="6"/>
        <v>#DIV/0!</v>
      </c>
      <c r="H725" s="22" t="str">
        <f t="shared" si="4"/>
        <v/>
      </c>
      <c r="I725" s="22" t="str">
        <f t="shared" si="1"/>
        <v>#N/A</v>
      </c>
      <c r="J725" s="22" t="str">
        <f t="shared" si="2"/>
        <v>#N/A</v>
      </c>
      <c r="K725" s="22" t="str">
        <f t="array" ref="K725">IF(H725="Crash",MATCH(TRUE, B726:B823 &gt;= B724, 0),"")</f>
        <v/>
      </c>
    </row>
    <row r="726" ht="15.75" customHeight="1">
      <c r="A726" s="31" t="str">
        <f>'EQUITY BACKTEST'!A729</f>
        <v/>
      </c>
      <c r="B726" s="22" t="str">
        <f>'EQUITY BACKTEST'!B729</f>
        <v/>
      </c>
      <c r="C726" s="22" t="str">
        <f>1/'EQUITY BACKTEST'!E729</f>
        <v>#DIV/0!</v>
      </c>
      <c r="D726" s="22" t="str">
        <f t="shared" si="5"/>
        <v>#DIV/0!</v>
      </c>
      <c r="E726" s="22" t="str">
        <f t="shared" si="3"/>
        <v/>
      </c>
      <c r="F726" s="22" t="str">
        <f t="shared" si="6"/>
        <v>#DIV/0!</v>
      </c>
      <c r="H726" s="22" t="str">
        <f t="shared" si="4"/>
        <v/>
      </c>
      <c r="I726" s="22" t="str">
        <f t="shared" si="1"/>
        <v>#N/A</v>
      </c>
      <c r="J726" s="22" t="str">
        <f t="shared" si="2"/>
        <v>#N/A</v>
      </c>
      <c r="K726" s="22" t="str">
        <f t="array" ref="K726">IF(H726="Crash",MATCH(TRUE, B727:B824 &gt;= B725, 0),"")</f>
        <v/>
      </c>
    </row>
    <row r="727" ht="15.75" customHeight="1">
      <c r="A727" s="31" t="str">
        <f>'EQUITY BACKTEST'!A730</f>
        <v/>
      </c>
      <c r="B727" s="22" t="str">
        <f>'EQUITY BACKTEST'!B730</f>
        <v/>
      </c>
      <c r="C727" s="22" t="str">
        <f>1/'EQUITY BACKTEST'!E730</f>
        <v>#DIV/0!</v>
      </c>
      <c r="D727" s="22" t="str">
        <f t="shared" si="5"/>
        <v>#DIV/0!</v>
      </c>
      <c r="E727" s="22" t="str">
        <f t="shared" si="3"/>
        <v/>
      </c>
      <c r="F727" s="22" t="str">
        <f t="shared" si="6"/>
        <v>#DIV/0!</v>
      </c>
      <c r="H727" s="22" t="str">
        <f t="shared" si="4"/>
        <v/>
      </c>
      <c r="I727" s="22" t="str">
        <f t="shared" si="1"/>
        <v>#N/A</v>
      </c>
      <c r="J727" s="22" t="str">
        <f t="shared" si="2"/>
        <v>#N/A</v>
      </c>
      <c r="K727" s="22" t="str">
        <f t="array" ref="K727">IF(H727="Crash",MATCH(TRUE, B728:B825 &gt;= B726, 0),"")</f>
        <v/>
      </c>
    </row>
    <row r="728" ht="15.75" customHeight="1">
      <c r="A728" s="31" t="str">
        <f>'EQUITY BACKTEST'!A731</f>
        <v/>
      </c>
      <c r="B728" s="22" t="str">
        <f>'EQUITY BACKTEST'!B731</f>
        <v/>
      </c>
      <c r="C728" s="22" t="str">
        <f>1/'EQUITY BACKTEST'!E731</f>
        <v>#DIV/0!</v>
      </c>
      <c r="D728" s="22" t="str">
        <f t="shared" si="5"/>
        <v>#DIV/0!</v>
      </c>
      <c r="E728" s="22" t="str">
        <f t="shared" si="3"/>
        <v/>
      </c>
      <c r="F728" s="22" t="str">
        <f t="shared" si="6"/>
        <v>#DIV/0!</v>
      </c>
      <c r="H728" s="22" t="str">
        <f t="shared" si="4"/>
        <v/>
      </c>
      <c r="I728" s="22" t="str">
        <f t="shared" si="1"/>
        <v>#N/A</v>
      </c>
      <c r="J728" s="22" t="str">
        <f t="shared" si="2"/>
        <v>#N/A</v>
      </c>
      <c r="K728" s="22" t="str">
        <f t="array" ref="K728">IF(H728="Crash",MATCH(TRUE, B729:B826 &gt;= B727, 0),"")</f>
        <v/>
      </c>
    </row>
    <row r="729" ht="15.75" customHeight="1">
      <c r="A729" s="31" t="str">
        <f>'EQUITY BACKTEST'!A732</f>
        <v/>
      </c>
      <c r="B729" s="22" t="str">
        <f>'EQUITY BACKTEST'!B732</f>
        <v/>
      </c>
      <c r="C729" s="22" t="str">
        <f>1/'EQUITY BACKTEST'!E732</f>
        <v>#DIV/0!</v>
      </c>
      <c r="D729" s="22" t="str">
        <f t="shared" si="5"/>
        <v>#DIV/0!</v>
      </c>
      <c r="E729" s="22" t="str">
        <f t="shared" si="3"/>
        <v/>
      </c>
      <c r="F729" s="22" t="str">
        <f t="shared" si="6"/>
        <v>#DIV/0!</v>
      </c>
      <c r="H729" s="22" t="str">
        <f t="shared" si="4"/>
        <v/>
      </c>
      <c r="I729" s="22" t="str">
        <f t="shared" si="1"/>
        <v>#N/A</v>
      </c>
      <c r="J729" s="22" t="str">
        <f t="shared" si="2"/>
        <v>#N/A</v>
      </c>
      <c r="K729" s="22" t="str">
        <f t="array" ref="K729">IF(H729="Crash",MATCH(TRUE, B730:B827 &gt;= B728, 0),"")</f>
        <v/>
      </c>
    </row>
    <row r="730" ht="15.75" customHeight="1">
      <c r="A730" s="31" t="str">
        <f>'EQUITY BACKTEST'!A733</f>
        <v/>
      </c>
      <c r="B730" s="22" t="str">
        <f>'EQUITY BACKTEST'!B733</f>
        <v/>
      </c>
      <c r="C730" s="22" t="str">
        <f>1/'EQUITY BACKTEST'!E733</f>
        <v>#DIV/0!</v>
      </c>
      <c r="D730" s="22" t="str">
        <f t="shared" si="5"/>
        <v>#DIV/0!</v>
      </c>
      <c r="E730" s="22" t="str">
        <f t="shared" si="3"/>
        <v/>
      </c>
      <c r="F730" s="22" t="str">
        <f t="shared" si="6"/>
        <v>#DIV/0!</v>
      </c>
      <c r="H730" s="22" t="str">
        <f t="shared" si="4"/>
        <v/>
      </c>
      <c r="I730" s="22" t="str">
        <f t="shared" si="1"/>
        <v>#N/A</v>
      </c>
      <c r="J730" s="22" t="str">
        <f t="shared" si="2"/>
        <v>#N/A</v>
      </c>
      <c r="K730" s="22" t="str">
        <f t="array" ref="K730">IF(H730="Crash",MATCH(TRUE, B731:B828 &gt;= B729, 0),"")</f>
        <v/>
      </c>
    </row>
    <row r="731" ht="15.75" customHeight="1">
      <c r="A731" s="31" t="str">
        <f>'EQUITY BACKTEST'!A734</f>
        <v/>
      </c>
      <c r="B731" s="22" t="str">
        <f>'EQUITY BACKTEST'!B734</f>
        <v/>
      </c>
      <c r="C731" s="22" t="str">
        <f>1/'EQUITY BACKTEST'!E734</f>
        <v>#DIV/0!</v>
      </c>
      <c r="D731" s="22" t="str">
        <f t="shared" si="5"/>
        <v>#DIV/0!</v>
      </c>
      <c r="E731" s="22" t="str">
        <f t="shared" si="3"/>
        <v/>
      </c>
      <c r="F731" s="22" t="str">
        <f t="shared" si="6"/>
        <v>#DIV/0!</v>
      </c>
      <c r="H731" s="22" t="str">
        <f t="shared" si="4"/>
        <v/>
      </c>
      <c r="I731" s="22" t="str">
        <f t="shared" si="1"/>
        <v>#N/A</v>
      </c>
      <c r="J731" s="22" t="str">
        <f t="shared" si="2"/>
        <v>#N/A</v>
      </c>
      <c r="K731" s="22" t="str">
        <f t="array" ref="K731">IF(H731="Crash",MATCH(TRUE, B732:B829 &gt;= B730, 0),"")</f>
        <v/>
      </c>
    </row>
    <row r="732" ht="15.75" customHeight="1">
      <c r="A732" s="31" t="str">
        <f>'EQUITY BACKTEST'!A735</f>
        <v/>
      </c>
      <c r="B732" s="22" t="str">
        <f>'EQUITY BACKTEST'!B735</f>
        <v/>
      </c>
      <c r="C732" s="22" t="str">
        <f>1/'EQUITY BACKTEST'!E735</f>
        <v>#DIV/0!</v>
      </c>
      <c r="D732" s="22" t="str">
        <f t="shared" si="5"/>
        <v>#DIV/0!</v>
      </c>
      <c r="E732" s="22" t="str">
        <f t="shared" si="3"/>
        <v/>
      </c>
      <c r="F732" s="22" t="str">
        <f t="shared" si="6"/>
        <v>#DIV/0!</v>
      </c>
      <c r="H732" s="22" t="str">
        <f t="shared" si="4"/>
        <v/>
      </c>
      <c r="I732" s="22" t="str">
        <f t="shared" si="1"/>
        <v>#N/A</v>
      </c>
      <c r="J732" s="22" t="str">
        <f t="shared" si="2"/>
        <v>#N/A</v>
      </c>
      <c r="K732" s="22" t="str">
        <f t="array" ref="K732">IF(H732="Crash",MATCH(TRUE, B733:B830 &gt;= B731, 0),"")</f>
        <v/>
      </c>
    </row>
    <row r="733" ht="15.75" customHeight="1">
      <c r="A733" s="31" t="str">
        <f>'EQUITY BACKTEST'!A736</f>
        <v/>
      </c>
      <c r="B733" s="22" t="str">
        <f>'EQUITY BACKTEST'!B736</f>
        <v/>
      </c>
      <c r="C733" s="22" t="str">
        <f>1/'EQUITY BACKTEST'!E736</f>
        <v>#DIV/0!</v>
      </c>
      <c r="D733" s="22" t="str">
        <f t="shared" si="5"/>
        <v>#DIV/0!</v>
      </c>
      <c r="E733" s="22" t="str">
        <f t="shared" si="3"/>
        <v/>
      </c>
      <c r="F733" s="22" t="str">
        <f t="shared" si="6"/>
        <v>#DIV/0!</v>
      </c>
      <c r="H733" s="22" t="str">
        <f t="shared" si="4"/>
        <v/>
      </c>
      <c r="I733" s="22" t="str">
        <f t="shared" si="1"/>
        <v>#N/A</v>
      </c>
      <c r="J733" s="22" t="str">
        <f t="shared" si="2"/>
        <v>#N/A</v>
      </c>
      <c r="K733" s="22" t="str">
        <f t="array" ref="K733">IF(H733="Crash",MATCH(TRUE, B734:B831 &gt;= B732, 0),"")</f>
        <v/>
      </c>
    </row>
    <row r="734" ht="15.75" customHeight="1">
      <c r="A734" s="31" t="str">
        <f>'EQUITY BACKTEST'!A737</f>
        <v/>
      </c>
      <c r="B734" s="22" t="str">
        <f>'EQUITY BACKTEST'!B737</f>
        <v/>
      </c>
      <c r="C734" s="22" t="str">
        <f>1/'EQUITY BACKTEST'!E737</f>
        <v>#DIV/0!</v>
      </c>
      <c r="D734" s="22" t="str">
        <f t="shared" si="5"/>
        <v>#DIV/0!</v>
      </c>
      <c r="E734" s="22" t="str">
        <f t="shared" si="3"/>
        <v/>
      </c>
      <c r="F734" s="22" t="str">
        <f t="shared" si="6"/>
        <v>#DIV/0!</v>
      </c>
      <c r="H734" s="22" t="str">
        <f t="shared" si="4"/>
        <v/>
      </c>
      <c r="I734" s="22" t="str">
        <f t="shared" si="1"/>
        <v>#N/A</v>
      </c>
      <c r="J734" s="22" t="str">
        <f t="shared" si="2"/>
        <v>#N/A</v>
      </c>
      <c r="K734" s="22" t="str">
        <f t="array" ref="K734">IF(H734="Crash",MATCH(TRUE, B735:B832 &gt;= B733, 0),"")</f>
        <v/>
      </c>
    </row>
    <row r="735" ht="15.75" customHeight="1">
      <c r="A735" s="31" t="str">
        <f>'EQUITY BACKTEST'!A738</f>
        <v/>
      </c>
      <c r="B735" s="22" t="str">
        <f>'EQUITY BACKTEST'!B738</f>
        <v/>
      </c>
      <c r="C735" s="22" t="str">
        <f>1/'EQUITY BACKTEST'!E738</f>
        <v>#DIV/0!</v>
      </c>
      <c r="D735" s="22" t="str">
        <f t="shared" si="5"/>
        <v>#DIV/0!</v>
      </c>
      <c r="E735" s="22" t="str">
        <f t="shared" si="3"/>
        <v/>
      </c>
      <c r="F735" s="22" t="str">
        <f t="shared" si="6"/>
        <v>#DIV/0!</v>
      </c>
      <c r="H735" s="22" t="str">
        <f t="shared" si="4"/>
        <v/>
      </c>
      <c r="I735" s="22" t="str">
        <f t="shared" si="1"/>
        <v>#N/A</v>
      </c>
      <c r="J735" s="22" t="str">
        <f t="shared" si="2"/>
        <v>#N/A</v>
      </c>
      <c r="K735" s="22" t="str">
        <f t="array" ref="K735">IF(H735="Crash",MATCH(TRUE, B736:B833 &gt;= B734, 0),"")</f>
        <v/>
      </c>
    </row>
    <row r="736" ht="15.75" customHeight="1">
      <c r="A736" s="31" t="str">
        <f>'EQUITY BACKTEST'!A739</f>
        <v/>
      </c>
      <c r="B736" s="22" t="str">
        <f>'EQUITY BACKTEST'!B739</f>
        <v/>
      </c>
      <c r="C736" s="22" t="str">
        <f>1/'EQUITY BACKTEST'!E739</f>
        <v>#DIV/0!</v>
      </c>
      <c r="D736" s="22" t="str">
        <f t="shared" si="5"/>
        <v>#DIV/0!</v>
      </c>
      <c r="E736" s="22" t="str">
        <f t="shared" si="3"/>
        <v/>
      </c>
      <c r="F736" s="22" t="str">
        <f t="shared" si="6"/>
        <v>#DIV/0!</v>
      </c>
      <c r="H736" s="22" t="str">
        <f t="shared" si="4"/>
        <v/>
      </c>
      <c r="I736" s="22" t="str">
        <f t="shared" si="1"/>
        <v>#N/A</v>
      </c>
      <c r="J736" s="22" t="str">
        <f t="shared" si="2"/>
        <v>#N/A</v>
      </c>
      <c r="K736" s="22" t="str">
        <f t="array" ref="K736">IF(H736="Crash",MATCH(TRUE, B737:B834 &gt;= B735, 0),"")</f>
        <v/>
      </c>
    </row>
    <row r="737" ht="15.75" customHeight="1">
      <c r="A737" s="31" t="str">
        <f>'EQUITY BACKTEST'!A740</f>
        <v/>
      </c>
      <c r="B737" s="22" t="str">
        <f>'EQUITY BACKTEST'!B740</f>
        <v/>
      </c>
      <c r="C737" s="22" t="str">
        <f>1/'EQUITY BACKTEST'!E740</f>
        <v>#DIV/0!</v>
      </c>
      <c r="D737" s="22" t="str">
        <f t="shared" si="5"/>
        <v>#DIV/0!</v>
      </c>
      <c r="E737" s="22" t="str">
        <f t="shared" si="3"/>
        <v/>
      </c>
      <c r="F737" s="22" t="str">
        <f t="shared" si="6"/>
        <v>#DIV/0!</v>
      </c>
      <c r="H737" s="22" t="str">
        <f t="shared" si="4"/>
        <v/>
      </c>
      <c r="I737" s="22" t="str">
        <f t="shared" si="1"/>
        <v>#N/A</v>
      </c>
      <c r="J737" s="22" t="str">
        <f t="shared" si="2"/>
        <v>#N/A</v>
      </c>
      <c r="K737" s="22" t="str">
        <f t="array" ref="K737">IF(H737="Crash",MATCH(TRUE, B738:B835 &gt;= B736, 0),"")</f>
        <v/>
      </c>
    </row>
    <row r="738" ht="15.75" customHeight="1">
      <c r="A738" s="31" t="str">
        <f>'EQUITY BACKTEST'!A741</f>
        <v/>
      </c>
      <c r="B738" s="22" t="str">
        <f>'EQUITY BACKTEST'!B741</f>
        <v/>
      </c>
      <c r="C738" s="22" t="str">
        <f>1/'EQUITY BACKTEST'!E741</f>
        <v>#DIV/0!</v>
      </c>
      <c r="D738" s="22" t="str">
        <f t="shared" si="5"/>
        <v>#DIV/0!</v>
      </c>
      <c r="E738" s="22" t="str">
        <f t="shared" si="3"/>
        <v/>
      </c>
      <c r="F738" s="22" t="str">
        <f t="shared" si="6"/>
        <v>#DIV/0!</v>
      </c>
      <c r="H738" s="22" t="str">
        <f t="shared" si="4"/>
        <v/>
      </c>
      <c r="I738" s="22" t="str">
        <f t="shared" si="1"/>
        <v>#N/A</v>
      </c>
      <c r="J738" s="22" t="str">
        <f t="shared" si="2"/>
        <v>#N/A</v>
      </c>
      <c r="K738" s="22" t="str">
        <f t="array" ref="K738">IF(H738="Crash",MATCH(TRUE, B739:B836 &gt;= B737, 0),"")</f>
        <v/>
      </c>
    </row>
    <row r="739" ht="15.75" customHeight="1">
      <c r="A739" s="31" t="str">
        <f>'EQUITY BACKTEST'!A742</f>
        <v/>
      </c>
      <c r="B739" s="22" t="str">
        <f>'EQUITY BACKTEST'!B742</f>
        <v/>
      </c>
      <c r="C739" s="22" t="str">
        <f>1/'EQUITY BACKTEST'!E742</f>
        <v>#DIV/0!</v>
      </c>
      <c r="D739" s="22" t="str">
        <f t="shared" si="5"/>
        <v>#DIV/0!</v>
      </c>
      <c r="E739" s="22" t="str">
        <f t="shared" si="3"/>
        <v/>
      </c>
      <c r="F739" s="22" t="str">
        <f t="shared" si="6"/>
        <v>#DIV/0!</v>
      </c>
      <c r="H739" s="22" t="str">
        <f t="shared" si="4"/>
        <v/>
      </c>
      <c r="I739" s="22" t="str">
        <f t="shared" si="1"/>
        <v>#N/A</v>
      </c>
      <c r="J739" s="22" t="str">
        <f t="shared" si="2"/>
        <v>#N/A</v>
      </c>
      <c r="K739" s="22" t="str">
        <f t="array" ref="K739">IF(H739="Crash",MATCH(TRUE, B740:B837 &gt;= B738, 0),"")</f>
        <v/>
      </c>
    </row>
    <row r="740" ht="15.75" customHeight="1">
      <c r="A740" s="31" t="str">
        <f>'EQUITY BACKTEST'!A743</f>
        <v/>
      </c>
      <c r="B740" s="22" t="str">
        <f>'EQUITY BACKTEST'!B743</f>
        <v/>
      </c>
      <c r="C740" s="22" t="str">
        <f>1/'EQUITY BACKTEST'!E743</f>
        <v>#DIV/0!</v>
      </c>
      <c r="D740" s="22" t="str">
        <f t="shared" si="5"/>
        <v>#DIV/0!</v>
      </c>
      <c r="E740" s="22" t="str">
        <f t="shared" si="3"/>
        <v/>
      </c>
      <c r="F740" s="22" t="str">
        <f t="shared" si="6"/>
        <v>#DIV/0!</v>
      </c>
      <c r="H740" s="22" t="str">
        <f t="shared" si="4"/>
        <v/>
      </c>
      <c r="I740" s="22" t="str">
        <f t="shared" si="1"/>
        <v>#N/A</v>
      </c>
      <c r="J740" s="22" t="str">
        <f t="shared" si="2"/>
        <v>#N/A</v>
      </c>
      <c r="K740" s="22" t="str">
        <f t="array" ref="K740">IF(H740="Crash",MATCH(TRUE, B741:B838 &gt;= B739, 0),"")</f>
        <v/>
      </c>
    </row>
    <row r="741" ht="15.75" customHeight="1">
      <c r="A741" s="31" t="str">
        <f>'EQUITY BACKTEST'!A744</f>
        <v/>
      </c>
      <c r="B741" s="22" t="str">
        <f>'EQUITY BACKTEST'!B744</f>
        <v/>
      </c>
      <c r="C741" s="22" t="str">
        <f>1/'EQUITY BACKTEST'!E744</f>
        <v>#DIV/0!</v>
      </c>
      <c r="D741" s="22" t="str">
        <f t="shared" si="5"/>
        <v>#DIV/0!</v>
      </c>
      <c r="E741" s="22" t="str">
        <f t="shared" si="3"/>
        <v/>
      </c>
      <c r="F741" s="22" t="str">
        <f t="shared" si="6"/>
        <v>#DIV/0!</v>
      </c>
      <c r="H741" s="22" t="str">
        <f t="shared" si="4"/>
        <v/>
      </c>
      <c r="I741" s="22" t="str">
        <f t="shared" si="1"/>
        <v>#N/A</v>
      </c>
      <c r="J741" s="22" t="str">
        <f t="shared" si="2"/>
        <v>#N/A</v>
      </c>
      <c r="K741" s="22" t="str">
        <f t="array" ref="K741">IF(H741="Crash",MATCH(TRUE, B742:B839 &gt;= B740, 0),"")</f>
        <v/>
      </c>
    </row>
    <row r="742" ht="15.75" customHeight="1">
      <c r="A742" s="31" t="str">
        <f>'EQUITY BACKTEST'!A745</f>
        <v/>
      </c>
      <c r="B742" s="22" t="str">
        <f>'EQUITY BACKTEST'!B745</f>
        <v/>
      </c>
      <c r="C742" s="22" t="str">
        <f>1/'EQUITY BACKTEST'!E745</f>
        <v>#DIV/0!</v>
      </c>
      <c r="D742" s="22" t="str">
        <f t="shared" si="5"/>
        <v>#DIV/0!</v>
      </c>
      <c r="E742" s="22" t="str">
        <f t="shared" si="3"/>
        <v/>
      </c>
      <c r="F742" s="22" t="str">
        <f t="shared" si="6"/>
        <v>#DIV/0!</v>
      </c>
      <c r="H742" s="22" t="str">
        <f t="shared" si="4"/>
        <v/>
      </c>
      <c r="I742" s="22" t="str">
        <f t="shared" si="1"/>
        <v>#N/A</v>
      </c>
      <c r="J742" s="22" t="str">
        <f t="shared" si="2"/>
        <v>#N/A</v>
      </c>
      <c r="K742" s="22" t="str">
        <f t="array" ref="K742">IF(H742="Crash",MATCH(TRUE, B743:B840 &gt;= B741, 0),"")</f>
        <v/>
      </c>
    </row>
    <row r="743" ht="15.75" customHeight="1">
      <c r="A743" s="31" t="str">
        <f>'EQUITY BACKTEST'!A746</f>
        <v/>
      </c>
      <c r="B743" s="22" t="str">
        <f>'EQUITY BACKTEST'!B746</f>
        <v/>
      </c>
      <c r="C743" s="22" t="str">
        <f>1/'EQUITY BACKTEST'!E746</f>
        <v>#DIV/0!</v>
      </c>
      <c r="D743" s="22" t="str">
        <f t="shared" si="5"/>
        <v>#DIV/0!</v>
      </c>
      <c r="E743" s="22" t="str">
        <f t="shared" si="3"/>
        <v/>
      </c>
      <c r="F743" s="22" t="str">
        <f t="shared" si="6"/>
        <v>#DIV/0!</v>
      </c>
      <c r="H743" s="22" t="str">
        <f t="shared" si="4"/>
        <v/>
      </c>
      <c r="I743" s="22" t="str">
        <f t="shared" si="1"/>
        <v>#N/A</v>
      </c>
      <c r="J743" s="22" t="str">
        <f t="shared" si="2"/>
        <v>#N/A</v>
      </c>
      <c r="K743" s="22" t="str">
        <f t="array" ref="K743">IF(H743="Crash",MATCH(TRUE, B744:B841 &gt;= B742, 0),"")</f>
        <v/>
      </c>
    </row>
    <row r="744" ht="15.75" customHeight="1">
      <c r="A744" s="31" t="str">
        <f>'EQUITY BACKTEST'!A747</f>
        <v/>
      </c>
      <c r="B744" s="22" t="str">
        <f>'EQUITY BACKTEST'!B747</f>
        <v/>
      </c>
      <c r="C744" s="22" t="str">
        <f>1/'EQUITY BACKTEST'!E747</f>
        <v>#DIV/0!</v>
      </c>
      <c r="D744" s="22" t="str">
        <f t="shared" si="5"/>
        <v>#DIV/0!</v>
      </c>
      <c r="E744" s="22" t="str">
        <f t="shared" si="3"/>
        <v/>
      </c>
      <c r="F744" s="22" t="str">
        <f t="shared" si="6"/>
        <v>#DIV/0!</v>
      </c>
      <c r="H744" s="22" t="str">
        <f t="shared" si="4"/>
        <v/>
      </c>
      <c r="I744" s="22" t="str">
        <f t="shared" si="1"/>
        <v>#N/A</v>
      </c>
      <c r="J744" s="22" t="str">
        <f t="shared" si="2"/>
        <v>#N/A</v>
      </c>
      <c r="K744" s="22" t="str">
        <f t="array" ref="K744">IF(H744="Crash",MATCH(TRUE, B745:B842 &gt;= B743, 0),"")</f>
        <v/>
      </c>
    </row>
    <row r="745" ht="15.75" customHeight="1">
      <c r="A745" s="31" t="str">
        <f>'EQUITY BACKTEST'!A748</f>
        <v/>
      </c>
      <c r="B745" s="22" t="str">
        <f>'EQUITY BACKTEST'!B748</f>
        <v/>
      </c>
      <c r="C745" s="22" t="str">
        <f>1/'EQUITY BACKTEST'!E748</f>
        <v>#DIV/0!</v>
      </c>
      <c r="D745" s="22" t="str">
        <f t="shared" si="5"/>
        <v>#DIV/0!</v>
      </c>
      <c r="E745" s="22" t="str">
        <f t="shared" si="3"/>
        <v/>
      </c>
      <c r="F745" s="22" t="str">
        <f t="shared" si="6"/>
        <v>#DIV/0!</v>
      </c>
      <c r="H745" s="22" t="str">
        <f t="shared" si="4"/>
        <v/>
      </c>
      <c r="I745" s="22" t="str">
        <f t="shared" si="1"/>
        <v>#N/A</v>
      </c>
      <c r="J745" s="22" t="str">
        <f t="shared" si="2"/>
        <v>#N/A</v>
      </c>
      <c r="K745" s="22" t="str">
        <f t="array" ref="K745">IF(H745="Crash",MATCH(TRUE, B746:B843 &gt;= B744, 0),"")</f>
        <v/>
      </c>
    </row>
    <row r="746" ht="15.75" customHeight="1">
      <c r="A746" s="31" t="str">
        <f>'EQUITY BACKTEST'!A749</f>
        <v/>
      </c>
      <c r="B746" s="22" t="str">
        <f>'EQUITY BACKTEST'!B749</f>
        <v/>
      </c>
      <c r="C746" s="22" t="str">
        <f>1/'EQUITY BACKTEST'!E749</f>
        <v>#DIV/0!</v>
      </c>
      <c r="D746" s="22" t="str">
        <f t="shared" si="5"/>
        <v>#DIV/0!</v>
      </c>
      <c r="E746" s="22" t="str">
        <f t="shared" si="3"/>
        <v/>
      </c>
      <c r="F746" s="22" t="str">
        <f t="shared" si="6"/>
        <v>#DIV/0!</v>
      </c>
      <c r="H746" s="22" t="str">
        <f t="shared" si="4"/>
        <v/>
      </c>
      <c r="I746" s="22" t="str">
        <f t="shared" si="1"/>
        <v>#N/A</v>
      </c>
      <c r="J746" s="22" t="str">
        <f t="shared" si="2"/>
        <v>#N/A</v>
      </c>
      <c r="K746" s="22" t="str">
        <f t="array" ref="K746">IF(H746="Crash",MATCH(TRUE, B747:B844 &gt;= B745, 0),"")</f>
        <v/>
      </c>
    </row>
    <row r="747" ht="15.75" customHeight="1">
      <c r="A747" s="31" t="str">
        <f>'EQUITY BACKTEST'!A750</f>
        <v/>
      </c>
      <c r="B747" s="22" t="str">
        <f>'EQUITY BACKTEST'!B750</f>
        <v/>
      </c>
      <c r="C747" s="22" t="str">
        <f>1/'EQUITY BACKTEST'!E750</f>
        <v>#DIV/0!</v>
      </c>
      <c r="D747" s="22" t="str">
        <f t="shared" si="5"/>
        <v>#DIV/0!</v>
      </c>
      <c r="E747" s="22" t="str">
        <f t="shared" si="3"/>
        <v/>
      </c>
      <c r="F747" s="22" t="str">
        <f t="shared" si="6"/>
        <v>#DIV/0!</v>
      </c>
      <c r="H747" s="22" t="str">
        <f t="shared" si="4"/>
        <v/>
      </c>
      <c r="I747" s="22" t="str">
        <f t="shared" si="1"/>
        <v>#N/A</v>
      </c>
      <c r="J747" s="22" t="str">
        <f t="shared" si="2"/>
        <v>#N/A</v>
      </c>
      <c r="K747" s="22" t="str">
        <f t="array" ref="K747">IF(H747="Crash",MATCH(TRUE, B748:B845 &gt;= B746, 0),"")</f>
        <v/>
      </c>
    </row>
    <row r="748" ht="15.75" customHeight="1">
      <c r="A748" s="31" t="str">
        <f>'EQUITY BACKTEST'!A751</f>
        <v/>
      </c>
      <c r="B748" s="22" t="str">
        <f>'EQUITY BACKTEST'!B751</f>
        <v/>
      </c>
      <c r="C748" s="22" t="str">
        <f>1/'EQUITY BACKTEST'!E751</f>
        <v>#DIV/0!</v>
      </c>
      <c r="D748" s="22" t="str">
        <f t="shared" si="5"/>
        <v>#DIV/0!</v>
      </c>
      <c r="E748" s="22" t="str">
        <f t="shared" si="3"/>
        <v/>
      </c>
      <c r="F748" s="22" t="str">
        <f t="shared" si="6"/>
        <v>#DIV/0!</v>
      </c>
      <c r="H748" s="22" t="str">
        <f t="shared" si="4"/>
        <v/>
      </c>
      <c r="I748" s="22" t="str">
        <f t="shared" si="1"/>
        <v>#N/A</v>
      </c>
      <c r="J748" s="22" t="str">
        <f t="shared" si="2"/>
        <v>#N/A</v>
      </c>
      <c r="K748" s="22" t="str">
        <f t="array" ref="K748">IF(H748="Crash",MATCH(TRUE, B749:B846 &gt;= B747, 0),"")</f>
        <v/>
      </c>
    </row>
    <row r="749" ht="15.75" customHeight="1">
      <c r="A749" s="31" t="str">
        <f>'EQUITY BACKTEST'!A752</f>
        <v/>
      </c>
      <c r="B749" s="22" t="str">
        <f>'EQUITY BACKTEST'!B752</f>
        <v/>
      </c>
      <c r="C749" s="22" t="str">
        <f>1/'EQUITY BACKTEST'!E752</f>
        <v>#DIV/0!</v>
      </c>
      <c r="D749" s="22" t="str">
        <f t="shared" si="5"/>
        <v>#DIV/0!</v>
      </c>
      <c r="E749" s="22" t="str">
        <f t="shared" si="3"/>
        <v/>
      </c>
      <c r="F749" s="22" t="str">
        <f t="shared" si="6"/>
        <v>#DIV/0!</v>
      </c>
      <c r="H749" s="22" t="str">
        <f t="shared" si="4"/>
        <v/>
      </c>
      <c r="I749" s="22" t="str">
        <f t="shared" si="1"/>
        <v>#N/A</v>
      </c>
      <c r="J749" s="22" t="str">
        <f t="shared" si="2"/>
        <v>#N/A</v>
      </c>
      <c r="K749" s="22" t="str">
        <f t="array" ref="K749">IF(H749="Crash",MATCH(TRUE, B750:B847 &gt;= B748, 0),"")</f>
        <v/>
      </c>
    </row>
    <row r="750" ht="15.75" customHeight="1">
      <c r="A750" s="31" t="str">
        <f>'EQUITY BACKTEST'!A753</f>
        <v/>
      </c>
      <c r="B750" s="22" t="str">
        <f>'EQUITY BACKTEST'!B753</f>
        <v/>
      </c>
      <c r="C750" s="22" t="str">
        <f>1/'EQUITY BACKTEST'!E753</f>
        <v>#DIV/0!</v>
      </c>
      <c r="D750" s="22" t="str">
        <f t="shared" si="5"/>
        <v>#DIV/0!</v>
      </c>
      <c r="E750" s="22" t="str">
        <f t="shared" si="3"/>
        <v/>
      </c>
      <c r="F750" s="22" t="str">
        <f t="shared" si="6"/>
        <v>#DIV/0!</v>
      </c>
      <c r="H750" s="22" t="str">
        <f t="shared" si="4"/>
        <v/>
      </c>
      <c r="I750" s="22" t="str">
        <f t="shared" si="1"/>
        <v>#N/A</v>
      </c>
      <c r="J750" s="22" t="str">
        <f t="shared" si="2"/>
        <v>#N/A</v>
      </c>
      <c r="K750" s="22" t="str">
        <f t="array" ref="K750">IF(H750="Crash",MATCH(TRUE, B751:B848 &gt;= B749, 0),"")</f>
        <v/>
      </c>
    </row>
    <row r="751" ht="15.75" customHeight="1">
      <c r="A751" s="31" t="str">
        <f>'EQUITY BACKTEST'!A754</f>
        <v/>
      </c>
      <c r="B751" s="22" t="str">
        <f>'EQUITY BACKTEST'!B754</f>
        <v/>
      </c>
      <c r="C751" s="22" t="str">
        <f>1/'EQUITY BACKTEST'!E754</f>
        <v>#DIV/0!</v>
      </c>
      <c r="D751" s="22" t="str">
        <f t="shared" si="5"/>
        <v>#DIV/0!</v>
      </c>
      <c r="E751" s="22" t="str">
        <f t="shared" si="3"/>
        <v/>
      </c>
      <c r="F751" s="22" t="str">
        <f t="shared" si="6"/>
        <v>#DIV/0!</v>
      </c>
      <c r="H751" s="22" t="str">
        <f t="shared" si="4"/>
        <v/>
      </c>
      <c r="I751" s="22" t="str">
        <f t="shared" si="1"/>
        <v>#N/A</v>
      </c>
      <c r="J751" s="22" t="str">
        <f t="shared" si="2"/>
        <v>#N/A</v>
      </c>
      <c r="K751" s="22" t="str">
        <f t="array" ref="K751">IF(H751="Crash",MATCH(TRUE, B752:B849 &gt;= B750, 0),"")</f>
        <v/>
      </c>
    </row>
    <row r="752" ht="15.75" customHeight="1">
      <c r="A752" s="31" t="str">
        <f>'EQUITY BACKTEST'!A755</f>
        <v/>
      </c>
      <c r="B752" s="22" t="str">
        <f>'EQUITY BACKTEST'!B755</f>
        <v/>
      </c>
      <c r="C752" s="22" t="str">
        <f>1/'EQUITY BACKTEST'!E755</f>
        <v>#DIV/0!</v>
      </c>
      <c r="D752" s="22" t="str">
        <f t="shared" si="5"/>
        <v>#DIV/0!</v>
      </c>
      <c r="E752" s="22" t="str">
        <f t="shared" si="3"/>
        <v/>
      </c>
      <c r="F752" s="22" t="str">
        <f t="shared" si="6"/>
        <v>#DIV/0!</v>
      </c>
      <c r="H752" s="22" t="str">
        <f t="shared" si="4"/>
        <v/>
      </c>
      <c r="I752" s="22" t="str">
        <f t="shared" si="1"/>
        <v>#N/A</v>
      </c>
      <c r="J752" s="22" t="str">
        <f t="shared" si="2"/>
        <v>#N/A</v>
      </c>
      <c r="K752" s="22" t="str">
        <f t="array" ref="K752">IF(H752="Crash",MATCH(TRUE, B753:B850 &gt;= B751, 0),"")</f>
        <v/>
      </c>
    </row>
    <row r="753" ht="15.75" customHeight="1">
      <c r="A753" s="31" t="str">
        <f>'EQUITY BACKTEST'!A756</f>
        <v/>
      </c>
      <c r="B753" s="22" t="str">
        <f>'EQUITY BACKTEST'!B756</f>
        <v/>
      </c>
      <c r="C753" s="22" t="str">
        <f>1/'EQUITY BACKTEST'!E756</f>
        <v>#DIV/0!</v>
      </c>
      <c r="D753" s="22" t="str">
        <f t="shared" si="5"/>
        <v>#DIV/0!</v>
      </c>
      <c r="E753" s="22" t="str">
        <f t="shared" si="3"/>
        <v/>
      </c>
      <c r="F753" s="22" t="str">
        <f t="shared" si="6"/>
        <v>#DIV/0!</v>
      </c>
      <c r="H753" s="22" t="str">
        <f t="shared" si="4"/>
        <v/>
      </c>
      <c r="I753" s="22" t="str">
        <f t="shared" si="1"/>
        <v>#N/A</v>
      </c>
      <c r="J753" s="22" t="str">
        <f t="shared" si="2"/>
        <v>#N/A</v>
      </c>
      <c r="K753" s="22" t="str">
        <f t="array" ref="K753">IF(H753="Crash",MATCH(TRUE, B754:B851 &gt;= B752, 0),"")</f>
        <v/>
      </c>
    </row>
    <row r="754" ht="15.75" customHeight="1">
      <c r="A754" s="31" t="str">
        <f>'EQUITY BACKTEST'!A757</f>
        <v/>
      </c>
      <c r="B754" s="22" t="str">
        <f>'EQUITY BACKTEST'!B757</f>
        <v/>
      </c>
      <c r="C754" s="22" t="str">
        <f>1/'EQUITY BACKTEST'!E757</f>
        <v>#DIV/0!</v>
      </c>
      <c r="D754" s="22" t="str">
        <f t="shared" si="5"/>
        <v>#DIV/0!</v>
      </c>
      <c r="E754" s="22" t="str">
        <f t="shared" si="3"/>
        <v/>
      </c>
      <c r="F754" s="22" t="str">
        <f t="shared" si="6"/>
        <v>#DIV/0!</v>
      </c>
      <c r="H754" s="22" t="str">
        <f t="shared" si="4"/>
        <v/>
      </c>
      <c r="I754" s="22" t="str">
        <f t="shared" si="1"/>
        <v>#N/A</v>
      </c>
      <c r="J754" s="22" t="str">
        <f t="shared" si="2"/>
        <v>#N/A</v>
      </c>
      <c r="K754" s="22" t="str">
        <f t="array" ref="K754">IF(H754="Crash",MATCH(TRUE, B755:B852 &gt;= B753, 0),"")</f>
        <v/>
      </c>
    </row>
    <row r="755" ht="15.75" customHeight="1">
      <c r="A755" s="31" t="str">
        <f>'EQUITY BACKTEST'!A758</f>
        <v/>
      </c>
      <c r="B755" s="22" t="str">
        <f>'EQUITY BACKTEST'!B758</f>
        <v/>
      </c>
      <c r="C755" s="22" t="str">
        <f>1/'EQUITY BACKTEST'!E758</f>
        <v>#DIV/0!</v>
      </c>
      <c r="D755" s="22" t="str">
        <f t="shared" si="5"/>
        <v>#DIV/0!</v>
      </c>
      <c r="E755" s="22" t="str">
        <f t="shared" si="3"/>
        <v/>
      </c>
      <c r="F755" s="22" t="str">
        <f t="shared" si="6"/>
        <v>#DIV/0!</v>
      </c>
      <c r="H755" s="22" t="str">
        <f t="shared" si="4"/>
        <v/>
      </c>
      <c r="I755" s="22" t="str">
        <f t="shared" si="1"/>
        <v>#N/A</v>
      </c>
      <c r="J755" s="22" t="str">
        <f t="shared" si="2"/>
        <v>#N/A</v>
      </c>
      <c r="K755" s="22" t="str">
        <f t="array" ref="K755">IF(H755="Crash",MATCH(TRUE, B756:B853 &gt;= B754, 0),"")</f>
        <v/>
      </c>
    </row>
    <row r="756" ht="15.75" customHeight="1">
      <c r="A756" s="31" t="str">
        <f>'EQUITY BACKTEST'!A759</f>
        <v/>
      </c>
      <c r="B756" s="22" t="str">
        <f>'EQUITY BACKTEST'!B759</f>
        <v/>
      </c>
      <c r="C756" s="22" t="str">
        <f>1/'EQUITY BACKTEST'!E759</f>
        <v>#DIV/0!</v>
      </c>
      <c r="D756" s="22" t="str">
        <f t="shared" si="5"/>
        <v>#DIV/0!</v>
      </c>
      <c r="E756" s="22" t="str">
        <f t="shared" si="3"/>
        <v/>
      </c>
      <c r="F756" s="22" t="str">
        <f t="shared" si="6"/>
        <v>#DIV/0!</v>
      </c>
      <c r="H756" s="22" t="str">
        <f t="shared" si="4"/>
        <v/>
      </c>
      <c r="I756" s="22" t="str">
        <f t="shared" si="1"/>
        <v>#N/A</v>
      </c>
      <c r="J756" s="22" t="str">
        <f t="shared" si="2"/>
        <v>#N/A</v>
      </c>
      <c r="K756" s="22" t="str">
        <f t="array" ref="K756">IF(H756="Crash",MATCH(TRUE, B757:B854 &gt;= B755, 0),"")</f>
        <v/>
      </c>
    </row>
    <row r="757" ht="15.75" customHeight="1">
      <c r="A757" s="31" t="str">
        <f>'EQUITY BACKTEST'!A760</f>
        <v/>
      </c>
      <c r="B757" s="22" t="str">
        <f>'EQUITY BACKTEST'!B760</f>
        <v/>
      </c>
      <c r="C757" s="22" t="str">
        <f>1/'EQUITY BACKTEST'!E760</f>
        <v>#DIV/0!</v>
      </c>
      <c r="D757" s="22" t="str">
        <f t="shared" si="5"/>
        <v>#DIV/0!</v>
      </c>
      <c r="E757" s="22" t="str">
        <f t="shared" si="3"/>
        <v/>
      </c>
      <c r="F757" s="22" t="str">
        <f t="shared" si="6"/>
        <v>#DIV/0!</v>
      </c>
      <c r="H757" s="22" t="str">
        <f t="shared" si="4"/>
        <v/>
      </c>
      <c r="I757" s="22" t="str">
        <f t="shared" si="1"/>
        <v>#N/A</v>
      </c>
      <c r="J757" s="22" t="str">
        <f t="shared" si="2"/>
        <v>#N/A</v>
      </c>
      <c r="K757" s="22" t="str">
        <f t="array" ref="K757">IF(H757="Crash",MATCH(TRUE, B758:B855 &gt;= B756, 0),"")</f>
        <v/>
      </c>
    </row>
    <row r="758" ht="15.75" customHeight="1">
      <c r="A758" s="31" t="str">
        <f>'EQUITY BACKTEST'!A761</f>
        <v/>
      </c>
      <c r="B758" s="22" t="str">
        <f>'EQUITY BACKTEST'!B761</f>
        <v/>
      </c>
      <c r="C758" s="22" t="str">
        <f>1/'EQUITY BACKTEST'!E761</f>
        <v>#DIV/0!</v>
      </c>
      <c r="D758" s="22" t="str">
        <f t="shared" si="5"/>
        <v>#DIV/0!</v>
      </c>
      <c r="E758" s="22" t="str">
        <f t="shared" si="3"/>
        <v/>
      </c>
      <c r="F758" s="22" t="str">
        <f t="shared" si="6"/>
        <v>#DIV/0!</v>
      </c>
      <c r="H758" s="22" t="str">
        <f t="shared" si="4"/>
        <v/>
      </c>
      <c r="I758" s="22" t="str">
        <f t="shared" si="1"/>
        <v>#N/A</v>
      </c>
      <c r="J758" s="22" t="str">
        <f t="shared" si="2"/>
        <v>#N/A</v>
      </c>
      <c r="K758" s="22" t="str">
        <f t="array" ref="K758">IF(H758="Crash",MATCH(TRUE, B759:B856 &gt;= B757, 0),"")</f>
        <v/>
      </c>
    </row>
    <row r="759" ht="15.75" customHeight="1">
      <c r="A759" s="31" t="str">
        <f>'EQUITY BACKTEST'!A762</f>
        <v/>
      </c>
      <c r="B759" s="22" t="str">
        <f>'EQUITY BACKTEST'!B762</f>
        <v/>
      </c>
      <c r="C759" s="22" t="str">
        <f>1/'EQUITY BACKTEST'!E762</f>
        <v>#DIV/0!</v>
      </c>
      <c r="D759" s="22" t="str">
        <f t="shared" si="5"/>
        <v>#DIV/0!</v>
      </c>
      <c r="E759" s="22" t="str">
        <f t="shared" si="3"/>
        <v/>
      </c>
      <c r="F759" s="22" t="str">
        <f t="shared" si="6"/>
        <v>#DIV/0!</v>
      </c>
      <c r="H759" s="22" t="str">
        <f t="shared" si="4"/>
        <v/>
      </c>
      <c r="I759" s="22" t="str">
        <f t="shared" si="1"/>
        <v>#N/A</v>
      </c>
      <c r="J759" s="22" t="str">
        <f t="shared" si="2"/>
        <v>#N/A</v>
      </c>
      <c r="K759" s="22" t="str">
        <f t="array" ref="K759">IF(H759="Crash",MATCH(TRUE, B760:B857 &gt;= B758, 0),"")</f>
        <v/>
      </c>
    </row>
    <row r="760" ht="15.75" customHeight="1">
      <c r="A760" s="31" t="str">
        <f>'EQUITY BACKTEST'!A763</f>
        <v/>
      </c>
      <c r="B760" s="22" t="str">
        <f>'EQUITY BACKTEST'!B763</f>
        <v/>
      </c>
      <c r="C760" s="22" t="str">
        <f>1/'EQUITY BACKTEST'!E763</f>
        <v>#DIV/0!</v>
      </c>
      <c r="D760" s="22" t="str">
        <f t="shared" si="5"/>
        <v>#DIV/0!</v>
      </c>
      <c r="E760" s="22" t="str">
        <f t="shared" si="3"/>
        <v/>
      </c>
      <c r="F760" s="22" t="str">
        <f t="shared" si="6"/>
        <v>#DIV/0!</v>
      </c>
      <c r="H760" s="22" t="str">
        <f t="shared" si="4"/>
        <v/>
      </c>
      <c r="I760" s="22" t="str">
        <f t="shared" si="1"/>
        <v>#N/A</v>
      </c>
      <c r="J760" s="22" t="str">
        <f t="shared" si="2"/>
        <v>#N/A</v>
      </c>
      <c r="K760" s="22" t="str">
        <f t="array" ref="K760">IF(H760="Crash",MATCH(TRUE, B761:B858 &gt;= B759, 0),"")</f>
        <v/>
      </c>
    </row>
    <row r="761" ht="15.75" customHeight="1">
      <c r="A761" s="31" t="str">
        <f>'EQUITY BACKTEST'!A764</f>
        <v/>
      </c>
      <c r="B761" s="22" t="str">
        <f>'EQUITY BACKTEST'!B764</f>
        <v/>
      </c>
      <c r="C761" s="22" t="str">
        <f>1/'EQUITY BACKTEST'!E764</f>
        <v>#DIV/0!</v>
      </c>
      <c r="D761" s="22" t="str">
        <f t="shared" si="5"/>
        <v>#DIV/0!</v>
      </c>
      <c r="E761" s="22" t="str">
        <f t="shared" si="3"/>
        <v/>
      </c>
      <c r="F761" s="22" t="str">
        <f t="shared" si="6"/>
        <v>#DIV/0!</v>
      </c>
      <c r="H761" s="22" t="str">
        <f t="shared" si="4"/>
        <v/>
      </c>
      <c r="I761" s="22" t="str">
        <f t="shared" si="1"/>
        <v>#N/A</v>
      </c>
      <c r="J761" s="22" t="str">
        <f t="shared" si="2"/>
        <v>#N/A</v>
      </c>
      <c r="K761" s="22" t="str">
        <f t="array" ref="K761">IF(H761="Crash",MATCH(TRUE, B762:B859 &gt;= B760, 0),"")</f>
        <v/>
      </c>
    </row>
    <row r="762" ht="15.75" customHeight="1">
      <c r="A762" s="31" t="str">
        <f>'EQUITY BACKTEST'!A765</f>
        <v/>
      </c>
      <c r="B762" s="22" t="str">
        <f>'EQUITY BACKTEST'!B765</f>
        <v/>
      </c>
      <c r="C762" s="22" t="str">
        <f>1/'EQUITY BACKTEST'!E765</f>
        <v>#DIV/0!</v>
      </c>
      <c r="D762" s="22" t="str">
        <f t="shared" si="5"/>
        <v>#DIV/0!</v>
      </c>
      <c r="E762" s="22" t="str">
        <f t="shared" si="3"/>
        <v/>
      </c>
      <c r="F762" s="22" t="str">
        <f t="shared" si="6"/>
        <v>#DIV/0!</v>
      </c>
      <c r="H762" s="22" t="str">
        <f t="shared" si="4"/>
        <v/>
      </c>
      <c r="I762" s="22" t="str">
        <f t="shared" si="1"/>
        <v>#N/A</v>
      </c>
      <c r="J762" s="22" t="str">
        <f t="shared" si="2"/>
        <v>#N/A</v>
      </c>
      <c r="K762" s="22" t="str">
        <f t="array" ref="K762">IF(H762="Crash",MATCH(TRUE, B763:B860 &gt;= B761, 0),"")</f>
        <v/>
      </c>
    </row>
    <row r="763" ht="15.75" customHeight="1">
      <c r="A763" s="31" t="str">
        <f>'EQUITY BACKTEST'!A766</f>
        <v/>
      </c>
      <c r="B763" s="22" t="str">
        <f>'EQUITY BACKTEST'!B766</f>
        <v/>
      </c>
      <c r="C763" s="22" t="str">
        <f>1/'EQUITY BACKTEST'!E766</f>
        <v>#DIV/0!</v>
      </c>
      <c r="D763" s="22" t="str">
        <f t="shared" si="5"/>
        <v>#DIV/0!</v>
      </c>
      <c r="E763" s="22" t="str">
        <f t="shared" si="3"/>
        <v/>
      </c>
      <c r="F763" s="22" t="str">
        <f t="shared" si="6"/>
        <v>#DIV/0!</v>
      </c>
      <c r="H763" s="22" t="str">
        <f t="shared" si="4"/>
        <v/>
      </c>
      <c r="I763" s="22" t="str">
        <f t="shared" si="1"/>
        <v>#N/A</v>
      </c>
      <c r="J763" s="22" t="str">
        <f t="shared" si="2"/>
        <v>#N/A</v>
      </c>
      <c r="K763" s="22" t="str">
        <f t="array" ref="K763">IF(H763="Crash",MATCH(TRUE, B764:B861 &gt;= B762, 0),"")</f>
        <v/>
      </c>
    </row>
    <row r="764" ht="15.75" customHeight="1">
      <c r="A764" s="31" t="str">
        <f>'EQUITY BACKTEST'!A767</f>
        <v/>
      </c>
      <c r="B764" s="22" t="str">
        <f>'EQUITY BACKTEST'!B767</f>
        <v/>
      </c>
      <c r="C764" s="22" t="str">
        <f>1/'EQUITY BACKTEST'!E767</f>
        <v>#DIV/0!</v>
      </c>
      <c r="D764" s="22" t="str">
        <f t="shared" si="5"/>
        <v>#DIV/0!</v>
      </c>
      <c r="E764" s="22" t="str">
        <f t="shared" si="3"/>
        <v/>
      </c>
      <c r="F764" s="22" t="str">
        <f t="shared" si="6"/>
        <v>#DIV/0!</v>
      </c>
      <c r="H764" s="22" t="str">
        <f t="shared" si="4"/>
        <v/>
      </c>
      <c r="I764" s="22" t="str">
        <f t="shared" si="1"/>
        <v>#N/A</v>
      </c>
      <c r="J764" s="22" t="str">
        <f t="shared" si="2"/>
        <v>#N/A</v>
      </c>
      <c r="K764" s="22" t="str">
        <f t="array" ref="K764">IF(H764="Crash",MATCH(TRUE, B765:B862 &gt;= B763, 0),"")</f>
        <v/>
      </c>
    </row>
    <row r="765" ht="15.75" customHeight="1">
      <c r="A765" s="31" t="str">
        <f>'EQUITY BACKTEST'!A768</f>
        <v/>
      </c>
      <c r="B765" s="22" t="str">
        <f>'EQUITY BACKTEST'!B768</f>
        <v/>
      </c>
      <c r="C765" s="22" t="str">
        <f>1/'EQUITY BACKTEST'!E768</f>
        <v>#DIV/0!</v>
      </c>
      <c r="D765" s="22" t="str">
        <f t="shared" si="5"/>
        <v>#DIV/0!</v>
      </c>
      <c r="E765" s="22" t="str">
        <f t="shared" si="3"/>
        <v/>
      </c>
      <c r="F765" s="22" t="str">
        <f t="shared" si="6"/>
        <v>#DIV/0!</v>
      </c>
      <c r="H765" s="22" t="str">
        <f t="shared" si="4"/>
        <v/>
      </c>
      <c r="I765" s="22" t="str">
        <f t="shared" si="1"/>
        <v>#N/A</v>
      </c>
      <c r="J765" s="22" t="str">
        <f t="shared" si="2"/>
        <v>#N/A</v>
      </c>
      <c r="K765" s="22" t="str">
        <f t="array" ref="K765">IF(H765="Crash",MATCH(TRUE, B766:B863 &gt;= B764, 0),"")</f>
        <v/>
      </c>
    </row>
    <row r="766" ht="15.75" customHeight="1">
      <c r="A766" s="31" t="str">
        <f>'EQUITY BACKTEST'!A769</f>
        <v/>
      </c>
      <c r="B766" s="22" t="str">
        <f>'EQUITY BACKTEST'!B769</f>
        <v/>
      </c>
      <c r="C766" s="22" t="str">
        <f>1/'EQUITY BACKTEST'!E769</f>
        <v>#DIV/0!</v>
      </c>
      <c r="D766" s="22" t="str">
        <f t="shared" si="5"/>
        <v>#DIV/0!</v>
      </c>
      <c r="E766" s="22" t="str">
        <f t="shared" si="3"/>
        <v/>
      </c>
      <c r="F766" s="22" t="str">
        <f t="shared" si="6"/>
        <v>#DIV/0!</v>
      </c>
      <c r="H766" s="22" t="str">
        <f t="shared" si="4"/>
        <v/>
      </c>
      <c r="I766" s="22" t="str">
        <f t="shared" si="1"/>
        <v>#N/A</v>
      </c>
      <c r="J766" s="22" t="str">
        <f t="shared" si="2"/>
        <v>#N/A</v>
      </c>
      <c r="K766" s="22" t="str">
        <f t="array" ref="K766">IF(H766="Crash",MATCH(TRUE, B767:B864 &gt;= B765, 0),"")</f>
        <v/>
      </c>
    </row>
    <row r="767" ht="15.75" customHeight="1">
      <c r="A767" s="31" t="str">
        <f>'EQUITY BACKTEST'!A770</f>
        <v/>
      </c>
      <c r="B767" s="22" t="str">
        <f>'EQUITY BACKTEST'!B770</f>
        <v/>
      </c>
      <c r="C767" s="22" t="str">
        <f>1/'EQUITY BACKTEST'!E770</f>
        <v>#DIV/0!</v>
      </c>
      <c r="D767" s="22" t="str">
        <f t="shared" si="5"/>
        <v>#DIV/0!</v>
      </c>
      <c r="E767" s="22" t="str">
        <f t="shared" si="3"/>
        <v/>
      </c>
      <c r="F767" s="22" t="str">
        <f t="shared" si="6"/>
        <v>#DIV/0!</v>
      </c>
      <c r="H767" s="22" t="str">
        <f t="shared" si="4"/>
        <v/>
      </c>
      <c r="I767" s="22" t="str">
        <f t="shared" si="1"/>
        <v>#N/A</v>
      </c>
      <c r="J767" s="22" t="str">
        <f t="shared" si="2"/>
        <v>#N/A</v>
      </c>
      <c r="K767" s="22" t="str">
        <f t="array" ref="K767">IF(H767="Crash",MATCH(TRUE, B768:B865 &gt;= B766, 0),"")</f>
        <v/>
      </c>
    </row>
    <row r="768" ht="15.75" customHeight="1">
      <c r="A768" s="31" t="str">
        <f>'EQUITY BACKTEST'!A771</f>
        <v/>
      </c>
      <c r="B768" s="22" t="str">
        <f>'EQUITY BACKTEST'!B771</f>
        <v/>
      </c>
      <c r="C768" s="22" t="str">
        <f>1/'EQUITY BACKTEST'!E771</f>
        <v>#DIV/0!</v>
      </c>
      <c r="D768" s="22" t="str">
        <f t="shared" si="5"/>
        <v>#DIV/0!</v>
      </c>
      <c r="E768" s="22" t="str">
        <f t="shared" si="3"/>
        <v/>
      </c>
      <c r="F768" s="22" t="str">
        <f t="shared" si="6"/>
        <v>#DIV/0!</v>
      </c>
      <c r="H768" s="22" t="str">
        <f t="shared" si="4"/>
        <v/>
      </c>
      <c r="I768" s="22" t="str">
        <f t="shared" si="1"/>
        <v>#N/A</v>
      </c>
      <c r="J768" s="22" t="str">
        <f t="shared" si="2"/>
        <v>#N/A</v>
      </c>
      <c r="K768" s="22" t="str">
        <f t="array" ref="K768">IF(H768="Crash",MATCH(TRUE, B769:B866 &gt;= B767, 0),"")</f>
        <v/>
      </c>
    </row>
    <row r="769" ht="15.75" customHeight="1">
      <c r="A769" s="31" t="str">
        <f>'EQUITY BACKTEST'!A772</f>
        <v/>
      </c>
      <c r="B769" s="22" t="str">
        <f>'EQUITY BACKTEST'!B772</f>
        <v/>
      </c>
      <c r="C769" s="22" t="str">
        <f>1/'EQUITY BACKTEST'!E772</f>
        <v>#DIV/0!</v>
      </c>
      <c r="D769" s="22" t="str">
        <f t="shared" si="5"/>
        <v>#DIV/0!</v>
      </c>
      <c r="E769" s="22" t="str">
        <f t="shared" si="3"/>
        <v/>
      </c>
      <c r="F769" s="22" t="str">
        <f t="shared" si="6"/>
        <v>#DIV/0!</v>
      </c>
      <c r="H769" s="22" t="str">
        <f t="shared" si="4"/>
        <v/>
      </c>
      <c r="I769" s="22" t="str">
        <f t="shared" si="1"/>
        <v>#N/A</v>
      </c>
      <c r="J769" s="22" t="str">
        <f t="shared" si="2"/>
        <v>#N/A</v>
      </c>
      <c r="K769" s="22" t="str">
        <f t="array" ref="K769">IF(H769="Crash",MATCH(TRUE, B770:B867 &gt;= B768, 0),"")</f>
        <v/>
      </c>
    </row>
    <row r="770" ht="15.75" customHeight="1">
      <c r="A770" s="31" t="str">
        <f>'EQUITY BACKTEST'!A773</f>
        <v/>
      </c>
      <c r="B770" s="22" t="str">
        <f>'EQUITY BACKTEST'!B773</f>
        <v/>
      </c>
      <c r="C770" s="22" t="str">
        <f>1/'EQUITY BACKTEST'!E773</f>
        <v>#DIV/0!</v>
      </c>
      <c r="D770" s="22" t="str">
        <f t="shared" si="5"/>
        <v>#DIV/0!</v>
      </c>
      <c r="E770" s="22" t="str">
        <f t="shared" si="3"/>
        <v/>
      </c>
      <c r="F770" s="22" t="str">
        <f t="shared" si="6"/>
        <v>#DIV/0!</v>
      </c>
      <c r="H770" s="22" t="str">
        <f t="shared" si="4"/>
        <v/>
      </c>
      <c r="I770" s="22" t="str">
        <f t="shared" si="1"/>
        <v>#N/A</v>
      </c>
      <c r="J770" s="22" t="str">
        <f t="shared" si="2"/>
        <v>#N/A</v>
      </c>
      <c r="K770" s="22" t="str">
        <f t="array" ref="K770">IF(H770="Crash",MATCH(TRUE, B771:B868 &gt;= B769, 0),"")</f>
        <v/>
      </c>
    </row>
    <row r="771" ht="15.75" customHeight="1">
      <c r="A771" s="31" t="str">
        <f>'EQUITY BACKTEST'!A774</f>
        <v/>
      </c>
      <c r="B771" s="22" t="str">
        <f>'EQUITY BACKTEST'!B774</f>
        <v/>
      </c>
      <c r="C771" s="22" t="str">
        <f>1/'EQUITY BACKTEST'!E774</f>
        <v>#DIV/0!</v>
      </c>
      <c r="D771" s="22" t="str">
        <f t="shared" si="5"/>
        <v>#DIV/0!</v>
      </c>
      <c r="E771" s="22" t="str">
        <f t="shared" si="3"/>
        <v/>
      </c>
      <c r="F771" s="22" t="str">
        <f t="shared" si="6"/>
        <v>#DIV/0!</v>
      </c>
      <c r="H771" s="22" t="str">
        <f t="shared" si="4"/>
        <v/>
      </c>
      <c r="I771" s="22" t="str">
        <f t="shared" si="1"/>
        <v>#N/A</v>
      </c>
      <c r="J771" s="22" t="str">
        <f t="shared" si="2"/>
        <v>#N/A</v>
      </c>
      <c r="K771" s="22" t="str">
        <f t="array" ref="K771">IF(H771="Crash",MATCH(TRUE, B772:B869 &gt;= B770, 0),"")</f>
        <v/>
      </c>
    </row>
    <row r="772" ht="15.75" customHeight="1">
      <c r="A772" s="31" t="str">
        <f>'EQUITY BACKTEST'!A775</f>
        <v/>
      </c>
      <c r="B772" s="22" t="str">
        <f>'EQUITY BACKTEST'!B775</f>
        <v/>
      </c>
      <c r="C772" s="22" t="str">
        <f>1/'EQUITY BACKTEST'!E775</f>
        <v>#DIV/0!</v>
      </c>
      <c r="D772" s="22" t="str">
        <f t="shared" si="5"/>
        <v>#DIV/0!</v>
      </c>
      <c r="E772" s="22" t="str">
        <f t="shared" si="3"/>
        <v/>
      </c>
      <c r="F772" s="22" t="str">
        <f t="shared" si="6"/>
        <v>#DIV/0!</v>
      </c>
      <c r="H772" s="22" t="str">
        <f t="shared" si="4"/>
        <v/>
      </c>
      <c r="I772" s="22" t="str">
        <f t="shared" si="1"/>
        <v>#N/A</v>
      </c>
      <c r="J772" s="22" t="str">
        <f t="shared" si="2"/>
        <v>#N/A</v>
      </c>
      <c r="K772" s="22" t="str">
        <f t="array" ref="K772">IF(H772="Crash",MATCH(TRUE, B773:B870 &gt;= B771, 0),"")</f>
        <v/>
      </c>
    </row>
    <row r="773" ht="15.75" customHeight="1">
      <c r="A773" s="31" t="str">
        <f>'EQUITY BACKTEST'!A776</f>
        <v/>
      </c>
      <c r="B773" s="22" t="str">
        <f>'EQUITY BACKTEST'!B776</f>
        <v/>
      </c>
      <c r="C773" s="22" t="str">
        <f>1/'EQUITY BACKTEST'!E776</f>
        <v>#DIV/0!</v>
      </c>
      <c r="D773" s="22" t="str">
        <f t="shared" si="5"/>
        <v>#DIV/0!</v>
      </c>
      <c r="E773" s="22" t="str">
        <f t="shared" si="3"/>
        <v/>
      </c>
      <c r="F773" s="22" t="str">
        <f t="shared" si="6"/>
        <v>#DIV/0!</v>
      </c>
      <c r="H773" s="22" t="str">
        <f t="shared" si="4"/>
        <v/>
      </c>
      <c r="I773" s="22" t="str">
        <f t="shared" si="1"/>
        <v>#N/A</v>
      </c>
      <c r="J773" s="22" t="str">
        <f t="shared" si="2"/>
        <v>#N/A</v>
      </c>
      <c r="K773" s="22" t="str">
        <f t="array" ref="K773">IF(H773="Crash",MATCH(TRUE, B774:B871 &gt;= B772, 0),"")</f>
        <v/>
      </c>
    </row>
    <row r="774" ht="15.75" customHeight="1">
      <c r="A774" s="31" t="str">
        <f>'EQUITY BACKTEST'!A777</f>
        <v/>
      </c>
      <c r="B774" s="22" t="str">
        <f>'EQUITY BACKTEST'!B777</f>
        <v/>
      </c>
      <c r="C774" s="22" t="str">
        <f>1/'EQUITY BACKTEST'!E777</f>
        <v>#DIV/0!</v>
      </c>
      <c r="D774" s="22" t="str">
        <f t="shared" si="5"/>
        <v>#DIV/0!</v>
      </c>
      <c r="E774" s="22" t="str">
        <f t="shared" si="3"/>
        <v/>
      </c>
      <c r="F774" s="22" t="str">
        <f t="shared" si="6"/>
        <v>#DIV/0!</v>
      </c>
      <c r="H774" s="22" t="str">
        <f t="shared" si="4"/>
        <v/>
      </c>
      <c r="I774" s="22" t="str">
        <f t="shared" si="1"/>
        <v>#N/A</v>
      </c>
      <c r="J774" s="22" t="str">
        <f t="shared" si="2"/>
        <v>#N/A</v>
      </c>
      <c r="K774" s="22" t="str">
        <f t="array" ref="K774">IF(H774="Crash",MATCH(TRUE, B775:B872 &gt;= B773, 0),"")</f>
        <v/>
      </c>
    </row>
    <row r="775" ht="15.75" customHeight="1">
      <c r="A775" s="31" t="str">
        <f>'EQUITY BACKTEST'!A778</f>
        <v/>
      </c>
      <c r="B775" s="22" t="str">
        <f>'EQUITY BACKTEST'!B778</f>
        <v/>
      </c>
      <c r="C775" s="22" t="str">
        <f>1/'EQUITY BACKTEST'!E778</f>
        <v>#DIV/0!</v>
      </c>
      <c r="D775" s="22" t="str">
        <f t="shared" si="5"/>
        <v>#DIV/0!</v>
      </c>
      <c r="E775" s="22" t="str">
        <f t="shared" si="3"/>
        <v/>
      </c>
      <c r="F775" s="22" t="str">
        <f t="shared" si="6"/>
        <v>#DIV/0!</v>
      </c>
      <c r="H775" s="22" t="str">
        <f t="shared" si="4"/>
        <v/>
      </c>
      <c r="I775" s="22" t="str">
        <f t="shared" si="1"/>
        <v>#N/A</v>
      </c>
      <c r="J775" s="22" t="str">
        <f t="shared" si="2"/>
        <v>#N/A</v>
      </c>
      <c r="K775" s="22" t="str">
        <f t="array" ref="K775">IF(H775="Crash",MATCH(TRUE, B776:B873 &gt;= B774, 0),"")</f>
        <v/>
      </c>
    </row>
    <row r="776" ht="15.75" customHeight="1">
      <c r="A776" s="31" t="str">
        <f>'EQUITY BACKTEST'!A779</f>
        <v/>
      </c>
      <c r="B776" s="22" t="str">
        <f>'EQUITY BACKTEST'!B779</f>
        <v/>
      </c>
      <c r="C776" s="22" t="str">
        <f>1/'EQUITY BACKTEST'!E779</f>
        <v>#DIV/0!</v>
      </c>
      <c r="D776" s="22" t="str">
        <f t="shared" si="5"/>
        <v>#DIV/0!</v>
      </c>
      <c r="E776" s="22" t="str">
        <f t="shared" si="3"/>
        <v/>
      </c>
      <c r="F776" s="22" t="str">
        <f t="shared" si="6"/>
        <v>#DIV/0!</v>
      </c>
      <c r="H776" s="22" t="str">
        <f t="shared" si="4"/>
        <v/>
      </c>
      <c r="I776" s="22" t="str">
        <f t="shared" si="1"/>
        <v>#N/A</v>
      </c>
      <c r="J776" s="22" t="str">
        <f t="shared" si="2"/>
        <v>#N/A</v>
      </c>
      <c r="K776" s="22" t="str">
        <f t="array" ref="K776">IF(H776="Crash",MATCH(TRUE, B777:B874 &gt;= B775, 0),"")</f>
        <v/>
      </c>
    </row>
    <row r="777" ht="15.75" customHeight="1">
      <c r="A777" s="31" t="str">
        <f>'EQUITY BACKTEST'!A780</f>
        <v/>
      </c>
      <c r="B777" s="22" t="str">
        <f>'EQUITY BACKTEST'!B780</f>
        <v/>
      </c>
      <c r="C777" s="22" t="str">
        <f>1/'EQUITY BACKTEST'!E780</f>
        <v>#DIV/0!</v>
      </c>
      <c r="D777" s="22" t="str">
        <f t="shared" si="5"/>
        <v>#DIV/0!</v>
      </c>
      <c r="E777" s="22" t="str">
        <f t="shared" si="3"/>
        <v/>
      </c>
      <c r="F777" s="22" t="str">
        <f t="shared" si="6"/>
        <v>#DIV/0!</v>
      </c>
      <c r="H777" s="22" t="str">
        <f t="shared" si="4"/>
        <v/>
      </c>
      <c r="I777" s="22" t="str">
        <f t="shared" si="1"/>
        <v>#N/A</v>
      </c>
      <c r="J777" s="22" t="str">
        <f t="shared" si="2"/>
        <v>#N/A</v>
      </c>
      <c r="K777" s="22" t="str">
        <f t="array" ref="K777">IF(H777="Crash",MATCH(TRUE, B778:B875 &gt;= B776, 0),"")</f>
        <v/>
      </c>
    </row>
    <row r="778" ht="15.75" customHeight="1">
      <c r="A778" s="31" t="str">
        <f>'EQUITY BACKTEST'!A781</f>
        <v/>
      </c>
      <c r="B778" s="22" t="str">
        <f>'EQUITY BACKTEST'!B781</f>
        <v/>
      </c>
      <c r="C778" s="22" t="str">
        <f>1/'EQUITY BACKTEST'!E781</f>
        <v>#DIV/0!</v>
      </c>
      <c r="D778" s="22" t="str">
        <f t="shared" si="5"/>
        <v>#DIV/0!</v>
      </c>
      <c r="E778" s="22" t="str">
        <f t="shared" si="3"/>
        <v/>
      </c>
      <c r="F778" s="22" t="str">
        <f t="shared" si="6"/>
        <v>#DIV/0!</v>
      </c>
      <c r="H778" s="22" t="str">
        <f t="shared" si="4"/>
        <v/>
      </c>
      <c r="I778" s="22" t="str">
        <f t="shared" si="1"/>
        <v>#N/A</v>
      </c>
      <c r="J778" s="22" t="str">
        <f t="shared" si="2"/>
        <v>#N/A</v>
      </c>
      <c r="K778" s="22" t="str">
        <f t="array" ref="K778">IF(H778="Crash",MATCH(TRUE, B779:B876 &gt;= B777, 0),"")</f>
        <v/>
      </c>
    </row>
    <row r="779" ht="15.75" customHeight="1">
      <c r="A779" s="31" t="str">
        <f>'EQUITY BACKTEST'!A782</f>
        <v/>
      </c>
      <c r="B779" s="22" t="str">
        <f>'EQUITY BACKTEST'!B782</f>
        <v/>
      </c>
      <c r="C779" s="22" t="str">
        <f>1/'EQUITY BACKTEST'!E782</f>
        <v>#DIV/0!</v>
      </c>
      <c r="D779" s="22" t="str">
        <f t="shared" si="5"/>
        <v>#DIV/0!</v>
      </c>
      <c r="E779" s="22" t="str">
        <f t="shared" si="3"/>
        <v/>
      </c>
      <c r="F779" s="22" t="str">
        <f t="shared" si="6"/>
        <v>#DIV/0!</v>
      </c>
      <c r="H779" s="22" t="str">
        <f t="shared" si="4"/>
        <v/>
      </c>
      <c r="I779" s="22" t="str">
        <f t="shared" si="1"/>
        <v>#N/A</v>
      </c>
      <c r="J779" s="22" t="str">
        <f t="shared" si="2"/>
        <v>#N/A</v>
      </c>
      <c r="K779" s="22" t="str">
        <f t="array" ref="K779">IF(H779="Crash",MATCH(TRUE, B780:B877 &gt;= B778, 0),"")</f>
        <v/>
      </c>
    </row>
    <row r="780" ht="15.75" customHeight="1">
      <c r="A780" s="31" t="str">
        <f>'EQUITY BACKTEST'!A783</f>
        <v/>
      </c>
      <c r="B780" s="22" t="str">
        <f>'EQUITY BACKTEST'!B783</f>
        <v/>
      </c>
      <c r="C780" s="22" t="str">
        <f>1/'EQUITY BACKTEST'!E783</f>
        <v>#DIV/0!</v>
      </c>
      <c r="D780" s="22" t="str">
        <f t="shared" si="5"/>
        <v>#DIV/0!</v>
      </c>
      <c r="E780" s="22" t="str">
        <f t="shared" si="3"/>
        <v/>
      </c>
      <c r="F780" s="22" t="str">
        <f t="shared" si="6"/>
        <v>#DIV/0!</v>
      </c>
      <c r="H780" s="22" t="str">
        <f t="shared" si="4"/>
        <v/>
      </c>
      <c r="I780" s="22" t="str">
        <f t="shared" si="1"/>
        <v>#N/A</v>
      </c>
      <c r="J780" s="22" t="str">
        <f t="shared" si="2"/>
        <v>#N/A</v>
      </c>
      <c r="K780" s="22" t="str">
        <f t="array" ref="K780">IF(H780="Crash",MATCH(TRUE, B781:B878 &gt;= B779, 0),"")</f>
        <v/>
      </c>
    </row>
    <row r="781" ht="15.75" customHeight="1">
      <c r="A781" s="31" t="str">
        <f>'EQUITY BACKTEST'!A784</f>
        <v/>
      </c>
      <c r="B781" s="22" t="str">
        <f>'EQUITY BACKTEST'!B784</f>
        <v/>
      </c>
      <c r="C781" s="22" t="str">
        <f>1/'EQUITY BACKTEST'!E784</f>
        <v>#DIV/0!</v>
      </c>
      <c r="D781" s="22" t="str">
        <f t="shared" si="5"/>
        <v>#DIV/0!</v>
      </c>
      <c r="E781" s="22" t="str">
        <f t="shared" si="3"/>
        <v/>
      </c>
      <c r="F781" s="22" t="str">
        <f t="shared" si="6"/>
        <v>#DIV/0!</v>
      </c>
      <c r="H781" s="22" t="str">
        <f t="shared" si="4"/>
        <v/>
      </c>
      <c r="I781" s="22" t="str">
        <f t="shared" si="1"/>
        <v>#N/A</v>
      </c>
      <c r="J781" s="22" t="str">
        <f t="shared" si="2"/>
        <v>#N/A</v>
      </c>
      <c r="K781" s="22" t="str">
        <f t="array" ref="K781">IF(H781="Crash",MATCH(TRUE, B782:B879 &gt;= B780, 0),"")</f>
        <v/>
      </c>
    </row>
    <row r="782" ht="15.75" customHeight="1">
      <c r="A782" s="31" t="str">
        <f>'EQUITY BACKTEST'!A785</f>
        <v/>
      </c>
      <c r="B782" s="22" t="str">
        <f>'EQUITY BACKTEST'!B785</f>
        <v/>
      </c>
      <c r="C782" s="22" t="str">
        <f>1/'EQUITY BACKTEST'!E785</f>
        <v>#DIV/0!</v>
      </c>
      <c r="D782" s="22" t="str">
        <f t="shared" si="5"/>
        <v>#DIV/0!</v>
      </c>
      <c r="E782" s="22" t="str">
        <f t="shared" si="3"/>
        <v/>
      </c>
      <c r="F782" s="22" t="str">
        <f t="shared" si="6"/>
        <v>#DIV/0!</v>
      </c>
      <c r="H782" s="22" t="str">
        <f t="shared" si="4"/>
        <v/>
      </c>
      <c r="I782" s="22" t="str">
        <f t="shared" si="1"/>
        <v>#N/A</v>
      </c>
      <c r="J782" s="22" t="str">
        <f t="shared" si="2"/>
        <v>#N/A</v>
      </c>
      <c r="K782" s="22" t="str">
        <f t="array" ref="K782">IF(H782="Crash",MATCH(TRUE, B783:B880 &gt;= B781, 0),"")</f>
        <v/>
      </c>
    </row>
    <row r="783" ht="15.75" customHeight="1">
      <c r="A783" s="31" t="str">
        <f>'EQUITY BACKTEST'!A786</f>
        <v/>
      </c>
      <c r="B783" s="22" t="str">
        <f>'EQUITY BACKTEST'!B786</f>
        <v/>
      </c>
      <c r="C783" s="22" t="str">
        <f>1/'EQUITY BACKTEST'!E786</f>
        <v>#DIV/0!</v>
      </c>
      <c r="D783" s="22" t="str">
        <f t="shared" si="5"/>
        <v>#DIV/0!</v>
      </c>
      <c r="E783" s="22" t="str">
        <f t="shared" si="3"/>
        <v/>
      </c>
      <c r="F783" s="22" t="str">
        <f t="shared" si="6"/>
        <v>#DIV/0!</v>
      </c>
      <c r="H783" s="22" t="str">
        <f t="shared" si="4"/>
        <v/>
      </c>
      <c r="I783" s="22" t="str">
        <f t="shared" si="1"/>
        <v>#N/A</v>
      </c>
      <c r="J783" s="22" t="str">
        <f t="shared" si="2"/>
        <v>#N/A</v>
      </c>
      <c r="K783" s="22" t="str">
        <f t="array" ref="K783">IF(H783="Crash",MATCH(TRUE, B784:B881 &gt;= B782, 0),"")</f>
        <v/>
      </c>
    </row>
    <row r="784" ht="15.75" customHeight="1">
      <c r="A784" s="31" t="str">
        <f>'EQUITY BACKTEST'!A787</f>
        <v/>
      </c>
      <c r="B784" s="22" t="str">
        <f>'EQUITY BACKTEST'!B787</f>
        <v/>
      </c>
      <c r="C784" s="22" t="str">
        <f>1/'EQUITY BACKTEST'!E787</f>
        <v>#DIV/0!</v>
      </c>
      <c r="D784" s="22" t="str">
        <f t="shared" si="5"/>
        <v>#DIV/0!</v>
      </c>
      <c r="E784" s="22" t="str">
        <f t="shared" si="3"/>
        <v/>
      </c>
      <c r="F784" s="22" t="str">
        <f t="shared" si="6"/>
        <v>#DIV/0!</v>
      </c>
      <c r="H784" s="22" t="str">
        <f t="shared" si="4"/>
        <v/>
      </c>
      <c r="I784" s="22" t="str">
        <f t="shared" si="1"/>
        <v>#N/A</v>
      </c>
      <c r="J784" s="22" t="str">
        <f t="shared" si="2"/>
        <v>#N/A</v>
      </c>
      <c r="K784" s="22" t="str">
        <f t="array" ref="K784">IF(H784="Crash",MATCH(TRUE, B785:B882 &gt;= B783, 0),"")</f>
        <v/>
      </c>
    </row>
    <row r="785" ht="15.75" customHeight="1">
      <c r="A785" s="31" t="str">
        <f>'EQUITY BACKTEST'!A788</f>
        <v/>
      </c>
      <c r="B785" s="22" t="str">
        <f>'EQUITY BACKTEST'!B788</f>
        <v/>
      </c>
      <c r="C785" s="22" t="str">
        <f>1/'EQUITY BACKTEST'!E788</f>
        <v>#DIV/0!</v>
      </c>
      <c r="D785" s="22" t="str">
        <f t="shared" si="5"/>
        <v>#DIV/0!</v>
      </c>
      <c r="E785" s="22" t="str">
        <f t="shared" si="3"/>
        <v/>
      </c>
      <c r="F785" s="22" t="str">
        <f t="shared" si="6"/>
        <v>#DIV/0!</v>
      </c>
      <c r="H785" s="22" t="str">
        <f t="shared" si="4"/>
        <v/>
      </c>
      <c r="I785" s="22" t="str">
        <f t="shared" si="1"/>
        <v>#N/A</v>
      </c>
      <c r="J785" s="22" t="str">
        <f t="shared" si="2"/>
        <v>#N/A</v>
      </c>
      <c r="K785" s="22" t="str">
        <f t="array" ref="K785">IF(H785="Crash",MATCH(TRUE, B786:B883 &gt;= B784, 0),"")</f>
        <v/>
      </c>
    </row>
    <row r="786" ht="15.75" customHeight="1">
      <c r="A786" s="31" t="str">
        <f>'EQUITY BACKTEST'!A789</f>
        <v/>
      </c>
      <c r="B786" s="22" t="str">
        <f>'EQUITY BACKTEST'!B789</f>
        <v/>
      </c>
      <c r="C786" s="22" t="str">
        <f>1/'EQUITY BACKTEST'!E789</f>
        <v>#DIV/0!</v>
      </c>
      <c r="D786" s="22" t="str">
        <f t="shared" si="5"/>
        <v>#DIV/0!</v>
      </c>
      <c r="E786" s="22" t="str">
        <f t="shared" si="3"/>
        <v/>
      </c>
      <c r="F786" s="22" t="str">
        <f t="shared" si="6"/>
        <v>#DIV/0!</v>
      </c>
      <c r="H786" s="22" t="str">
        <f t="shared" si="4"/>
        <v/>
      </c>
      <c r="I786" s="22" t="str">
        <f t="shared" si="1"/>
        <v>#N/A</v>
      </c>
      <c r="J786" s="22" t="str">
        <f t="shared" si="2"/>
        <v>#N/A</v>
      </c>
      <c r="K786" s="22" t="str">
        <f t="array" ref="K786">IF(H786="Crash",MATCH(TRUE, B787:B884 &gt;= B785, 0),"")</f>
        <v/>
      </c>
    </row>
    <row r="787" ht="15.75" customHeight="1">
      <c r="A787" s="31" t="str">
        <f>'EQUITY BACKTEST'!A790</f>
        <v/>
      </c>
      <c r="B787" s="22" t="str">
        <f>'EQUITY BACKTEST'!B790</f>
        <v/>
      </c>
      <c r="C787" s="22" t="str">
        <f>1/'EQUITY BACKTEST'!E790</f>
        <v>#DIV/0!</v>
      </c>
      <c r="D787" s="22" t="str">
        <f t="shared" si="5"/>
        <v>#DIV/0!</v>
      </c>
      <c r="E787" s="22" t="str">
        <f t="shared" si="3"/>
        <v/>
      </c>
      <c r="F787" s="22" t="str">
        <f t="shared" si="6"/>
        <v>#DIV/0!</v>
      </c>
      <c r="H787" s="22" t="str">
        <f t="shared" si="4"/>
        <v/>
      </c>
      <c r="I787" s="22" t="str">
        <f t="shared" si="1"/>
        <v>#N/A</v>
      </c>
      <c r="J787" s="22" t="str">
        <f t="shared" si="2"/>
        <v>#N/A</v>
      </c>
      <c r="K787" s="22" t="str">
        <f t="array" ref="K787">IF(H787="Crash",MATCH(TRUE, B788:B885 &gt;= B786, 0),"")</f>
        <v/>
      </c>
    </row>
    <row r="788" ht="15.75" customHeight="1">
      <c r="A788" s="31" t="str">
        <f>'EQUITY BACKTEST'!A791</f>
        <v/>
      </c>
      <c r="B788" s="22" t="str">
        <f>'EQUITY BACKTEST'!B791</f>
        <v/>
      </c>
      <c r="C788" s="22" t="str">
        <f>1/'EQUITY BACKTEST'!E791</f>
        <v>#DIV/0!</v>
      </c>
      <c r="D788" s="22" t="str">
        <f t="shared" si="5"/>
        <v>#DIV/0!</v>
      </c>
      <c r="E788" s="22" t="str">
        <f t="shared" si="3"/>
        <v/>
      </c>
      <c r="F788" s="22" t="str">
        <f t="shared" si="6"/>
        <v>#DIV/0!</v>
      </c>
      <c r="H788" s="22" t="str">
        <f t="shared" si="4"/>
        <v/>
      </c>
      <c r="I788" s="22" t="str">
        <f t="shared" si="1"/>
        <v>#N/A</v>
      </c>
      <c r="J788" s="22" t="str">
        <f t="shared" si="2"/>
        <v>#N/A</v>
      </c>
      <c r="K788" s="22" t="str">
        <f t="array" ref="K788">IF(H788="Crash",MATCH(TRUE, B789:B886 &gt;= B787, 0),"")</f>
        <v/>
      </c>
    </row>
    <row r="789" ht="15.75" customHeight="1">
      <c r="A789" s="31" t="str">
        <f>'EQUITY BACKTEST'!A792</f>
        <v/>
      </c>
      <c r="B789" s="22" t="str">
        <f>'EQUITY BACKTEST'!B792</f>
        <v/>
      </c>
      <c r="C789" s="22" t="str">
        <f>1/'EQUITY BACKTEST'!E792</f>
        <v>#DIV/0!</v>
      </c>
      <c r="D789" s="22" t="str">
        <f t="shared" si="5"/>
        <v>#DIV/0!</v>
      </c>
      <c r="E789" s="22" t="str">
        <f t="shared" si="3"/>
        <v/>
      </c>
      <c r="F789" s="22" t="str">
        <f t="shared" si="6"/>
        <v>#DIV/0!</v>
      </c>
      <c r="H789" s="22" t="str">
        <f t="shared" si="4"/>
        <v/>
      </c>
      <c r="I789" s="22" t="str">
        <f t="shared" si="1"/>
        <v>#N/A</v>
      </c>
      <c r="J789" s="22" t="str">
        <f t="shared" si="2"/>
        <v>#N/A</v>
      </c>
      <c r="K789" s="22" t="str">
        <f t="array" ref="K789">IF(H789="Crash",MATCH(TRUE, B790:B887 &gt;= B788, 0),"")</f>
        <v/>
      </c>
    </row>
    <row r="790" ht="15.75" customHeight="1">
      <c r="A790" s="31" t="str">
        <f>'EQUITY BACKTEST'!A793</f>
        <v/>
      </c>
      <c r="B790" s="22" t="str">
        <f>'EQUITY BACKTEST'!B793</f>
        <v/>
      </c>
      <c r="C790" s="22" t="str">
        <f>1/'EQUITY BACKTEST'!E793</f>
        <v>#DIV/0!</v>
      </c>
      <c r="D790" s="22" t="str">
        <f t="shared" si="5"/>
        <v>#DIV/0!</v>
      </c>
      <c r="E790" s="22" t="str">
        <f t="shared" si="3"/>
        <v/>
      </c>
      <c r="F790" s="22" t="str">
        <f t="shared" si="6"/>
        <v>#DIV/0!</v>
      </c>
      <c r="H790" s="22" t="str">
        <f t="shared" si="4"/>
        <v/>
      </c>
      <c r="I790" s="22" t="str">
        <f t="shared" si="1"/>
        <v>#N/A</v>
      </c>
      <c r="J790" s="22" t="str">
        <f t="shared" si="2"/>
        <v>#N/A</v>
      </c>
      <c r="K790" s="22" t="str">
        <f t="array" ref="K790">IF(H790="Crash",MATCH(TRUE, B791:B888 &gt;= B789, 0),"")</f>
        <v/>
      </c>
    </row>
    <row r="791" ht="15.75" customHeight="1">
      <c r="A791" s="31" t="str">
        <f>'EQUITY BACKTEST'!A794</f>
        <v/>
      </c>
      <c r="B791" s="22" t="str">
        <f>'EQUITY BACKTEST'!B794</f>
        <v/>
      </c>
      <c r="C791" s="22" t="str">
        <f>1/'EQUITY BACKTEST'!E794</f>
        <v>#DIV/0!</v>
      </c>
      <c r="D791" s="22" t="str">
        <f t="shared" si="5"/>
        <v>#DIV/0!</v>
      </c>
      <c r="E791" s="22" t="str">
        <f t="shared" si="3"/>
        <v/>
      </c>
      <c r="F791" s="22" t="str">
        <f t="shared" si="6"/>
        <v>#DIV/0!</v>
      </c>
      <c r="H791" s="22" t="str">
        <f t="shared" si="4"/>
        <v/>
      </c>
      <c r="I791" s="22" t="str">
        <f t="shared" si="1"/>
        <v>#N/A</v>
      </c>
      <c r="J791" s="22" t="str">
        <f t="shared" si="2"/>
        <v>#N/A</v>
      </c>
      <c r="K791" s="22" t="str">
        <f t="array" ref="K791">IF(H791="Crash",MATCH(TRUE, B792:B889 &gt;= B790, 0),"")</f>
        <v/>
      </c>
    </row>
    <row r="792" ht="15.75" customHeight="1">
      <c r="A792" s="31" t="str">
        <f>'EQUITY BACKTEST'!A795</f>
        <v/>
      </c>
      <c r="B792" s="22" t="str">
        <f>'EQUITY BACKTEST'!B795</f>
        <v/>
      </c>
      <c r="C792" s="22" t="str">
        <f>1/'EQUITY BACKTEST'!E795</f>
        <v>#DIV/0!</v>
      </c>
      <c r="D792" s="22" t="str">
        <f t="shared" si="5"/>
        <v>#DIV/0!</v>
      </c>
      <c r="E792" s="22" t="str">
        <f t="shared" si="3"/>
        <v/>
      </c>
      <c r="F792" s="22" t="str">
        <f t="shared" si="6"/>
        <v>#DIV/0!</v>
      </c>
      <c r="H792" s="22" t="str">
        <f t="shared" si="4"/>
        <v/>
      </c>
      <c r="I792" s="22" t="str">
        <f t="shared" si="1"/>
        <v>#N/A</v>
      </c>
      <c r="J792" s="22" t="str">
        <f t="shared" si="2"/>
        <v>#N/A</v>
      </c>
      <c r="K792" s="22" t="str">
        <f t="array" ref="K792">IF(H792="Crash",MATCH(TRUE, B793:B890 &gt;= B791, 0),"")</f>
        <v/>
      </c>
    </row>
    <row r="793" ht="15.75" customHeight="1">
      <c r="A793" s="31" t="str">
        <f>'EQUITY BACKTEST'!A796</f>
        <v/>
      </c>
      <c r="B793" s="22" t="str">
        <f>'EQUITY BACKTEST'!B796</f>
        <v/>
      </c>
      <c r="C793" s="22" t="str">
        <f>1/'EQUITY BACKTEST'!E796</f>
        <v>#DIV/0!</v>
      </c>
      <c r="D793" s="22" t="str">
        <f t="shared" si="5"/>
        <v>#DIV/0!</v>
      </c>
      <c r="E793" s="22" t="str">
        <f t="shared" si="3"/>
        <v/>
      </c>
      <c r="F793" s="22" t="str">
        <f t="shared" si="6"/>
        <v>#DIV/0!</v>
      </c>
      <c r="H793" s="22" t="str">
        <f t="shared" si="4"/>
        <v/>
      </c>
      <c r="I793" s="22" t="str">
        <f t="shared" si="1"/>
        <v>#N/A</v>
      </c>
      <c r="J793" s="22" t="str">
        <f t="shared" si="2"/>
        <v>#N/A</v>
      </c>
      <c r="K793" s="22" t="str">
        <f t="array" ref="K793">IF(H793="Crash",MATCH(TRUE, B794:B891 &gt;= B792, 0),"")</f>
        <v/>
      </c>
    </row>
    <row r="794" ht="15.75" customHeight="1">
      <c r="A794" s="31" t="str">
        <f>'EQUITY BACKTEST'!A797</f>
        <v/>
      </c>
      <c r="B794" s="22" t="str">
        <f>'EQUITY BACKTEST'!B797</f>
        <v/>
      </c>
      <c r="C794" s="22" t="str">
        <f>1/'EQUITY BACKTEST'!E797</f>
        <v>#DIV/0!</v>
      </c>
      <c r="D794" s="22" t="str">
        <f t="shared" si="5"/>
        <v>#DIV/0!</v>
      </c>
      <c r="E794" s="22" t="str">
        <f t="shared" si="3"/>
        <v/>
      </c>
      <c r="F794" s="22" t="str">
        <f t="shared" si="6"/>
        <v>#DIV/0!</v>
      </c>
      <c r="H794" s="22" t="str">
        <f t="shared" si="4"/>
        <v/>
      </c>
      <c r="I794" s="22" t="str">
        <f t="shared" si="1"/>
        <v>#N/A</v>
      </c>
      <c r="J794" s="22" t="str">
        <f t="shared" si="2"/>
        <v>#N/A</v>
      </c>
      <c r="K794" s="22" t="str">
        <f t="array" ref="K794">IF(H794="Crash",MATCH(TRUE, B795:B892 &gt;= B793, 0),"")</f>
        <v/>
      </c>
    </row>
    <row r="795" ht="15.75" customHeight="1">
      <c r="A795" s="31" t="str">
        <f>'EQUITY BACKTEST'!A798</f>
        <v/>
      </c>
      <c r="B795" s="22" t="str">
        <f>'EQUITY BACKTEST'!B798</f>
        <v/>
      </c>
      <c r="C795" s="22" t="str">
        <f>1/'EQUITY BACKTEST'!E798</f>
        <v>#DIV/0!</v>
      </c>
      <c r="D795" s="22" t="str">
        <f t="shared" si="5"/>
        <v>#DIV/0!</v>
      </c>
      <c r="E795" s="22" t="str">
        <f t="shared" si="3"/>
        <v/>
      </c>
      <c r="F795" s="22" t="str">
        <f t="shared" si="6"/>
        <v>#DIV/0!</v>
      </c>
      <c r="H795" s="22" t="str">
        <f t="shared" si="4"/>
        <v/>
      </c>
      <c r="I795" s="22" t="str">
        <f t="shared" si="1"/>
        <v>#N/A</v>
      </c>
      <c r="J795" s="22" t="str">
        <f t="shared" si="2"/>
        <v>#N/A</v>
      </c>
      <c r="K795" s="22" t="str">
        <f t="array" ref="K795">IF(H795="Crash",MATCH(TRUE, B796:B893 &gt;= B794, 0),"")</f>
        <v/>
      </c>
    </row>
    <row r="796" ht="15.75" customHeight="1">
      <c r="A796" s="31" t="str">
        <f>'EQUITY BACKTEST'!A799</f>
        <v/>
      </c>
      <c r="B796" s="22" t="str">
        <f>'EQUITY BACKTEST'!B799</f>
        <v/>
      </c>
      <c r="C796" s="22" t="str">
        <f>1/'EQUITY BACKTEST'!E799</f>
        <v>#DIV/0!</v>
      </c>
      <c r="D796" s="22" t="str">
        <f t="shared" si="5"/>
        <v>#DIV/0!</v>
      </c>
      <c r="E796" s="22" t="str">
        <f t="shared" si="3"/>
        <v/>
      </c>
      <c r="F796" s="22" t="str">
        <f t="shared" si="6"/>
        <v>#DIV/0!</v>
      </c>
      <c r="H796" s="22" t="str">
        <f t="shared" si="4"/>
        <v/>
      </c>
      <c r="I796" s="22" t="str">
        <f t="shared" si="1"/>
        <v>#N/A</v>
      </c>
      <c r="J796" s="22" t="str">
        <f t="shared" si="2"/>
        <v>#N/A</v>
      </c>
      <c r="K796" s="22" t="str">
        <f t="array" ref="K796">IF(H796="Crash",MATCH(TRUE, B797:B894 &gt;= B795, 0),"")</f>
        <v/>
      </c>
    </row>
    <row r="797" ht="15.75" customHeight="1">
      <c r="A797" s="31" t="str">
        <f>'EQUITY BACKTEST'!A800</f>
        <v/>
      </c>
      <c r="B797" s="22" t="str">
        <f>'EQUITY BACKTEST'!B800</f>
        <v/>
      </c>
      <c r="C797" s="22" t="str">
        <f>1/'EQUITY BACKTEST'!E800</f>
        <v>#DIV/0!</v>
      </c>
      <c r="D797" s="22" t="str">
        <f t="shared" si="5"/>
        <v>#DIV/0!</v>
      </c>
      <c r="E797" s="22" t="str">
        <f t="shared" si="3"/>
        <v/>
      </c>
      <c r="F797" s="22" t="str">
        <f t="shared" si="6"/>
        <v>#DIV/0!</v>
      </c>
      <c r="H797" s="22" t="str">
        <f t="shared" si="4"/>
        <v/>
      </c>
      <c r="I797" s="22" t="str">
        <f t="shared" si="1"/>
        <v>#N/A</v>
      </c>
      <c r="J797" s="22" t="str">
        <f t="shared" si="2"/>
        <v>#N/A</v>
      </c>
      <c r="K797" s="22" t="str">
        <f t="array" ref="K797">IF(H797="Crash",MATCH(TRUE, B798:B895 &gt;= B796, 0),"")</f>
        <v/>
      </c>
    </row>
    <row r="798" ht="15.75" customHeight="1">
      <c r="A798" s="31" t="str">
        <f>'EQUITY BACKTEST'!A801</f>
        <v/>
      </c>
      <c r="B798" s="22" t="str">
        <f>'EQUITY BACKTEST'!B801</f>
        <v/>
      </c>
      <c r="C798" s="22" t="str">
        <f>1/'EQUITY BACKTEST'!E801</f>
        <v>#DIV/0!</v>
      </c>
      <c r="D798" s="22" t="str">
        <f t="shared" si="5"/>
        <v>#DIV/0!</v>
      </c>
      <c r="E798" s="22" t="str">
        <f t="shared" si="3"/>
        <v/>
      </c>
      <c r="F798" s="22" t="str">
        <f t="shared" si="6"/>
        <v>#DIV/0!</v>
      </c>
      <c r="H798" s="22" t="str">
        <f t="shared" si="4"/>
        <v/>
      </c>
      <c r="I798" s="22" t="str">
        <f t="shared" si="1"/>
        <v>#N/A</v>
      </c>
      <c r="J798" s="22" t="str">
        <f t="shared" si="2"/>
        <v>#N/A</v>
      </c>
      <c r="K798" s="22" t="str">
        <f t="array" ref="K798">IF(H798="Crash",MATCH(TRUE, B799:B896 &gt;= B797, 0),"")</f>
        <v/>
      </c>
    </row>
    <row r="799" ht="15.75" customHeight="1">
      <c r="A799" s="31" t="str">
        <f>'EQUITY BACKTEST'!A802</f>
        <v/>
      </c>
      <c r="B799" s="22" t="str">
        <f>'EQUITY BACKTEST'!B802</f>
        <v/>
      </c>
      <c r="C799" s="22" t="str">
        <f>1/'EQUITY BACKTEST'!E802</f>
        <v>#DIV/0!</v>
      </c>
      <c r="D799" s="22" t="str">
        <f t="shared" si="5"/>
        <v>#DIV/0!</v>
      </c>
      <c r="E799" s="22" t="str">
        <f t="shared" si="3"/>
        <v/>
      </c>
      <c r="F799" s="22" t="str">
        <f t="shared" si="6"/>
        <v>#DIV/0!</v>
      </c>
      <c r="H799" s="22" t="str">
        <f t="shared" si="4"/>
        <v/>
      </c>
      <c r="I799" s="22" t="str">
        <f t="shared" si="1"/>
        <v>#N/A</v>
      </c>
      <c r="J799" s="22" t="str">
        <f t="shared" si="2"/>
        <v>#N/A</v>
      </c>
      <c r="K799" s="22" t="str">
        <f t="array" ref="K799">IF(H799="Crash",MATCH(TRUE, B800:B897 &gt;= B798, 0),"")</f>
        <v/>
      </c>
    </row>
    <row r="800" ht="15.75" customHeight="1">
      <c r="A800" s="31" t="str">
        <f>'EQUITY BACKTEST'!A803</f>
        <v/>
      </c>
      <c r="B800" s="22" t="str">
        <f>'EQUITY BACKTEST'!B803</f>
        <v/>
      </c>
      <c r="C800" s="22" t="str">
        <f>1/'EQUITY BACKTEST'!E803</f>
        <v>#DIV/0!</v>
      </c>
      <c r="D800" s="22" t="str">
        <f t="shared" si="5"/>
        <v>#DIV/0!</v>
      </c>
      <c r="E800" s="22" t="str">
        <f t="shared" si="3"/>
        <v/>
      </c>
      <c r="F800" s="22" t="str">
        <f t="shared" si="6"/>
        <v>#DIV/0!</v>
      </c>
      <c r="H800" s="22" t="str">
        <f t="shared" si="4"/>
        <v/>
      </c>
      <c r="I800" s="22" t="str">
        <f t="shared" si="1"/>
        <v>#N/A</v>
      </c>
      <c r="J800" s="22" t="str">
        <f t="shared" si="2"/>
        <v>#N/A</v>
      </c>
      <c r="K800" s="22" t="str">
        <f t="array" ref="K800">IF(H800="Crash",MATCH(TRUE, B801:B898 &gt;= B799, 0),"")</f>
        <v/>
      </c>
    </row>
    <row r="801" ht="15.75" customHeight="1">
      <c r="A801" s="31" t="str">
        <f>'EQUITY BACKTEST'!A804</f>
        <v/>
      </c>
      <c r="B801" s="22" t="str">
        <f>'EQUITY BACKTEST'!B804</f>
        <v/>
      </c>
      <c r="C801" s="22" t="str">
        <f>1/'EQUITY BACKTEST'!E804</f>
        <v>#DIV/0!</v>
      </c>
      <c r="D801" s="22" t="str">
        <f t="shared" si="5"/>
        <v>#DIV/0!</v>
      </c>
      <c r="E801" s="22" t="str">
        <f t="shared" si="3"/>
        <v/>
      </c>
      <c r="F801" s="22" t="str">
        <f t="shared" si="6"/>
        <v>#DIV/0!</v>
      </c>
      <c r="H801" s="22" t="str">
        <f t="shared" si="4"/>
        <v/>
      </c>
      <c r="I801" s="22" t="str">
        <f t="shared" si="1"/>
        <v>#N/A</v>
      </c>
      <c r="J801" s="22" t="str">
        <f t="shared" si="2"/>
        <v>#N/A</v>
      </c>
      <c r="K801" s="22" t="str">
        <f t="array" ref="K801">IF(H801="Crash",MATCH(TRUE, B802:B899 &gt;= B800, 0),"")</f>
        <v/>
      </c>
    </row>
    <row r="802" ht="15.75" customHeight="1">
      <c r="A802" s="31" t="str">
        <f>'EQUITY BACKTEST'!A805</f>
        <v/>
      </c>
      <c r="B802" s="22" t="str">
        <f>'EQUITY BACKTEST'!B805</f>
        <v/>
      </c>
      <c r="C802" s="22" t="str">
        <f>1/'EQUITY BACKTEST'!E805</f>
        <v>#DIV/0!</v>
      </c>
      <c r="D802" s="22" t="str">
        <f t="shared" si="5"/>
        <v>#DIV/0!</v>
      </c>
      <c r="E802" s="22" t="str">
        <f t="shared" si="3"/>
        <v/>
      </c>
      <c r="F802" s="22" t="str">
        <f t="shared" si="6"/>
        <v>#DIV/0!</v>
      </c>
      <c r="H802" s="22" t="str">
        <f t="shared" si="4"/>
        <v/>
      </c>
      <c r="I802" s="22" t="str">
        <f t="shared" si="1"/>
        <v>#N/A</v>
      </c>
      <c r="J802" s="22" t="str">
        <f t="shared" si="2"/>
        <v>#N/A</v>
      </c>
      <c r="K802" s="22" t="str">
        <f t="array" ref="K802">IF(H802="Crash",MATCH(TRUE, B803:B900 &gt;= B801, 0),"")</f>
        <v/>
      </c>
    </row>
    <row r="803" ht="15.75" customHeight="1">
      <c r="A803" s="31" t="str">
        <f>'EQUITY BACKTEST'!A806</f>
        <v/>
      </c>
      <c r="B803" s="22" t="str">
        <f>'EQUITY BACKTEST'!B806</f>
        <v/>
      </c>
      <c r="C803" s="22" t="str">
        <f>1/'EQUITY BACKTEST'!E806</f>
        <v>#DIV/0!</v>
      </c>
      <c r="D803" s="22" t="str">
        <f t="shared" si="5"/>
        <v>#DIV/0!</v>
      </c>
      <c r="E803" s="22" t="str">
        <f t="shared" si="3"/>
        <v/>
      </c>
      <c r="F803" s="22" t="str">
        <f t="shared" si="6"/>
        <v>#DIV/0!</v>
      </c>
      <c r="H803" s="22" t="str">
        <f t="shared" si="4"/>
        <v/>
      </c>
      <c r="I803" s="22" t="str">
        <f t="shared" si="1"/>
        <v>#N/A</v>
      </c>
      <c r="J803" s="22" t="str">
        <f t="shared" si="2"/>
        <v>#N/A</v>
      </c>
      <c r="K803" s="22" t="str">
        <f t="array" ref="K803">IF(H803="Crash",MATCH(TRUE, B804:B901 &gt;= B802, 0),"")</f>
        <v/>
      </c>
    </row>
    <row r="804" ht="15.75" customHeight="1">
      <c r="A804" s="31" t="str">
        <f>'EQUITY BACKTEST'!A807</f>
        <v/>
      </c>
      <c r="B804" s="22" t="str">
        <f>'EQUITY BACKTEST'!B807</f>
        <v/>
      </c>
      <c r="C804" s="22" t="str">
        <f>1/'EQUITY BACKTEST'!E807</f>
        <v>#DIV/0!</v>
      </c>
      <c r="D804" s="22" t="str">
        <f t="shared" si="5"/>
        <v>#DIV/0!</v>
      </c>
      <c r="E804" s="22" t="str">
        <f t="shared" si="3"/>
        <v/>
      </c>
      <c r="F804" s="22" t="str">
        <f t="shared" si="6"/>
        <v>#DIV/0!</v>
      </c>
      <c r="H804" s="22" t="str">
        <f t="shared" si="4"/>
        <v/>
      </c>
      <c r="I804" s="22" t="str">
        <f t="shared" si="1"/>
        <v>#N/A</v>
      </c>
      <c r="J804" s="22" t="str">
        <f t="shared" si="2"/>
        <v>#N/A</v>
      </c>
      <c r="K804" s="22" t="str">
        <f t="array" ref="K804">IF(H804="Crash",MATCH(TRUE, B805:B902 &gt;= B803, 0),"")</f>
        <v/>
      </c>
    </row>
    <row r="805" ht="15.75" customHeight="1">
      <c r="A805" s="31" t="str">
        <f>'EQUITY BACKTEST'!A808</f>
        <v/>
      </c>
      <c r="B805" s="22" t="str">
        <f>'EQUITY BACKTEST'!B808</f>
        <v/>
      </c>
      <c r="C805" s="22" t="str">
        <f>1/'EQUITY BACKTEST'!E808</f>
        <v>#DIV/0!</v>
      </c>
      <c r="D805" s="22" t="str">
        <f t="shared" si="5"/>
        <v>#DIV/0!</v>
      </c>
      <c r="E805" s="22" t="str">
        <f t="shared" si="3"/>
        <v/>
      </c>
      <c r="F805" s="22" t="str">
        <f t="shared" si="6"/>
        <v>#DIV/0!</v>
      </c>
      <c r="H805" s="22" t="str">
        <f t="shared" si="4"/>
        <v/>
      </c>
      <c r="I805" s="22" t="str">
        <f t="shared" si="1"/>
        <v>#N/A</v>
      </c>
      <c r="J805" s="22" t="str">
        <f t="shared" si="2"/>
        <v>#N/A</v>
      </c>
      <c r="K805" s="22" t="str">
        <f t="array" ref="K805">IF(H805="Crash",MATCH(TRUE, B806:B903 &gt;= B804, 0),"")</f>
        <v/>
      </c>
    </row>
    <row r="806" ht="15.75" customHeight="1">
      <c r="A806" s="31" t="str">
        <f>'EQUITY BACKTEST'!A809</f>
        <v/>
      </c>
      <c r="B806" s="22" t="str">
        <f>'EQUITY BACKTEST'!B809</f>
        <v/>
      </c>
      <c r="C806" s="22" t="str">
        <f>1/'EQUITY BACKTEST'!E809</f>
        <v>#DIV/0!</v>
      </c>
      <c r="D806" s="22" t="str">
        <f t="shared" si="5"/>
        <v>#DIV/0!</v>
      </c>
      <c r="E806" s="22" t="str">
        <f t="shared" si="3"/>
        <v/>
      </c>
      <c r="F806" s="22" t="str">
        <f t="shared" si="6"/>
        <v>#DIV/0!</v>
      </c>
      <c r="H806" s="22" t="str">
        <f t="shared" si="4"/>
        <v/>
      </c>
      <c r="I806" s="22" t="str">
        <f t="shared" si="1"/>
        <v>#N/A</v>
      </c>
      <c r="J806" s="22" t="str">
        <f t="shared" si="2"/>
        <v>#N/A</v>
      </c>
      <c r="K806" s="22" t="str">
        <f t="array" ref="K806">IF(H806="Crash",MATCH(TRUE, B807:B904 &gt;= B805, 0),"")</f>
        <v/>
      </c>
    </row>
    <row r="807" ht="15.75" customHeight="1">
      <c r="A807" s="31" t="str">
        <f>'EQUITY BACKTEST'!A810</f>
        <v/>
      </c>
      <c r="B807" s="22" t="str">
        <f>'EQUITY BACKTEST'!B810</f>
        <v/>
      </c>
      <c r="C807" s="22" t="str">
        <f>1/'EQUITY BACKTEST'!E810</f>
        <v>#DIV/0!</v>
      </c>
      <c r="D807" s="22" t="str">
        <f t="shared" si="5"/>
        <v>#DIV/0!</v>
      </c>
      <c r="E807" s="22" t="str">
        <f t="shared" si="3"/>
        <v/>
      </c>
      <c r="F807" s="22" t="str">
        <f t="shared" si="6"/>
        <v>#DIV/0!</v>
      </c>
      <c r="H807" s="22" t="str">
        <f t="shared" si="4"/>
        <v/>
      </c>
      <c r="I807" s="22" t="str">
        <f t="shared" si="1"/>
        <v>#N/A</v>
      </c>
      <c r="J807" s="22" t="str">
        <f t="shared" si="2"/>
        <v>#N/A</v>
      </c>
      <c r="K807" s="22" t="str">
        <f t="array" ref="K807">IF(H807="Crash",MATCH(TRUE, B808:B905 &gt;= B806, 0),"")</f>
        <v/>
      </c>
    </row>
    <row r="808" ht="15.75" customHeight="1">
      <c r="A808" s="31" t="str">
        <f>'EQUITY BACKTEST'!A811</f>
        <v/>
      </c>
      <c r="B808" s="22" t="str">
        <f>'EQUITY BACKTEST'!B811</f>
        <v/>
      </c>
      <c r="C808" s="22" t="str">
        <f>1/'EQUITY BACKTEST'!E811</f>
        <v>#DIV/0!</v>
      </c>
      <c r="D808" s="22" t="str">
        <f t="shared" si="5"/>
        <v>#DIV/0!</v>
      </c>
      <c r="E808" s="22" t="str">
        <f t="shared" si="3"/>
        <v/>
      </c>
      <c r="F808" s="22" t="str">
        <f t="shared" si="6"/>
        <v>#DIV/0!</v>
      </c>
      <c r="H808" s="22" t="str">
        <f t="shared" si="4"/>
        <v/>
      </c>
      <c r="I808" s="22" t="str">
        <f t="shared" si="1"/>
        <v>#N/A</v>
      </c>
      <c r="J808" s="22" t="str">
        <f t="shared" si="2"/>
        <v>#N/A</v>
      </c>
      <c r="K808" s="22" t="str">
        <f t="array" ref="K808">IF(H808="Crash",MATCH(TRUE, B809:B906 &gt;= B807, 0),"")</f>
        <v/>
      </c>
    </row>
    <row r="809" ht="15.75" customHeight="1">
      <c r="A809" s="31" t="str">
        <f>'EQUITY BACKTEST'!A812</f>
        <v/>
      </c>
      <c r="B809" s="22" t="str">
        <f>'EQUITY BACKTEST'!B812</f>
        <v/>
      </c>
      <c r="C809" s="22" t="str">
        <f>1/'EQUITY BACKTEST'!E812</f>
        <v>#DIV/0!</v>
      </c>
      <c r="D809" s="22" t="str">
        <f t="shared" si="5"/>
        <v>#DIV/0!</v>
      </c>
      <c r="E809" s="22" t="str">
        <f t="shared" si="3"/>
        <v/>
      </c>
      <c r="F809" s="22" t="str">
        <f t="shared" si="6"/>
        <v>#DIV/0!</v>
      </c>
      <c r="H809" s="22" t="str">
        <f t="shared" si="4"/>
        <v/>
      </c>
      <c r="I809" s="22" t="str">
        <f t="shared" si="1"/>
        <v>#N/A</v>
      </c>
      <c r="J809" s="22" t="str">
        <f t="shared" si="2"/>
        <v>#N/A</v>
      </c>
      <c r="K809" s="22" t="str">
        <f t="array" ref="K809">IF(H809="Crash",MATCH(TRUE, B810:B907 &gt;= B808, 0),"")</f>
        <v/>
      </c>
    </row>
    <row r="810" ht="15.75" customHeight="1">
      <c r="A810" s="31" t="str">
        <f>'EQUITY BACKTEST'!A813</f>
        <v/>
      </c>
      <c r="B810" s="22" t="str">
        <f>'EQUITY BACKTEST'!B813</f>
        <v/>
      </c>
      <c r="C810" s="22" t="str">
        <f>1/'EQUITY BACKTEST'!E813</f>
        <v>#DIV/0!</v>
      </c>
      <c r="D810" s="22" t="str">
        <f t="shared" si="5"/>
        <v>#DIV/0!</v>
      </c>
      <c r="E810" s="22" t="str">
        <f t="shared" si="3"/>
        <v/>
      </c>
      <c r="F810" s="22" t="str">
        <f t="shared" si="6"/>
        <v>#DIV/0!</v>
      </c>
      <c r="H810" s="22" t="str">
        <f t="shared" si="4"/>
        <v/>
      </c>
      <c r="I810" s="22" t="str">
        <f t="shared" si="1"/>
        <v>#N/A</v>
      </c>
      <c r="J810" s="22" t="str">
        <f t="shared" si="2"/>
        <v>#N/A</v>
      </c>
      <c r="K810" s="22" t="str">
        <f t="array" ref="K810">IF(H810="Crash",MATCH(TRUE, B811:B908 &gt;= B809, 0),"")</f>
        <v/>
      </c>
    </row>
    <row r="811" ht="15.75" customHeight="1">
      <c r="A811" s="31" t="str">
        <f>'EQUITY BACKTEST'!A814</f>
        <v/>
      </c>
      <c r="B811" s="22" t="str">
        <f>'EQUITY BACKTEST'!B814</f>
        <v/>
      </c>
      <c r="C811" s="22" t="str">
        <f>1/'EQUITY BACKTEST'!E814</f>
        <v>#DIV/0!</v>
      </c>
      <c r="D811" s="22" t="str">
        <f t="shared" si="5"/>
        <v>#DIV/0!</v>
      </c>
      <c r="E811" s="22" t="str">
        <f t="shared" si="3"/>
        <v/>
      </c>
      <c r="F811" s="22" t="str">
        <f t="shared" si="6"/>
        <v>#DIV/0!</v>
      </c>
      <c r="H811" s="22" t="str">
        <f t="shared" si="4"/>
        <v/>
      </c>
      <c r="I811" s="22" t="str">
        <f t="shared" si="1"/>
        <v>#N/A</v>
      </c>
      <c r="J811" s="22" t="str">
        <f t="shared" si="2"/>
        <v>#N/A</v>
      </c>
      <c r="K811" s="22" t="str">
        <f t="array" ref="K811">IF(H811="Crash",MATCH(TRUE, B812:B909 &gt;= B810, 0),"")</f>
        <v/>
      </c>
    </row>
    <row r="812" ht="15.75" customHeight="1">
      <c r="A812" s="31" t="str">
        <f>'EQUITY BACKTEST'!A815</f>
        <v/>
      </c>
      <c r="B812" s="22" t="str">
        <f>'EQUITY BACKTEST'!B815</f>
        <v/>
      </c>
      <c r="C812" s="22" t="str">
        <f>1/'EQUITY BACKTEST'!E815</f>
        <v>#DIV/0!</v>
      </c>
      <c r="D812" s="22" t="str">
        <f t="shared" si="5"/>
        <v>#DIV/0!</v>
      </c>
      <c r="E812" s="22" t="str">
        <f t="shared" si="3"/>
        <v/>
      </c>
      <c r="F812" s="22" t="str">
        <f t="shared" si="6"/>
        <v>#DIV/0!</v>
      </c>
      <c r="H812" s="22" t="str">
        <f t="shared" si="4"/>
        <v/>
      </c>
      <c r="I812" s="22" t="str">
        <f t="shared" si="1"/>
        <v>#N/A</v>
      </c>
      <c r="J812" s="22" t="str">
        <f t="shared" si="2"/>
        <v>#N/A</v>
      </c>
      <c r="K812" s="22" t="str">
        <f t="array" ref="K812">IF(H812="Crash",MATCH(TRUE, B813:B910 &gt;= B811, 0),"")</f>
        <v/>
      </c>
    </row>
    <row r="813" ht="15.75" customHeight="1">
      <c r="A813" s="31" t="str">
        <f>'EQUITY BACKTEST'!A816</f>
        <v/>
      </c>
      <c r="B813" s="22" t="str">
        <f>'EQUITY BACKTEST'!B816</f>
        <v/>
      </c>
      <c r="C813" s="22" t="str">
        <f>1/'EQUITY BACKTEST'!E816</f>
        <v>#DIV/0!</v>
      </c>
      <c r="D813" s="22" t="str">
        <f t="shared" si="5"/>
        <v>#DIV/0!</v>
      </c>
      <c r="E813" s="22" t="str">
        <f t="shared" si="3"/>
        <v/>
      </c>
      <c r="F813" s="22" t="str">
        <f t="shared" si="6"/>
        <v>#DIV/0!</v>
      </c>
      <c r="H813" s="22" t="str">
        <f t="shared" si="4"/>
        <v/>
      </c>
      <c r="I813" s="22" t="str">
        <f t="shared" si="1"/>
        <v>#N/A</v>
      </c>
      <c r="J813" s="22" t="str">
        <f t="shared" si="2"/>
        <v>#N/A</v>
      </c>
      <c r="K813" s="22" t="str">
        <f t="array" ref="K813">IF(H813="Crash",MATCH(TRUE, B814:B911 &gt;= B812, 0),"")</f>
        <v/>
      </c>
    </row>
    <row r="814" ht="15.75" customHeight="1">
      <c r="A814" s="31" t="str">
        <f>'EQUITY BACKTEST'!A817</f>
        <v/>
      </c>
      <c r="B814" s="22" t="str">
        <f>'EQUITY BACKTEST'!B817</f>
        <v/>
      </c>
      <c r="C814" s="22" t="str">
        <f>1/'EQUITY BACKTEST'!E817</f>
        <v>#DIV/0!</v>
      </c>
      <c r="D814" s="22" t="str">
        <f t="shared" si="5"/>
        <v>#DIV/0!</v>
      </c>
      <c r="E814" s="22" t="str">
        <f t="shared" si="3"/>
        <v/>
      </c>
      <c r="F814" s="22" t="str">
        <f t="shared" si="6"/>
        <v>#DIV/0!</v>
      </c>
      <c r="H814" s="22" t="str">
        <f t="shared" si="4"/>
        <v/>
      </c>
      <c r="I814" s="22" t="str">
        <f t="shared" si="1"/>
        <v>#N/A</v>
      </c>
      <c r="J814" s="22" t="str">
        <f t="shared" si="2"/>
        <v>#N/A</v>
      </c>
      <c r="K814" s="22" t="str">
        <f t="array" ref="K814">IF(H814="Crash",MATCH(TRUE, B815:B912 &gt;= B813, 0),"")</f>
        <v/>
      </c>
    </row>
    <row r="815" ht="15.75" customHeight="1">
      <c r="A815" s="31" t="str">
        <f>'EQUITY BACKTEST'!A818</f>
        <v/>
      </c>
      <c r="B815" s="22" t="str">
        <f>'EQUITY BACKTEST'!B818</f>
        <v/>
      </c>
      <c r="C815" s="22" t="str">
        <f>1/'EQUITY BACKTEST'!E818</f>
        <v>#DIV/0!</v>
      </c>
      <c r="D815" s="22" t="str">
        <f t="shared" si="5"/>
        <v>#DIV/0!</v>
      </c>
      <c r="E815" s="22" t="str">
        <f t="shared" si="3"/>
        <v/>
      </c>
      <c r="F815" s="22" t="str">
        <f t="shared" si="6"/>
        <v>#DIV/0!</v>
      </c>
      <c r="H815" s="22" t="str">
        <f t="shared" si="4"/>
        <v/>
      </c>
      <c r="I815" s="22" t="str">
        <f t="shared" si="1"/>
        <v>#N/A</v>
      </c>
      <c r="J815" s="22" t="str">
        <f t="shared" si="2"/>
        <v>#N/A</v>
      </c>
      <c r="K815" s="22" t="str">
        <f t="array" ref="K815">IF(H815="Crash",MATCH(TRUE, B816:B913 &gt;= B814, 0),"")</f>
        <v/>
      </c>
    </row>
    <row r="816" ht="15.75" customHeight="1">
      <c r="A816" s="31" t="str">
        <f>'EQUITY BACKTEST'!A819</f>
        <v/>
      </c>
      <c r="B816" s="22" t="str">
        <f>'EQUITY BACKTEST'!B819</f>
        <v/>
      </c>
      <c r="C816" s="22" t="str">
        <f>1/'EQUITY BACKTEST'!E819</f>
        <v>#DIV/0!</v>
      </c>
      <c r="D816" s="22" t="str">
        <f t="shared" si="5"/>
        <v>#DIV/0!</v>
      </c>
      <c r="E816" s="22" t="str">
        <f t="shared" si="3"/>
        <v/>
      </c>
      <c r="F816" s="22" t="str">
        <f t="shared" si="6"/>
        <v>#DIV/0!</v>
      </c>
      <c r="H816" s="22" t="str">
        <f t="shared" si="4"/>
        <v/>
      </c>
      <c r="I816" s="22" t="str">
        <f t="shared" si="1"/>
        <v>#N/A</v>
      </c>
      <c r="J816" s="22" t="str">
        <f t="shared" si="2"/>
        <v>#N/A</v>
      </c>
      <c r="K816" s="22" t="str">
        <f t="array" ref="K816">IF(H816="Crash",MATCH(TRUE, B817:B914 &gt;= B815, 0),"")</f>
        <v/>
      </c>
    </row>
    <row r="817" ht="15.75" customHeight="1">
      <c r="A817" s="31" t="str">
        <f>'EQUITY BACKTEST'!A820</f>
        <v/>
      </c>
      <c r="B817" s="22" t="str">
        <f>'EQUITY BACKTEST'!B820</f>
        <v/>
      </c>
      <c r="C817" s="22" t="str">
        <f>1/'EQUITY BACKTEST'!E820</f>
        <v>#DIV/0!</v>
      </c>
      <c r="D817" s="22" t="str">
        <f t="shared" si="5"/>
        <v>#DIV/0!</v>
      </c>
      <c r="E817" s="22" t="str">
        <f t="shared" si="3"/>
        <v/>
      </c>
      <c r="F817" s="22" t="str">
        <f t="shared" si="6"/>
        <v>#DIV/0!</v>
      </c>
      <c r="H817" s="22" t="str">
        <f t="shared" si="4"/>
        <v/>
      </c>
      <c r="I817" s="22" t="str">
        <f t="shared" si="1"/>
        <v>#N/A</v>
      </c>
      <c r="J817" s="22" t="str">
        <f t="shared" si="2"/>
        <v>#N/A</v>
      </c>
      <c r="K817" s="22" t="str">
        <f t="array" ref="K817">IF(H817="Crash",MATCH(TRUE, B818:B915 &gt;= B816, 0),"")</f>
        <v/>
      </c>
    </row>
    <row r="818" ht="15.75" customHeight="1">
      <c r="A818" s="31" t="str">
        <f>'EQUITY BACKTEST'!A821</f>
        <v/>
      </c>
      <c r="B818" s="22" t="str">
        <f>'EQUITY BACKTEST'!B821</f>
        <v/>
      </c>
      <c r="C818" s="22" t="str">
        <f>1/'EQUITY BACKTEST'!E821</f>
        <v>#DIV/0!</v>
      </c>
      <c r="D818" s="22" t="str">
        <f t="shared" si="5"/>
        <v>#DIV/0!</v>
      </c>
      <c r="E818" s="22" t="str">
        <f t="shared" si="3"/>
        <v/>
      </c>
      <c r="F818" s="22" t="str">
        <f t="shared" si="6"/>
        <v>#DIV/0!</v>
      </c>
      <c r="H818" s="22" t="str">
        <f t="shared" si="4"/>
        <v/>
      </c>
      <c r="I818" s="22" t="str">
        <f t="shared" si="1"/>
        <v>#N/A</v>
      </c>
      <c r="J818" s="22" t="str">
        <f t="shared" si="2"/>
        <v>#N/A</v>
      </c>
      <c r="K818" s="22" t="str">
        <f t="array" ref="K818">IF(H818="Crash",MATCH(TRUE, B819:B916 &gt;= B817, 0),"")</f>
        <v/>
      </c>
    </row>
    <row r="819" ht="15.75" customHeight="1">
      <c r="A819" s="31" t="str">
        <f>'EQUITY BACKTEST'!A822</f>
        <v/>
      </c>
      <c r="B819" s="22" t="str">
        <f>'EQUITY BACKTEST'!B822</f>
        <v/>
      </c>
      <c r="C819" s="22" t="str">
        <f>1/'EQUITY BACKTEST'!E822</f>
        <v>#DIV/0!</v>
      </c>
      <c r="D819" s="22" t="str">
        <f t="shared" si="5"/>
        <v>#DIV/0!</v>
      </c>
      <c r="E819" s="22" t="str">
        <f t="shared" si="3"/>
        <v/>
      </c>
      <c r="F819" s="22" t="str">
        <f t="shared" si="6"/>
        <v>#DIV/0!</v>
      </c>
      <c r="H819" s="22" t="str">
        <f t="shared" si="4"/>
        <v/>
      </c>
      <c r="I819" s="22" t="str">
        <f t="shared" si="1"/>
        <v>#N/A</v>
      </c>
      <c r="J819" s="22" t="str">
        <f t="shared" si="2"/>
        <v>#N/A</v>
      </c>
      <c r="K819" s="22" t="str">
        <f t="array" ref="K819">IF(H819="Crash",MATCH(TRUE, B820:B917 &gt;= B818, 0),"")</f>
        <v/>
      </c>
    </row>
    <row r="820" ht="15.75" customHeight="1">
      <c r="A820" s="31" t="str">
        <f>'EQUITY BACKTEST'!A823</f>
        <v/>
      </c>
      <c r="B820" s="22" t="str">
        <f>'EQUITY BACKTEST'!B823</f>
        <v/>
      </c>
      <c r="C820" s="22" t="str">
        <f>1/'EQUITY BACKTEST'!E823</f>
        <v>#DIV/0!</v>
      </c>
      <c r="D820" s="22" t="str">
        <f t="shared" si="5"/>
        <v>#DIV/0!</v>
      </c>
      <c r="E820" s="22" t="str">
        <f t="shared" si="3"/>
        <v/>
      </c>
      <c r="F820" s="22" t="str">
        <f t="shared" si="6"/>
        <v>#DIV/0!</v>
      </c>
      <c r="H820" s="22" t="str">
        <f t="shared" si="4"/>
        <v/>
      </c>
      <c r="I820" s="22" t="str">
        <f t="shared" si="1"/>
        <v>#N/A</v>
      </c>
      <c r="J820" s="22" t="str">
        <f t="shared" si="2"/>
        <v>#N/A</v>
      </c>
      <c r="K820" s="22" t="str">
        <f t="array" ref="K820">IF(H820="Crash",MATCH(TRUE, B821:B918 &gt;= B819, 0),"")</f>
        <v/>
      </c>
    </row>
    <row r="821" ht="15.75" customHeight="1">
      <c r="A821" s="31" t="str">
        <f>'EQUITY BACKTEST'!A824</f>
        <v/>
      </c>
      <c r="B821" s="22" t="str">
        <f>'EQUITY BACKTEST'!B824</f>
        <v/>
      </c>
      <c r="C821" s="22" t="str">
        <f>1/'EQUITY BACKTEST'!E824</f>
        <v>#DIV/0!</v>
      </c>
      <c r="D821" s="22" t="str">
        <f t="shared" si="5"/>
        <v>#DIV/0!</v>
      </c>
      <c r="E821" s="22" t="str">
        <f t="shared" si="3"/>
        <v/>
      </c>
      <c r="F821" s="22" t="str">
        <f t="shared" si="6"/>
        <v>#DIV/0!</v>
      </c>
      <c r="H821" s="22" t="str">
        <f t="shared" si="4"/>
        <v/>
      </c>
      <c r="I821" s="22" t="str">
        <f t="shared" si="1"/>
        <v>#N/A</v>
      </c>
      <c r="J821" s="22" t="str">
        <f t="shared" si="2"/>
        <v>#N/A</v>
      </c>
      <c r="K821" s="22" t="str">
        <f t="array" ref="K821">IF(H821="Crash",MATCH(TRUE, B822:B919 &gt;= B820, 0),"")</f>
        <v/>
      </c>
    </row>
    <row r="822" ht="15.75" customHeight="1">
      <c r="A822" s="31" t="str">
        <f>'EQUITY BACKTEST'!A825</f>
        <v/>
      </c>
      <c r="B822" s="22" t="str">
        <f>'EQUITY BACKTEST'!B825</f>
        <v/>
      </c>
      <c r="C822" s="22" t="str">
        <f>1/'EQUITY BACKTEST'!E825</f>
        <v>#DIV/0!</v>
      </c>
      <c r="D822" s="22" t="str">
        <f t="shared" si="5"/>
        <v>#DIV/0!</v>
      </c>
      <c r="E822" s="22" t="str">
        <f t="shared" si="3"/>
        <v/>
      </c>
      <c r="F822" s="22" t="str">
        <f t="shared" si="6"/>
        <v>#DIV/0!</v>
      </c>
      <c r="H822" s="22" t="str">
        <f t="shared" si="4"/>
        <v/>
      </c>
      <c r="I822" s="22" t="str">
        <f t="shared" si="1"/>
        <v>#N/A</v>
      </c>
      <c r="J822" s="22" t="str">
        <f t="shared" si="2"/>
        <v>#N/A</v>
      </c>
      <c r="K822" s="22" t="str">
        <f t="array" ref="K822">IF(H822="Crash",MATCH(TRUE, B823:B920 &gt;= B821, 0),"")</f>
        <v/>
      </c>
    </row>
    <row r="823" ht="15.75" customHeight="1">
      <c r="A823" s="31" t="str">
        <f>'EQUITY BACKTEST'!A826</f>
        <v/>
      </c>
      <c r="B823" s="22" t="str">
        <f>'EQUITY BACKTEST'!B826</f>
        <v/>
      </c>
      <c r="C823" s="22" t="str">
        <f>1/'EQUITY BACKTEST'!E826</f>
        <v>#DIV/0!</v>
      </c>
      <c r="D823" s="22" t="str">
        <f t="shared" si="5"/>
        <v>#DIV/0!</v>
      </c>
      <c r="E823" s="22" t="str">
        <f t="shared" si="3"/>
        <v/>
      </c>
      <c r="F823" s="22" t="str">
        <f t="shared" si="6"/>
        <v>#DIV/0!</v>
      </c>
      <c r="H823" s="22" t="str">
        <f t="shared" si="4"/>
        <v/>
      </c>
      <c r="I823" s="22" t="str">
        <f t="shared" si="1"/>
        <v>#N/A</v>
      </c>
      <c r="J823" s="22" t="str">
        <f t="shared" si="2"/>
        <v>#N/A</v>
      </c>
      <c r="K823" s="22" t="str">
        <f t="array" ref="K823">IF(H823="Crash",MATCH(TRUE, B824:B921 &gt;= B822, 0),"")</f>
        <v/>
      </c>
    </row>
    <row r="824" ht="15.75" customHeight="1">
      <c r="A824" s="31" t="str">
        <f>'EQUITY BACKTEST'!A827</f>
        <v/>
      </c>
      <c r="B824" s="22" t="str">
        <f>'EQUITY BACKTEST'!B827</f>
        <v/>
      </c>
      <c r="C824" s="22" t="str">
        <f>1/'EQUITY BACKTEST'!E827</f>
        <v>#DIV/0!</v>
      </c>
      <c r="D824" s="22" t="str">
        <f t="shared" si="5"/>
        <v>#DIV/0!</v>
      </c>
      <c r="E824" s="22" t="str">
        <f t="shared" si="3"/>
        <v/>
      </c>
      <c r="F824" s="22" t="str">
        <f t="shared" si="6"/>
        <v>#DIV/0!</v>
      </c>
      <c r="H824" s="22" t="str">
        <f t="shared" si="4"/>
        <v/>
      </c>
      <c r="I824" s="22" t="str">
        <f t="shared" si="1"/>
        <v>#N/A</v>
      </c>
      <c r="J824" s="22" t="str">
        <f t="shared" si="2"/>
        <v>#N/A</v>
      </c>
      <c r="K824" s="22" t="str">
        <f t="array" ref="K824">IF(H824="Crash",MATCH(TRUE, B825:B922 &gt;= B823, 0),"")</f>
        <v/>
      </c>
    </row>
    <row r="825" ht="15.75" customHeight="1">
      <c r="A825" s="31" t="str">
        <f>'EQUITY BACKTEST'!A828</f>
        <v/>
      </c>
      <c r="B825" s="22" t="str">
        <f>'EQUITY BACKTEST'!B828</f>
        <v/>
      </c>
      <c r="C825" s="22" t="str">
        <f>1/'EQUITY BACKTEST'!E828</f>
        <v>#DIV/0!</v>
      </c>
      <c r="D825" s="22" t="str">
        <f t="shared" si="5"/>
        <v>#DIV/0!</v>
      </c>
      <c r="E825" s="22" t="str">
        <f t="shared" si="3"/>
        <v/>
      </c>
      <c r="F825" s="22" t="str">
        <f t="shared" si="6"/>
        <v>#DIV/0!</v>
      </c>
      <c r="H825" s="22" t="str">
        <f t="shared" si="4"/>
        <v/>
      </c>
      <c r="I825" s="22" t="str">
        <f t="shared" si="1"/>
        <v>#N/A</v>
      </c>
      <c r="J825" s="22" t="str">
        <f t="shared" si="2"/>
        <v>#N/A</v>
      </c>
      <c r="K825" s="22" t="str">
        <f t="array" ref="K825">IF(H825="Crash",MATCH(TRUE, B826:B923 &gt;= B824, 0),"")</f>
        <v/>
      </c>
    </row>
    <row r="826" ht="15.75" customHeight="1">
      <c r="A826" s="31" t="str">
        <f>'EQUITY BACKTEST'!A829</f>
        <v/>
      </c>
      <c r="B826" s="22" t="str">
        <f>'EQUITY BACKTEST'!B829</f>
        <v/>
      </c>
      <c r="C826" s="22" t="str">
        <f>1/'EQUITY BACKTEST'!E829</f>
        <v>#DIV/0!</v>
      </c>
      <c r="D826" s="22" t="str">
        <f t="shared" si="5"/>
        <v>#DIV/0!</v>
      </c>
      <c r="E826" s="22" t="str">
        <f t="shared" si="3"/>
        <v/>
      </c>
      <c r="F826" s="22" t="str">
        <f t="shared" si="6"/>
        <v>#DIV/0!</v>
      </c>
      <c r="H826" s="22" t="str">
        <f t="shared" si="4"/>
        <v/>
      </c>
      <c r="I826" s="22" t="str">
        <f t="shared" si="1"/>
        <v>#N/A</v>
      </c>
      <c r="J826" s="22" t="str">
        <f t="shared" si="2"/>
        <v>#N/A</v>
      </c>
      <c r="K826" s="22" t="str">
        <f t="array" ref="K826">IF(H826="Crash",MATCH(TRUE, B827:B924 &gt;= B825, 0),"")</f>
        <v/>
      </c>
    </row>
    <row r="827" ht="15.75" customHeight="1">
      <c r="A827" s="31" t="str">
        <f>'EQUITY BACKTEST'!A830</f>
        <v/>
      </c>
      <c r="B827" s="22" t="str">
        <f>'EQUITY BACKTEST'!B830</f>
        <v/>
      </c>
      <c r="C827" s="22" t="str">
        <f>1/'EQUITY BACKTEST'!E830</f>
        <v>#DIV/0!</v>
      </c>
      <c r="D827" s="22" t="str">
        <f t="shared" si="5"/>
        <v>#DIV/0!</v>
      </c>
      <c r="E827" s="22" t="str">
        <f t="shared" si="3"/>
        <v/>
      </c>
      <c r="F827" s="22" t="str">
        <f t="shared" si="6"/>
        <v>#DIV/0!</v>
      </c>
      <c r="H827" s="22" t="str">
        <f t="shared" si="4"/>
        <v/>
      </c>
      <c r="I827" s="22" t="str">
        <f t="shared" si="1"/>
        <v>#N/A</v>
      </c>
      <c r="J827" s="22" t="str">
        <f t="shared" si="2"/>
        <v>#N/A</v>
      </c>
      <c r="K827" s="22" t="str">
        <f t="array" ref="K827">IF(H827="Crash",MATCH(TRUE, B828:B925 &gt;= B826, 0),"")</f>
        <v/>
      </c>
    </row>
    <row r="828" ht="15.75" customHeight="1">
      <c r="A828" s="31" t="str">
        <f>'EQUITY BACKTEST'!A831</f>
        <v/>
      </c>
      <c r="B828" s="22" t="str">
        <f>'EQUITY BACKTEST'!B831</f>
        <v/>
      </c>
      <c r="C828" s="22" t="str">
        <f>1/'EQUITY BACKTEST'!E831</f>
        <v>#DIV/0!</v>
      </c>
      <c r="D828" s="22" t="str">
        <f t="shared" si="5"/>
        <v>#DIV/0!</v>
      </c>
      <c r="E828" s="22" t="str">
        <f t="shared" si="3"/>
        <v/>
      </c>
      <c r="F828" s="22" t="str">
        <f t="shared" si="6"/>
        <v>#DIV/0!</v>
      </c>
      <c r="H828" s="22" t="str">
        <f t="shared" si="4"/>
        <v/>
      </c>
      <c r="I828" s="22" t="str">
        <f t="shared" si="1"/>
        <v>#N/A</v>
      </c>
      <c r="J828" s="22" t="str">
        <f t="shared" si="2"/>
        <v>#N/A</v>
      </c>
      <c r="K828" s="22" t="str">
        <f t="array" ref="K828">IF(H828="Crash",MATCH(TRUE, B829:B926 &gt;= B827, 0),"")</f>
        <v/>
      </c>
    </row>
    <row r="829" ht="15.75" customHeight="1">
      <c r="A829" s="31" t="str">
        <f>'EQUITY BACKTEST'!A832</f>
        <v/>
      </c>
      <c r="B829" s="22" t="str">
        <f>'EQUITY BACKTEST'!B832</f>
        <v/>
      </c>
      <c r="C829" s="22" t="str">
        <f>1/'EQUITY BACKTEST'!E832</f>
        <v>#DIV/0!</v>
      </c>
      <c r="D829" s="22" t="str">
        <f t="shared" si="5"/>
        <v>#DIV/0!</v>
      </c>
      <c r="E829" s="22" t="str">
        <f t="shared" si="3"/>
        <v/>
      </c>
      <c r="F829" s="22" t="str">
        <f t="shared" si="6"/>
        <v>#DIV/0!</v>
      </c>
      <c r="H829" s="22" t="str">
        <f t="shared" si="4"/>
        <v/>
      </c>
      <c r="I829" s="22" t="str">
        <f t="shared" si="1"/>
        <v>#N/A</v>
      </c>
      <c r="J829" s="22" t="str">
        <f t="shared" si="2"/>
        <v>#N/A</v>
      </c>
      <c r="K829" s="22" t="str">
        <f t="array" ref="K829">IF(H829="Crash",MATCH(TRUE, B830:B927 &gt;= B828, 0),"")</f>
        <v/>
      </c>
    </row>
    <row r="830" ht="15.75" customHeight="1">
      <c r="A830" s="31" t="str">
        <f>'EQUITY BACKTEST'!A833</f>
        <v/>
      </c>
      <c r="B830" s="22" t="str">
        <f>'EQUITY BACKTEST'!B833</f>
        <v/>
      </c>
      <c r="C830" s="22" t="str">
        <f>1/'EQUITY BACKTEST'!E833</f>
        <v>#DIV/0!</v>
      </c>
      <c r="D830" s="22" t="str">
        <f t="shared" si="5"/>
        <v>#DIV/0!</v>
      </c>
      <c r="E830" s="22" t="str">
        <f t="shared" si="3"/>
        <v/>
      </c>
      <c r="F830" s="22" t="str">
        <f t="shared" si="6"/>
        <v>#DIV/0!</v>
      </c>
      <c r="H830" s="22" t="str">
        <f t="shared" si="4"/>
        <v/>
      </c>
      <c r="I830" s="22" t="str">
        <f t="shared" si="1"/>
        <v>#N/A</v>
      </c>
      <c r="J830" s="22" t="str">
        <f t="shared" si="2"/>
        <v>#N/A</v>
      </c>
      <c r="K830" s="22" t="str">
        <f t="array" ref="K830">IF(H830="Crash",MATCH(TRUE, B831:B928 &gt;= B829, 0),"")</f>
        <v/>
      </c>
    </row>
    <row r="831" ht="15.75" customHeight="1">
      <c r="A831" s="31" t="str">
        <f>'EQUITY BACKTEST'!A834</f>
        <v/>
      </c>
      <c r="B831" s="22" t="str">
        <f>'EQUITY BACKTEST'!B834</f>
        <v/>
      </c>
      <c r="C831" s="22" t="str">
        <f>1/'EQUITY BACKTEST'!E834</f>
        <v>#DIV/0!</v>
      </c>
      <c r="D831" s="22" t="str">
        <f t="shared" si="5"/>
        <v>#DIV/0!</v>
      </c>
      <c r="E831" s="22" t="str">
        <f t="shared" si="3"/>
        <v/>
      </c>
      <c r="F831" s="22" t="str">
        <f t="shared" si="6"/>
        <v>#DIV/0!</v>
      </c>
      <c r="H831" s="22" t="str">
        <f t="shared" si="4"/>
        <v/>
      </c>
      <c r="I831" s="22" t="str">
        <f t="shared" si="1"/>
        <v>#N/A</v>
      </c>
      <c r="J831" s="22" t="str">
        <f t="shared" si="2"/>
        <v>#N/A</v>
      </c>
      <c r="K831" s="22" t="str">
        <f t="array" ref="K831">IF(H831="Crash",MATCH(TRUE, B832:B929 &gt;= B830, 0),"")</f>
        <v/>
      </c>
    </row>
    <row r="832" ht="15.75" customHeight="1">
      <c r="A832" s="31" t="str">
        <f>'EQUITY BACKTEST'!A835</f>
        <v/>
      </c>
      <c r="B832" s="22" t="str">
        <f>'EQUITY BACKTEST'!B835</f>
        <v/>
      </c>
      <c r="C832" s="22" t="str">
        <f>1/'EQUITY BACKTEST'!E835</f>
        <v>#DIV/0!</v>
      </c>
      <c r="D832" s="22" t="str">
        <f t="shared" si="5"/>
        <v>#DIV/0!</v>
      </c>
      <c r="E832" s="22" t="str">
        <f t="shared" si="3"/>
        <v/>
      </c>
      <c r="F832" s="22" t="str">
        <f t="shared" si="6"/>
        <v>#DIV/0!</v>
      </c>
      <c r="H832" s="22" t="str">
        <f t="shared" si="4"/>
        <v/>
      </c>
      <c r="I832" s="22" t="str">
        <f t="shared" si="1"/>
        <v>#N/A</v>
      </c>
      <c r="J832" s="22" t="str">
        <f t="shared" si="2"/>
        <v>#N/A</v>
      </c>
      <c r="K832" s="22" t="str">
        <f t="array" ref="K832">IF(H832="Crash",MATCH(TRUE, B833:B930 &gt;= B831, 0),"")</f>
        <v/>
      </c>
    </row>
    <row r="833" ht="15.75" customHeight="1">
      <c r="A833" s="31" t="str">
        <f>'EQUITY BACKTEST'!A836</f>
        <v/>
      </c>
      <c r="B833" s="22" t="str">
        <f>'EQUITY BACKTEST'!B836</f>
        <v/>
      </c>
      <c r="C833" s="22" t="str">
        <f>1/'EQUITY BACKTEST'!E836</f>
        <v>#DIV/0!</v>
      </c>
      <c r="D833" s="22" t="str">
        <f t="shared" si="5"/>
        <v>#DIV/0!</v>
      </c>
      <c r="E833" s="22" t="str">
        <f t="shared" si="3"/>
        <v/>
      </c>
      <c r="F833" s="22" t="str">
        <f t="shared" si="6"/>
        <v>#DIV/0!</v>
      </c>
      <c r="H833" s="22" t="str">
        <f t="shared" si="4"/>
        <v/>
      </c>
      <c r="I833" s="22" t="str">
        <f t="shared" si="1"/>
        <v>#N/A</v>
      </c>
      <c r="J833" s="22" t="str">
        <f t="shared" si="2"/>
        <v>#N/A</v>
      </c>
      <c r="K833" s="22" t="str">
        <f t="array" ref="K833">IF(H833="Crash",MATCH(TRUE, B834:B931 &gt;= B832, 0),"")</f>
        <v/>
      </c>
    </row>
    <row r="834" ht="15.75" customHeight="1">
      <c r="A834" s="31" t="str">
        <f>'EQUITY BACKTEST'!A837</f>
        <v/>
      </c>
      <c r="B834" s="22" t="str">
        <f>'EQUITY BACKTEST'!B837</f>
        <v/>
      </c>
      <c r="C834" s="22" t="str">
        <f>1/'EQUITY BACKTEST'!E837</f>
        <v>#DIV/0!</v>
      </c>
      <c r="D834" s="22" t="str">
        <f t="shared" si="5"/>
        <v>#DIV/0!</v>
      </c>
      <c r="E834" s="22" t="str">
        <f t="shared" si="3"/>
        <v/>
      </c>
      <c r="F834" s="22" t="str">
        <f t="shared" si="6"/>
        <v>#DIV/0!</v>
      </c>
      <c r="H834" s="22" t="str">
        <f t="shared" si="4"/>
        <v/>
      </c>
      <c r="I834" s="22" t="str">
        <f t="shared" si="1"/>
        <v>#N/A</v>
      </c>
      <c r="J834" s="22" t="str">
        <f t="shared" si="2"/>
        <v>#N/A</v>
      </c>
      <c r="K834" s="22" t="str">
        <f t="array" ref="K834">IF(H834="Crash",MATCH(TRUE, B835:B932 &gt;= B833, 0),"")</f>
        <v/>
      </c>
    </row>
    <row r="835" ht="15.75" customHeight="1">
      <c r="A835" s="31" t="str">
        <f>'EQUITY BACKTEST'!A838</f>
        <v/>
      </c>
      <c r="B835" s="22" t="str">
        <f>'EQUITY BACKTEST'!B838</f>
        <v/>
      </c>
      <c r="C835" s="22" t="str">
        <f>1/'EQUITY BACKTEST'!E838</f>
        <v>#DIV/0!</v>
      </c>
      <c r="D835" s="22" t="str">
        <f t="shared" si="5"/>
        <v>#DIV/0!</v>
      </c>
      <c r="E835" s="22" t="str">
        <f t="shared" si="3"/>
        <v/>
      </c>
      <c r="F835" s="22" t="str">
        <f t="shared" si="6"/>
        <v>#DIV/0!</v>
      </c>
      <c r="H835" s="22" t="str">
        <f t="shared" si="4"/>
        <v/>
      </c>
      <c r="I835" s="22" t="str">
        <f t="shared" si="1"/>
        <v>#N/A</v>
      </c>
      <c r="J835" s="22" t="str">
        <f t="shared" si="2"/>
        <v>#N/A</v>
      </c>
      <c r="K835" s="22" t="str">
        <f t="array" ref="K835">IF(H835="Crash",MATCH(TRUE, B836:B933 &gt;= B834, 0),"")</f>
        <v/>
      </c>
    </row>
    <row r="836" ht="15.75" customHeight="1">
      <c r="A836" s="31" t="str">
        <f>'EQUITY BACKTEST'!A839</f>
        <v/>
      </c>
      <c r="B836" s="22" t="str">
        <f>'EQUITY BACKTEST'!B839</f>
        <v/>
      </c>
      <c r="C836" s="22" t="str">
        <f>1/'EQUITY BACKTEST'!E839</f>
        <v>#DIV/0!</v>
      </c>
      <c r="D836" s="22" t="str">
        <f t="shared" si="5"/>
        <v>#DIV/0!</v>
      </c>
      <c r="E836" s="22" t="str">
        <f t="shared" si="3"/>
        <v/>
      </c>
      <c r="F836" s="22" t="str">
        <f t="shared" si="6"/>
        <v>#DIV/0!</v>
      </c>
      <c r="H836" s="22" t="str">
        <f t="shared" si="4"/>
        <v/>
      </c>
      <c r="I836" s="22" t="str">
        <f t="shared" si="1"/>
        <v>#N/A</v>
      </c>
      <c r="J836" s="22" t="str">
        <f t="shared" si="2"/>
        <v>#N/A</v>
      </c>
      <c r="K836" s="22" t="str">
        <f t="array" ref="K836">IF(H836="Crash",MATCH(TRUE, B837:B934 &gt;= B835, 0),"")</f>
        <v/>
      </c>
    </row>
    <row r="837" ht="15.75" customHeight="1">
      <c r="A837" s="31" t="str">
        <f>'EQUITY BACKTEST'!A840</f>
        <v/>
      </c>
      <c r="B837" s="22" t="str">
        <f>'EQUITY BACKTEST'!B840</f>
        <v/>
      </c>
      <c r="C837" s="22" t="str">
        <f>1/'EQUITY BACKTEST'!E840</f>
        <v>#DIV/0!</v>
      </c>
      <c r="D837" s="22" t="str">
        <f t="shared" si="5"/>
        <v>#DIV/0!</v>
      </c>
      <c r="E837" s="22" t="str">
        <f t="shared" si="3"/>
        <v/>
      </c>
      <c r="F837" s="22" t="str">
        <f t="shared" si="6"/>
        <v>#DIV/0!</v>
      </c>
      <c r="H837" s="22" t="str">
        <f t="shared" si="4"/>
        <v/>
      </c>
      <c r="I837" s="22" t="str">
        <f t="shared" si="1"/>
        <v>#N/A</v>
      </c>
      <c r="J837" s="22" t="str">
        <f t="shared" si="2"/>
        <v>#N/A</v>
      </c>
      <c r="K837" s="22" t="str">
        <f t="array" ref="K837">IF(H837="Crash",MATCH(TRUE, B838:B935 &gt;= B836, 0),"")</f>
        <v/>
      </c>
    </row>
    <row r="838" ht="15.75" customHeight="1">
      <c r="A838" s="31" t="str">
        <f>'EQUITY BACKTEST'!A841</f>
        <v/>
      </c>
      <c r="B838" s="22" t="str">
        <f>'EQUITY BACKTEST'!B841</f>
        <v/>
      </c>
      <c r="C838" s="22" t="str">
        <f>1/'EQUITY BACKTEST'!E841</f>
        <v>#DIV/0!</v>
      </c>
      <c r="D838" s="22" t="str">
        <f t="shared" si="5"/>
        <v>#DIV/0!</v>
      </c>
      <c r="E838" s="22" t="str">
        <f t="shared" si="3"/>
        <v/>
      </c>
      <c r="F838" s="22" t="str">
        <f t="shared" si="6"/>
        <v>#DIV/0!</v>
      </c>
      <c r="H838" s="22" t="str">
        <f t="shared" si="4"/>
        <v/>
      </c>
      <c r="I838" s="22" t="str">
        <f t="shared" si="1"/>
        <v>#N/A</v>
      </c>
      <c r="J838" s="22" t="str">
        <f t="shared" si="2"/>
        <v>#N/A</v>
      </c>
      <c r="K838" s="22" t="str">
        <f t="array" ref="K838">IF(H838="Crash",MATCH(TRUE, B839:B936 &gt;= B837, 0),"")</f>
        <v/>
      </c>
    </row>
    <row r="839" ht="15.75" customHeight="1">
      <c r="A839" s="31" t="str">
        <f>'EQUITY BACKTEST'!A842</f>
        <v/>
      </c>
      <c r="B839" s="22" t="str">
        <f>'EQUITY BACKTEST'!B842</f>
        <v/>
      </c>
      <c r="C839" s="22" t="str">
        <f>1/'EQUITY BACKTEST'!E842</f>
        <v>#DIV/0!</v>
      </c>
      <c r="D839" s="22" t="str">
        <f t="shared" si="5"/>
        <v>#DIV/0!</v>
      </c>
      <c r="E839" s="22" t="str">
        <f t="shared" si="3"/>
        <v/>
      </c>
      <c r="F839" s="22" t="str">
        <f t="shared" si="6"/>
        <v>#DIV/0!</v>
      </c>
      <c r="H839" s="22" t="str">
        <f t="shared" si="4"/>
        <v/>
      </c>
      <c r="I839" s="22" t="str">
        <f t="shared" si="1"/>
        <v>#N/A</v>
      </c>
      <c r="J839" s="22" t="str">
        <f t="shared" si="2"/>
        <v>#N/A</v>
      </c>
      <c r="K839" s="22" t="str">
        <f t="array" ref="K839">IF(H839="Crash",MATCH(TRUE, B840:B937 &gt;= B838, 0),"")</f>
        <v/>
      </c>
    </row>
    <row r="840" ht="15.75" customHeight="1">
      <c r="A840" s="31" t="str">
        <f>'EQUITY BACKTEST'!A843</f>
        <v/>
      </c>
      <c r="B840" s="22" t="str">
        <f>'EQUITY BACKTEST'!B843</f>
        <v/>
      </c>
      <c r="C840" s="22" t="str">
        <f>1/'EQUITY BACKTEST'!E843</f>
        <v>#DIV/0!</v>
      </c>
      <c r="D840" s="22" t="str">
        <f t="shared" si="5"/>
        <v>#DIV/0!</v>
      </c>
      <c r="E840" s="22" t="str">
        <f t="shared" si="3"/>
        <v/>
      </c>
      <c r="F840" s="22" t="str">
        <f t="shared" si="6"/>
        <v>#DIV/0!</v>
      </c>
      <c r="H840" s="22" t="str">
        <f t="shared" si="4"/>
        <v/>
      </c>
      <c r="I840" s="22" t="str">
        <f t="shared" si="1"/>
        <v>#N/A</v>
      </c>
      <c r="J840" s="22" t="str">
        <f t="shared" si="2"/>
        <v>#N/A</v>
      </c>
      <c r="K840" s="22" t="str">
        <f t="array" ref="K840">IF(H840="Crash",MATCH(TRUE, B841:B938 &gt;= B839, 0),"")</f>
        <v/>
      </c>
    </row>
    <row r="841" ht="15.75" customHeight="1">
      <c r="A841" s="31" t="str">
        <f>'EQUITY BACKTEST'!A844</f>
        <v/>
      </c>
      <c r="B841" s="22" t="str">
        <f>'EQUITY BACKTEST'!B844</f>
        <v/>
      </c>
      <c r="C841" s="22" t="str">
        <f>1/'EQUITY BACKTEST'!E844</f>
        <v>#DIV/0!</v>
      </c>
      <c r="D841" s="22" t="str">
        <f t="shared" si="5"/>
        <v>#DIV/0!</v>
      </c>
      <c r="E841" s="22" t="str">
        <f t="shared" si="3"/>
        <v/>
      </c>
      <c r="F841" s="22" t="str">
        <f t="shared" si="6"/>
        <v>#DIV/0!</v>
      </c>
      <c r="H841" s="22" t="str">
        <f t="shared" si="4"/>
        <v/>
      </c>
      <c r="I841" s="22" t="str">
        <f t="shared" si="1"/>
        <v>#N/A</v>
      </c>
      <c r="J841" s="22" t="str">
        <f t="shared" si="2"/>
        <v>#N/A</v>
      </c>
      <c r="K841" s="22" t="str">
        <f t="array" ref="K841">IF(H841="Crash",MATCH(TRUE, B842:B939 &gt;= B840, 0),"")</f>
        <v/>
      </c>
    </row>
    <row r="842" ht="15.75" customHeight="1">
      <c r="A842" s="31" t="str">
        <f>'EQUITY BACKTEST'!A845</f>
        <v/>
      </c>
      <c r="B842" s="22" t="str">
        <f>'EQUITY BACKTEST'!B845</f>
        <v/>
      </c>
      <c r="C842" s="22" t="str">
        <f>1/'EQUITY BACKTEST'!E845</f>
        <v>#DIV/0!</v>
      </c>
      <c r="D842" s="22" t="str">
        <f t="shared" si="5"/>
        <v>#DIV/0!</v>
      </c>
      <c r="E842" s="22" t="str">
        <f t="shared" si="3"/>
        <v/>
      </c>
      <c r="F842" s="22" t="str">
        <f t="shared" si="6"/>
        <v>#DIV/0!</v>
      </c>
      <c r="H842" s="22" t="str">
        <f t="shared" si="4"/>
        <v/>
      </c>
      <c r="I842" s="22" t="str">
        <f t="shared" si="1"/>
        <v>#N/A</v>
      </c>
      <c r="J842" s="22" t="str">
        <f t="shared" si="2"/>
        <v>#N/A</v>
      </c>
      <c r="K842" s="22" t="str">
        <f t="array" ref="K842">IF(H842="Crash",MATCH(TRUE, B843:B940 &gt;= B841, 0),"")</f>
        <v/>
      </c>
    </row>
    <row r="843" ht="15.75" customHeight="1">
      <c r="A843" s="31" t="str">
        <f>'EQUITY BACKTEST'!A846</f>
        <v/>
      </c>
      <c r="B843" s="22" t="str">
        <f>'EQUITY BACKTEST'!B846</f>
        <v/>
      </c>
      <c r="C843" s="22" t="str">
        <f>1/'EQUITY BACKTEST'!E846</f>
        <v>#DIV/0!</v>
      </c>
      <c r="D843" s="22" t="str">
        <f t="shared" si="5"/>
        <v>#DIV/0!</v>
      </c>
      <c r="E843" s="22" t="str">
        <f t="shared" si="3"/>
        <v/>
      </c>
      <c r="F843" s="22" t="str">
        <f t="shared" si="6"/>
        <v>#DIV/0!</v>
      </c>
      <c r="H843" s="22" t="str">
        <f t="shared" si="4"/>
        <v/>
      </c>
      <c r="I843" s="22" t="str">
        <f t="shared" si="1"/>
        <v>#N/A</v>
      </c>
      <c r="J843" s="22" t="str">
        <f t="shared" si="2"/>
        <v>#N/A</v>
      </c>
      <c r="K843" s="22" t="str">
        <f t="array" ref="K843">IF(H843="Crash",MATCH(TRUE, B844:B941 &gt;= B842, 0),"")</f>
        <v/>
      </c>
    </row>
    <row r="844" ht="15.75" customHeight="1">
      <c r="A844" s="31" t="str">
        <f>'EQUITY BACKTEST'!A847</f>
        <v/>
      </c>
      <c r="B844" s="22" t="str">
        <f>'EQUITY BACKTEST'!B847</f>
        <v/>
      </c>
      <c r="C844" s="22" t="str">
        <f>1/'EQUITY BACKTEST'!E847</f>
        <v>#DIV/0!</v>
      </c>
      <c r="D844" s="22" t="str">
        <f t="shared" si="5"/>
        <v>#DIV/0!</v>
      </c>
      <c r="E844" s="22" t="str">
        <f t="shared" si="3"/>
        <v/>
      </c>
      <c r="F844" s="22" t="str">
        <f t="shared" si="6"/>
        <v>#DIV/0!</v>
      </c>
      <c r="H844" s="22" t="str">
        <f t="shared" si="4"/>
        <v/>
      </c>
      <c r="I844" s="22" t="str">
        <f t="shared" si="1"/>
        <v>#N/A</v>
      </c>
      <c r="J844" s="22" t="str">
        <f t="shared" si="2"/>
        <v>#N/A</v>
      </c>
      <c r="K844" s="22" t="str">
        <f t="array" ref="K844">IF(H844="Crash",MATCH(TRUE, B845:B942 &gt;= B843, 0),"")</f>
        <v/>
      </c>
    </row>
    <row r="845" ht="15.75" customHeight="1">
      <c r="A845" s="31" t="str">
        <f>'EQUITY BACKTEST'!A848</f>
        <v/>
      </c>
      <c r="B845" s="22" t="str">
        <f>'EQUITY BACKTEST'!B848</f>
        <v/>
      </c>
      <c r="C845" s="22" t="str">
        <f>1/'EQUITY BACKTEST'!E848</f>
        <v>#DIV/0!</v>
      </c>
      <c r="D845" s="22" t="str">
        <f t="shared" si="5"/>
        <v>#DIV/0!</v>
      </c>
      <c r="E845" s="22" t="str">
        <f t="shared" si="3"/>
        <v/>
      </c>
      <c r="F845" s="22" t="str">
        <f t="shared" si="6"/>
        <v>#DIV/0!</v>
      </c>
      <c r="H845" s="22" t="str">
        <f t="shared" si="4"/>
        <v/>
      </c>
      <c r="I845" s="22" t="str">
        <f t="shared" si="1"/>
        <v>#N/A</v>
      </c>
      <c r="J845" s="22" t="str">
        <f t="shared" si="2"/>
        <v>#N/A</v>
      </c>
      <c r="K845" s="22" t="str">
        <f t="array" ref="K845">IF(H845="Crash",MATCH(TRUE, B846:B943 &gt;= B844, 0),"")</f>
        <v/>
      </c>
    </row>
    <row r="846" ht="15.75" customHeight="1">
      <c r="A846" s="31" t="str">
        <f>'EQUITY BACKTEST'!A849</f>
        <v/>
      </c>
      <c r="B846" s="22" t="str">
        <f>'EQUITY BACKTEST'!B849</f>
        <v/>
      </c>
      <c r="C846" s="22" t="str">
        <f>1/'EQUITY BACKTEST'!E849</f>
        <v>#DIV/0!</v>
      </c>
      <c r="D846" s="22" t="str">
        <f t="shared" si="5"/>
        <v>#DIV/0!</v>
      </c>
      <c r="E846" s="22" t="str">
        <f t="shared" si="3"/>
        <v/>
      </c>
      <c r="F846" s="22" t="str">
        <f t="shared" si="6"/>
        <v>#DIV/0!</v>
      </c>
      <c r="H846" s="22" t="str">
        <f t="shared" si="4"/>
        <v/>
      </c>
      <c r="I846" s="22" t="str">
        <f t="shared" si="1"/>
        <v>#N/A</v>
      </c>
      <c r="J846" s="22" t="str">
        <f t="shared" si="2"/>
        <v>#N/A</v>
      </c>
      <c r="K846" s="22" t="str">
        <f t="array" ref="K846">IF(H846="Crash",MATCH(TRUE, B847:B944 &gt;= B845, 0),"")</f>
        <v/>
      </c>
    </row>
    <row r="847" ht="15.75" customHeight="1">
      <c r="A847" s="31" t="str">
        <f>'EQUITY BACKTEST'!A850</f>
        <v/>
      </c>
      <c r="B847" s="22" t="str">
        <f>'EQUITY BACKTEST'!B850</f>
        <v/>
      </c>
      <c r="C847" s="22" t="str">
        <f>1/'EQUITY BACKTEST'!E850</f>
        <v>#DIV/0!</v>
      </c>
      <c r="D847" s="22" t="str">
        <f t="shared" si="5"/>
        <v>#DIV/0!</v>
      </c>
      <c r="E847" s="22" t="str">
        <f t="shared" si="3"/>
        <v/>
      </c>
      <c r="F847" s="22" t="str">
        <f t="shared" si="6"/>
        <v>#DIV/0!</v>
      </c>
      <c r="H847" s="22" t="str">
        <f t="shared" si="4"/>
        <v/>
      </c>
      <c r="I847" s="22" t="str">
        <f t="shared" si="1"/>
        <v>#N/A</v>
      </c>
      <c r="J847" s="22" t="str">
        <f t="shared" si="2"/>
        <v>#N/A</v>
      </c>
      <c r="K847" s="22" t="str">
        <f t="array" ref="K847">IF(H847="Crash",MATCH(TRUE, B848:B945 &gt;= B846, 0),"")</f>
        <v/>
      </c>
    </row>
    <row r="848" ht="15.75" customHeight="1">
      <c r="A848" s="31" t="str">
        <f>'EQUITY BACKTEST'!A851</f>
        <v/>
      </c>
      <c r="B848" s="22" t="str">
        <f>'EQUITY BACKTEST'!B851</f>
        <v/>
      </c>
      <c r="C848" s="22" t="str">
        <f>1/'EQUITY BACKTEST'!E851</f>
        <v>#DIV/0!</v>
      </c>
      <c r="D848" s="22" t="str">
        <f t="shared" si="5"/>
        <v>#DIV/0!</v>
      </c>
      <c r="E848" s="22" t="str">
        <f t="shared" si="3"/>
        <v/>
      </c>
      <c r="F848" s="22" t="str">
        <f t="shared" si="6"/>
        <v>#DIV/0!</v>
      </c>
      <c r="H848" s="22" t="str">
        <f t="shared" si="4"/>
        <v/>
      </c>
      <c r="I848" s="22" t="str">
        <f t="shared" si="1"/>
        <v>#N/A</v>
      </c>
      <c r="J848" s="22" t="str">
        <f t="shared" si="2"/>
        <v>#N/A</v>
      </c>
      <c r="K848" s="22" t="str">
        <f t="array" ref="K848">IF(H848="Crash",MATCH(TRUE, B849:B946 &gt;= B847, 0),"")</f>
        <v/>
      </c>
    </row>
    <row r="849" ht="15.75" customHeight="1">
      <c r="A849" s="31" t="str">
        <f>'EQUITY BACKTEST'!A852</f>
        <v/>
      </c>
      <c r="B849" s="22" t="str">
        <f>'EQUITY BACKTEST'!B852</f>
        <v/>
      </c>
      <c r="C849" s="22" t="str">
        <f>1/'EQUITY BACKTEST'!E852</f>
        <v>#DIV/0!</v>
      </c>
      <c r="D849" s="22" t="str">
        <f t="shared" si="5"/>
        <v>#DIV/0!</v>
      </c>
      <c r="E849" s="22" t="str">
        <f t="shared" si="3"/>
        <v/>
      </c>
      <c r="F849" s="22" t="str">
        <f t="shared" si="6"/>
        <v>#DIV/0!</v>
      </c>
      <c r="H849" s="22" t="str">
        <f t="shared" si="4"/>
        <v/>
      </c>
      <c r="I849" s="22" t="str">
        <f t="shared" si="1"/>
        <v>#N/A</v>
      </c>
      <c r="J849" s="22" t="str">
        <f t="shared" si="2"/>
        <v>#N/A</v>
      </c>
      <c r="K849" s="22" t="str">
        <f t="array" ref="K849">IF(H849="Crash",MATCH(TRUE, B850:B947 &gt;= B848, 0),"")</f>
        <v/>
      </c>
    </row>
    <row r="850" ht="15.75" customHeight="1">
      <c r="A850" s="31" t="str">
        <f>'EQUITY BACKTEST'!A853</f>
        <v/>
      </c>
      <c r="B850" s="22" t="str">
        <f>'EQUITY BACKTEST'!B853</f>
        <v/>
      </c>
      <c r="C850" s="22" t="str">
        <f>1/'EQUITY BACKTEST'!E853</f>
        <v>#DIV/0!</v>
      </c>
      <c r="D850" s="22" t="str">
        <f t="shared" si="5"/>
        <v>#DIV/0!</v>
      </c>
      <c r="E850" s="22" t="str">
        <f t="shared" si="3"/>
        <v/>
      </c>
      <c r="F850" s="22" t="str">
        <f t="shared" si="6"/>
        <v>#DIV/0!</v>
      </c>
      <c r="H850" s="22" t="str">
        <f t="shared" si="4"/>
        <v/>
      </c>
      <c r="I850" s="22" t="str">
        <f t="shared" si="1"/>
        <v>#N/A</v>
      </c>
      <c r="J850" s="22" t="str">
        <f t="shared" si="2"/>
        <v>#N/A</v>
      </c>
      <c r="K850" s="22" t="str">
        <f t="array" ref="K850">IF(H850="Crash",MATCH(TRUE, B851:B948 &gt;= B849, 0),"")</f>
        <v/>
      </c>
    </row>
    <row r="851" ht="15.75" customHeight="1">
      <c r="A851" s="31" t="str">
        <f>'EQUITY BACKTEST'!A854</f>
        <v/>
      </c>
      <c r="B851" s="22" t="str">
        <f>'EQUITY BACKTEST'!B854</f>
        <v/>
      </c>
      <c r="C851" s="22" t="str">
        <f>1/'EQUITY BACKTEST'!E854</f>
        <v>#DIV/0!</v>
      </c>
      <c r="D851" s="22" t="str">
        <f t="shared" si="5"/>
        <v>#DIV/0!</v>
      </c>
      <c r="E851" s="22" t="str">
        <f t="shared" si="3"/>
        <v/>
      </c>
      <c r="F851" s="22" t="str">
        <f t="shared" si="6"/>
        <v>#DIV/0!</v>
      </c>
      <c r="H851" s="22" t="str">
        <f t="shared" si="4"/>
        <v/>
      </c>
      <c r="I851" s="22" t="str">
        <f t="shared" si="1"/>
        <v>#N/A</v>
      </c>
      <c r="J851" s="22" t="str">
        <f t="shared" si="2"/>
        <v>#N/A</v>
      </c>
      <c r="K851" s="22" t="str">
        <f t="array" ref="K851">IF(H851="Crash",MATCH(TRUE, B852:B949 &gt;= B850, 0),"")</f>
        <v/>
      </c>
    </row>
    <row r="852" ht="15.75" customHeight="1">
      <c r="A852" s="31" t="str">
        <f>'EQUITY BACKTEST'!A855</f>
        <v/>
      </c>
      <c r="B852" s="22" t="str">
        <f>'EQUITY BACKTEST'!B855</f>
        <v/>
      </c>
      <c r="C852" s="22" t="str">
        <f>1/'EQUITY BACKTEST'!E855</f>
        <v>#DIV/0!</v>
      </c>
      <c r="D852" s="22" t="str">
        <f t="shared" si="5"/>
        <v>#DIV/0!</v>
      </c>
      <c r="E852" s="22" t="str">
        <f t="shared" si="3"/>
        <v/>
      </c>
      <c r="F852" s="22" t="str">
        <f t="shared" si="6"/>
        <v>#DIV/0!</v>
      </c>
      <c r="H852" s="22" t="str">
        <f t="shared" si="4"/>
        <v/>
      </c>
      <c r="I852" s="22" t="str">
        <f t="shared" si="1"/>
        <v>#N/A</v>
      </c>
      <c r="J852" s="22" t="str">
        <f t="shared" si="2"/>
        <v>#N/A</v>
      </c>
      <c r="K852" s="22" t="str">
        <f t="array" ref="K852">IF(H852="Crash",MATCH(TRUE, B853:B950 &gt;= B851, 0),"")</f>
        <v/>
      </c>
    </row>
    <row r="853" ht="15.75" customHeight="1">
      <c r="A853" s="31" t="str">
        <f>'EQUITY BACKTEST'!A856</f>
        <v/>
      </c>
      <c r="B853" s="22" t="str">
        <f>'EQUITY BACKTEST'!B856</f>
        <v/>
      </c>
      <c r="C853" s="22" t="str">
        <f>1/'EQUITY BACKTEST'!E856</f>
        <v>#DIV/0!</v>
      </c>
      <c r="D853" s="22" t="str">
        <f t="shared" si="5"/>
        <v>#DIV/0!</v>
      </c>
      <c r="E853" s="22" t="str">
        <f t="shared" si="3"/>
        <v/>
      </c>
      <c r="F853" s="22" t="str">
        <f t="shared" si="6"/>
        <v>#DIV/0!</v>
      </c>
      <c r="H853" s="22" t="str">
        <f t="shared" si="4"/>
        <v/>
      </c>
      <c r="I853" s="22" t="str">
        <f t="shared" si="1"/>
        <v>#N/A</v>
      </c>
      <c r="J853" s="22" t="str">
        <f t="shared" si="2"/>
        <v>#N/A</v>
      </c>
      <c r="K853" s="22" t="str">
        <f t="array" ref="K853">IF(H853="Crash",MATCH(TRUE, B854:B951 &gt;= B852, 0),"")</f>
        <v/>
      </c>
    </row>
    <row r="854" ht="15.75" customHeight="1">
      <c r="A854" s="31" t="str">
        <f>'EQUITY BACKTEST'!A857</f>
        <v/>
      </c>
      <c r="B854" s="22" t="str">
        <f>'EQUITY BACKTEST'!B857</f>
        <v/>
      </c>
      <c r="C854" s="22" t="str">
        <f>1/'EQUITY BACKTEST'!E857</f>
        <v>#DIV/0!</v>
      </c>
      <c r="D854" s="22" t="str">
        <f t="shared" si="5"/>
        <v>#DIV/0!</v>
      </c>
      <c r="E854" s="22" t="str">
        <f t="shared" si="3"/>
        <v/>
      </c>
      <c r="F854" s="22" t="str">
        <f t="shared" si="6"/>
        <v>#DIV/0!</v>
      </c>
      <c r="H854" s="22" t="str">
        <f t="shared" si="4"/>
        <v/>
      </c>
      <c r="I854" s="22" t="str">
        <f t="shared" si="1"/>
        <v>#N/A</v>
      </c>
      <c r="J854" s="22" t="str">
        <f t="shared" si="2"/>
        <v>#N/A</v>
      </c>
      <c r="K854" s="22" t="str">
        <f t="array" ref="K854">IF(H854="Crash",MATCH(TRUE, B855:B952 &gt;= B853, 0),"")</f>
        <v/>
      </c>
    </row>
    <row r="855" ht="15.75" customHeight="1">
      <c r="A855" s="31" t="str">
        <f>'EQUITY BACKTEST'!A858</f>
        <v/>
      </c>
      <c r="B855" s="22" t="str">
        <f>'EQUITY BACKTEST'!B858</f>
        <v/>
      </c>
      <c r="C855" s="22" t="str">
        <f>1/'EQUITY BACKTEST'!E858</f>
        <v>#DIV/0!</v>
      </c>
      <c r="D855" s="22" t="str">
        <f t="shared" si="5"/>
        <v>#DIV/0!</v>
      </c>
      <c r="E855" s="22" t="str">
        <f t="shared" si="3"/>
        <v/>
      </c>
      <c r="F855" s="22" t="str">
        <f t="shared" si="6"/>
        <v>#DIV/0!</v>
      </c>
      <c r="H855" s="22" t="str">
        <f t="shared" si="4"/>
        <v/>
      </c>
      <c r="I855" s="22" t="str">
        <f t="shared" si="1"/>
        <v>#N/A</v>
      </c>
      <c r="J855" s="22" t="str">
        <f t="shared" si="2"/>
        <v>#N/A</v>
      </c>
      <c r="K855" s="22" t="str">
        <f t="array" ref="K855">IF(H855="Crash",MATCH(TRUE, B856:B953 &gt;= B854, 0),"")</f>
        <v/>
      </c>
    </row>
    <row r="856" ht="15.75" customHeight="1">
      <c r="A856" s="31" t="str">
        <f>'EQUITY BACKTEST'!A859</f>
        <v/>
      </c>
      <c r="B856" s="22" t="str">
        <f>'EQUITY BACKTEST'!B859</f>
        <v/>
      </c>
      <c r="C856" s="22" t="str">
        <f>1/'EQUITY BACKTEST'!E859</f>
        <v>#DIV/0!</v>
      </c>
      <c r="D856" s="22" t="str">
        <f t="shared" si="5"/>
        <v>#DIV/0!</v>
      </c>
      <c r="E856" s="22" t="str">
        <f t="shared" si="3"/>
        <v/>
      </c>
      <c r="F856" s="22" t="str">
        <f t="shared" si="6"/>
        <v>#DIV/0!</v>
      </c>
      <c r="H856" s="22" t="str">
        <f t="shared" si="4"/>
        <v/>
      </c>
      <c r="I856" s="22" t="str">
        <f t="shared" si="1"/>
        <v>#N/A</v>
      </c>
      <c r="J856" s="22" t="str">
        <f t="shared" si="2"/>
        <v>#N/A</v>
      </c>
      <c r="K856" s="22" t="str">
        <f t="array" ref="K856">IF(H856="Crash",MATCH(TRUE, B857:B954 &gt;= B855, 0),"")</f>
        <v/>
      </c>
    </row>
    <row r="857" ht="15.75" customHeight="1">
      <c r="A857" s="31" t="str">
        <f>'EQUITY BACKTEST'!A860</f>
        <v/>
      </c>
      <c r="B857" s="22" t="str">
        <f>'EQUITY BACKTEST'!B860</f>
        <v/>
      </c>
      <c r="C857" s="22" t="str">
        <f>1/'EQUITY BACKTEST'!E860</f>
        <v>#DIV/0!</v>
      </c>
      <c r="D857" s="22" t="str">
        <f t="shared" si="5"/>
        <v>#DIV/0!</v>
      </c>
      <c r="E857" s="22" t="str">
        <f t="shared" si="3"/>
        <v/>
      </c>
      <c r="F857" s="22" t="str">
        <f t="shared" si="6"/>
        <v>#DIV/0!</v>
      </c>
      <c r="H857" s="22" t="str">
        <f t="shared" si="4"/>
        <v/>
      </c>
      <c r="I857" s="22" t="str">
        <f t="shared" si="1"/>
        <v>#N/A</v>
      </c>
      <c r="J857" s="22" t="str">
        <f t="shared" si="2"/>
        <v>#N/A</v>
      </c>
      <c r="K857" s="22" t="str">
        <f t="array" ref="K857">IF(H857="Crash",MATCH(TRUE, B858:B955 &gt;= B856, 0),"")</f>
        <v/>
      </c>
    </row>
    <row r="858" ht="15.75" customHeight="1">
      <c r="A858" s="31" t="str">
        <f>'EQUITY BACKTEST'!A861</f>
        <v/>
      </c>
      <c r="B858" s="22" t="str">
        <f>'EQUITY BACKTEST'!B861</f>
        <v/>
      </c>
      <c r="C858" s="22" t="str">
        <f>1/'EQUITY BACKTEST'!E861</f>
        <v>#DIV/0!</v>
      </c>
      <c r="D858" s="22" t="str">
        <f t="shared" si="5"/>
        <v>#DIV/0!</v>
      </c>
      <c r="E858" s="22" t="str">
        <f t="shared" si="3"/>
        <v/>
      </c>
      <c r="F858" s="22" t="str">
        <f t="shared" si="6"/>
        <v>#DIV/0!</v>
      </c>
      <c r="H858" s="22" t="str">
        <f t="shared" si="4"/>
        <v/>
      </c>
      <c r="I858" s="22" t="str">
        <f t="shared" si="1"/>
        <v>#N/A</v>
      </c>
      <c r="J858" s="22" t="str">
        <f t="shared" si="2"/>
        <v>#N/A</v>
      </c>
      <c r="K858" s="22" t="str">
        <f t="array" ref="K858">IF(H858="Crash",MATCH(TRUE, B859:B956 &gt;= B857, 0),"")</f>
        <v/>
      </c>
    </row>
    <row r="859" ht="15.75" customHeight="1">
      <c r="A859" s="31" t="str">
        <f>'EQUITY BACKTEST'!A862</f>
        <v/>
      </c>
      <c r="B859" s="22" t="str">
        <f>'EQUITY BACKTEST'!B862</f>
        <v/>
      </c>
      <c r="C859" s="22" t="str">
        <f>1/'EQUITY BACKTEST'!E862</f>
        <v>#DIV/0!</v>
      </c>
      <c r="D859" s="22" t="str">
        <f t="shared" si="5"/>
        <v>#DIV/0!</v>
      </c>
      <c r="E859" s="22" t="str">
        <f t="shared" si="3"/>
        <v/>
      </c>
      <c r="F859" s="22" t="str">
        <f t="shared" si="6"/>
        <v>#DIV/0!</v>
      </c>
      <c r="H859" s="22" t="str">
        <f t="shared" si="4"/>
        <v/>
      </c>
      <c r="I859" s="22" t="str">
        <f t="shared" si="1"/>
        <v>#N/A</v>
      </c>
      <c r="J859" s="22" t="str">
        <f t="shared" si="2"/>
        <v>#N/A</v>
      </c>
      <c r="K859" s="22" t="str">
        <f t="array" ref="K859">IF(H859="Crash",MATCH(TRUE, B860:B957 &gt;= B858, 0),"")</f>
        <v/>
      </c>
    </row>
    <row r="860" ht="15.75" customHeight="1">
      <c r="A860" s="31" t="str">
        <f>'EQUITY BACKTEST'!A863</f>
        <v/>
      </c>
      <c r="B860" s="22" t="str">
        <f>'EQUITY BACKTEST'!B863</f>
        <v/>
      </c>
      <c r="C860" s="22" t="str">
        <f>1/'EQUITY BACKTEST'!E863</f>
        <v>#DIV/0!</v>
      </c>
      <c r="D860" s="22" t="str">
        <f t="shared" si="5"/>
        <v>#DIV/0!</v>
      </c>
      <c r="E860" s="22" t="str">
        <f t="shared" si="3"/>
        <v/>
      </c>
      <c r="F860" s="22" t="str">
        <f t="shared" si="6"/>
        <v>#DIV/0!</v>
      </c>
      <c r="H860" s="22" t="str">
        <f t="shared" si="4"/>
        <v/>
      </c>
      <c r="I860" s="22" t="str">
        <f t="shared" si="1"/>
        <v>#N/A</v>
      </c>
      <c r="J860" s="22" t="str">
        <f t="shared" si="2"/>
        <v>#N/A</v>
      </c>
      <c r="K860" s="22" t="str">
        <f t="array" ref="K860">IF(H860="Crash",MATCH(TRUE, B861:B958 &gt;= B859, 0),"")</f>
        <v/>
      </c>
    </row>
    <row r="861" ht="15.75" customHeight="1">
      <c r="A861" s="31" t="str">
        <f>'EQUITY BACKTEST'!A864</f>
        <v/>
      </c>
      <c r="B861" s="22" t="str">
        <f>'EQUITY BACKTEST'!B864</f>
        <v/>
      </c>
      <c r="C861" s="22" t="str">
        <f>1/'EQUITY BACKTEST'!E864</f>
        <v>#DIV/0!</v>
      </c>
      <c r="D861" s="22" t="str">
        <f t="shared" si="5"/>
        <v>#DIV/0!</v>
      </c>
      <c r="E861" s="22" t="str">
        <f t="shared" si="3"/>
        <v/>
      </c>
      <c r="F861" s="22" t="str">
        <f t="shared" si="6"/>
        <v>#DIV/0!</v>
      </c>
      <c r="H861" s="22" t="str">
        <f t="shared" si="4"/>
        <v/>
      </c>
      <c r="I861" s="22" t="str">
        <f t="shared" si="1"/>
        <v>#N/A</v>
      </c>
      <c r="J861" s="22" t="str">
        <f t="shared" si="2"/>
        <v>#N/A</v>
      </c>
      <c r="K861" s="22" t="str">
        <f t="array" ref="K861">IF(H861="Crash",MATCH(TRUE, B862:B959 &gt;= B860, 0),"")</f>
        <v/>
      </c>
    </row>
    <row r="862" ht="15.75" customHeight="1">
      <c r="A862" s="31" t="str">
        <f>'EQUITY BACKTEST'!A865</f>
        <v/>
      </c>
      <c r="B862" s="22" t="str">
        <f>'EQUITY BACKTEST'!B865</f>
        <v/>
      </c>
      <c r="C862" s="22" t="str">
        <f>1/'EQUITY BACKTEST'!E865</f>
        <v>#DIV/0!</v>
      </c>
      <c r="D862" s="22" t="str">
        <f t="shared" si="5"/>
        <v>#DIV/0!</v>
      </c>
      <c r="E862" s="22" t="str">
        <f t="shared" si="3"/>
        <v/>
      </c>
      <c r="F862" s="22" t="str">
        <f t="shared" si="6"/>
        <v>#DIV/0!</v>
      </c>
      <c r="H862" s="22" t="str">
        <f t="shared" si="4"/>
        <v/>
      </c>
      <c r="I862" s="22" t="str">
        <f t="shared" si="1"/>
        <v>#N/A</v>
      </c>
      <c r="J862" s="22" t="str">
        <f t="shared" si="2"/>
        <v>#N/A</v>
      </c>
      <c r="K862" s="22" t="str">
        <f t="array" ref="K862">IF(H862="Crash",MATCH(TRUE, B863:B960 &gt;= B861, 0),"")</f>
        <v/>
      </c>
    </row>
    <row r="863" ht="15.75" customHeight="1">
      <c r="A863" s="31" t="str">
        <f>'EQUITY BACKTEST'!A866</f>
        <v/>
      </c>
      <c r="B863" s="22" t="str">
        <f>'EQUITY BACKTEST'!B866</f>
        <v/>
      </c>
      <c r="C863" s="22" t="str">
        <f>1/'EQUITY BACKTEST'!E866</f>
        <v>#DIV/0!</v>
      </c>
      <c r="D863" s="22" t="str">
        <f t="shared" si="5"/>
        <v>#DIV/0!</v>
      </c>
      <c r="E863" s="22" t="str">
        <f t="shared" si="3"/>
        <v/>
      </c>
      <c r="F863" s="22" t="str">
        <f t="shared" si="6"/>
        <v>#DIV/0!</v>
      </c>
      <c r="H863" s="22" t="str">
        <f t="shared" si="4"/>
        <v/>
      </c>
      <c r="I863" s="22" t="str">
        <f t="shared" si="1"/>
        <v>#N/A</v>
      </c>
      <c r="J863" s="22" t="str">
        <f t="shared" si="2"/>
        <v>#N/A</v>
      </c>
      <c r="K863" s="22" t="str">
        <f t="array" ref="K863">IF(H863="Crash",MATCH(TRUE, B864:B961 &gt;= B862, 0),"")</f>
        <v/>
      </c>
    </row>
    <row r="864" ht="15.75" customHeight="1">
      <c r="A864" s="31" t="str">
        <f>'EQUITY BACKTEST'!A867</f>
        <v/>
      </c>
      <c r="B864" s="22" t="str">
        <f>'EQUITY BACKTEST'!B867</f>
        <v/>
      </c>
      <c r="C864" s="22" t="str">
        <f>1/'EQUITY BACKTEST'!E867</f>
        <v>#DIV/0!</v>
      </c>
      <c r="D864" s="22" t="str">
        <f t="shared" si="5"/>
        <v>#DIV/0!</v>
      </c>
      <c r="E864" s="22" t="str">
        <f t="shared" si="3"/>
        <v/>
      </c>
      <c r="F864" s="22" t="str">
        <f t="shared" si="6"/>
        <v>#DIV/0!</v>
      </c>
      <c r="H864" s="22" t="str">
        <f t="shared" si="4"/>
        <v/>
      </c>
      <c r="I864" s="22" t="str">
        <f t="shared" si="1"/>
        <v>#N/A</v>
      </c>
      <c r="J864" s="22" t="str">
        <f t="shared" si="2"/>
        <v>#N/A</v>
      </c>
      <c r="K864" s="22" t="str">
        <f t="array" ref="K864">IF(H864="Crash",MATCH(TRUE, B865:B962 &gt;= B863, 0),"")</f>
        <v/>
      </c>
    </row>
    <row r="865" ht="15.75" customHeight="1">
      <c r="A865" s="31" t="str">
        <f>'EQUITY BACKTEST'!A868</f>
        <v/>
      </c>
      <c r="B865" s="22" t="str">
        <f>'EQUITY BACKTEST'!B868</f>
        <v/>
      </c>
      <c r="C865" s="22" t="str">
        <f>1/'EQUITY BACKTEST'!E868</f>
        <v>#DIV/0!</v>
      </c>
      <c r="D865" s="22" t="str">
        <f t="shared" si="5"/>
        <v>#DIV/0!</v>
      </c>
      <c r="E865" s="22" t="str">
        <f t="shared" si="3"/>
        <v/>
      </c>
      <c r="F865" s="22" t="str">
        <f t="shared" si="6"/>
        <v>#DIV/0!</v>
      </c>
      <c r="H865" s="22" t="str">
        <f t="shared" si="4"/>
        <v/>
      </c>
      <c r="I865" s="22" t="str">
        <f t="shared" si="1"/>
        <v>#N/A</v>
      </c>
      <c r="J865" s="22" t="str">
        <f t="shared" si="2"/>
        <v>#N/A</v>
      </c>
      <c r="K865" s="22" t="str">
        <f t="array" ref="K865">IF(H865="Crash",MATCH(TRUE, B866:B963 &gt;= B864, 0),"")</f>
        <v/>
      </c>
    </row>
    <row r="866" ht="15.75" customHeight="1">
      <c r="A866" s="31" t="str">
        <f>'EQUITY BACKTEST'!A869</f>
        <v/>
      </c>
      <c r="B866" s="22" t="str">
        <f>'EQUITY BACKTEST'!B869</f>
        <v/>
      </c>
      <c r="C866" s="22" t="str">
        <f>1/'EQUITY BACKTEST'!E869</f>
        <v>#DIV/0!</v>
      </c>
      <c r="D866" s="22" t="str">
        <f t="shared" si="5"/>
        <v>#DIV/0!</v>
      </c>
      <c r="E866" s="22" t="str">
        <f t="shared" si="3"/>
        <v/>
      </c>
      <c r="F866" s="22" t="str">
        <f t="shared" si="6"/>
        <v>#DIV/0!</v>
      </c>
      <c r="H866" s="22" t="str">
        <f t="shared" si="4"/>
        <v/>
      </c>
      <c r="I866" s="22" t="str">
        <f t="shared" si="1"/>
        <v>#N/A</v>
      </c>
      <c r="J866" s="22" t="str">
        <f t="shared" si="2"/>
        <v>#N/A</v>
      </c>
      <c r="K866" s="22" t="str">
        <f t="array" ref="K866">IF(H866="Crash",MATCH(TRUE, B867:B964 &gt;= B865, 0),"")</f>
        <v/>
      </c>
    </row>
    <row r="867" ht="15.75" customHeight="1">
      <c r="A867" s="31" t="str">
        <f>'EQUITY BACKTEST'!A870</f>
        <v/>
      </c>
      <c r="B867" s="22" t="str">
        <f>'EQUITY BACKTEST'!B870</f>
        <v/>
      </c>
      <c r="C867" s="22" t="str">
        <f>1/'EQUITY BACKTEST'!E870</f>
        <v>#DIV/0!</v>
      </c>
      <c r="D867" s="22" t="str">
        <f t="shared" si="5"/>
        <v>#DIV/0!</v>
      </c>
      <c r="E867" s="22" t="str">
        <f t="shared" si="3"/>
        <v/>
      </c>
      <c r="F867" s="22" t="str">
        <f t="shared" si="6"/>
        <v>#DIV/0!</v>
      </c>
      <c r="H867" s="22" t="str">
        <f t="shared" si="4"/>
        <v/>
      </c>
      <c r="I867" s="22" t="str">
        <f t="shared" si="1"/>
        <v>#N/A</v>
      </c>
      <c r="J867" s="22" t="str">
        <f t="shared" si="2"/>
        <v>#N/A</v>
      </c>
      <c r="K867" s="22" t="str">
        <f t="array" ref="K867">IF(H867="Crash",MATCH(TRUE, B868:B965 &gt;= B866, 0),"")</f>
        <v/>
      </c>
    </row>
    <row r="868" ht="15.75" customHeight="1">
      <c r="A868" s="31" t="str">
        <f>'EQUITY BACKTEST'!A871</f>
        <v/>
      </c>
      <c r="B868" s="22" t="str">
        <f>'EQUITY BACKTEST'!B871</f>
        <v/>
      </c>
      <c r="C868" s="22" t="str">
        <f>1/'EQUITY BACKTEST'!E871</f>
        <v>#DIV/0!</v>
      </c>
      <c r="D868" s="22" t="str">
        <f t="shared" si="5"/>
        <v>#DIV/0!</v>
      </c>
      <c r="E868" s="22" t="str">
        <f t="shared" si="3"/>
        <v/>
      </c>
      <c r="F868" s="22" t="str">
        <f t="shared" si="6"/>
        <v>#DIV/0!</v>
      </c>
      <c r="H868" s="22" t="str">
        <f t="shared" si="4"/>
        <v/>
      </c>
      <c r="I868" s="22" t="str">
        <f t="shared" si="1"/>
        <v>#N/A</v>
      </c>
      <c r="J868" s="22" t="str">
        <f t="shared" si="2"/>
        <v>#N/A</v>
      </c>
      <c r="K868" s="22" t="str">
        <f t="array" ref="K868">IF(H868="Crash",MATCH(TRUE, B869:B966 &gt;= B867, 0),"")</f>
        <v/>
      </c>
    </row>
    <row r="869" ht="15.75" customHeight="1">
      <c r="A869" s="31" t="str">
        <f>'EQUITY BACKTEST'!A872</f>
        <v/>
      </c>
      <c r="B869" s="22" t="str">
        <f>'EQUITY BACKTEST'!B872</f>
        <v/>
      </c>
      <c r="C869" s="22" t="str">
        <f>1/'EQUITY BACKTEST'!E872</f>
        <v>#DIV/0!</v>
      </c>
      <c r="D869" s="22" t="str">
        <f t="shared" si="5"/>
        <v>#DIV/0!</v>
      </c>
      <c r="E869" s="22" t="str">
        <f t="shared" si="3"/>
        <v/>
      </c>
      <c r="F869" s="22" t="str">
        <f t="shared" si="6"/>
        <v>#DIV/0!</v>
      </c>
      <c r="H869" s="22" t="str">
        <f t="shared" si="4"/>
        <v/>
      </c>
      <c r="I869" s="22" t="str">
        <f t="shared" si="1"/>
        <v>#N/A</v>
      </c>
      <c r="J869" s="22" t="str">
        <f t="shared" si="2"/>
        <v>#N/A</v>
      </c>
      <c r="K869" s="22" t="str">
        <f t="array" ref="K869">IF(H869="Crash",MATCH(TRUE, B870:B967 &gt;= B868, 0),"")</f>
        <v/>
      </c>
    </row>
    <row r="870" ht="15.75" customHeight="1">
      <c r="A870" s="31" t="str">
        <f>'EQUITY BACKTEST'!A873</f>
        <v/>
      </c>
      <c r="B870" s="22" t="str">
        <f>'EQUITY BACKTEST'!B873</f>
        <v/>
      </c>
      <c r="C870" s="22" t="str">
        <f>1/'EQUITY BACKTEST'!E873</f>
        <v>#DIV/0!</v>
      </c>
      <c r="D870" s="22" t="str">
        <f t="shared" si="5"/>
        <v>#DIV/0!</v>
      </c>
      <c r="E870" s="22" t="str">
        <f t="shared" si="3"/>
        <v/>
      </c>
      <c r="F870" s="22" t="str">
        <f t="shared" si="6"/>
        <v>#DIV/0!</v>
      </c>
      <c r="H870" s="22" t="str">
        <f t="shared" si="4"/>
        <v/>
      </c>
      <c r="I870" s="22" t="str">
        <f t="shared" si="1"/>
        <v>#N/A</v>
      </c>
      <c r="J870" s="22" t="str">
        <f t="shared" si="2"/>
        <v>#N/A</v>
      </c>
      <c r="K870" s="22" t="str">
        <f t="array" ref="K870">IF(H870="Crash",MATCH(TRUE, B871:B968 &gt;= B869, 0),"")</f>
        <v/>
      </c>
    </row>
    <row r="871" ht="15.75" customHeight="1">
      <c r="A871" s="31" t="str">
        <f>'EQUITY BACKTEST'!A874</f>
        <v/>
      </c>
      <c r="B871" s="22" t="str">
        <f>'EQUITY BACKTEST'!B874</f>
        <v/>
      </c>
      <c r="C871" s="22" t="str">
        <f>1/'EQUITY BACKTEST'!E874</f>
        <v>#DIV/0!</v>
      </c>
      <c r="D871" s="22" t="str">
        <f t="shared" si="5"/>
        <v>#DIV/0!</v>
      </c>
      <c r="E871" s="22" t="str">
        <f t="shared" si="3"/>
        <v/>
      </c>
      <c r="F871" s="22" t="str">
        <f t="shared" si="6"/>
        <v>#DIV/0!</v>
      </c>
      <c r="H871" s="22" t="str">
        <f t="shared" si="4"/>
        <v/>
      </c>
      <c r="I871" s="22" t="str">
        <f t="shared" si="1"/>
        <v>#N/A</v>
      </c>
      <c r="J871" s="22" t="str">
        <f t="shared" si="2"/>
        <v>#N/A</v>
      </c>
      <c r="K871" s="22" t="str">
        <f t="array" ref="K871">IF(H871="Crash",MATCH(TRUE, B872:B969 &gt;= B870, 0),"")</f>
        <v/>
      </c>
    </row>
    <row r="872" ht="15.75" customHeight="1">
      <c r="A872" s="31" t="str">
        <f>'EQUITY BACKTEST'!A875</f>
        <v/>
      </c>
      <c r="B872" s="22" t="str">
        <f>'EQUITY BACKTEST'!B875</f>
        <v/>
      </c>
      <c r="C872" s="22" t="str">
        <f>1/'EQUITY BACKTEST'!E875</f>
        <v>#DIV/0!</v>
      </c>
      <c r="D872" s="22" t="str">
        <f t="shared" si="5"/>
        <v>#DIV/0!</v>
      </c>
      <c r="E872" s="22" t="str">
        <f t="shared" si="3"/>
        <v/>
      </c>
      <c r="F872" s="22" t="str">
        <f t="shared" si="6"/>
        <v>#DIV/0!</v>
      </c>
      <c r="H872" s="22" t="str">
        <f t="shared" si="4"/>
        <v/>
      </c>
      <c r="I872" s="22" t="str">
        <f t="shared" si="1"/>
        <v>#N/A</v>
      </c>
      <c r="J872" s="22" t="str">
        <f t="shared" si="2"/>
        <v>#N/A</v>
      </c>
      <c r="K872" s="22" t="str">
        <f t="array" ref="K872">IF(H872="Crash",MATCH(TRUE, B873:B970 &gt;= B871, 0),"")</f>
        <v/>
      </c>
    </row>
    <row r="873" ht="15.75" customHeight="1">
      <c r="A873" s="31" t="str">
        <f>'EQUITY BACKTEST'!A876</f>
        <v/>
      </c>
      <c r="B873" s="22" t="str">
        <f>'EQUITY BACKTEST'!B876</f>
        <v/>
      </c>
      <c r="C873" s="22" t="str">
        <f>1/'EQUITY BACKTEST'!E876</f>
        <v>#DIV/0!</v>
      </c>
      <c r="D873" s="22" t="str">
        <f t="shared" si="5"/>
        <v>#DIV/0!</v>
      </c>
      <c r="E873" s="22" t="str">
        <f t="shared" si="3"/>
        <v/>
      </c>
      <c r="F873" s="22" t="str">
        <f t="shared" si="6"/>
        <v>#DIV/0!</v>
      </c>
      <c r="H873" s="22" t="str">
        <f t="shared" si="4"/>
        <v/>
      </c>
      <c r="I873" s="22" t="str">
        <f t="shared" si="1"/>
        <v>#N/A</v>
      </c>
      <c r="J873" s="22" t="str">
        <f t="shared" si="2"/>
        <v>#N/A</v>
      </c>
      <c r="K873" s="22" t="str">
        <f t="array" ref="K873">IF(H873="Crash",MATCH(TRUE, B874:B971 &gt;= B872, 0),"")</f>
        <v/>
      </c>
    </row>
    <row r="874" ht="15.75" customHeight="1">
      <c r="A874" s="31" t="str">
        <f>'EQUITY BACKTEST'!A877</f>
        <v/>
      </c>
      <c r="B874" s="22" t="str">
        <f>'EQUITY BACKTEST'!B877</f>
        <v/>
      </c>
      <c r="C874" s="22" t="str">
        <f>1/'EQUITY BACKTEST'!E877</f>
        <v>#DIV/0!</v>
      </c>
      <c r="D874" s="22" t="str">
        <f t="shared" si="5"/>
        <v>#DIV/0!</v>
      </c>
      <c r="E874" s="22" t="str">
        <f t="shared" si="3"/>
        <v/>
      </c>
      <c r="F874" s="22" t="str">
        <f t="shared" si="6"/>
        <v>#DIV/0!</v>
      </c>
      <c r="H874" s="22" t="str">
        <f t="shared" si="4"/>
        <v/>
      </c>
      <c r="I874" s="22" t="str">
        <f t="shared" si="1"/>
        <v>#N/A</v>
      </c>
      <c r="J874" s="22" t="str">
        <f t="shared" si="2"/>
        <v>#N/A</v>
      </c>
      <c r="K874" s="22" t="str">
        <f t="array" ref="K874">IF(H874="Crash",MATCH(TRUE, B875:B972 &gt;= B873, 0),"")</f>
        <v/>
      </c>
    </row>
    <row r="875" ht="15.75" customHeight="1">
      <c r="A875" s="31" t="str">
        <f>'EQUITY BACKTEST'!A878</f>
        <v/>
      </c>
      <c r="B875" s="22" t="str">
        <f>'EQUITY BACKTEST'!B878</f>
        <v/>
      </c>
      <c r="C875" s="22" t="str">
        <f>1/'EQUITY BACKTEST'!E878</f>
        <v>#DIV/0!</v>
      </c>
      <c r="D875" s="22" t="str">
        <f t="shared" si="5"/>
        <v>#DIV/0!</v>
      </c>
      <c r="E875" s="22" t="str">
        <f t="shared" si="3"/>
        <v/>
      </c>
      <c r="F875" s="22" t="str">
        <f t="shared" si="6"/>
        <v>#DIV/0!</v>
      </c>
      <c r="H875" s="22" t="str">
        <f t="shared" si="4"/>
        <v/>
      </c>
      <c r="I875" s="22" t="str">
        <f t="shared" si="1"/>
        <v>#N/A</v>
      </c>
      <c r="J875" s="22" t="str">
        <f t="shared" si="2"/>
        <v>#N/A</v>
      </c>
      <c r="K875" s="22" t="str">
        <f t="array" ref="K875">IF(H875="Crash",MATCH(TRUE, B876:B973 &gt;= B874, 0),"")</f>
        <v/>
      </c>
    </row>
    <row r="876" ht="15.75" customHeight="1">
      <c r="A876" s="31" t="str">
        <f>'EQUITY BACKTEST'!A879</f>
        <v/>
      </c>
      <c r="B876" s="22" t="str">
        <f>'EQUITY BACKTEST'!B879</f>
        <v/>
      </c>
      <c r="C876" s="22" t="str">
        <f>1/'EQUITY BACKTEST'!E879</f>
        <v>#DIV/0!</v>
      </c>
      <c r="D876" s="22" t="str">
        <f t="shared" si="5"/>
        <v>#DIV/0!</v>
      </c>
      <c r="E876" s="22" t="str">
        <f t="shared" si="3"/>
        <v/>
      </c>
      <c r="F876" s="22" t="str">
        <f t="shared" si="6"/>
        <v>#DIV/0!</v>
      </c>
      <c r="H876" s="22" t="str">
        <f t="shared" si="4"/>
        <v/>
      </c>
      <c r="I876" s="22" t="str">
        <f t="shared" si="1"/>
        <v>#N/A</v>
      </c>
      <c r="J876" s="22" t="str">
        <f t="shared" si="2"/>
        <v>#N/A</v>
      </c>
      <c r="K876" s="22" t="str">
        <f t="array" ref="K876">IF(H876="Crash",MATCH(TRUE, B877:B974 &gt;= B875, 0),"")</f>
        <v/>
      </c>
    </row>
    <row r="877" ht="15.75" customHeight="1">
      <c r="A877" s="31" t="str">
        <f>'EQUITY BACKTEST'!A880</f>
        <v/>
      </c>
      <c r="B877" s="22" t="str">
        <f>'EQUITY BACKTEST'!B880</f>
        <v/>
      </c>
      <c r="C877" s="22" t="str">
        <f>1/'EQUITY BACKTEST'!E880</f>
        <v>#DIV/0!</v>
      </c>
      <c r="D877" s="22" t="str">
        <f t="shared" si="5"/>
        <v>#DIV/0!</v>
      </c>
      <c r="E877" s="22" t="str">
        <f t="shared" si="3"/>
        <v/>
      </c>
      <c r="F877" s="22" t="str">
        <f t="shared" si="6"/>
        <v>#DIV/0!</v>
      </c>
      <c r="H877" s="22" t="str">
        <f t="shared" si="4"/>
        <v/>
      </c>
      <c r="I877" s="22" t="str">
        <f t="shared" si="1"/>
        <v>#N/A</v>
      </c>
      <c r="J877" s="22" t="str">
        <f t="shared" si="2"/>
        <v>#N/A</v>
      </c>
      <c r="K877" s="22" t="str">
        <f t="array" ref="K877">IF(H877="Crash",MATCH(TRUE, B878:B975 &gt;= B876, 0),"")</f>
        <v/>
      </c>
    </row>
    <row r="878" ht="15.75" customHeight="1">
      <c r="A878" s="31" t="str">
        <f>'EQUITY BACKTEST'!A881</f>
        <v/>
      </c>
      <c r="B878" s="22" t="str">
        <f>'EQUITY BACKTEST'!B881</f>
        <v/>
      </c>
      <c r="C878" s="22" t="str">
        <f>1/'EQUITY BACKTEST'!E881</f>
        <v>#DIV/0!</v>
      </c>
      <c r="D878" s="22" t="str">
        <f t="shared" si="5"/>
        <v>#DIV/0!</v>
      </c>
      <c r="E878" s="22" t="str">
        <f t="shared" si="3"/>
        <v/>
      </c>
      <c r="F878" s="22" t="str">
        <f t="shared" si="6"/>
        <v>#DIV/0!</v>
      </c>
      <c r="H878" s="22" t="str">
        <f t="shared" si="4"/>
        <v/>
      </c>
      <c r="I878" s="22" t="str">
        <f t="shared" si="1"/>
        <v>#N/A</v>
      </c>
      <c r="J878" s="22" t="str">
        <f t="shared" si="2"/>
        <v>#N/A</v>
      </c>
      <c r="K878" s="22" t="str">
        <f t="array" ref="K878">IF(H878="Crash",MATCH(TRUE, B879:B976 &gt;= B877, 0),"")</f>
        <v/>
      </c>
    </row>
    <row r="879" ht="15.75" customHeight="1">
      <c r="A879" s="31" t="str">
        <f>'EQUITY BACKTEST'!A882</f>
        <v/>
      </c>
      <c r="B879" s="22" t="str">
        <f>'EQUITY BACKTEST'!B882</f>
        <v/>
      </c>
      <c r="C879" s="22" t="str">
        <f>1/'EQUITY BACKTEST'!E882</f>
        <v>#DIV/0!</v>
      </c>
      <c r="D879" s="22" t="str">
        <f t="shared" si="5"/>
        <v>#DIV/0!</v>
      </c>
      <c r="E879" s="22" t="str">
        <f t="shared" si="3"/>
        <v/>
      </c>
      <c r="F879" s="22" t="str">
        <f t="shared" si="6"/>
        <v>#DIV/0!</v>
      </c>
      <c r="H879" s="22" t="str">
        <f t="shared" si="4"/>
        <v/>
      </c>
      <c r="I879" s="22" t="str">
        <f t="shared" si="1"/>
        <v>#N/A</v>
      </c>
      <c r="J879" s="22" t="str">
        <f t="shared" si="2"/>
        <v>#N/A</v>
      </c>
      <c r="K879" s="22" t="str">
        <f t="array" ref="K879">IF(H879="Crash",MATCH(TRUE, B880:B977 &gt;= B878, 0),"")</f>
        <v/>
      </c>
    </row>
    <row r="880" ht="15.75" customHeight="1">
      <c r="A880" s="31" t="str">
        <f>'EQUITY BACKTEST'!A883</f>
        <v/>
      </c>
      <c r="B880" s="22" t="str">
        <f>'EQUITY BACKTEST'!B883</f>
        <v/>
      </c>
      <c r="C880" s="22" t="str">
        <f>1/'EQUITY BACKTEST'!E883</f>
        <v>#DIV/0!</v>
      </c>
      <c r="D880" s="22" t="str">
        <f t="shared" si="5"/>
        <v>#DIV/0!</v>
      </c>
      <c r="E880" s="22" t="str">
        <f t="shared" si="3"/>
        <v/>
      </c>
      <c r="F880" s="22" t="str">
        <f t="shared" si="6"/>
        <v>#DIV/0!</v>
      </c>
      <c r="H880" s="22" t="str">
        <f t="shared" si="4"/>
        <v/>
      </c>
      <c r="I880" s="22" t="str">
        <f t="shared" si="1"/>
        <v>#N/A</v>
      </c>
      <c r="J880" s="22" t="str">
        <f t="shared" si="2"/>
        <v>#N/A</v>
      </c>
      <c r="K880" s="22" t="str">
        <f t="array" ref="K880">IF(H880="Crash",MATCH(TRUE, B881:B978 &gt;= B879, 0),"")</f>
        <v/>
      </c>
    </row>
    <row r="881" ht="15.75" customHeight="1">
      <c r="A881" s="31" t="str">
        <f>'EQUITY BACKTEST'!A884</f>
        <v/>
      </c>
      <c r="B881" s="22" t="str">
        <f>'EQUITY BACKTEST'!B884</f>
        <v/>
      </c>
      <c r="C881" s="22" t="str">
        <f>1/'EQUITY BACKTEST'!E884</f>
        <v>#DIV/0!</v>
      </c>
      <c r="D881" s="22" t="str">
        <f t="shared" si="5"/>
        <v>#DIV/0!</v>
      </c>
      <c r="E881" s="22" t="str">
        <f t="shared" si="3"/>
        <v/>
      </c>
      <c r="F881" s="22" t="str">
        <f t="shared" si="6"/>
        <v>#DIV/0!</v>
      </c>
      <c r="H881" s="22" t="str">
        <f t="shared" si="4"/>
        <v/>
      </c>
      <c r="I881" s="22" t="str">
        <f t="shared" si="1"/>
        <v>#N/A</v>
      </c>
      <c r="J881" s="22" t="str">
        <f t="shared" si="2"/>
        <v>#N/A</v>
      </c>
      <c r="K881" s="22" t="str">
        <f t="array" ref="K881">IF(H881="Crash",MATCH(TRUE, B882:B979 &gt;= B880, 0),"")</f>
        <v/>
      </c>
    </row>
    <row r="882" ht="15.75" customHeight="1">
      <c r="A882" s="31" t="str">
        <f>'EQUITY BACKTEST'!A885</f>
        <v/>
      </c>
      <c r="B882" s="22" t="str">
        <f>'EQUITY BACKTEST'!B885</f>
        <v/>
      </c>
      <c r="C882" s="22" t="str">
        <f>1/'EQUITY BACKTEST'!E885</f>
        <v>#DIV/0!</v>
      </c>
      <c r="D882" s="22" t="str">
        <f t="shared" si="5"/>
        <v>#DIV/0!</v>
      </c>
      <c r="E882" s="22" t="str">
        <f t="shared" si="3"/>
        <v/>
      </c>
      <c r="F882" s="22" t="str">
        <f t="shared" si="6"/>
        <v>#DIV/0!</v>
      </c>
      <c r="H882" s="22" t="str">
        <f t="shared" si="4"/>
        <v/>
      </c>
      <c r="I882" s="22" t="str">
        <f t="shared" si="1"/>
        <v>#N/A</v>
      </c>
      <c r="J882" s="22" t="str">
        <f t="shared" si="2"/>
        <v>#N/A</v>
      </c>
      <c r="K882" s="22" t="str">
        <f t="array" ref="K882">IF(H882="Crash",MATCH(TRUE, B883:B980 &gt;= B881, 0),"")</f>
        <v/>
      </c>
    </row>
    <row r="883" ht="15.75" customHeight="1">
      <c r="A883" s="31" t="str">
        <f>'EQUITY BACKTEST'!A886</f>
        <v/>
      </c>
      <c r="B883" s="22" t="str">
        <f>'EQUITY BACKTEST'!B886</f>
        <v/>
      </c>
      <c r="C883" s="22" t="str">
        <f>1/'EQUITY BACKTEST'!E886</f>
        <v>#DIV/0!</v>
      </c>
      <c r="D883" s="22" t="str">
        <f t="shared" si="5"/>
        <v>#DIV/0!</v>
      </c>
      <c r="E883" s="22" t="str">
        <f t="shared" si="3"/>
        <v/>
      </c>
      <c r="F883" s="22" t="str">
        <f t="shared" si="6"/>
        <v>#DIV/0!</v>
      </c>
      <c r="H883" s="22" t="str">
        <f t="shared" si="4"/>
        <v/>
      </c>
      <c r="I883" s="22" t="str">
        <f t="shared" si="1"/>
        <v>#N/A</v>
      </c>
      <c r="J883" s="22" t="str">
        <f t="shared" si="2"/>
        <v>#N/A</v>
      </c>
      <c r="K883" s="22" t="str">
        <f t="array" ref="K883">IF(H883="Crash",MATCH(TRUE, B884:B981 &gt;= B882, 0),"")</f>
        <v/>
      </c>
    </row>
    <row r="884" ht="15.75" customHeight="1">
      <c r="A884" s="31" t="str">
        <f>'EQUITY BACKTEST'!A887</f>
        <v/>
      </c>
      <c r="B884" s="22" t="str">
        <f>'EQUITY BACKTEST'!B887</f>
        <v/>
      </c>
      <c r="C884" s="22" t="str">
        <f>1/'EQUITY BACKTEST'!E887</f>
        <v>#DIV/0!</v>
      </c>
      <c r="D884" s="22" t="str">
        <f t="shared" si="5"/>
        <v>#DIV/0!</v>
      </c>
      <c r="E884" s="22" t="str">
        <f t="shared" si="3"/>
        <v/>
      </c>
      <c r="F884" s="22" t="str">
        <f t="shared" si="6"/>
        <v>#DIV/0!</v>
      </c>
      <c r="H884" s="22" t="str">
        <f t="shared" si="4"/>
        <v/>
      </c>
      <c r="I884" s="22" t="str">
        <f t="shared" si="1"/>
        <v>#N/A</v>
      </c>
      <c r="J884" s="22" t="str">
        <f t="shared" si="2"/>
        <v>#N/A</v>
      </c>
      <c r="K884" s="22" t="str">
        <f t="array" ref="K884">IF(H884="Crash",MATCH(TRUE, B885:B982 &gt;= B883, 0),"")</f>
        <v/>
      </c>
    </row>
    <row r="885" ht="15.75" customHeight="1">
      <c r="A885" s="31" t="str">
        <f>'EQUITY BACKTEST'!A888</f>
        <v/>
      </c>
      <c r="B885" s="22" t="str">
        <f>'EQUITY BACKTEST'!B888</f>
        <v/>
      </c>
      <c r="C885" s="22" t="str">
        <f>1/'EQUITY BACKTEST'!E888</f>
        <v>#DIV/0!</v>
      </c>
      <c r="D885" s="22" t="str">
        <f t="shared" si="5"/>
        <v>#DIV/0!</v>
      </c>
      <c r="E885" s="22" t="str">
        <f t="shared" si="3"/>
        <v/>
      </c>
      <c r="F885" s="22" t="str">
        <f t="shared" si="6"/>
        <v>#DIV/0!</v>
      </c>
      <c r="H885" s="22" t="str">
        <f t="shared" si="4"/>
        <v/>
      </c>
      <c r="I885" s="22" t="str">
        <f t="shared" si="1"/>
        <v>#N/A</v>
      </c>
      <c r="J885" s="22" t="str">
        <f t="shared" si="2"/>
        <v>#N/A</v>
      </c>
      <c r="K885" s="22" t="str">
        <f t="array" ref="K885">IF(H885="Crash",MATCH(TRUE, B886:B983 &gt;= B884, 0),"")</f>
        <v/>
      </c>
    </row>
    <row r="886" ht="15.75" customHeight="1">
      <c r="A886" s="31" t="str">
        <f>'EQUITY BACKTEST'!A889</f>
        <v/>
      </c>
      <c r="B886" s="22" t="str">
        <f>'EQUITY BACKTEST'!B889</f>
        <v/>
      </c>
      <c r="C886" s="22" t="str">
        <f>1/'EQUITY BACKTEST'!E889</f>
        <v>#DIV/0!</v>
      </c>
      <c r="D886" s="22" t="str">
        <f t="shared" si="5"/>
        <v>#DIV/0!</v>
      </c>
      <c r="E886" s="22" t="str">
        <f t="shared" si="3"/>
        <v/>
      </c>
      <c r="F886" s="22" t="str">
        <f t="shared" si="6"/>
        <v>#DIV/0!</v>
      </c>
      <c r="H886" s="22" t="str">
        <f t="shared" si="4"/>
        <v/>
      </c>
      <c r="I886" s="22" t="str">
        <f t="shared" si="1"/>
        <v>#N/A</v>
      </c>
      <c r="J886" s="22" t="str">
        <f t="shared" si="2"/>
        <v>#N/A</v>
      </c>
      <c r="K886" s="22" t="str">
        <f t="array" ref="K886">IF(H886="Crash",MATCH(TRUE, B887:B984 &gt;= B885, 0),"")</f>
        <v/>
      </c>
    </row>
    <row r="887" ht="15.75" customHeight="1">
      <c r="A887" s="31" t="str">
        <f>'EQUITY BACKTEST'!A890</f>
        <v/>
      </c>
      <c r="B887" s="22" t="str">
        <f>'EQUITY BACKTEST'!B890</f>
        <v/>
      </c>
      <c r="C887" s="22" t="str">
        <f>1/'EQUITY BACKTEST'!E890</f>
        <v>#DIV/0!</v>
      </c>
      <c r="D887" s="22" t="str">
        <f t="shared" si="5"/>
        <v>#DIV/0!</v>
      </c>
      <c r="E887" s="22" t="str">
        <f t="shared" si="3"/>
        <v/>
      </c>
      <c r="F887" s="22" t="str">
        <f t="shared" si="6"/>
        <v>#DIV/0!</v>
      </c>
      <c r="H887" s="22" t="str">
        <f t="shared" si="4"/>
        <v/>
      </c>
      <c r="I887" s="22" t="str">
        <f t="shared" si="1"/>
        <v>#N/A</v>
      </c>
      <c r="J887" s="22" t="str">
        <f t="shared" si="2"/>
        <v>#N/A</v>
      </c>
      <c r="K887" s="22" t="str">
        <f t="array" ref="K887">IF(H887="Crash",MATCH(TRUE, B888:B985 &gt;= B886, 0),"")</f>
        <v/>
      </c>
    </row>
    <row r="888" ht="15.75" customHeight="1">
      <c r="A888" s="31" t="str">
        <f>'EQUITY BACKTEST'!A891</f>
        <v/>
      </c>
      <c r="B888" s="22" t="str">
        <f>'EQUITY BACKTEST'!B891</f>
        <v/>
      </c>
      <c r="C888" s="22" t="str">
        <f>1/'EQUITY BACKTEST'!E891</f>
        <v>#DIV/0!</v>
      </c>
      <c r="D888" s="22" t="str">
        <f t="shared" si="5"/>
        <v>#DIV/0!</v>
      </c>
      <c r="E888" s="22" t="str">
        <f t="shared" si="3"/>
        <v/>
      </c>
      <c r="F888" s="22" t="str">
        <f t="shared" si="6"/>
        <v>#DIV/0!</v>
      </c>
      <c r="H888" s="22" t="str">
        <f t="shared" si="4"/>
        <v/>
      </c>
      <c r="I888" s="22" t="str">
        <f t="shared" si="1"/>
        <v>#N/A</v>
      </c>
      <c r="J888" s="22" t="str">
        <f t="shared" si="2"/>
        <v>#N/A</v>
      </c>
      <c r="K888" s="22" t="str">
        <f t="array" ref="K888">IF(H888="Crash",MATCH(TRUE, B889:B986 &gt;= B887, 0),"")</f>
        <v/>
      </c>
    </row>
    <row r="889" ht="15.75" customHeight="1">
      <c r="A889" s="31" t="str">
        <f>'EQUITY BACKTEST'!A892</f>
        <v/>
      </c>
      <c r="B889" s="22" t="str">
        <f>'EQUITY BACKTEST'!B892</f>
        <v/>
      </c>
      <c r="C889" s="22" t="str">
        <f>1/'EQUITY BACKTEST'!E892</f>
        <v>#DIV/0!</v>
      </c>
      <c r="D889" s="22" t="str">
        <f t="shared" si="5"/>
        <v>#DIV/0!</v>
      </c>
      <c r="E889" s="22" t="str">
        <f t="shared" si="3"/>
        <v/>
      </c>
      <c r="F889" s="22" t="str">
        <f t="shared" si="6"/>
        <v>#DIV/0!</v>
      </c>
      <c r="H889" s="22" t="str">
        <f t="shared" si="4"/>
        <v/>
      </c>
      <c r="I889" s="22" t="str">
        <f t="shared" si="1"/>
        <v>#N/A</v>
      </c>
      <c r="J889" s="22" t="str">
        <f t="shared" si="2"/>
        <v>#N/A</v>
      </c>
      <c r="K889" s="22" t="str">
        <f t="array" ref="K889">IF(H889="Crash",MATCH(TRUE, B890:B987 &gt;= B888, 0),"")</f>
        <v/>
      </c>
    </row>
    <row r="890" ht="15.75" customHeight="1">
      <c r="A890" s="31" t="str">
        <f>'EQUITY BACKTEST'!A893</f>
        <v/>
      </c>
      <c r="B890" s="22" t="str">
        <f>'EQUITY BACKTEST'!B893</f>
        <v/>
      </c>
      <c r="C890" s="22" t="str">
        <f>1/'EQUITY BACKTEST'!E893</f>
        <v>#DIV/0!</v>
      </c>
      <c r="D890" s="22" t="str">
        <f t="shared" si="5"/>
        <v>#DIV/0!</v>
      </c>
      <c r="E890" s="22" t="str">
        <f t="shared" si="3"/>
        <v/>
      </c>
      <c r="F890" s="22" t="str">
        <f t="shared" si="6"/>
        <v>#DIV/0!</v>
      </c>
      <c r="H890" s="22" t="str">
        <f t="shared" si="4"/>
        <v/>
      </c>
      <c r="I890" s="22" t="str">
        <f t="shared" si="1"/>
        <v>#N/A</v>
      </c>
      <c r="J890" s="22" t="str">
        <f t="shared" si="2"/>
        <v>#N/A</v>
      </c>
      <c r="K890" s="22" t="str">
        <f t="array" ref="K890">IF(H890="Crash",MATCH(TRUE, B891:B988 &gt;= B889, 0),"")</f>
        <v/>
      </c>
    </row>
    <row r="891" ht="15.75" customHeight="1">
      <c r="A891" s="31" t="str">
        <f>'EQUITY BACKTEST'!A894</f>
        <v/>
      </c>
      <c r="B891" s="22" t="str">
        <f>'EQUITY BACKTEST'!B894</f>
        <v/>
      </c>
      <c r="C891" s="22" t="str">
        <f>1/'EQUITY BACKTEST'!E894</f>
        <v>#DIV/0!</v>
      </c>
      <c r="D891" s="22" t="str">
        <f t="shared" si="5"/>
        <v>#DIV/0!</v>
      </c>
      <c r="E891" s="22" t="str">
        <f t="shared" si="3"/>
        <v/>
      </c>
      <c r="F891" s="22" t="str">
        <f t="shared" si="6"/>
        <v>#DIV/0!</v>
      </c>
      <c r="H891" s="22" t="str">
        <f t="shared" si="4"/>
        <v/>
      </c>
      <c r="I891" s="22" t="str">
        <f t="shared" si="1"/>
        <v>#N/A</v>
      </c>
      <c r="J891" s="22" t="str">
        <f t="shared" si="2"/>
        <v>#N/A</v>
      </c>
      <c r="K891" s="22" t="str">
        <f t="array" ref="K891">IF(H891="Crash",MATCH(TRUE, B892:B989 &gt;= B890, 0),"")</f>
        <v/>
      </c>
    </row>
    <row r="892" ht="15.75" customHeight="1">
      <c r="A892" s="31" t="str">
        <f>'EQUITY BACKTEST'!A895</f>
        <v/>
      </c>
      <c r="B892" s="22" t="str">
        <f>'EQUITY BACKTEST'!B895</f>
        <v/>
      </c>
      <c r="C892" s="22" t="str">
        <f>1/'EQUITY BACKTEST'!E895</f>
        <v>#DIV/0!</v>
      </c>
      <c r="D892" s="22" t="str">
        <f t="shared" si="5"/>
        <v>#DIV/0!</v>
      </c>
      <c r="E892" s="22" t="str">
        <f t="shared" si="3"/>
        <v/>
      </c>
      <c r="F892" s="22" t="str">
        <f t="shared" si="6"/>
        <v>#DIV/0!</v>
      </c>
      <c r="H892" s="22" t="str">
        <f t="shared" si="4"/>
        <v/>
      </c>
      <c r="I892" s="22" t="str">
        <f t="shared" si="1"/>
        <v>#N/A</v>
      </c>
      <c r="J892" s="22" t="str">
        <f t="shared" si="2"/>
        <v>#N/A</v>
      </c>
      <c r="K892" s="22" t="str">
        <f t="array" ref="K892">IF(H892="Crash",MATCH(TRUE, B893:B990 &gt;= B891, 0),"")</f>
        <v/>
      </c>
    </row>
    <row r="893" ht="15.75" customHeight="1">
      <c r="A893" s="31" t="str">
        <f>'EQUITY BACKTEST'!A896</f>
        <v/>
      </c>
      <c r="B893" s="22" t="str">
        <f>'EQUITY BACKTEST'!B896</f>
        <v/>
      </c>
      <c r="C893" s="22" t="str">
        <f>1/'EQUITY BACKTEST'!E896</f>
        <v>#DIV/0!</v>
      </c>
      <c r="D893" s="22" t="str">
        <f t="shared" si="5"/>
        <v>#DIV/0!</v>
      </c>
      <c r="E893" s="22" t="str">
        <f t="shared" si="3"/>
        <v/>
      </c>
      <c r="F893" s="22" t="str">
        <f t="shared" si="6"/>
        <v>#DIV/0!</v>
      </c>
      <c r="H893" s="22" t="str">
        <f t="shared" si="4"/>
        <v/>
      </c>
      <c r="I893" s="22" t="str">
        <f t="shared" si="1"/>
        <v>#N/A</v>
      </c>
      <c r="J893" s="22" t="str">
        <f t="shared" si="2"/>
        <v>#N/A</v>
      </c>
      <c r="K893" s="22" t="str">
        <f t="array" ref="K893">IF(H893="Crash",MATCH(TRUE, B894:B991 &gt;= B892, 0),"")</f>
        <v/>
      </c>
    </row>
    <row r="894" ht="15.75" customHeight="1">
      <c r="A894" s="31" t="str">
        <f>'EQUITY BACKTEST'!A897</f>
        <v/>
      </c>
      <c r="B894" s="22" t="str">
        <f>'EQUITY BACKTEST'!B897</f>
        <v/>
      </c>
      <c r="C894" s="22" t="str">
        <f>1/'EQUITY BACKTEST'!E897</f>
        <v>#DIV/0!</v>
      </c>
      <c r="D894" s="22" t="str">
        <f t="shared" si="5"/>
        <v>#DIV/0!</v>
      </c>
      <c r="E894" s="22" t="str">
        <f t="shared" si="3"/>
        <v/>
      </c>
      <c r="F894" s="22" t="str">
        <f t="shared" si="6"/>
        <v>#DIV/0!</v>
      </c>
      <c r="H894" s="22" t="str">
        <f t="shared" si="4"/>
        <v/>
      </c>
      <c r="I894" s="22" t="str">
        <f t="shared" si="1"/>
        <v>#N/A</v>
      </c>
      <c r="J894" s="22" t="str">
        <f t="shared" si="2"/>
        <v>#N/A</v>
      </c>
      <c r="K894" s="22" t="str">
        <f t="array" ref="K894">IF(H894="Crash",MATCH(TRUE, B895:B992 &gt;= B893, 0),"")</f>
        <v/>
      </c>
    </row>
    <row r="895" ht="15.75" customHeight="1">
      <c r="A895" s="31" t="str">
        <f>'EQUITY BACKTEST'!A898</f>
        <v/>
      </c>
      <c r="B895" s="22" t="str">
        <f>'EQUITY BACKTEST'!B898</f>
        <v/>
      </c>
      <c r="C895" s="22" t="str">
        <f>1/'EQUITY BACKTEST'!E898</f>
        <v>#DIV/0!</v>
      </c>
      <c r="D895" s="22" t="str">
        <f t="shared" si="5"/>
        <v>#DIV/0!</v>
      </c>
      <c r="E895" s="22" t="str">
        <f t="shared" si="3"/>
        <v/>
      </c>
      <c r="F895" s="22" t="str">
        <f t="shared" si="6"/>
        <v>#DIV/0!</v>
      </c>
      <c r="H895" s="22" t="str">
        <f t="shared" si="4"/>
        <v/>
      </c>
      <c r="I895" s="22" t="str">
        <f t="shared" si="1"/>
        <v>#N/A</v>
      </c>
      <c r="J895" s="22" t="str">
        <f t="shared" si="2"/>
        <v>#N/A</v>
      </c>
      <c r="K895" s="22" t="str">
        <f t="array" ref="K895">IF(H895="Crash",MATCH(TRUE, B896:B993 &gt;= B894, 0),"")</f>
        <v/>
      </c>
    </row>
    <row r="896" ht="15.75" customHeight="1">
      <c r="A896" s="31" t="str">
        <f>'EQUITY BACKTEST'!A899</f>
        <v/>
      </c>
      <c r="B896" s="22" t="str">
        <f>'EQUITY BACKTEST'!B899</f>
        <v/>
      </c>
      <c r="C896" s="22" t="str">
        <f>1/'EQUITY BACKTEST'!E899</f>
        <v>#DIV/0!</v>
      </c>
      <c r="D896" s="22" t="str">
        <f t="shared" si="5"/>
        <v>#DIV/0!</v>
      </c>
      <c r="E896" s="22" t="str">
        <f t="shared" si="3"/>
        <v/>
      </c>
      <c r="F896" s="22" t="str">
        <f t="shared" si="6"/>
        <v>#DIV/0!</v>
      </c>
      <c r="H896" s="22" t="str">
        <f t="shared" si="4"/>
        <v/>
      </c>
      <c r="I896" s="22" t="str">
        <f t="shared" si="1"/>
        <v>#N/A</v>
      </c>
      <c r="J896" s="22" t="str">
        <f t="shared" si="2"/>
        <v>#N/A</v>
      </c>
      <c r="K896" s="22" t="str">
        <f t="array" ref="K896">IF(H896="Crash",MATCH(TRUE, B897:B994 &gt;= B895, 0),"")</f>
        <v/>
      </c>
    </row>
    <row r="897" ht="15.75" customHeight="1">
      <c r="A897" s="31" t="str">
        <f>'EQUITY BACKTEST'!A900</f>
        <v/>
      </c>
      <c r="B897" s="22" t="str">
        <f>'EQUITY BACKTEST'!B900</f>
        <v/>
      </c>
      <c r="C897" s="22" t="str">
        <f>1/'EQUITY BACKTEST'!E900</f>
        <v>#DIV/0!</v>
      </c>
      <c r="D897" s="22" t="str">
        <f t="shared" si="5"/>
        <v>#DIV/0!</v>
      </c>
      <c r="E897" s="22" t="str">
        <f t="shared" si="3"/>
        <v/>
      </c>
      <c r="F897" s="22" t="str">
        <f t="shared" si="6"/>
        <v>#DIV/0!</v>
      </c>
      <c r="H897" s="22" t="str">
        <f t="shared" si="4"/>
        <v/>
      </c>
      <c r="I897" s="22" t="str">
        <f t="shared" si="1"/>
        <v>#N/A</v>
      </c>
      <c r="J897" s="22" t="str">
        <f t="shared" si="2"/>
        <v>#N/A</v>
      </c>
      <c r="K897" s="22" t="str">
        <f t="array" ref="K897">IF(H897="Crash",MATCH(TRUE, B898:B995 &gt;= B896, 0),"")</f>
        <v/>
      </c>
    </row>
    <row r="898" ht="15.75" customHeight="1">
      <c r="A898" s="31" t="str">
        <f>'EQUITY BACKTEST'!A901</f>
        <v/>
      </c>
      <c r="B898" s="22" t="str">
        <f>'EQUITY BACKTEST'!B901</f>
        <v/>
      </c>
      <c r="C898" s="22" t="str">
        <f>1/'EQUITY BACKTEST'!E901</f>
        <v>#DIV/0!</v>
      </c>
      <c r="D898" s="22" t="str">
        <f t="shared" si="5"/>
        <v>#DIV/0!</v>
      </c>
      <c r="E898" s="22" t="str">
        <f t="shared" si="3"/>
        <v/>
      </c>
      <c r="F898" s="22" t="str">
        <f t="shared" si="6"/>
        <v>#DIV/0!</v>
      </c>
      <c r="H898" s="22" t="str">
        <f t="shared" si="4"/>
        <v/>
      </c>
      <c r="I898" s="22" t="str">
        <f t="shared" si="1"/>
        <v>#N/A</v>
      </c>
      <c r="J898" s="22" t="str">
        <f t="shared" si="2"/>
        <v>#N/A</v>
      </c>
      <c r="K898" s="22" t="str">
        <f t="array" ref="K898">IF(H898="Crash",MATCH(TRUE, B899:B996 &gt;= B897, 0),"")</f>
        <v/>
      </c>
    </row>
    <row r="899" ht="15.75" customHeight="1">
      <c r="A899" s="31" t="str">
        <f>'EQUITY BACKTEST'!A902</f>
        <v/>
      </c>
      <c r="B899" s="22" t="str">
        <f>'EQUITY BACKTEST'!B902</f>
        <v/>
      </c>
      <c r="C899" s="22" t="str">
        <f>1/'EQUITY BACKTEST'!E902</f>
        <v>#DIV/0!</v>
      </c>
      <c r="D899" s="22" t="str">
        <f t="shared" si="5"/>
        <v>#DIV/0!</v>
      </c>
      <c r="E899" s="22" t="str">
        <f t="shared" si="3"/>
        <v/>
      </c>
      <c r="F899" s="22" t="str">
        <f t="shared" si="6"/>
        <v>#DIV/0!</v>
      </c>
      <c r="H899" s="22" t="str">
        <f t="shared" si="4"/>
        <v/>
      </c>
      <c r="I899" s="22" t="str">
        <f t="shared" si="1"/>
        <v>#N/A</v>
      </c>
      <c r="J899" s="22" t="str">
        <f t="shared" si="2"/>
        <v>#N/A</v>
      </c>
      <c r="K899" s="22" t="str">
        <f t="array" ref="K899">IF(H899="Crash",MATCH(TRUE, B900:B997 &gt;= B898, 0),"")</f>
        <v/>
      </c>
    </row>
    <row r="900" ht="15.75" customHeight="1">
      <c r="A900" s="31" t="str">
        <f>'EQUITY BACKTEST'!A903</f>
        <v/>
      </c>
      <c r="B900" s="22" t="str">
        <f>'EQUITY BACKTEST'!B903</f>
        <v/>
      </c>
      <c r="C900" s="22" t="str">
        <f>1/'EQUITY BACKTEST'!E903</f>
        <v>#DIV/0!</v>
      </c>
      <c r="D900" s="22" t="str">
        <f t="shared" si="5"/>
        <v>#DIV/0!</v>
      </c>
      <c r="E900" s="22" t="str">
        <f t="shared" si="3"/>
        <v/>
      </c>
      <c r="F900" s="22" t="str">
        <f t="shared" si="6"/>
        <v>#DIV/0!</v>
      </c>
      <c r="H900" s="22" t="str">
        <f t="shared" si="4"/>
        <v/>
      </c>
      <c r="I900" s="22" t="str">
        <f t="shared" si="1"/>
        <v>#N/A</v>
      </c>
      <c r="J900" s="22" t="str">
        <f t="shared" si="2"/>
        <v>#N/A</v>
      </c>
      <c r="K900" s="22" t="str">
        <f t="array" ref="K900">IF(H900="Crash",MATCH(TRUE, B901:B998 &gt;= B899, 0),"")</f>
        <v/>
      </c>
    </row>
    <row r="901" ht="15.75" customHeight="1">
      <c r="A901" s="31" t="str">
        <f>'EQUITY BACKTEST'!A904</f>
        <v/>
      </c>
      <c r="B901" s="22" t="str">
        <f>'EQUITY BACKTEST'!B904</f>
        <v/>
      </c>
      <c r="C901" s="22" t="str">
        <f>1/'EQUITY BACKTEST'!E904</f>
        <v>#DIV/0!</v>
      </c>
      <c r="D901" s="22" t="str">
        <f t="shared" si="5"/>
        <v>#DIV/0!</v>
      </c>
      <c r="E901" s="22" t="str">
        <f t="shared" si="3"/>
        <v/>
      </c>
      <c r="F901" s="22" t="str">
        <f t="shared" si="6"/>
        <v>#DIV/0!</v>
      </c>
      <c r="H901" s="22" t="str">
        <f t="shared" si="4"/>
        <v/>
      </c>
      <c r="I901" s="22" t="str">
        <f t="shared" si="1"/>
        <v>#N/A</v>
      </c>
      <c r="J901" s="22" t="str">
        <f t="shared" si="2"/>
        <v>#N/A</v>
      </c>
      <c r="K901" s="22" t="str">
        <f t="array" ref="K901">IF(H901="Crash",MATCH(TRUE, B902:B999 &gt;= B900, 0),"")</f>
        <v/>
      </c>
    </row>
    <row r="902" ht="15.75" customHeight="1">
      <c r="A902" s="31" t="str">
        <f>'EQUITY BACKTEST'!A905</f>
        <v/>
      </c>
      <c r="B902" s="22" t="str">
        <f>'EQUITY BACKTEST'!B905</f>
        <v/>
      </c>
      <c r="C902" s="22" t="str">
        <f>1/'EQUITY BACKTEST'!E905</f>
        <v>#DIV/0!</v>
      </c>
      <c r="D902" s="22" t="str">
        <f t="shared" si="5"/>
        <v>#DIV/0!</v>
      </c>
      <c r="E902" s="22" t="str">
        <f t="shared" si="3"/>
        <v/>
      </c>
      <c r="F902" s="22" t="str">
        <f t="shared" si="6"/>
        <v>#DIV/0!</v>
      </c>
      <c r="H902" s="22" t="str">
        <f t="shared" si="4"/>
        <v/>
      </c>
      <c r="I902" s="22" t="str">
        <f t="shared" si="1"/>
        <v>#N/A</v>
      </c>
      <c r="J902" s="22" t="str">
        <f t="shared" si="2"/>
        <v>#N/A</v>
      </c>
      <c r="K902" s="22" t="str">
        <f t="array" ref="K902">IF(H902="Crash",MATCH(TRUE, B903:B1000 &gt;= B901, 0),"")</f>
        <v/>
      </c>
    </row>
    <row r="903" ht="15.75" customHeight="1">
      <c r="A903" s="31" t="str">
        <f>'EQUITY BACKTEST'!A906</f>
        <v/>
      </c>
      <c r="B903" s="22" t="str">
        <f>'EQUITY BACKTEST'!B906</f>
        <v/>
      </c>
      <c r="C903" s="22" t="str">
        <f>1/'EQUITY BACKTEST'!E906</f>
        <v>#DIV/0!</v>
      </c>
      <c r="D903" s="22" t="str">
        <f t="shared" si="5"/>
        <v>#DIV/0!</v>
      </c>
      <c r="E903" s="22" t="str">
        <f t="shared" si="3"/>
        <v/>
      </c>
      <c r="F903" s="22" t="str">
        <f t="shared" si="6"/>
        <v>#DIV/0!</v>
      </c>
      <c r="H903" s="22" t="str">
        <f t="shared" si="4"/>
        <v/>
      </c>
      <c r="I903" s="22" t="str">
        <f t="shared" si="1"/>
        <v>#N/A</v>
      </c>
      <c r="J903" s="22" t="str">
        <f t="shared" si="2"/>
        <v>#N/A</v>
      </c>
      <c r="K903" s="22" t="str">
        <f t="array" ref="K903">IF(H903="Crash",MATCH(TRUE, B904:B1001 &gt;= B902, 0),"")</f>
        <v/>
      </c>
    </row>
    <row r="904" ht="15.75" customHeight="1">
      <c r="A904" s="31" t="str">
        <f>'EQUITY BACKTEST'!A907</f>
        <v/>
      </c>
      <c r="B904" s="22" t="str">
        <f>'EQUITY BACKTEST'!B907</f>
        <v/>
      </c>
      <c r="C904" s="22" t="str">
        <f>1/'EQUITY BACKTEST'!E907</f>
        <v>#DIV/0!</v>
      </c>
      <c r="D904" s="22" t="str">
        <f t="shared" si="5"/>
        <v>#DIV/0!</v>
      </c>
      <c r="E904" s="22" t="str">
        <f t="shared" si="3"/>
        <v/>
      </c>
      <c r="F904" s="22" t="str">
        <f t="shared" si="6"/>
        <v>#DIV/0!</v>
      </c>
      <c r="H904" s="22" t="str">
        <f t="shared" si="4"/>
        <v/>
      </c>
      <c r="I904" s="22" t="str">
        <f t="shared" si="1"/>
        <v>#N/A</v>
      </c>
      <c r="J904" s="22" t="str">
        <f t="shared" si="2"/>
        <v>#N/A</v>
      </c>
      <c r="K904" s="22" t="str">
        <f t="array" ref="K904">IF(H904="Crash",MATCH(TRUE, B905:B1002 &gt;= B903, 0),"")</f>
        <v/>
      </c>
    </row>
    <row r="905" ht="15.75" customHeight="1">
      <c r="A905" s="31" t="str">
        <f>'EQUITY BACKTEST'!A908</f>
        <v/>
      </c>
      <c r="B905" s="22" t="str">
        <f>'EQUITY BACKTEST'!B908</f>
        <v/>
      </c>
      <c r="C905" s="22" t="str">
        <f>1/'EQUITY BACKTEST'!E908</f>
        <v>#DIV/0!</v>
      </c>
      <c r="D905" s="22" t="str">
        <f t="shared" si="5"/>
        <v>#DIV/0!</v>
      </c>
      <c r="E905" s="22" t="str">
        <f t="shared" si="3"/>
        <v/>
      </c>
      <c r="F905" s="22" t="str">
        <f t="shared" si="6"/>
        <v>#DIV/0!</v>
      </c>
      <c r="H905" s="22" t="str">
        <f t="shared" si="4"/>
        <v/>
      </c>
      <c r="I905" s="22" t="str">
        <f t="shared" si="1"/>
        <v>#N/A</v>
      </c>
      <c r="J905" s="22" t="str">
        <f t="shared" si="2"/>
        <v>#N/A</v>
      </c>
      <c r="K905" s="22" t="str">
        <f t="array" ref="K905">IF(H905="Crash",MATCH(TRUE, B906:B1003 &gt;= B904, 0),"")</f>
        <v/>
      </c>
    </row>
    <row r="906" ht="15.75" customHeight="1">
      <c r="A906" s="31" t="str">
        <f>'EQUITY BACKTEST'!A909</f>
        <v/>
      </c>
      <c r="B906" s="22" t="str">
        <f>'EQUITY BACKTEST'!B909</f>
        <v/>
      </c>
      <c r="C906" s="22" t="str">
        <f>1/'EQUITY BACKTEST'!E909</f>
        <v>#DIV/0!</v>
      </c>
      <c r="D906" s="22" t="str">
        <f t="shared" si="5"/>
        <v>#DIV/0!</v>
      </c>
      <c r="E906" s="22" t="str">
        <f t="shared" si="3"/>
        <v/>
      </c>
      <c r="F906" s="22" t="str">
        <f t="shared" si="6"/>
        <v>#DIV/0!</v>
      </c>
      <c r="H906" s="22" t="str">
        <f t="shared" si="4"/>
        <v/>
      </c>
      <c r="I906" s="22" t="str">
        <f t="shared" si="1"/>
        <v>#N/A</v>
      </c>
      <c r="J906" s="22" t="str">
        <f t="shared" si="2"/>
        <v>#N/A</v>
      </c>
      <c r="K906" s="22" t="str">
        <f t="array" ref="K906">IF(H906="Crash",MATCH(TRUE, B907:B1004 &gt;= B905, 0),"")</f>
        <v/>
      </c>
    </row>
    <row r="907" ht="15.75" customHeight="1">
      <c r="A907" s="31" t="str">
        <f>'EQUITY BACKTEST'!A910</f>
        <v/>
      </c>
      <c r="B907" s="22" t="str">
        <f>'EQUITY BACKTEST'!B910</f>
        <v/>
      </c>
      <c r="C907" s="22" t="str">
        <f>1/'EQUITY BACKTEST'!E910</f>
        <v>#DIV/0!</v>
      </c>
      <c r="D907" s="22" t="str">
        <f t="shared" si="5"/>
        <v>#DIV/0!</v>
      </c>
      <c r="E907" s="22" t="str">
        <f t="shared" si="3"/>
        <v/>
      </c>
      <c r="F907" s="22" t="str">
        <f t="shared" si="6"/>
        <v>#DIV/0!</v>
      </c>
      <c r="H907" s="22" t="str">
        <f t="shared" si="4"/>
        <v/>
      </c>
      <c r="I907" s="22" t="str">
        <f t="shared" si="1"/>
        <v>#N/A</v>
      </c>
      <c r="J907" s="22" t="str">
        <f t="shared" si="2"/>
        <v>#N/A</v>
      </c>
      <c r="K907" s="22" t="str">
        <f t="array" ref="K907">IF(H907="Crash",MATCH(TRUE, B908:B1005 &gt;= B906, 0),"")</f>
        <v/>
      </c>
    </row>
    <row r="908" ht="15.75" customHeight="1">
      <c r="A908" s="31" t="str">
        <f>'EQUITY BACKTEST'!A911</f>
        <v/>
      </c>
      <c r="B908" s="22" t="str">
        <f>'EQUITY BACKTEST'!B911</f>
        <v/>
      </c>
      <c r="C908" s="22" t="str">
        <f>1/'EQUITY BACKTEST'!E911</f>
        <v>#DIV/0!</v>
      </c>
      <c r="D908" s="22" t="str">
        <f t="shared" si="5"/>
        <v>#DIV/0!</v>
      </c>
      <c r="E908" s="22" t="str">
        <f t="shared" si="3"/>
        <v/>
      </c>
      <c r="F908" s="22" t="str">
        <f t="shared" si="6"/>
        <v>#DIV/0!</v>
      </c>
      <c r="H908" s="22" t="str">
        <f t="shared" si="4"/>
        <v/>
      </c>
      <c r="I908" s="22" t="str">
        <f t="shared" si="1"/>
        <v>#N/A</v>
      </c>
      <c r="J908" s="22" t="str">
        <f t="shared" si="2"/>
        <v>#N/A</v>
      </c>
      <c r="K908" s="22" t="str">
        <f t="array" ref="K908">IF(H908="Crash",MATCH(TRUE, B909:B1006 &gt;= B907, 0),"")</f>
        <v/>
      </c>
    </row>
    <row r="909" ht="15.75" customHeight="1">
      <c r="A909" s="31" t="str">
        <f>'EQUITY BACKTEST'!A912</f>
        <v/>
      </c>
      <c r="B909" s="22" t="str">
        <f>'EQUITY BACKTEST'!B912</f>
        <v/>
      </c>
      <c r="C909" s="22" t="str">
        <f>1/'EQUITY BACKTEST'!E912</f>
        <v>#DIV/0!</v>
      </c>
      <c r="D909" s="22" t="str">
        <f t="shared" si="5"/>
        <v>#DIV/0!</v>
      </c>
      <c r="E909" s="22" t="str">
        <f t="shared" si="3"/>
        <v/>
      </c>
      <c r="F909" s="22" t="str">
        <f t="shared" si="6"/>
        <v>#DIV/0!</v>
      </c>
      <c r="H909" s="22" t="str">
        <f t="shared" si="4"/>
        <v/>
      </c>
      <c r="I909" s="22" t="str">
        <f t="shared" si="1"/>
        <v>#N/A</v>
      </c>
      <c r="J909" s="22" t="str">
        <f t="shared" si="2"/>
        <v>#N/A</v>
      </c>
      <c r="K909" s="22" t="str">
        <f t="array" ref="K909">IF(H909="Crash",MATCH(TRUE, B910:B1007 &gt;= B908, 0),"")</f>
        <v/>
      </c>
    </row>
    <row r="910" ht="15.75" customHeight="1">
      <c r="A910" s="31" t="str">
        <f>'EQUITY BACKTEST'!A913</f>
        <v/>
      </c>
      <c r="B910" s="22" t="str">
        <f>'EQUITY BACKTEST'!B913</f>
        <v/>
      </c>
      <c r="C910" s="22" t="str">
        <f>1/'EQUITY BACKTEST'!E913</f>
        <v>#DIV/0!</v>
      </c>
      <c r="D910" s="22" t="str">
        <f t="shared" si="5"/>
        <v>#DIV/0!</v>
      </c>
      <c r="E910" s="22" t="str">
        <f t="shared" si="3"/>
        <v/>
      </c>
      <c r="F910" s="22" t="str">
        <f t="shared" si="6"/>
        <v>#DIV/0!</v>
      </c>
      <c r="H910" s="22" t="str">
        <f t="shared" si="4"/>
        <v/>
      </c>
      <c r="I910" s="22" t="str">
        <f t="shared" si="1"/>
        <v>#N/A</v>
      </c>
      <c r="J910" s="22" t="str">
        <f t="shared" si="2"/>
        <v>#N/A</v>
      </c>
      <c r="K910" s="22" t="str">
        <f t="array" ref="K910">IF(H910="Crash",MATCH(TRUE, B911:B1008 &gt;= B909, 0),"")</f>
        <v/>
      </c>
    </row>
    <row r="911" ht="15.75" customHeight="1">
      <c r="A911" s="31" t="str">
        <f>'EQUITY BACKTEST'!A914</f>
        <v/>
      </c>
      <c r="B911" s="22" t="str">
        <f>'EQUITY BACKTEST'!B914</f>
        <v/>
      </c>
      <c r="C911" s="22" t="str">
        <f>1/'EQUITY BACKTEST'!E914</f>
        <v>#DIV/0!</v>
      </c>
      <c r="D911" s="22" t="str">
        <f t="shared" si="5"/>
        <v>#DIV/0!</v>
      </c>
      <c r="E911" s="22" t="str">
        <f t="shared" si="3"/>
        <v/>
      </c>
      <c r="F911" s="22" t="str">
        <f t="shared" si="6"/>
        <v>#DIV/0!</v>
      </c>
      <c r="H911" s="22" t="str">
        <f t="shared" si="4"/>
        <v/>
      </c>
      <c r="I911" s="22" t="str">
        <f t="shared" si="1"/>
        <v>#N/A</v>
      </c>
      <c r="J911" s="22" t="str">
        <f t="shared" si="2"/>
        <v>#N/A</v>
      </c>
      <c r="K911" s="22" t="str">
        <f t="array" ref="K911">IF(H911="Crash",MATCH(TRUE, B912:B1009 &gt;= B910, 0),"")</f>
        <v/>
      </c>
    </row>
    <row r="912" ht="15.75" customHeight="1">
      <c r="A912" s="31" t="str">
        <f>'EQUITY BACKTEST'!A915</f>
        <v/>
      </c>
      <c r="B912" s="22" t="str">
        <f>'EQUITY BACKTEST'!B915</f>
        <v/>
      </c>
      <c r="C912" s="22" t="str">
        <f>1/'EQUITY BACKTEST'!E915</f>
        <v>#DIV/0!</v>
      </c>
      <c r="D912" s="22" t="str">
        <f t="shared" si="5"/>
        <v>#DIV/0!</v>
      </c>
      <c r="E912" s="22" t="str">
        <f t="shared" si="3"/>
        <v/>
      </c>
      <c r="F912" s="22" t="str">
        <f t="shared" si="6"/>
        <v>#DIV/0!</v>
      </c>
      <c r="H912" s="22" t="str">
        <f t="shared" si="4"/>
        <v/>
      </c>
      <c r="I912" s="22" t="str">
        <f t="shared" si="1"/>
        <v>#N/A</v>
      </c>
      <c r="J912" s="22" t="str">
        <f t="shared" si="2"/>
        <v>#N/A</v>
      </c>
      <c r="K912" s="22" t="str">
        <f t="array" ref="K912">IF(H912="Crash",MATCH(TRUE, B913:B1010 &gt;= B911, 0),"")</f>
        <v/>
      </c>
    </row>
    <row r="913" ht="15.75" customHeight="1">
      <c r="A913" s="31" t="str">
        <f>'EQUITY BACKTEST'!A916</f>
        <v/>
      </c>
      <c r="B913" s="22" t="str">
        <f>'EQUITY BACKTEST'!B916</f>
        <v/>
      </c>
      <c r="C913" s="22" t="str">
        <f>1/'EQUITY BACKTEST'!E916</f>
        <v>#DIV/0!</v>
      </c>
      <c r="D913" s="22" t="str">
        <f t="shared" si="5"/>
        <v>#DIV/0!</v>
      </c>
      <c r="E913" s="22" t="str">
        <f t="shared" si="3"/>
        <v/>
      </c>
      <c r="F913" s="22" t="str">
        <f t="shared" si="6"/>
        <v>#DIV/0!</v>
      </c>
      <c r="H913" s="22" t="str">
        <f t="shared" si="4"/>
        <v/>
      </c>
      <c r="I913" s="22" t="str">
        <f t="shared" si="1"/>
        <v>#N/A</v>
      </c>
      <c r="J913" s="22" t="str">
        <f t="shared" si="2"/>
        <v>#N/A</v>
      </c>
      <c r="K913" s="22" t="str">
        <f t="array" ref="K913">IF(H913="Crash",MATCH(TRUE, B914:B1011 &gt;= B912, 0),"")</f>
        <v/>
      </c>
    </row>
    <row r="914" ht="15.75" customHeight="1">
      <c r="A914" s="31" t="str">
        <f>'EQUITY BACKTEST'!A917</f>
        <v/>
      </c>
      <c r="B914" s="22" t="str">
        <f>'EQUITY BACKTEST'!B917</f>
        <v/>
      </c>
      <c r="C914" s="22" t="str">
        <f>1/'EQUITY BACKTEST'!E917</f>
        <v>#DIV/0!</v>
      </c>
      <c r="D914" s="22" t="str">
        <f t="shared" si="5"/>
        <v>#DIV/0!</v>
      </c>
      <c r="E914" s="22" t="str">
        <f t="shared" si="3"/>
        <v/>
      </c>
      <c r="F914" s="22" t="str">
        <f t="shared" si="6"/>
        <v>#DIV/0!</v>
      </c>
      <c r="H914" s="22" t="str">
        <f t="shared" si="4"/>
        <v/>
      </c>
      <c r="I914" s="22" t="str">
        <f t="shared" si="1"/>
        <v>#N/A</v>
      </c>
      <c r="J914" s="22" t="str">
        <f t="shared" si="2"/>
        <v>#N/A</v>
      </c>
      <c r="K914" s="22" t="str">
        <f t="array" ref="K914">IF(H914="Crash",MATCH(TRUE, B915:B1012 &gt;= B913, 0),"")</f>
        <v/>
      </c>
    </row>
    <row r="915" ht="15.75" customHeight="1">
      <c r="A915" s="31" t="str">
        <f>'EQUITY BACKTEST'!A918</f>
        <v/>
      </c>
      <c r="B915" s="22" t="str">
        <f>'EQUITY BACKTEST'!B918</f>
        <v/>
      </c>
      <c r="C915" s="22" t="str">
        <f>1/'EQUITY BACKTEST'!E918</f>
        <v>#DIV/0!</v>
      </c>
      <c r="D915" s="22" t="str">
        <f t="shared" si="5"/>
        <v>#DIV/0!</v>
      </c>
      <c r="E915" s="22" t="str">
        <f t="shared" si="3"/>
        <v/>
      </c>
      <c r="F915" s="22" t="str">
        <f t="shared" si="6"/>
        <v>#DIV/0!</v>
      </c>
      <c r="H915" s="22" t="str">
        <f t="shared" si="4"/>
        <v/>
      </c>
      <c r="I915" s="22" t="str">
        <f t="shared" si="1"/>
        <v>#N/A</v>
      </c>
      <c r="J915" s="22" t="str">
        <f t="shared" si="2"/>
        <v>#N/A</v>
      </c>
      <c r="K915" s="22" t="str">
        <f t="array" ref="K915">IF(H915="Crash",MATCH(TRUE, B916:B1013 &gt;= B914, 0),"")</f>
        <v/>
      </c>
    </row>
    <row r="916" ht="15.75" customHeight="1">
      <c r="A916" s="31" t="str">
        <f>'EQUITY BACKTEST'!A919</f>
        <v/>
      </c>
      <c r="B916" s="22" t="str">
        <f>'EQUITY BACKTEST'!B919</f>
        <v/>
      </c>
      <c r="C916" s="22" t="str">
        <f>1/'EQUITY BACKTEST'!E919</f>
        <v>#DIV/0!</v>
      </c>
      <c r="D916" s="22" t="str">
        <f t="shared" si="5"/>
        <v>#DIV/0!</v>
      </c>
      <c r="E916" s="22" t="str">
        <f t="shared" si="3"/>
        <v/>
      </c>
      <c r="F916" s="22" t="str">
        <f t="shared" si="6"/>
        <v>#DIV/0!</v>
      </c>
      <c r="H916" s="22" t="str">
        <f t="shared" si="4"/>
        <v/>
      </c>
      <c r="I916" s="22" t="str">
        <f t="shared" si="1"/>
        <v>#N/A</v>
      </c>
      <c r="J916" s="22" t="str">
        <f t="shared" si="2"/>
        <v>#N/A</v>
      </c>
      <c r="K916" s="22" t="str">
        <f t="array" ref="K916">IF(H916="Crash",MATCH(TRUE, B917:B1014 &gt;= B915, 0),"")</f>
        <v/>
      </c>
    </row>
    <row r="917" ht="15.75" customHeight="1">
      <c r="A917" s="31" t="str">
        <f>'EQUITY BACKTEST'!A920</f>
        <v/>
      </c>
      <c r="B917" s="22" t="str">
        <f>'EQUITY BACKTEST'!B920</f>
        <v/>
      </c>
      <c r="C917" s="22" t="str">
        <f>1/'EQUITY BACKTEST'!E920</f>
        <v>#DIV/0!</v>
      </c>
      <c r="D917" s="22" t="str">
        <f t="shared" si="5"/>
        <v>#DIV/0!</v>
      </c>
      <c r="E917" s="22" t="str">
        <f t="shared" si="3"/>
        <v/>
      </c>
      <c r="F917" s="22" t="str">
        <f t="shared" si="6"/>
        <v>#DIV/0!</v>
      </c>
      <c r="H917" s="22" t="str">
        <f t="shared" si="4"/>
        <v/>
      </c>
      <c r="I917" s="22" t="str">
        <f t="shared" si="1"/>
        <v>#N/A</v>
      </c>
      <c r="J917" s="22" t="str">
        <f t="shared" si="2"/>
        <v>#N/A</v>
      </c>
      <c r="K917" s="22" t="str">
        <f t="array" ref="K917">IF(H917="Crash",MATCH(TRUE, B918:B1015 &gt;= B916, 0),"")</f>
        <v/>
      </c>
    </row>
    <row r="918" ht="15.75" customHeight="1">
      <c r="A918" s="31" t="str">
        <f>'EQUITY BACKTEST'!A921</f>
        <v/>
      </c>
      <c r="B918" s="22" t="str">
        <f>'EQUITY BACKTEST'!B921</f>
        <v/>
      </c>
      <c r="C918" s="22" t="str">
        <f>1/'EQUITY BACKTEST'!E921</f>
        <v>#DIV/0!</v>
      </c>
      <c r="D918" s="22" t="str">
        <f t="shared" si="5"/>
        <v>#DIV/0!</v>
      </c>
      <c r="E918" s="22" t="str">
        <f t="shared" si="3"/>
        <v/>
      </c>
      <c r="F918" s="22" t="str">
        <f t="shared" si="6"/>
        <v>#DIV/0!</v>
      </c>
      <c r="H918" s="22" t="str">
        <f t="shared" si="4"/>
        <v/>
      </c>
      <c r="I918" s="22" t="str">
        <f t="shared" si="1"/>
        <v>#N/A</v>
      </c>
      <c r="J918" s="22" t="str">
        <f t="shared" si="2"/>
        <v>#N/A</v>
      </c>
      <c r="K918" s="22" t="str">
        <f t="array" ref="K918">IF(H918="Crash",MATCH(TRUE, B919:B1016 &gt;= B917, 0),"")</f>
        <v/>
      </c>
    </row>
    <row r="919" ht="15.75" customHeight="1">
      <c r="A919" s="31" t="str">
        <f>'EQUITY BACKTEST'!A922</f>
        <v/>
      </c>
      <c r="B919" s="22" t="str">
        <f>'EQUITY BACKTEST'!B922</f>
        <v/>
      </c>
      <c r="C919" s="22" t="str">
        <f>1/'EQUITY BACKTEST'!E922</f>
        <v>#DIV/0!</v>
      </c>
      <c r="D919" s="22" t="str">
        <f t="shared" si="5"/>
        <v>#DIV/0!</v>
      </c>
      <c r="E919" s="22" t="str">
        <f t="shared" si="3"/>
        <v/>
      </c>
      <c r="F919" s="22" t="str">
        <f t="shared" si="6"/>
        <v>#DIV/0!</v>
      </c>
      <c r="H919" s="22" t="str">
        <f t="shared" si="4"/>
        <v/>
      </c>
      <c r="I919" s="22" t="str">
        <f t="shared" si="1"/>
        <v>#N/A</v>
      </c>
      <c r="J919" s="22" t="str">
        <f t="shared" si="2"/>
        <v>#N/A</v>
      </c>
      <c r="K919" s="22" t="str">
        <f t="array" ref="K919">IF(H919="Crash",MATCH(TRUE, B920:B1017 &gt;= B918, 0),"")</f>
        <v/>
      </c>
    </row>
    <row r="920" ht="15.75" customHeight="1">
      <c r="A920" s="31" t="str">
        <f>'EQUITY BACKTEST'!A923</f>
        <v/>
      </c>
      <c r="B920" s="22" t="str">
        <f>'EQUITY BACKTEST'!B923</f>
        <v/>
      </c>
      <c r="C920" s="22" t="str">
        <f>1/'EQUITY BACKTEST'!E923</f>
        <v>#DIV/0!</v>
      </c>
      <c r="D920" s="22" t="str">
        <f t="shared" si="5"/>
        <v>#DIV/0!</v>
      </c>
      <c r="E920" s="22" t="str">
        <f t="shared" si="3"/>
        <v/>
      </c>
      <c r="F920" s="22" t="str">
        <f t="shared" si="6"/>
        <v>#DIV/0!</v>
      </c>
      <c r="H920" s="22" t="str">
        <f t="shared" si="4"/>
        <v/>
      </c>
      <c r="I920" s="22" t="str">
        <f t="shared" si="1"/>
        <v>#N/A</v>
      </c>
      <c r="J920" s="22" t="str">
        <f t="shared" si="2"/>
        <v>#N/A</v>
      </c>
      <c r="K920" s="22" t="str">
        <f t="array" ref="K920">IF(H920="Crash",MATCH(TRUE, B921:B1018 &gt;= B919, 0),"")</f>
        <v/>
      </c>
    </row>
    <row r="921" ht="15.75" customHeight="1">
      <c r="A921" s="31" t="str">
        <f>'EQUITY BACKTEST'!A924</f>
        <v/>
      </c>
      <c r="B921" s="22" t="str">
        <f>'EQUITY BACKTEST'!B924</f>
        <v/>
      </c>
      <c r="C921" s="22" t="str">
        <f>1/'EQUITY BACKTEST'!E924</f>
        <v>#DIV/0!</v>
      </c>
      <c r="D921" s="22" t="str">
        <f t="shared" si="5"/>
        <v>#DIV/0!</v>
      </c>
      <c r="E921" s="22" t="str">
        <f t="shared" si="3"/>
        <v/>
      </c>
      <c r="F921" s="22" t="str">
        <f t="shared" si="6"/>
        <v>#DIV/0!</v>
      </c>
      <c r="H921" s="22" t="str">
        <f t="shared" si="4"/>
        <v/>
      </c>
      <c r="I921" s="22" t="str">
        <f t="shared" si="1"/>
        <v>#N/A</v>
      </c>
      <c r="J921" s="22" t="str">
        <f t="shared" si="2"/>
        <v>#N/A</v>
      </c>
      <c r="K921" s="22" t="str">
        <f t="array" ref="K921">IF(H921="Crash",MATCH(TRUE, B922:B1019 &gt;= B920, 0),"")</f>
        <v/>
      </c>
    </row>
    <row r="922" ht="15.75" customHeight="1">
      <c r="A922" s="31" t="str">
        <f>'EQUITY BACKTEST'!A925</f>
        <v/>
      </c>
      <c r="B922" s="22" t="str">
        <f>'EQUITY BACKTEST'!B925</f>
        <v/>
      </c>
      <c r="C922" s="22" t="str">
        <f>1/'EQUITY BACKTEST'!E925</f>
        <v>#DIV/0!</v>
      </c>
      <c r="D922" s="22" t="str">
        <f t="shared" si="5"/>
        <v>#DIV/0!</v>
      </c>
      <c r="E922" s="22" t="str">
        <f t="shared" si="3"/>
        <v/>
      </c>
      <c r="F922" s="22" t="str">
        <f t="shared" si="6"/>
        <v>#DIV/0!</v>
      </c>
      <c r="H922" s="22" t="str">
        <f t="shared" si="4"/>
        <v/>
      </c>
      <c r="I922" s="22" t="str">
        <f t="shared" si="1"/>
        <v>#N/A</v>
      </c>
      <c r="J922" s="22" t="str">
        <f t="shared" si="2"/>
        <v>#N/A</v>
      </c>
      <c r="K922" s="22" t="str">
        <f t="array" ref="K922">IF(H922="Crash",MATCH(TRUE, B923:B1020 &gt;= B921, 0),"")</f>
        <v/>
      </c>
    </row>
    <row r="923" ht="15.75" customHeight="1">
      <c r="A923" s="31" t="str">
        <f>'EQUITY BACKTEST'!A926</f>
        <v/>
      </c>
      <c r="B923" s="22" t="str">
        <f>'EQUITY BACKTEST'!B926</f>
        <v/>
      </c>
      <c r="C923" s="22" t="str">
        <f>1/'EQUITY BACKTEST'!E926</f>
        <v>#DIV/0!</v>
      </c>
      <c r="D923" s="22" t="str">
        <f t="shared" si="5"/>
        <v>#DIV/0!</v>
      </c>
      <c r="E923" s="22" t="str">
        <f t="shared" si="3"/>
        <v/>
      </c>
      <c r="F923" s="22" t="str">
        <f t="shared" si="6"/>
        <v>#DIV/0!</v>
      </c>
      <c r="H923" s="22" t="str">
        <f t="shared" si="4"/>
        <v/>
      </c>
      <c r="I923" s="22" t="str">
        <f t="shared" si="1"/>
        <v>#N/A</v>
      </c>
      <c r="J923" s="22" t="str">
        <f t="shared" si="2"/>
        <v>#N/A</v>
      </c>
      <c r="K923" s="22" t="str">
        <f t="array" ref="K923">IF(H923="Crash",MATCH(TRUE, B924:B1021 &gt;= B922, 0),"")</f>
        <v/>
      </c>
    </row>
    <row r="924" ht="15.75" customHeight="1">
      <c r="A924" s="31" t="str">
        <f>'EQUITY BACKTEST'!A927</f>
        <v/>
      </c>
      <c r="B924" s="22" t="str">
        <f>'EQUITY BACKTEST'!B927</f>
        <v/>
      </c>
      <c r="C924" s="22" t="str">
        <f>1/'EQUITY BACKTEST'!E927</f>
        <v>#DIV/0!</v>
      </c>
      <c r="D924" s="22" t="str">
        <f t="shared" si="5"/>
        <v>#DIV/0!</v>
      </c>
      <c r="E924" s="22" t="str">
        <f t="shared" si="3"/>
        <v/>
      </c>
      <c r="F924" s="22" t="str">
        <f t="shared" si="6"/>
        <v>#DIV/0!</v>
      </c>
      <c r="H924" s="22" t="str">
        <f t="shared" si="4"/>
        <v/>
      </c>
      <c r="I924" s="22" t="str">
        <f t="shared" si="1"/>
        <v>#N/A</v>
      </c>
      <c r="J924" s="22" t="str">
        <f t="shared" si="2"/>
        <v>#N/A</v>
      </c>
      <c r="K924" s="22" t="str">
        <f t="array" ref="K924">IF(H924="Crash",MATCH(TRUE, B925:B1022 &gt;= B923, 0),"")</f>
        <v/>
      </c>
    </row>
    <row r="925" ht="15.75" customHeight="1">
      <c r="A925" s="31" t="str">
        <f>'EQUITY BACKTEST'!A928</f>
        <v/>
      </c>
      <c r="B925" s="22" t="str">
        <f>'EQUITY BACKTEST'!B928</f>
        <v/>
      </c>
      <c r="C925" s="22" t="str">
        <f>1/'EQUITY BACKTEST'!E928</f>
        <v>#DIV/0!</v>
      </c>
      <c r="D925" s="22" t="str">
        <f t="shared" si="5"/>
        <v>#DIV/0!</v>
      </c>
      <c r="E925" s="22" t="str">
        <f t="shared" si="3"/>
        <v/>
      </c>
      <c r="F925" s="22" t="str">
        <f t="shared" si="6"/>
        <v>#DIV/0!</v>
      </c>
      <c r="H925" s="22" t="str">
        <f t="shared" si="4"/>
        <v/>
      </c>
      <c r="I925" s="22" t="str">
        <f t="shared" si="1"/>
        <v>#N/A</v>
      </c>
      <c r="J925" s="22" t="str">
        <f t="shared" si="2"/>
        <v>#N/A</v>
      </c>
      <c r="K925" s="22" t="str">
        <f t="array" ref="K925">IF(H925="Crash",MATCH(TRUE, B926:B1023 &gt;= B924, 0),"")</f>
        <v/>
      </c>
    </row>
    <row r="926" ht="15.75" customHeight="1">
      <c r="A926" s="31" t="str">
        <f>'EQUITY BACKTEST'!A929</f>
        <v/>
      </c>
      <c r="B926" s="22" t="str">
        <f>'EQUITY BACKTEST'!B929</f>
        <v/>
      </c>
      <c r="C926" s="22" t="str">
        <f>1/'EQUITY BACKTEST'!E929</f>
        <v>#DIV/0!</v>
      </c>
      <c r="D926" s="22" t="str">
        <f t="shared" ref="D926:D1343" si="7">CORREL($B926:$B978,$C926:$C978)</f>
        <v>#DIV/0!</v>
      </c>
      <c r="E926" s="22" t="str">
        <f t="shared" si="3"/>
        <v/>
      </c>
      <c r="F926" s="22" t="str">
        <f t="shared" si="6"/>
        <v>#DIV/0!</v>
      </c>
      <c r="H926" s="22" t="str">
        <f t="shared" si="4"/>
        <v/>
      </c>
      <c r="I926" s="22" t="str">
        <f t="shared" si="1"/>
        <v>#N/A</v>
      </c>
      <c r="J926" s="22" t="str">
        <f t="shared" si="2"/>
        <v>#N/A</v>
      </c>
      <c r="K926" s="22" t="str">
        <f t="array" ref="K926">IF(H926="Crash",MATCH(TRUE, B927:B1024 &gt;= B925, 0),"")</f>
        <v/>
      </c>
    </row>
    <row r="927" ht="15.75" customHeight="1">
      <c r="A927" s="31" t="str">
        <f>'EQUITY BACKTEST'!A930</f>
        <v/>
      </c>
      <c r="B927" s="22" t="str">
        <f>'EQUITY BACKTEST'!B930</f>
        <v/>
      </c>
      <c r="C927" s="22" t="str">
        <f>1/'EQUITY BACKTEST'!E930</f>
        <v>#DIV/0!</v>
      </c>
      <c r="D927" s="22" t="str">
        <f t="shared" si="7"/>
        <v>#DIV/0!</v>
      </c>
      <c r="E927" s="22" t="str">
        <f t="shared" si="3"/>
        <v/>
      </c>
      <c r="F927" s="22" t="str">
        <f t="shared" si="6"/>
        <v>#DIV/0!</v>
      </c>
      <c r="H927" s="22" t="str">
        <f t="shared" si="4"/>
        <v/>
      </c>
      <c r="I927" s="22" t="str">
        <f t="shared" si="1"/>
        <v>#N/A</v>
      </c>
      <c r="J927" s="22" t="str">
        <f t="shared" si="2"/>
        <v>#N/A</v>
      </c>
      <c r="K927" s="22" t="str">
        <f t="array" ref="K927">IF(H927="Crash",MATCH(TRUE, B928:B1025 &gt;= B926, 0),"")</f>
        <v/>
      </c>
    </row>
    <row r="928" ht="15.75" customHeight="1">
      <c r="A928" s="31" t="str">
        <f>'EQUITY BACKTEST'!A931</f>
        <v/>
      </c>
      <c r="B928" s="22" t="str">
        <f>'EQUITY BACKTEST'!B931</f>
        <v/>
      </c>
      <c r="C928" s="22" t="str">
        <f>1/'EQUITY BACKTEST'!E931</f>
        <v>#DIV/0!</v>
      </c>
      <c r="D928" s="22" t="str">
        <f t="shared" si="7"/>
        <v>#DIV/0!</v>
      </c>
      <c r="E928" s="22" t="str">
        <f t="shared" si="3"/>
        <v/>
      </c>
      <c r="F928" s="22" t="str">
        <f t="shared" si="6"/>
        <v>#DIV/0!</v>
      </c>
      <c r="H928" s="22" t="str">
        <f t="shared" si="4"/>
        <v/>
      </c>
      <c r="I928" s="22" t="str">
        <f t="shared" si="1"/>
        <v>#N/A</v>
      </c>
      <c r="J928" s="22" t="str">
        <f t="shared" si="2"/>
        <v>#N/A</v>
      </c>
      <c r="K928" s="22" t="str">
        <f t="array" ref="K928">IF(H928="Crash",MATCH(TRUE, B929:B1026 &gt;= B927, 0),"")</f>
        <v/>
      </c>
    </row>
    <row r="929" ht="15.75" customHeight="1">
      <c r="A929" s="31" t="str">
        <f>'EQUITY BACKTEST'!A932</f>
        <v/>
      </c>
      <c r="B929" s="22" t="str">
        <f>'EQUITY BACKTEST'!B932</f>
        <v/>
      </c>
      <c r="C929" s="22" t="str">
        <f>1/'EQUITY BACKTEST'!E932</f>
        <v>#DIV/0!</v>
      </c>
      <c r="D929" s="22" t="str">
        <f t="shared" si="7"/>
        <v>#DIV/0!</v>
      </c>
      <c r="E929" s="22" t="str">
        <f t="shared" si="3"/>
        <v/>
      </c>
      <c r="F929" s="22" t="str">
        <f t="shared" si="6"/>
        <v>#DIV/0!</v>
      </c>
      <c r="H929" s="22" t="str">
        <f t="shared" si="4"/>
        <v/>
      </c>
      <c r="I929" s="22" t="str">
        <f t="shared" si="1"/>
        <v>#N/A</v>
      </c>
      <c r="J929" s="22" t="str">
        <f t="shared" si="2"/>
        <v>#N/A</v>
      </c>
      <c r="K929" s="22" t="str">
        <f t="array" ref="K929">IF(H929="Crash",MATCH(TRUE, B930:B1027 &gt;= B928, 0),"")</f>
        <v/>
      </c>
    </row>
    <row r="930" ht="15.75" customHeight="1">
      <c r="A930" s="31" t="str">
        <f>'EQUITY BACKTEST'!A933</f>
        <v/>
      </c>
      <c r="B930" s="22" t="str">
        <f>'EQUITY BACKTEST'!B933</f>
        <v/>
      </c>
      <c r="C930" s="22" t="str">
        <f>1/'EQUITY BACKTEST'!E933</f>
        <v>#DIV/0!</v>
      </c>
      <c r="D930" s="22" t="str">
        <f t="shared" si="7"/>
        <v>#DIV/0!</v>
      </c>
      <c r="E930" s="22" t="str">
        <f t="shared" si="3"/>
        <v/>
      </c>
      <c r="F930" s="22" t="str">
        <f t="shared" si="6"/>
        <v>#DIV/0!</v>
      </c>
      <c r="H930" s="22" t="str">
        <f t="shared" si="4"/>
        <v/>
      </c>
      <c r="I930" s="22" t="str">
        <f t="shared" si="1"/>
        <v>#N/A</v>
      </c>
      <c r="J930" s="22" t="str">
        <f t="shared" si="2"/>
        <v>#N/A</v>
      </c>
      <c r="K930" s="22" t="str">
        <f t="array" ref="K930">IF(H930="Crash",MATCH(TRUE, B931:B1028 &gt;= B929, 0),"")</f>
        <v/>
      </c>
    </row>
    <row r="931" ht="15.75" customHeight="1">
      <c r="A931" s="31" t="str">
        <f>'EQUITY BACKTEST'!A934</f>
        <v/>
      </c>
      <c r="B931" s="22" t="str">
        <f>'EQUITY BACKTEST'!B934</f>
        <v/>
      </c>
      <c r="C931" s="22" t="str">
        <f>1/'EQUITY BACKTEST'!E934</f>
        <v>#DIV/0!</v>
      </c>
      <c r="D931" s="22" t="str">
        <f t="shared" si="7"/>
        <v>#DIV/0!</v>
      </c>
      <c r="E931" s="22" t="str">
        <f t="shared" si="3"/>
        <v/>
      </c>
      <c r="F931" s="22" t="str">
        <f t="shared" si="6"/>
        <v>#DIV/0!</v>
      </c>
      <c r="H931" s="22" t="str">
        <f t="shared" si="4"/>
        <v/>
      </c>
      <c r="I931" s="22" t="str">
        <f t="shared" si="1"/>
        <v>#N/A</v>
      </c>
      <c r="J931" s="22" t="str">
        <f t="shared" si="2"/>
        <v>#N/A</v>
      </c>
      <c r="K931" s="22" t="str">
        <f t="array" ref="K931">IF(H931="Crash",MATCH(TRUE, B932:B1029 &gt;= B930, 0),"")</f>
        <v/>
      </c>
    </row>
    <row r="932" ht="15.75" customHeight="1">
      <c r="A932" s="31" t="str">
        <f>'EQUITY BACKTEST'!A935</f>
        <v/>
      </c>
      <c r="B932" s="22" t="str">
        <f>'EQUITY BACKTEST'!B935</f>
        <v/>
      </c>
      <c r="C932" s="22" t="str">
        <f>1/'EQUITY BACKTEST'!E935</f>
        <v>#DIV/0!</v>
      </c>
      <c r="D932" s="22" t="str">
        <f t="shared" si="7"/>
        <v>#DIV/0!</v>
      </c>
      <c r="E932" s="22" t="str">
        <f t="shared" si="3"/>
        <v/>
      </c>
      <c r="F932" s="22" t="str">
        <f t="shared" si="6"/>
        <v>#DIV/0!</v>
      </c>
      <c r="H932" s="22" t="str">
        <f t="shared" si="4"/>
        <v/>
      </c>
      <c r="I932" s="22" t="str">
        <f t="shared" si="1"/>
        <v>#N/A</v>
      </c>
      <c r="J932" s="22" t="str">
        <f t="shared" si="2"/>
        <v>#N/A</v>
      </c>
      <c r="K932" s="22" t="str">
        <f t="array" ref="K932">IF(H932="Crash",MATCH(TRUE, B933:B1030 &gt;= B931, 0),"")</f>
        <v/>
      </c>
    </row>
    <row r="933" ht="15.75" customHeight="1">
      <c r="A933" s="31" t="str">
        <f>'EQUITY BACKTEST'!A936</f>
        <v/>
      </c>
      <c r="B933" s="22" t="str">
        <f>'EQUITY BACKTEST'!B936</f>
        <v/>
      </c>
      <c r="C933" s="22" t="str">
        <f>1/'EQUITY BACKTEST'!E936</f>
        <v>#DIV/0!</v>
      </c>
      <c r="D933" s="22" t="str">
        <f t="shared" si="7"/>
        <v>#DIV/0!</v>
      </c>
      <c r="E933" s="22" t="str">
        <f t="shared" si="3"/>
        <v/>
      </c>
      <c r="F933" s="22" t="str">
        <f t="shared" si="6"/>
        <v>#DIV/0!</v>
      </c>
      <c r="H933" s="22" t="str">
        <f t="shared" si="4"/>
        <v/>
      </c>
      <c r="I933" s="22" t="str">
        <f t="shared" si="1"/>
        <v>#N/A</v>
      </c>
      <c r="J933" s="22" t="str">
        <f t="shared" si="2"/>
        <v>#N/A</v>
      </c>
      <c r="K933" s="22" t="str">
        <f t="array" ref="K933">IF(H933="Crash",MATCH(TRUE, B934:B1031 &gt;= B932, 0),"")</f>
        <v/>
      </c>
    </row>
    <row r="934" ht="15.75" customHeight="1">
      <c r="A934" s="31" t="str">
        <f>'EQUITY BACKTEST'!A937</f>
        <v/>
      </c>
      <c r="B934" s="22" t="str">
        <f>'EQUITY BACKTEST'!B937</f>
        <v/>
      </c>
      <c r="C934" s="22" t="str">
        <f>1/'EQUITY BACKTEST'!E937</f>
        <v>#DIV/0!</v>
      </c>
      <c r="D934" s="22" t="str">
        <f t="shared" si="7"/>
        <v>#DIV/0!</v>
      </c>
      <c r="E934" s="22" t="str">
        <f t="shared" si="3"/>
        <v/>
      </c>
      <c r="F934" s="22" t="str">
        <f t="shared" si="6"/>
        <v>#DIV/0!</v>
      </c>
      <c r="H934" s="22" t="str">
        <f t="shared" si="4"/>
        <v/>
      </c>
      <c r="I934" s="22" t="str">
        <f t="shared" si="1"/>
        <v>#N/A</v>
      </c>
      <c r="J934" s="22" t="str">
        <f t="shared" si="2"/>
        <v>#N/A</v>
      </c>
      <c r="K934" s="22" t="str">
        <f t="array" ref="K934">IF(H934="Crash",MATCH(TRUE, B935:B1032 &gt;= B933, 0),"")</f>
        <v/>
      </c>
    </row>
    <row r="935" ht="15.75" customHeight="1">
      <c r="A935" s="31" t="str">
        <f>'EQUITY BACKTEST'!A938</f>
        <v/>
      </c>
      <c r="B935" s="22" t="str">
        <f>'EQUITY BACKTEST'!B938</f>
        <v/>
      </c>
      <c r="C935" s="22" t="str">
        <f>1/'EQUITY BACKTEST'!E938</f>
        <v>#DIV/0!</v>
      </c>
      <c r="D935" s="22" t="str">
        <f t="shared" si="7"/>
        <v>#DIV/0!</v>
      </c>
      <c r="E935" s="22" t="str">
        <f t="shared" si="3"/>
        <v/>
      </c>
      <c r="F935" s="22" t="str">
        <f t="shared" si="6"/>
        <v>#DIV/0!</v>
      </c>
      <c r="H935" s="22" t="str">
        <f t="shared" si="4"/>
        <v/>
      </c>
      <c r="I935" s="22" t="str">
        <f t="shared" si="1"/>
        <v>#N/A</v>
      </c>
      <c r="J935" s="22" t="str">
        <f t="shared" si="2"/>
        <v>#N/A</v>
      </c>
      <c r="K935" s="22" t="str">
        <f t="array" ref="K935">IF(H935="Crash",MATCH(TRUE, B936:B1033 &gt;= B934, 0),"")</f>
        <v/>
      </c>
    </row>
    <row r="936" ht="15.75" customHeight="1">
      <c r="A936" s="31" t="str">
        <f>'EQUITY BACKTEST'!A939</f>
        <v/>
      </c>
      <c r="B936" s="22" t="str">
        <f>'EQUITY BACKTEST'!B939</f>
        <v/>
      </c>
      <c r="C936" s="22" t="str">
        <f>1/'EQUITY BACKTEST'!E939</f>
        <v>#DIV/0!</v>
      </c>
      <c r="D936" s="22" t="str">
        <f t="shared" si="7"/>
        <v>#DIV/0!</v>
      </c>
      <c r="E936" s="22" t="str">
        <f t="shared" si="3"/>
        <v/>
      </c>
      <c r="F936" s="22" t="str">
        <f t="shared" si="6"/>
        <v>#DIV/0!</v>
      </c>
      <c r="H936" s="22" t="str">
        <f t="shared" si="4"/>
        <v/>
      </c>
      <c r="I936" s="22" t="str">
        <f t="shared" si="1"/>
        <v>#N/A</v>
      </c>
      <c r="J936" s="22" t="str">
        <f t="shared" si="2"/>
        <v>#N/A</v>
      </c>
      <c r="K936" s="22" t="str">
        <f t="array" ref="K936">IF(H936="Crash",MATCH(TRUE, B937:B1034 &gt;= B935, 0),"")</f>
        <v/>
      </c>
    </row>
    <row r="937" ht="15.75" customHeight="1">
      <c r="A937" s="31" t="str">
        <f>'EQUITY BACKTEST'!A940</f>
        <v/>
      </c>
      <c r="B937" s="22" t="str">
        <f>'EQUITY BACKTEST'!B940</f>
        <v/>
      </c>
      <c r="C937" s="22" t="str">
        <f>1/'EQUITY BACKTEST'!E940</f>
        <v>#DIV/0!</v>
      </c>
      <c r="D937" s="22" t="str">
        <f t="shared" si="7"/>
        <v>#DIV/0!</v>
      </c>
      <c r="E937" s="22" t="str">
        <f t="shared" si="3"/>
        <v/>
      </c>
      <c r="F937" s="22" t="str">
        <f t="shared" si="6"/>
        <v>#DIV/0!</v>
      </c>
      <c r="H937" s="22" t="str">
        <f t="shared" si="4"/>
        <v/>
      </c>
      <c r="I937" s="22" t="str">
        <f t="shared" si="1"/>
        <v>#N/A</v>
      </c>
      <c r="J937" s="22" t="str">
        <f t="shared" si="2"/>
        <v>#N/A</v>
      </c>
      <c r="K937" s="22" t="str">
        <f t="array" ref="K937">IF(H937="Crash",MATCH(TRUE, B938:B1035 &gt;= B936, 0),"")</f>
        <v/>
      </c>
    </row>
    <row r="938" ht="15.75" customHeight="1">
      <c r="A938" s="31" t="str">
        <f>'EQUITY BACKTEST'!A941</f>
        <v/>
      </c>
      <c r="B938" s="22" t="str">
        <f>'EQUITY BACKTEST'!B941</f>
        <v/>
      </c>
      <c r="C938" s="22" t="str">
        <f>1/'EQUITY BACKTEST'!E941</f>
        <v>#DIV/0!</v>
      </c>
      <c r="D938" s="22" t="str">
        <f t="shared" si="7"/>
        <v>#DIV/0!</v>
      </c>
      <c r="E938" s="22" t="str">
        <f t="shared" si="3"/>
        <v/>
      </c>
      <c r="F938" s="22" t="str">
        <f t="shared" si="6"/>
        <v>#DIV/0!</v>
      </c>
      <c r="H938" s="22" t="str">
        <f t="shared" si="4"/>
        <v/>
      </c>
      <c r="I938" s="22" t="str">
        <f t="shared" si="1"/>
        <v>#N/A</v>
      </c>
      <c r="J938" s="22" t="str">
        <f t="shared" si="2"/>
        <v>#N/A</v>
      </c>
      <c r="K938" s="22" t="str">
        <f t="array" ref="K938">IF(H938="Crash",MATCH(TRUE, B939:B1036 &gt;= B937, 0),"")</f>
        <v/>
      </c>
    </row>
    <row r="939" ht="15.75" customHeight="1">
      <c r="A939" s="31" t="str">
        <f>'EQUITY BACKTEST'!A942</f>
        <v/>
      </c>
      <c r="B939" s="22" t="str">
        <f>'EQUITY BACKTEST'!B942</f>
        <v/>
      </c>
      <c r="C939" s="22" t="str">
        <f>1/'EQUITY BACKTEST'!E942</f>
        <v>#DIV/0!</v>
      </c>
      <c r="D939" s="22" t="str">
        <f t="shared" si="7"/>
        <v>#DIV/0!</v>
      </c>
      <c r="E939" s="22" t="str">
        <f t="shared" si="3"/>
        <v/>
      </c>
      <c r="F939" s="22" t="str">
        <f t="shared" si="6"/>
        <v>#DIV/0!</v>
      </c>
      <c r="H939" s="22" t="str">
        <f t="shared" si="4"/>
        <v/>
      </c>
      <c r="I939" s="22" t="str">
        <f t="shared" si="1"/>
        <v>#N/A</v>
      </c>
      <c r="J939" s="22" t="str">
        <f t="shared" si="2"/>
        <v>#N/A</v>
      </c>
      <c r="K939" s="22" t="str">
        <f t="array" ref="K939">IF(H939="Crash",MATCH(TRUE, B940:B1037 &gt;= B938, 0),"")</f>
        <v/>
      </c>
    </row>
    <row r="940" ht="15.75" customHeight="1">
      <c r="A940" s="31" t="str">
        <f>'EQUITY BACKTEST'!A943</f>
        <v/>
      </c>
      <c r="B940" s="22" t="str">
        <f>'EQUITY BACKTEST'!B943</f>
        <v/>
      </c>
      <c r="C940" s="22" t="str">
        <f>1/'EQUITY BACKTEST'!E943</f>
        <v>#DIV/0!</v>
      </c>
      <c r="D940" s="22" t="str">
        <f t="shared" si="7"/>
        <v>#DIV/0!</v>
      </c>
      <c r="E940" s="22" t="str">
        <f t="shared" si="3"/>
        <v/>
      </c>
      <c r="F940" s="22" t="str">
        <f t="shared" si="6"/>
        <v>#DIV/0!</v>
      </c>
      <c r="H940" s="22" t="str">
        <f t="shared" si="4"/>
        <v/>
      </c>
      <c r="I940" s="22" t="str">
        <f t="shared" si="1"/>
        <v>#N/A</v>
      </c>
      <c r="J940" s="22" t="str">
        <f t="shared" si="2"/>
        <v>#N/A</v>
      </c>
      <c r="K940" s="22" t="str">
        <f t="array" ref="K940">IF(H940="Crash",MATCH(TRUE, B941:B1038 &gt;= B939, 0),"")</f>
        <v/>
      </c>
    </row>
    <row r="941" ht="15.75" customHeight="1">
      <c r="A941" s="31" t="str">
        <f>'EQUITY BACKTEST'!A944</f>
        <v/>
      </c>
      <c r="B941" s="22" t="str">
        <f>'EQUITY BACKTEST'!B944</f>
        <v/>
      </c>
      <c r="C941" s="22" t="str">
        <f>1/'EQUITY BACKTEST'!E944</f>
        <v>#DIV/0!</v>
      </c>
      <c r="D941" s="22" t="str">
        <f t="shared" si="7"/>
        <v>#DIV/0!</v>
      </c>
      <c r="E941" s="22" t="str">
        <f t="shared" si="3"/>
        <v/>
      </c>
      <c r="F941" s="22" t="str">
        <f t="shared" si="6"/>
        <v>#DIV/0!</v>
      </c>
      <c r="H941" s="22" t="str">
        <f t="shared" si="4"/>
        <v/>
      </c>
      <c r="I941" s="22" t="str">
        <f t="shared" si="1"/>
        <v>#N/A</v>
      </c>
      <c r="J941" s="22" t="str">
        <f t="shared" si="2"/>
        <v>#N/A</v>
      </c>
      <c r="K941" s="22" t="str">
        <f t="array" ref="K941">IF(H941="Crash",MATCH(TRUE, B942:B1039 &gt;= B940, 0),"")</f>
        <v/>
      </c>
    </row>
    <row r="942" ht="15.75" customHeight="1">
      <c r="A942" s="31" t="str">
        <f>'EQUITY BACKTEST'!A945</f>
        <v/>
      </c>
      <c r="B942" s="22" t="str">
        <f>'EQUITY BACKTEST'!B945</f>
        <v/>
      </c>
      <c r="C942" s="22" t="str">
        <f>1/'EQUITY BACKTEST'!E945</f>
        <v>#DIV/0!</v>
      </c>
      <c r="D942" s="22" t="str">
        <f t="shared" si="7"/>
        <v>#DIV/0!</v>
      </c>
      <c r="E942" s="22" t="str">
        <f t="shared" si="3"/>
        <v/>
      </c>
      <c r="F942" s="22" t="str">
        <f t="shared" si="6"/>
        <v>#DIV/0!</v>
      </c>
      <c r="H942" s="22" t="str">
        <f t="shared" si="4"/>
        <v/>
      </c>
      <c r="I942" s="22" t="str">
        <f t="shared" si="1"/>
        <v>#N/A</v>
      </c>
      <c r="J942" s="22" t="str">
        <f t="shared" si="2"/>
        <v>#N/A</v>
      </c>
      <c r="K942" s="22" t="str">
        <f t="array" ref="K942">IF(H942="Crash",MATCH(TRUE, B943:B1040 &gt;= B941, 0),"")</f>
        <v/>
      </c>
    </row>
    <row r="943" ht="15.75" customHeight="1">
      <c r="A943" s="31" t="str">
        <f>'EQUITY BACKTEST'!A946</f>
        <v/>
      </c>
      <c r="B943" s="22" t="str">
        <f>'EQUITY BACKTEST'!B946</f>
        <v/>
      </c>
      <c r="C943" s="22" t="str">
        <f>1/'EQUITY BACKTEST'!E946</f>
        <v>#DIV/0!</v>
      </c>
      <c r="D943" s="22" t="str">
        <f t="shared" si="7"/>
        <v>#DIV/0!</v>
      </c>
      <c r="E943" s="22" t="str">
        <f t="shared" si="3"/>
        <v/>
      </c>
      <c r="F943" s="22" t="str">
        <f t="shared" si="6"/>
        <v>#DIV/0!</v>
      </c>
      <c r="H943" s="22" t="str">
        <f t="shared" si="4"/>
        <v/>
      </c>
      <c r="I943" s="22" t="str">
        <f t="shared" si="1"/>
        <v>#N/A</v>
      </c>
      <c r="J943" s="22" t="str">
        <f t="shared" si="2"/>
        <v>#N/A</v>
      </c>
      <c r="K943" s="22" t="str">
        <f t="array" ref="K943">IF(H943="Crash",MATCH(TRUE, B944:B1041 &gt;= B942, 0),"")</f>
        <v/>
      </c>
    </row>
    <row r="944" ht="15.75" customHeight="1">
      <c r="A944" s="31" t="str">
        <f>'EQUITY BACKTEST'!A947</f>
        <v/>
      </c>
      <c r="B944" s="22" t="str">
        <f>'EQUITY BACKTEST'!B947</f>
        <v/>
      </c>
      <c r="C944" s="22" t="str">
        <f>1/'EQUITY BACKTEST'!E947</f>
        <v>#DIV/0!</v>
      </c>
      <c r="D944" s="22" t="str">
        <f t="shared" si="7"/>
        <v>#DIV/0!</v>
      </c>
      <c r="E944" s="22" t="str">
        <f t="shared" si="3"/>
        <v/>
      </c>
      <c r="F944" s="22" t="str">
        <f t="shared" si="6"/>
        <v>#DIV/0!</v>
      </c>
      <c r="H944" s="22" t="str">
        <f t="shared" si="4"/>
        <v/>
      </c>
      <c r="I944" s="22" t="str">
        <f t="shared" si="1"/>
        <v>#N/A</v>
      </c>
      <c r="J944" s="22" t="str">
        <f t="shared" si="2"/>
        <v>#N/A</v>
      </c>
      <c r="K944" s="22" t="str">
        <f t="array" ref="K944">IF(H944="Crash",MATCH(TRUE, B945:B1042 &gt;= B943, 0),"")</f>
        <v/>
      </c>
    </row>
    <row r="945" ht="15.75" customHeight="1">
      <c r="A945" s="31" t="str">
        <f>'EQUITY BACKTEST'!A948</f>
        <v/>
      </c>
      <c r="B945" s="22" t="str">
        <f>'EQUITY BACKTEST'!B948</f>
        <v/>
      </c>
      <c r="C945" s="22" t="str">
        <f>1/'EQUITY BACKTEST'!E948</f>
        <v>#DIV/0!</v>
      </c>
      <c r="D945" s="22" t="str">
        <f t="shared" si="7"/>
        <v>#DIV/0!</v>
      </c>
      <c r="E945" s="22" t="str">
        <f t="shared" si="3"/>
        <v/>
      </c>
      <c r="F945" s="22" t="str">
        <f t="shared" si="6"/>
        <v>#DIV/0!</v>
      </c>
      <c r="H945" s="22" t="str">
        <f t="shared" si="4"/>
        <v/>
      </c>
      <c r="I945" s="22" t="str">
        <f t="shared" si="1"/>
        <v>#N/A</v>
      </c>
      <c r="J945" s="22" t="str">
        <f t="shared" si="2"/>
        <v>#N/A</v>
      </c>
      <c r="K945" s="22" t="str">
        <f t="array" ref="K945">IF(H945="Crash",MATCH(TRUE, B946:B1043 &gt;= B944, 0),"")</f>
        <v/>
      </c>
    </row>
    <row r="946" ht="15.75" customHeight="1">
      <c r="A946" s="31" t="str">
        <f>'EQUITY BACKTEST'!A949</f>
        <v/>
      </c>
      <c r="B946" s="22" t="str">
        <f>'EQUITY BACKTEST'!B949</f>
        <v/>
      </c>
      <c r="C946" s="22" t="str">
        <f>1/'EQUITY BACKTEST'!E949</f>
        <v>#DIV/0!</v>
      </c>
      <c r="D946" s="22" t="str">
        <f t="shared" si="7"/>
        <v>#DIV/0!</v>
      </c>
      <c r="E946" s="22" t="str">
        <f t="shared" si="3"/>
        <v/>
      </c>
      <c r="F946" s="22" t="str">
        <f t="shared" si="6"/>
        <v>#DIV/0!</v>
      </c>
      <c r="H946" s="22" t="str">
        <f t="shared" si="4"/>
        <v/>
      </c>
      <c r="I946" s="22" t="str">
        <f t="shared" si="1"/>
        <v>#N/A</v>
      </c>
      <c r="J946" s="22" t="str">
        <f t="shared" si="2"/>
        <v>#N/A</v>
      </c>
      <c r="K946" s="22" t="str">
        <f t="array" ref="K946">IF(H946="Crash",MATCH(TRUE, B947:B1044 &gt;= B945, 0),"")</f>
        <v/>
      </c>
    </row>
    <row r="947" ht="15.75" customHeight="1">
      <c r="A947" s="31" t="str">
        <f>'EQUITY BACKTEST'!A950</f>
        <v/>
      </c>
      <c r="B947" s="22" t="str">
        <f>'EQUITY BACKTEST'!B950</f>
        <v/>
      </c>
      <c r="C947" s="22" t="str">
        <f>1/'EQUITY BACKTEST'!E950</f>
        <v>#DIV/0!</v>
      </c>
      <c r="D947" s="22" t="str">
        <f t="shared" si="7"/>
        <v>#DIV/0!</v>
      </c>
      <c r="E947" s="22" t="str">
        <f t="shared" si="3"/>
        <v/>
      </c>
      <c r="F947" s="22" t="str">
        <f t="shared" si="6"/>
        <v>#DIV/0!</v>
      </c>
      <c r="H947" s="22" t="str">
        <f t="shared" si="4"/>
        <v/>
      </c>
      <c r="I947" s="22" t="str">
        <f t="shared" si="1"/>
        <v>#N/A</v>
      </c>
      <c r="J947" s="22" t="str">
        <f t="shared" si="2"/>
        <v>#N/A</v>
      </c>
      <c r="K947" s="22" t="str">
        <f t="array" ref="K947">IF(H947="Crash",MATCH(TRUE, B948:B1045 &gt;= B946, 0),"")</f>
        <v/>
      </c>
    </row>
    <row r="948" ht="15.75" customHeight="1">
      <c r="A948" s="31" t="str">
        <f>'EQUITY BACKTEST'!A951</f>
        <v/>
      </c>
      <c r="B948" s="22" t="str">
        <f>'EQUITY BACKTEST'!B951</f>
        <v/>
      </c>
      <c r="C948" s="22" t="str">
        <f>1/'EQUITY BACKTEST'!E951</f>
        <v>#DIV/0!</v>
      </c>
      <c r="D948" s="22" t="str">
        <f t="shared" si="7"/>
        <v>#DIV/0!</v>
      </c>
      <c r="E948" s="22" t="str">
        <f t="shared" si="3"/>
        <v/>
      </c>
      <c r="F948" s="22" t="str">
        <f t="shared" si="6"/>
        <v>#DIV/0!</v>
      </c>
      <c r="H948" s="22" t="str">
        <f t="shared" si="4"/>
        <v/>
      </c>
      <c r="I948" s="22" t="str">
        <f t="shared" si="1"/>
        <v>#N/A</v>
      </c>
      <c r="J948" s="22" t="str">
        <f t="shared" si="2"/>
        <v>#N/A</v>
      </c>
      <c r="K948" s="22" t="str">
        <f t="array" ref="K948">IF(H948="Crash",MATCH(TRUE, B949:B1046 &gt;= B947, 0),"")</f>
        <v/>
      </c>
    </row>
    <row r="949" ht="15.75" customHeight="1">
      <c r="A949" s="31" t="str">
        <f>'EQUITY BACKTEST'!A952</f>
        <v/>
      </c>
      <c r="B949" s="22" t="str">
        <f>'EQUITY BACKTEST'!B952</f>
        <v/>
      </c>
      <c r="C949" s="22" t="str">
        <f>1/'EQUITY BACKTEST'!E952</f>
        <v>#DIV/0!</v>
      </c>
      <c r="D949" s="22" t="str">
        <f t="shared" si="7"/>
        <v>#DIV/0!</v>
      </c>
      <c r="E949" s="22" t="str">
        <f t="shared" si="3"/>
        <v/>
      </c>
      <c r="F949" s="22" t="str">
        <f t="shared" si="6"/>
        <v>#DIV/0!</v>
      </c>
      <c r="H949" s="22" t="str">
        <f t="shared" si="4"/>
        <v/>
      </c>
      <c r="I949" s="22" t="str">
        <f t="shared" si="1"/>
        <v>#N/A</v>
      </c>
      <c r="J949" s="22" t="str">
        <f t="shared" si="2"/>
        <v>#N/A</v>
      </c>
      <c r="K949" s="22" t="str">
        <f t="array" ref="K949">IF(H949="Crash",MATCH(TRUE, B950:B1047 &gt;= B948, 0),"")</f>
        <v/>
      </c>
    </row>
    <row r="950" ht="15.75" customHeight="1">
      <c r="A950" s="31" t="str">
        <f>'EQUITY BACKTEST'!A953</f>
        <v/>
      </c>
      <c r="B950" s="22" t="str">
        <f>'EQUITY BACKTEST'!B953</f>
        <v/>
      </c>
      <c r="C950" s="22" t="str">
        <f>1/'EQUITY BACKTEST'!E953</f>
        <v>#DIV/0!</v>
      </c>
      <c r="D950" s="22" t="str">
        <f t="shared" si="7"/>
        <v>#DIV/0!</v>
      </c>
      <c r="E950" s="22" t="str">
        <f t="shared" si="3"/>
        <v/>
      </c>
      <c r="F950" s="22" t="str">
        <f t="shared" si="6"/>
        <v>#DIV/0!</v>
      </c>
      <c r="H950" s="22" t="str">
        <f t="shared" si="4"/>
        <v/>
      </c>
      <c r="I950" s="22" t="str">
        <f t="shared" si="1"/>
        <v>#N/A</v>
      </c>
      <c r="J950" s="22" t="str">
        <f t="shared" si="2"/>
        <v>#N/A</v>
      </c>
      <c r="K950" s="22" t="str">
        <f t="array" ref="K950">IF(H950="Crash",MATCH(TRUE, B951:B1048 &gt;= B949, 0),"")</f>
        <v/>
      </c>
    </row>
    <row r="951" ht="15.75" customHeight="1">
      <c r="A951" s="31" t="str">
        <f>'EQUITY BACKTEST'!A954</f>
        <v/>
      </c>
      <c r="B951" s="22" t="str">
        <f>'EQUITY BACKTEST'!B954</f>
        <v/>
      </c>
      <c r="C951" s="22" t="str">
        <f>1/'EQUITY BACKTEST'!E954</f>
        <v>#DIV/0!</v>
      </c>
      <c r="D951" s="22" t="str">
        <f t="shared" si="7"/>
        <v>#DIV/0!</v>
      </c>
      <c r="E951" s="22" t="str">
        <f t="shared" si="3"/>
        <v/>
      </c>
      <c r="F951" s="22" t="str">
        <f t="shared" si="6"/>
        <v>#DIV/0!</v>
      </c>
      <c r="H951" s="22" t="str">
        <f t="shared" si="4"/>
        <v/>
      </c>
      <c r="I951" s="22" t="str">
        <f t="shared" si="1"/>
        <v>#N/A</v>
      </c>
      <c r="J951" s="22" t="str">
        <f t="shared" si="2"/>
        <v>#N/A</v>
      </c>
      <c r="K951" s="22" t="str">
        <f t="array" ref="K951">IF(H951="Crash",MATCH(TRUE, B952:B1049 &gt;= B950, 0),"")</f>
        <v/>
      </c>
    </row>
    <row r="952" ht="15.75" customHeight="1">
      <c r="A952" s="31" t="str">
        <f>'EQUITY BACKTEST'!A955</f>
        <v/>
      </c>
      <c r="B952" s="22" t="str">
        <f>'EQUITY BACKTEST'!B955</f>
        <v/>
      </c>
      <c r="C952" s="22" t="str">
        <f>1/'EQUITY BACKTEST'!E955</f>
        <v>#DIV/0!</v>
      </c>
      <c r="D952" s="22" t="str">
        <f t="shared" si="7"/>
        <v>#DIV/0!</v>
      </c>
      <c r="E952" s="22" t="str">
        <f t="shared" si="3"/>
        <v/>
      </c>
      <c r="F952" s="22" t="str">
        <f t="shared" si="6"/>
        <v>#DIV/0!</v>
      </c>
      <c r="H952" s="22" t="str">
        <f t="shared" si="4"/>
        <v/>
      </c>
      <c r="I952" s="22" t="str">
        <f t="shared" si="1"/>
        <v>#N/A</v>
      </c>
      <c r="J952" s="22" t="str">
        <f t="shared" si="2"/>
        <v>#N/A</v>
      </c>
      <c r="K952" s="22" t="str">
        <f t="array" ref="K952">IF(H952="Crash",MATCH(TRUE, B953:B1050 &gt;= B951, 0),"")</f>
        <v/>
      </c>
    </row>
    <row r="953" ht="15.75" customHeight="1">
      <c r="A953" s="31" t="str">
        <f>'EQUITY BACKTEST'!A956</f>
        <v/>
      </c>
      <c r="B953" s="22" t="str">
        <f>'EQUITY BACKTEST'!B956</f>
        <v/>
      </c>
      <c r="C953" s="22" t="str">
        <f>1/'EQUITY BACKTEST'!E956</f>
        <v>#DIV/0!</v>
      </c>
      <c r="D953" s="22" t="str">
        <f t="shared" si="7"/>
        <v>#DIV/0!</v>
      </c>
      <c r="E953" s="22" t="str">
        <f t="shared" si="3"/>
        <v/>
      </c>
      <c r="F953" s="22" t="str">
        <f t="shared" si="6"/>
        <v>#DIV/0!</v>
      </c>
      <c r="H953" s="22" t="str">
        <f t="shared" si="4"/>
        <v/>
      </c>
      <c r="I953" s="22" t="str">
        <f t="shared" si="1"/>
        <v>#N/A</v>
      </c>
      <c r="J953" s="22" t="str">
        <f t="shared" si="2"/>
        <v>#N/A</v>
      </c>
      <c r="K953" s="22" t="str">
        <f t="array" ref="K953">IF(H953="Crash",MATCH(TRUE, B954:B1051 &gt;= B952, 0),"")</f>
        <v/>
      </c>
    </row>
    <row r="954" ht="15.75" customHeight="1">
      <c r="A954" s="31" t="str">
        <f>'EQUITY BACKTEST'!A957</f>
        <v/>
      </c>
      <c r="B954" s="22" t="str">
        <f>'EQUITY BACKTEST'!B957</f>
        <v/>
      </c>
      <c r="C954" s="22" t="str">
        <f>1/'EQUITY BACKTEST'!E957</f>
        <v>#DIV/0!</v>
      </c>
      <c r="D954" s="22" t="str">
        <f t="shared" si="7"/>
        <v>#DIV/0!</v>
      </c>
      <c r="E954" s="22" t="str">
        <f t="shared" si="3"/>
        <v/>
      </c>
      <c r="F954" s="22" t="str">
        <f t="shared" si="6"/>
        <v>#DIV/0!</v>
      </c>
      <c r="H954" s="22" t="str">
        <f t="shared" si="4"/>
        <v/>
      </c>
      <c r="I954" s="22" t="str">
        <f t="shared" si="1"/>
        <v>#N/A</v>
      </c>
      <c r="J954" s="22" t="str">
        <f t="shared" si="2"/>
        <v>#N/A</v>
      </c>
      <c r="K954" s="22" t="str">
        <f t="array" ref="K954">IF(H954="Crash",MATCH(TRUE, B955:B1052 &gt;= B953, 0),"")</f>
        <v/>
      </c>
    </row>
    <row r="955" ht="15.75" customHeight="1">
      <c r="A955" s="31" t="str">
        <f>'EQUITY BACKTEST'!A958</f>
        <v/>
      </c>
      <c r="B955" s="22" t="str">
        <f>'EQUITY BACKTEST'!B958</f>
        <v/>
      </c>
      <c r="C955" s="22" t="str">
        <f>1/'EQUITY BACKTEST'!E958</f>
        <v>#DIV/0!</v>
      </c>
      <c r="D955" s="22" t="str">
        <f t="shared" si="7"/>
        <v>#DIV/0!</v>
      </c>
      <c r="E955" s="22" t="str">
        <f t="shared" si="3"/>
        <v/>
      </c>
      <c r="F955" s="22" t="str">
        <f t="shared" si="6"/>
        <v>#DIV/0!</v>
      </c>
      <c r="H955" s="22" t="str">
        <f t="shared" si="4"/>
        <v/>
      </c>
      <c r="I955" s="22" t="str">
        <f t="shared" si="1"/>
        <v>#N/A</v>
      </c>
      <c r="J955" s="22" t="str">
        <f t="shared" si="2"/>
        <v>#N/A</v>
      </c>
      <c r="K955" s="22" t="str">
        <f t="array" ref="K955">IF(H955="Crash",MATCH(TRUE, B956:B1053 &gt;= B954, 0),"")</f>
        <v/>
      </c>
    </row>
    <row r="956" ht="15.75" customHeight="1">
      <c r="A956" s="31" t="str">
        <f>'EQUITY BACKTEST'!A959</f>
        <v/>
      </c>
      <c r="B956" s="22" t="str">
        <f>'EQUITY BACKTEST'!B959</f>
        <v/>
      </c>
      <c r="C956" s="22" t="str">
        <f>1/'EQUITY BACKTEST'!E959</f>
        <v>#DIV/0!</v>
      </c>
      <c r="D956" s="22" t="str">
        <f t="shared" si="7"/>
        <v>#DIV/0!</v>
      </c>
      <c r="E956" s="22" t="str">
        <f t="shared" si="3"/>
        <v/>
      </c>
      <c r="F956" s="22" t="str">
        <f t="shared" si="6"/>
        <v>#DIV/0!</v>
      </c>
      <c r="H956" s="22" t="str">
        <f t="shared" si="4"/>
        <v/>
      </c>
      <c r="I956" s="22" t="str">
        <f t="shared" si="1"/>
        <v>#N/A</v>
      </c>
      <c r="J956" s="22" t="str">
        <f t="shared" si="2"/>
        <v>#N/A</v>
      </c>
      <c r="K956" s="22" t="str">
        <f t="array" ref="K956">IF(H956="Crash",MATCH(TRUE, B957:B1054 &gt;= B955, 0),"")</f>
        <v/>
      </c>
    </row>
    <row r="957" ht="15.75" customHeight="1">
      <c r="A957" s="31" t="str">
        <f>'EQUITY BACKTEST'!A960</f>
        <v/>
      </c>
      <c r="B957" s="22" t="str">
        <f>'EQUITY BACKTEST'!B960</f>
        <v/>
      </c>
      <c r="C957" s="22" t="str">
        <f>1/'EQUITY BACKTEST'!E960</f>
        <v>#DIV/0!</v>
      </c>
      <c r="D957" s="22" t="str">
        <f t="shared" si="7"/>
        <v>#DIV/0!</v>
      </c>
      <c r="E957" s="22" t="str">
        <f t="shared" si="3"/>
        <v/>
      </c>
      <c r="F957" s="22" t="str">
        <f t="shared" si="6"/>
        <v>#DIV/0!</v>
      </c>
      <c r="H957" s="22" t="str">
        <f t="shared" si="4"/>
        <v/>
      </c>
      <c r="I957" s="22" t="str">
        <f t="shared" si="1"/>
        <v>#N/A</v>
      </c>
      <c r="J957" s="22" t="str">
        <f t="shared" si="2"/>
        <v>#N/A</v>
      </c>
      <c r="K957" s="22" t="str">
        <f t="array" ref="K957">IF(H957="Crash",MATCH(TRUE, B958:B1055 &gt;= B956, 0),"")</f>
        <v/>
      </c>
    </row>
    <row r="958" ht="15.75" customHeight="1">
      <c r="A958" s="31" t="str">
        <f>'EQUITY BACKTEST'!A961</f>
        <v/>
      </c>
      <c r="B958" s="22" t="str">
        <f>'EQUITY BACKTEST'!B961</f>
        <v/>
      </c>
      <c r="C958" s="22" t="str">
        <f>1/'EQUITY BACKTEST'!E961</f>
        <v>#DIV/0!</v>
      </c>
      <c r="D958" s="22" t="str">
        <f t="shared" si="7"/>
        <v>#DIV/0!</v>
      </c>
      <c r="E958" s="22" t="str">
        <f t="shared" si="3"/>
        <v/>
      </c>
      <c r="F958" s="22" t="str">
        <f t="shared" si="6"/>
        <v>#DIV/0!</v>
      </c>
      <c r="H958" s="22" t="str">
        <f t="shared" si="4"/>
        <v/>
      </c>
      <c r="I958" s="22" t="str">
        <f t="shared" si="1"/>
        <v>#N/A</v>
      </c>
      <c r="J958" s="22" t="str">
        <f t="shared" si="2"/>
        <v>#N/A</v>
      </c>
      <c r="K958" s="22" t="str">
        <f t="array" ref="K958">IF(H958="Crash",MATCH(TRUE, B959:B1056 &gt;= B957, 0),"")</f>
        <v/>
      </c>
    </row>
    <row r="959" ht="15.75" customHeight="1">
      <c r="A959" s="31" t="str">
        <f>'EQUITY BACKTEST'!A962</f>
        <v/>
      </c>
      <c r="B959" s="22" t="str">
        <f>'EQUITY BACKTEST'!B962</f>
        <v/>
      </c>
      <c r="C959" s="22" t="str">
        <f>1/'EQUITY BACKTEST'!E962</f>
        <v>#DIV/0!</v>
      </c>
      <c r="D959" s="22" t="str">
        <f t="shared" si="7"/>
        <v>#DIV/0!</v>
      </c>
      <c r="E959" s="22" t="str">
        <f t="shared" si="3"/>
        <v/>
      </c>
      <c r="F959" s="22" t="str">
        <f t="shared" si="6"/>
        <v>#DIV/0!</v>
      </c>
      <c r="H959" s="22" t="str">
        <f t="shared" si="4"/>
        <v/>
      </c>
      <c r="I959" s="22" t="str">
        <f t="shared" si="1"/>
        <v>#N/A</v>
      </c>
      <c r="J959" s="22" t="str">
        <f t="shared" si="2"/>
        <v>#N/A</v>
      </c>
      <c r="K959" s="22" t="str">
        <f t="array" ref="K959">IF(H959="Crash",MATCH(TRUE, B960:B1057 &gt;= B958, 0),"")</f>
        <v/>
      </c>
    </row>
    <row r="960" ht="15.75" customHeight="1">
      <c r="A960" s="31" t="str">
        <f>'EQUITY BACKTEST'!A963</f>
        <v/>
      </c>
      <c r="B960" s="22" t="str">
        <f>'EQUITY BACKTEST'!B963</f>
        <v/>
      </c>
      <c r="C960" s="22" t="str">
        <f>1/'EQUITY BACKTEST'!E963</f>
        <v>#DIV/0!</v>
      </c>
      <c r="D960" s="22" t="str">
        <f t="shared" si="7"/>
        <v>#DIV/0!</v>
      </c>
      <c r="E960" s="22" t="str">
        <f t="shared" si="3"/>
        <v/>
      </c>
      <c r="F960" s="22" t="str">
        <f t="shared" si="6"/>
        <v>#DIV/0!</v>
      </c>
      <c r="H960" s="22" t="str">
        <f t="shared" si="4"/>
        <v/>
      </c>
      <c r="I960" s="22" t="str">
        <f t="shared" si="1"/>
        <v>#N/A</v>
      </c>
      <c r="J960" s="22" t="str">
        <f t="shared" si="2"/>
        <v>#N/A</v>
      </c>
      <c r="K960" s="22" t="str">
        <f t="array" ref="K960">IF(H960="Crash",MATCH(TRUE, B961:B1058 &gt;= B959, 0),"")</f>
        <v/>
      </c>
    </row>
    <row r="961" ht="15.75" customHeight="1">
      <c r="A961" s="31" t="str">
        <f>'EQUITY BACKTEST'!A964</f>
        <v/>
      </c>
      <c r="B961" s="22" t="str">
        <f>'EQUITY BACKTEST'!B964</f>
        <v/>
      </c>
      <c r="C961" s="22" t="str">
        <f>1/'EQUITY BACKTEST'!E964</f>
        <v>#DIV/0!</v>
      </c>
      <c r="D961" s="22" t="str">
        <f t="shared" si="7"/>
        <v>#DIV/0!</v>
      </c>
      <c r="E961" s="22" t="str">
        <f t="shared" si="3"/>
        <v/>
      </c>
      <c r="F961" s="22" t="str">
        <f t="shared" si="6"/>
        <v>#DIV/0!</v>
      </c>
      <c r="H961" s="22" t="str">
        <f t="shared" si="4"/>
        <v/>
      </c>
      <c r="I961" s="22" t="str">
        <f t="shared" si="1"/>
        <v>#N/A</v>
      </c>
      <c r="J961" s="22" t="str">
        <f t="shared" si="2"/>
        <v>#N/A</v>
      </c>
      <c r="K961" s="22" t="str">
        <f t="array" ref="K961">IF(H961="Crash",MATCH(TRUE, B962:B1059 &gt;= B960, 0),"")</f>
        <v/>
      </c>
    </row>
    <row r="962" ht="15.75" customHeight="1">
      <c r="A962" s="31" t="str">
        <f>'EQUITY BACKTEST'!A965</f>
        <v/>
      </c>
      <c r="B962" s="22" t="str">
        <f>'EQUITY BACKTEST'!B965</f>
        <v/>
      </c>
      <c r="C962" s="22" t="str">
        <f>1/'EQUITY BACKTEST'!E965</f>
        <v>#DIV/0!</v>
      </c>
      <c r="D962" s="22" t="str">
        <f t="shared" si="7"/>
        <v>#DIV/0!</v>
      </c>
      <c r="E962" s="22" t="str">
        <f t="shared" si="3"/>
        <v/>
      </c>
      <c r="F962" s="22" t="str">
        <f t="shared" si="6"/>
        <v>#DIV/0!</v>
      </c>
      <c r="H962" s="22" t="str">
        <f t="shared" si="4"/>
        <v/>
      </c>
      <c r="I962" s="22" t="str">
        <f t="shared" si="1"/>
        <v>#N/A</v>
      </c>
      <c r="J962" s="22" t="str">
        <f t="shared" si="2"/>
        <v>#N/A</v>
      </c>
      <c r="K962" s="22" t="str">
        <f t="array" ref="K962">IF(H962="Crash",MATCH(TRUE, B963:B1060 &gt;= B961, 0),"")</f>
        <v/>
      </c>
    </row>
    <row r="963" ht="15.75" customHeight="1">
      <c r="A963" s="31" t="str">
        <f>'EQUITY BACKTEST'!A966</f>
        <v/>
      </c>
      <c r="B963" s="22" t="str">
        <f>'EQUITY BACKTEST'!B966</f>
        <v/>
      </c>
      <c r="C963" s="22" t="str">
        <f>1/'EQUITY BACKTEST'!E966</f>
        <v>#DIV/0!</v>
      </c>
      <c r="D963" s="22" t="str">
        <f t="shared" si="7"/>
        <v>#DIV/0!</v>
      </c>
      <c r="E963" s="22" t="str">
        <f t="shared" si="3"/>
        <v/>
      </c>
      <c r="F963" s="22" t="str">
        <f t="shared" si="6"/>
        <v>#DIV/0!</v>
      </c>
      <c r="H963" s="22" t="str">
        <f t="shared" si="4"/>
        <v/>
      </c>
      <c r="I963" s="22" t="str">
        <f t="shared" si="1"/>
        <v>#N/A</v>
      </c>
      <c r="J963" s="22" t="str">
        <f t="shared" si="2"/>
        <v>#N/A</v>
      </c>
      <c r="K963" s="22" t="str">
        <f t="array" ref="K963">IF(H963="Crash",MATCH(TRUE, B964:B1061 &gt;= B962, 0),"")</f>
        <v/>
      </c>
    </row>
    <row r="964" ht="15.75" customHeight="1">
      <c r="A964" s="31" t="str">
        <f>'EQUITY BACKTEST'!A967</f>
        <v/>
      </c>
      <c r="B964" s="22" t="str">
        <f>'EQUITY BACKTEST'!B967</f>
        <v/>
      </c>
      <c r="C964" s="22" t="str">
        <f>1/'EQUITY BACKTEST'!E967</f>
        <v>#DIV/0!</v>
      </c>
      <c r="D964" s="22" t="str">
        <f t="shared" si="7"/>
        <v>#DIV/0!</v>
      </c>
      <c r="E964" s="22" t="str">
        <f t="shared" si="3"/>
        <v/>
      </c>
      <c r="F964" s="22" t="str">
        <f t="shared" si="6"/>
        <v>#DIV/0!</v>
      </c>
      <c r="H964" s="22" t="str">
        <f t="shared" si="4"/>
        <v/>
      </c>
      <c r="I964" s="22" t="str">
        <f t="shared" si="1"/>
        <v>#N/A</v>
      </c>
      <c r="J964" s="22" t="str">
        <f t="shared" si="2"/>
        <v>#N/A</v>
      </c>
      <c r="K964" s="22" t="str">
        <f t="array" ref="K964">IF(H964="Crash",MATCH(TRUE, B965:B1062 &gt;= B963, 0),"")</f>
        <v/>
      </c>
    </row>
    <row r="965" ht="15.75" customHeight="1">
      <c r="A965" s="31" t="str">
        <f>'EQUITY BACKTEST'!A968</f>
        <v/>
      </c>
      <c r="B965" s="22" t="str">
        <f>'EQUITY BACKTEST'!B968</f>
        <v/>
      </c>
      <c r="C965" s="22" t="str">
        <f>1/'EQUITY BACKTEST'!E968</f>
        <v>#DIV/0!</v>
      </c>
      <c r="D965" s="22" t="str">
        <f t="shared" si="7"/>
        <v>#DIV/0!</v>
      </c>
      <c r="E965" s="22" t="str">
        <f t="shared" si="3"/>
        <v/>
      </c>
      <c r="F965" s="22" t="str">
        <f t="shared" si="6"/>
        <v>#DIV/0!</v>
      </c>
      <c r="H965" s="22" t="str">
        <f t="shared" si="4"/>
        <v/>
      </c>
      <c r="I965" s="22" t="str">
        <f t="shared" si="1"/>
        <v>#N/A</v>
      </c>
      <c r="J965" s="22" t="str">
        <f t="shared" si="2"/>
        <v>#N/A</v>
      </c>
      <c r="K965" s="22" t="str">
        <f t="array" ref="K965">IF(H965="Crash",MATCH(TRUE, B966:B1063 &gt;= B964, 0),"")</f>
        <v/>
      </c>
    </row>
    <row r="966" ht="15.75" customHeight="1">
      <c r="A966" s="31" t="str">
        <f>'EQUITY BACKTEST'!A969</f>
        <v/>
      </c>
      <c r="B966" s="22" t="str">
        <f>'EQUITY BACKTEST'!B969</f>
        <v/>
      </c>
      <c r="C966" s="22" t="str">
        <f>1/'EQUITY BACKTEST'!E969</f>
        <v>#DIV/0!</v>
      </c>
      <c r="D966" s="22" t="str">
        <f t="shared" si="7"/>
        <v>#DIV/0!</v>
      </c>
      <c r="E966" s="22" t="str">
        <f t="shared" si="3"/>
        <v/>
      </c>
      <c r="F966" s="22" t="str">
        <f t="shared" si="6"/>
        <v>#DIV/0!</v>
      </c>
      <c r="H966" s="22" t="str">
        <f t="shared" si="4"/>
        <v/>
      </c>
      <c r="I966" s="22" t="str">
        <f t="shared" si="1"/>
        <v>#N/A</v>
      </c>
      <c r="J966" s="22" t="str">
        <f t="shared" si="2"/>
        <v>#N/A</v>
      </c>
      <c r="K966" s="22" t="str">
        <f t="array" ref="K966">IF(H966="Crash",MATCH(TRUE, B967:B1064 &gt;= B965, 0),"")</f>
        <v/>
      </c>
    </row>
    <row r="967" ht="15.75" customHeight="1">
      <c r="A967" s="31" t="str">
        <f>'EQUITY BACKTEST'!A970</f>
        <v/>
      </c>
      <c r="B967" s="22" t="str">
        <f>'EQUITY BACKTEST'!B970</f>
        <v/>
      </c>
      <c r="C967" s="22" t="str">
        <f>1/'EQUITY BACKTEST'!E970</f>
        <v>#DIV/0!</v>
      </c>
      <c r="D967" s="22" t="str">
        <f t="shared" si="7"/>
        <v>#DIV/0!</v>
      </c>
      <c r="E967" s="22" t="str">
        <f t="shared" si="3"/>
        <v/>
      </c>
      <c r="F967" s="22" t="str">
        <f t="shared" si="6"/>
        <v>#DIV/0!</v>
      </c>
      <c r="H967" s="22" t="str">
        <f t="shared" si="4"/>
        <v/>
      </c>
      <c r="I967" s="22" t="str">
        <f t="shared" si="1"/>
        <v>#N/A</v>
      </c>
      <c r="J967" s="22" t="str">
        <f t="shared" si="2"/>
        <v>#N/A</v>
      </c>
      <c r="K967" s="22" t="str">
        <f t="array" ref="K967">IF(H967="Crash",MATCH(TRUE, B968:B1065 &gt;= B966, 0),"")</f>
        <v/>
      </c>
    </row>
    <row r="968" ht="15.75" customHeight="1">
      <c r="A968" s="31" t="str">
        <f>'EQUITY BACKTEST'!A971</f>
        <v/>
      </c>
      <c r="B968" s="22" t="str">
        <f>'EQUITY BACKTEST'!B971</f>
        <v/>
      </c>
      <c r="C968" s="22" t="str">
        <f>1/'EQUITY BACKTEST'!E971</f>
        <v>#DIV/0!</v>
      </c>
      <c r="D968" s="22" t="str">
        <f t="shared" si="7"/>
        <v>#DIV/0!</v>
      </c>
      <c r="E968" s="22" t="str">
        <f t="shared" si="3"/>
        <v/>
      </c>
      <c r="F968" s="22" t="str">
        <f t="shared" si="6"/>
        <v>#DIV/0!</v>
      </c>
      <c r="H968" s="22" t="str">
        <f t="shared" si="4"/>
        <v/>
      </c>
      <c r="I968" s="22" t="str">
        <f t="shared" si="1"/>
        <v>#N/A</v>
      </c>
      <c r="J968" s="22" t="str">
        <f t="shared" si="2"/>
        <v>#N/A</v>
      </c>
      <c r="K968" s="22" t="str">
        <f t="array" ref="K968">IF(H968="Crash",MATCH(TRUE, B969:B1066 &gt;= B967, 0),"")</f>
        <v/>
      </c>
    </row>
    <row r="969" ht="15.75" customHeight="1">
      <c r="A969" s="31" t="str">
        <f>'EQUITY BACKTEST'!A972</f>
        <v/>
      </c>
      <c r="B969" s="22" t="str">
        <f>'EQUITY BACKTEST'!B972</f>
        <v/>
      </c>
      <c r="C969" s="22" t="str">
        <f>1/'EQUITY BACKTEST'!E972</f>
        <v>#DIV/0!</v>
      </c>
      <c r="D969" s="22" t="str">
        <f t="shared" si="7"/>
        <v>#DIV/0!</v>
      </c>
      <c r="E969" s="22" t="str">
        <f t="shared" si="3"/>
        <v/>
      </c>
      <c r="F969" s="22" t="str">
        <f t="shared" si="6"/>
        <v>#DIV/0!</v>
      </c>
      <c r="H969" s="22" t="str">
        <f t="shared" si="4"/>
        <v/>
      </c>
      <c r="I969" s="22" t="str">
        <f t="shared" si="1"/>
        <v>#N/A</v>
      </c>
      <c r="J969" s="22" t="str">
        <f t="shared" si="2"/>
        <v>#N/A</v>
      </c>
      <c r="K969" s="22" t="str">
        <f t="array" ref="K969">IF(H969="Crash",MATCH(TRUE, B970:B1067 &gt;= B968, 0),"")</f>
        <v/>
      </c>
    </row>
    <row r="970" ht="15.75" customHeight="1">
      <c r="A970" s="31" t="str">
        <f>'EQUITY BACKTEST'!A973</f>
        <v/>
      </c>
      <c r="B970" s="22" t="str">
        <f>'EQUITY BACKTEST'!B973</f>
        <v/>
      </c>
      <c r="C970" s="22" t="str">
        <f>1/'EQUITY BACKTEST'!E973</f>
        <v>#DIV/0!</v>
      </c>
      <c r="D970" s="22" t="str">
        <f t="shared" si="7"/>
        <v>#DIV/0!</v>
      </c>
      <c r="E970" s="22" t="str">
        <f t="shared" si="3"/>
        <v/>
      </c>
      <c r="F970" s="22" t="str">
        <f t="shared" si="6"/>
        <v>#DIV/0!</v>
      </c>
      <c r="H970" s="22" t="str">
        <f t="shared" si="4"/>
        <v/>
      </c>
      <c r="I970" s="22" t="str">
        <f t="shared" si="1"/>
        <v>#N/A</v>
      </c>
      <c r="J970" s="22" t="str">
        <f t="shared" si="2"/>
        <v>#N/A</v>
      </c>
      <c r="K970" s="22" t="str">
        <f t="array" ref="K970">IF(H970="Crash",MATCH(TRUE, B971:B1068 &gt;= B969, 0),"")</f>
        <v/>
      </c>
    </row>
    <row r="971" ht="15.75" customHeight="1">
      <c r="A971" s="31" t="str">
        <f>'EQUITY BACKTEST'!A974</f>
        <v/>
      </c>
      <c r="B971" s="22" t="str">
        <f>'EQUITY BACKTEST'!B974</f>
        <v/>
      </c>
      <c r="C971" s="22" t="str">
        <f>1/'EQUITY BACKTEST'!E974</f>
        <v>#DIV/0!</v>
      </c>
      <c r="D971" s="22" t="str">
        <f t="shared" si="7"/>
        <v>#DIV/0!</v>
      </c>
      <c r="E971" s="22" t="str">
        <f t="shared" si="3"/>
        <v/>
      </c>
      <c r="F971" s="22" t="str">
        <f t="shared" si="6"/>
        <v>#DIV/0!</v>
      </c>
      <c r="H971" s="22" t="str">
        <f t="shared" si="4"/>
        <v/>
      </c>
      <c r="I971" s="22" t="str">
        <f t="shared" si="1"/>
        <v>#N/A</v>
      </c>
      <c r="J971" s="22" t="str">
        <f t="shared" si="2"/>
        <v>#N/A</v>
      </c>
      <c r="K971" s="22" t="str">
        <f t="array" ref="K971">IF(H971="Crash",MATCH(TRUE, B972:B1069 &gt;= B970, 0),"")</f>
        <v/>
      </c>
    </row>
    <row r="972" ht="15.75" customHeight="1">
      <c r="A972" s="31" t="str">
        <f>'EQUITY BACKTEST'!A975</f>
        <v/>
      </c>
      <c r="B972" s="22" t="str">
        <f>'EQUITY BACKTEST'!B975</f>
        <v/>
      </c>
      <c r="C972" s="22" t="str">
        <f>1/'EQUITY BACKTEST'!E975</f>
        <v>#DIV/0!</v>
      </c>
      <c r="D972" s="22" t="str">
        <f t="shared" si="7"/>
        <v>#DIV/0!</v>
      </c>
      <c r="E972" s="22" t="str">
        <f t="shared" si="3"/>
        <v/>
      </c>
      <c r="F972" s="22" t="str">
        <f t="shared" si="6"/>
        <v>#DIV/0!</v>
      </c>
      <c r="H972" s="22" t="str">
        <f t="shared" si="4"/>
        <v/>
      </c>
      <c r="I972" s="22" t="str">
        <f t="shared" si="1"/>
        <v>#N/A</v>
      </c>
      <c r="J972" s="22" t="str">
        <f t="shared" si="2"/>
        <v>#N/A</v>
      </c>
      <c r="K972" s="22" t="str">
        <f t="array" ref="K972">IF(H972="Crash",MATCH(TRUE, B973:B1070 &gt;= B971, 0),"")</f>
        <v/>
      </c>
    </row>
    <row r="973" ht="15.75" customHeight="1">
      <c r="A973" s="31" t="str">
        <f>'EQUITY BACKTEST'!A976</f>
        <v/>
      </c>
      <c r="B973" s="22" t="str">
        <f>'EQUITY BACKTEST'!B976</f>
        <v/>
      </c>
      <c r="C973" s="22" t="str">
        <f>1/'EQUITY BACKTEST'!E976</f>
        <v>#DIV/0!</v>
      </c>
      <c r="D973" s="22" t="str">
        <f t="shared" si="7"/>
        <v>#DIV/0!</v>
      </c>
      <c r="E973" s="22" t="str">
        <f t="shared" si="3"/>
        <v/>
      </c>
      <c r="F973" s="22" t="str">
        <f t="shared" si="6"/>
        <v>#DIV/0!</v>
      </c>
      <c r="H973" s="22" t="str">
        <f t="shared" si="4"/>
        <v/>
      </c>
      <c r="I973" s="22" t="str">
        <f t="shared" si="1"/>
        <v>#N/A</v>
      </c>
      <c r="J973" s="22" t="str">
        <f t="shared" si="2"/>
        <v>#N/A</v>
      </c>
      <c r="K973" s="22" t="str">
        <f t="array" ref="K973">IF(H973="Crash",MATCH(TRUE, B974:B1071 &gt;= B972, 0),"")</f>
        <v/>
      </c>
    </row>
    <row r="974" ht="15.75" customHeight="1">
      <c r="A974" s="31" t="str">
        <f>'EQUITY BACKTEST'!A977</f>
        <v/>
      </c>
      <c r="B974" s="22" t="str">
        <f>'EQUITY BACKTEST'!B977</f>
        <v/>
      </c>
      <c r="C974" s="22" t="str">
        <f>1/'EQUITY BACKTEST'!E977</f>
        <v>#DIV/0!</v>
      </c>
      <c r="D974" s="22" t="str">
        <f t="shared" si="7"/>
        <v>#DIV/0!</v>
      </c>
      <c r="E974" s="22" t="str">
        <f t="shared" si="3"/>
        <v/>
      </c>
      <c r="F974" s="22" t="str">
        <f t="shared" si="6"/>
        <v>#DIV/0!</v>
      </c>
      <c r="H974" s="22" t="str">
        <f t="shared" si="4"/>
        <v/>
      </c>
      <c r="I974" s="22" t="str">
        <f t="shared" si="1"/>
        <v>#N/A</v>
      </c>
      <c r="J974" s="22" t="str">
        <f t="shared" si="2"/>
        <v>#N/A</v>
      </c>
      <c r="K974" s="22" t="str">
        <f t="array" ref="K974">IF(H974="Crash",MATCH(TRUE, B975:B1072 &gt;= B973, 0),"")</f>
        <v/>
      </c>
    </row>
    <row r="975" ht="15.75" customHeight="1">
      <c r="A975" s="31" t="str">
        <f>'EQUITY BACKTEST'!A978</f>
        <v/>
      </c>
      <c r="B975" s="22" t="str">
        <f>'EQUITY BACKTEST'!B978</f>
        <v/>
      </c>
      <c r="C975" s="22" t="str">
        <f>1/'EQUITY BACKTEST'!E978</f>
        <v>#DIV/0!</v>
      </c>
      <c r="D975" s="22" t="str">
        <f t="shared" si="7"/>
        <v>#DIV/0!</v>
      </c>
      <c r="E975" s="22" t="str">
        <f t="shared" si="3"/>
        <v/>
      </c>
      <c r="F975" s="22" t="str">
        <f t="shared" si="6"/>
        <v>#DIV/0!</v>
      </c>
      <c r="H975" s="22" t="str">
        <f t="shared" si="4"/>
        <v/>
      </c>
      <c r="I975" s="22" t="str">
        <f t="shared" si="1"/>
        <v>#N/A</v>
      </c>
      <c r="J975" s="22" t="str">
        <f t="shared" si="2"/>
        <v>#N/A</v>
      </c>
      <c r="K975" s="22" t="str">
        <f t="array" ref="K975">IF(H975="Crash",MATCH(TRUE, B976:B1073 &gt;= B974, 0),"")</f>
        <v/>
      </c>
    </row>
    <row r="976" ht="15.75" customHeight="1">
      <c r="A976" s="31" t="str">
        <f>'EQUITY BACKTEST'!A979</f>
        <v/>
      </c>
      <c r="B976" s="22" t="str">
        <f>'EQUITY BACKTEST'!B979</f>
        <v/>
      </c>
      <c r="C976" s="22" t="str">
        <f>1/'EQUITY BACKTEST'!E979</f>
        <v>#DIV/0!</v>
      </c>
      <c r="D976" s="22" t="str">
        <f t="shared" si="7"/>
        <v>#DIV/0!</v>
      </c>
      <c r="E976" s="22" t="str">
        <f t="shared" si="3"/>
        <v/>
      </c>
      <c r="F976" s="22" t="str">
        <f t="shared" si="6"/>
        <v>#DIV/0!</v>
      </c>
      <c r="H976" s="22" t="str">
        <f t="shared" si="4"/>
        <v/>
      </c>
      <c r="I976" s="22" t="str">
        <f t="shared" si="1"/>
        <v>#N/A</v>
      </c>
      <c r="J976" s="22" t="str">
        <f t="shared" si="2"/>
        <v>#N/A</v>
      </c>
      <c r="K976" s="22" t="str">
        <f t="array" ref="K976">IF(H976="Crash",MATCH(TRUE, B977:B1074 &gt;= B975, 0),"")</f>
        <v/>
      </c>
    </row>
    <row r="977" ht="15.75" customHeight="1">
      <c r="A977" s="31" t="str">
        <f>'EQUITY BACKTEST'!A980</f>
        <v/>
      </c>
      <c r="B977" s="22" t="str">
        <f>'EQUITY BACKTEST'!B980</f>
        <v/>
      </c>
      <c r="C977" s="22" t="str">
        <f>1/'EQUITY BACKTEST'!E980</f>
        <v>#DIV/0!</v>
      </c>
      <c r="D977" s="22" t="str">
        <f t="shared" si="7"/>
        <v>#DIV/0!</v>
      </c>
      <c r="E977" s="22" t="str">
        <f t="shared" si="3"/>
        <v/>
      </c>
      <c r="F977" s="22" t="str">
        <f t="shared" si="6"/>
        <v>#DIV/0!</v>
      </c>
      <c r="H977" s="22" t="str">
        <f t="shared" si="4"/>
        <v/>
      </c>
      <c r="I977" s="22" t="str">
        <f t="shared" si="1"/>
        <v>#N/A</v>
      </c>
      <c r="J977" s="22" t="str">
        <f t="shared" si="2"/>
        <v>#N/A</v>
      </c>
      <c r="K977" s="22" t="str">
        <f t="array" ref="K977">IF(H977="Crash",MATCH(TRUE, B978:B1075 &gt;= B976, 0),"")</f>
        <v/>
      </c>
    </row>
    <row r="978" ht="15.75" customHeight="1">
      <c r="A978" s="31" t="str">
        <f>'EQUITY BACKTEST'!A981</f>
        <v/>
      </c>
      <c r="B978" s="22" t="str">
        <f>'EQUITY BACKTEST'!B981</f>
        <v/>
      </c>
      <c r="C978" s="22" t="str">
        <f>1/'EQUITY BACKTEST'!E981</f>
        <v>#DIV/0!</v>
      </c>
      <c r="D978" s="22" t="str">
        <f t="shared" si="7"/>
        <v>#DIV/0!</v>
      </c>
      <c r="E978" s="22" t="str">
        <f t="shared" si="3"/>
        <v/>
      </c>
      <c r="F978" s="22" t="str">
        <f t="shared" si="6"/>
        <v>#DIV/0!</v>
      </c>
      <c r="H978" s="22" t="str">
        <f t="shared" si="4"/>
        <v/>
      </c>
      <c r="I978" s="22" t="str">
        <f t="shared" si="1"/>
        <v>#N/A</v>
      </c>
      <c r="J978" s="22" t="str">
        <f t="shared" si="2"/>
        <v>#N/A</v>
      </c>
      <c r="K978" s="22" t="str">
        <f t="array" ref="K978">IF(H978="Crash",MATCH(TRUE, B979:B1076 &gt;= B977, 0),"")</f>
        <v/>
      </c>
    </row>
    <row r="979" ht="15.75" customHeight="1">
      <c r="A979" s="31" t="str">
        <f>'EQUITY BACKTEST'!A982</f>
        <v/>
      </c>
      <c r="B979" s="22" t="str">
        <f>'EQUITY BACKTEST'!B982</f>
        <v/>
      </c>
      <c r="C979" s="22" t="str">
        <f>1/'EQUITY BACKTEST'!E982</f>
        <v>#DIV/0!</v>
      </c>
      <c r="D979" s="22" t="str">
        <f t="shared" si="7"/>
        <v>#DIV/0!</v>
      </c>
      <c r="E979" s="22" t="str">
        <f t="shared" si="3"/>
        <v/>
      </c>
      <c r="F979" s="22" t="str">
        <f t="shared" si="6"/>
        <v>#DIV/0!</v>
      </c>
      <c r="H979" s="22" t="str">
        <f t="shared" si="4"/>
        <v/>
      </c>
      <c r="I979" s="22" t="str">
        <f t="shared" si="1"/>
        <v>#N/A</v>
      </c>
      <c r="J979" s="22" t="str">
        <f t="shared" si="2"/>
        <v>#N/A</v>
      </c>
      <c r="K979" s="22" t="str">
        <f t="array" ref="K979">IF(H979="Crash",MATCH(TRUE, B980:B1077 &gt;= B978, 0),"")</f>
        <v/>
      </c>
    </row>
    <row r="980" ht="15.75" customHeight="1">
      <c r="A980" s="31" t="str">
        <f>'EQUITY BACKTEST'!A983</f>
        <v/>
      </c>
      <c r="B980" s="22" t="str">
        <f>'EQUITY BACKTEST'!B983</f>
        <v/>
      </c>
      <c r="C980" s="22" t="str">
        <f>1/'EQUITY BACKTEST'!E983</f>
        <v>#DIV/0!</v>
      </c>
      <c r="D980" s="22" t="str">
        <f t="shared" si="7"/>
        <v>#DIV/0!</v>
      </c>
      <c r="E980" s="22" t="str">
        <f t="shared" si="3"/>
        <v/>
      </c>
      <c r="F980" s="22" t="str">
        <f t="shared" si="6"/>
        <v>#DIV/0!</v>
      </c>
      <c r="H980" s="22" t="str">
        <f t="shared" si="4"/>
        <v/>
      </c>
      <c r="I980" s="22" t="str">
        <f t="shared" si="1"/>
        <v>#N/A</v>
      </c>
      <c r="J980" s="22" t="str">
        <f t="shared" si="2"/>
        <v>#N/A</v>
      </c>
      <c r="K980" s="22" t="str">
        <f t="array" ref="K980">IF(H980="Crash",MATCH(TRUE, B981:B1078 &gt;= B979, 0),"")</f>
        <v/>
      </c>
    </row>
    <row r="981" ht="15.75" customHeight="1">
      <c r="A981" s="31" t="str">
        <f>'EQUITY BACKTEST'!A984</f>
        <v/>
      </c>
      <c r="B981" s="22" t="str">
        <f>'EQUITY BACKTEST'!B984</f>
        <v/>
      </c>
      <c r="C981" s="22" t="str">
        <f>1/'EQUITY BACKTEST'!E984</f>
        <v>#DIV/0!</v>
      </c>
      <c r="D981" s="22" t="str">
        <f t="shared" si="7"/>
        <v>#DIV/0!</v>
      </c>
      <c r="E981" s="22" t="str">
        <f t="shared" si="3"/>
        <v/>
      </c>
      <c r="F981" s="22" t="str">
        <f t="shared" si="6"/>
        <v>#DIV/0!</v>
      </c>
      <c r="H981" s="22" t="str">
        <f t="shared" si="4"/>
        <v/>
      </c>
      <c r="I981" s="22" t="str">
        <f t="shared" si="1"/>
        <v>#N/A</v>
      </c>
      <c r="J981" s="22" t="str">
        <f t="shared" si="2"/>
        <v>#N/A</v>
      </c>
      <c r="K981" s="22" t="str">
        <f t="array" ref="K981">IF(H981="Crash",MATCH(TRUE, B982:B1079 &gt;= B980, 0),"")</f>
        <v/>
      </c>
    </row>
    <row r="982" ht="15.75" customHeight="1">
      <c r="A982" s="31" t="str">
        <f>'EQUITY BACKTEST'!A985</f>
        <v/>
      </c>
      <c r="B982" s="22" t="str">
        <f>'EQUITY BACKTEST'!B985</f>
        <v/>
      </c>
      <c r="C982" s="22" t="str">
        <f>1/'EQUITY BACKTEST'!E985</f>
        <v>#DIV/0!</v>
      </c>
      <c r="D982" s="22" t="str">
        <f t="shared" si="7"/>
        <v>#DIV/0!</v>
      </c>
      <c r="E982" s="22" t="str">
        <f t="shared" si="3"/>
        <v/>
      </c>
      <c r="F982" s="22" t="str">
        <f t="shared" si="6"/>
        <v>#DIV/0!</v>
      </c>
      <c r="H982" s="22" t="str">
        <f t="shared" si="4"/>
        <v/>
      </c>
      <c r="I982" s="22" t="str">
        <f t="shared" si="1"/>
        <v>#N/A</v>
      </c>
      <c r="J982" s="22" t="str">
        <f t="shared" si="2"/>
        <v>#N/A</v>
      </c>
      <c r="K982" s="22" t="str">
        <f t="array" ref="K982">IF(H982="Crash",MATCH(TRUE, B983:B1080 &gt;= B981, 0),"")</f>
        <v/>
      </c>
    </row>
    <row r="983" ht="15.75" customHeight="1">
      <c r="A983" s="31" t="str">
        <f>'EQUITY BACKTEST'!A986</f>
        <v/>
      </c>
      <c r="B983" s="22" t="str">
        <f>'EQUITY BACKTEST'!B986</f>
        <v/>
      </c>
      <c r="C983" s="22" t="str">
        <f>1/'EQUITY BACKTEST'!E986</f>
        <v>#DIV/0!</v>
      </c>
      <c r="D983" s="22" t="str">
        <f t="shared" si="7"/>
        <v>#DIV/0!</v>
      </c>
      <c r="E983" s="22" t="str">
        <f t="shared" si="3"/>
        <v/>
      </c>
      <c r="F983" s="22" t="str">
        <f t="shared" si="6"/>
        <v>#DIV/0!</v>
      </c>
      <c r="H983" s="22" t="str">
        <f t="shared" si="4"/>
        <v/>
      </c>
      <c r="I983" s="22" t="str">
        <f t="shared" si="1"/>
        <v>#N/A</v>
      </c>
      <c r="J983" s="22" t="str">
        <f t="shared" si="2"/>
        <v>#N/A</v>
      </c>
      <c r="K983" s="22" t="str">
        <f t="array" ref="K983">IF(H983="Crash",MATCH(TRUE, B984:B1081 &gt;= B982, 0),"")</f>
        <v/>
      </c>
    </row>
    <row r="984" ht="15.75" customHeight="1">
      <c r="A984" s="31" t="str">
        <f>'EQUITY BACKTEST'!A987</f>
        <v/>
      </c>
      <c r="B984" s="22" t="str">
        <f>'EQUITY BACKTEST'!B987</f>
        <v/>
      </c>
      <c r="C984" s="22" t="str">
        <f>1/'EQUITY BACKTEST'!E987</f>
        <v>#DIV/0!</v>
      </c>
      <c r="D984" s="22" t="str">
        <f t="shared" si="7"/>
        <v>#DIV/0!</v>
      </c>
      <c r="E984" s="22" t="str">
        <f t="shared" si="3"/>
        <v/>
      </c>
      <c r="F984" s="22" t="str">
        <f t="shared" si="6"/>
        <v>#DIV/0!</v>
      </c>
      <c r="H984" s="22" t="str">
        <f t="shared" si="4"/>
        <v/>
      </c>
      <c r="I984" s="22" t="str">
        <f t="shared" si="1"/>
        <v>#N/A</v>
      </c>
      <c r="J984" s="22" t="str">
        <f t="shared" si="2"/>
        <v>#N/A</v>
      </c>
      <c r="K984" s="22" t="str">
        <f t="array" ref="K984">IF(H984="Crash",MATCH(TRUE, B985:B1082 &gt;= B983, 0),"")</f>
        <v/>
      </c>
    </row>
    <row r="985" ht="15.75" customHeight="1">
      <c r="A985" s="31" t="str">
        <f>'EQUITY BACKTEST'!A988</f>
        <v/>
      </c>
      <c r="B985" s="22" t="str">
        <f>'EQUITY BACKTEST'!B988</f>
        <v/>
      </c>
      <c r="C985" s="22" t="str">
        <f>1/'EQUITY BACKTEST'!E988</f>
        <v>#DIV/0!</v>
      </c>
      <c r="D985" s="22" t="str">
        <f t="shared" si="7"/>
        <v>#DIV/0!</v>
      </c>
      <c r="E985" s="22" t="str">
        <f t="shared" si="3"/>
        <v/>
      </c>
      <c r="F985" s="22" t="str">
        <f t="shared" si="6"/>
        <v>#DIV/0!</v>
      </c>
      <c r="H985" s="22" t="str">
        <f t="shared" si="4"/>
        <v/>
      </c>
      <c r="I985" s="22" t="str">
        <f t="shared" si="1"/>
        <v>#N/A</v>
      </c>
      <c r="J985" s="22" t="str">
        <f t="shared" si="2"/>
        <v>#N/A</v>
      </c>
      <c r="K985" s="22" t="str">
        <f t="array" ref="K985">IF(H985="Crash",MATCH(TRUE, B986:B1083 &gt;= B984, 0),"")</f>
        <v/>
      </c>
    </row>
    <row r="986" ht="15.75" customHeight="1">
      <c r="A986" s="31" t="str">
        <f>'EQUITY BACKTEST'!A989</f>
        <v/>
      </c>
      <c r="B986" s="22" t="str">
        <f>'EQUITY BACKTEST'!B989</f>
        <v/>
      </c>
      <c r="C986" s="22" t="str">
        <f>1/'EQUITY BACKTEST'!E989</f>
        <v>#DIV/0!</v>
      </c>
      <c r="D986" s="22" t="str">
        <f t="shared" si="7"/>
        <v>#DIV/0!</v>
      </c>
      <c r="E986" s="22" t="str">
        <f t="shared" si="3"/>
        <v/>
      </c>
      <c r="F986" s="22" t="str">
        <f t="shared" si="6"/>
        <v>#DIV/0!</v>
      </c>
      <c r="H986" s="22" t="str">
        <f t="shared" si="4"/>
        <v/>
      </c>
      <c r="I986" s="22" t="str">
        <f t="shared" si="1"/>
        <v>#N/A</v>
      </c>
      <c r="J986" s="22" t="str">
        <f t="shared" si="2"/>
        <v>#N/A</v>
      </c>
      <c r="K986" s="22" t="str">
        <f t="array" ref="K986">IF(H986="Crash",MATCH(TRUE, B987:B1084 &gt;= B985, 0),"")</f>
        <v/>
      </c>
    </row>
    <row r="987" ht="15.75" customHeight="1">
      <c r="A987" s="31" t="str">
        <f>'EQUITY BACKTEST'!A990</f>
        <v/>
      </c>
      <c r="B987" s="22" t="str">
        <f>'EQUITY BACKTEST'!B990</f>
        <v/>
      </c>
      <c r="C987" s="22" t="str">
        <f>1/'EQUITY BACKTEST'!E990</f>
        <v>#DIV/0!</v>
      </c>
      <c r="D987" s="22" t="str">
        <f t="shared" si="7"/>
        <v>#DIV/0!</v>
      </c>
      <c r="E987" s="22" t="str">
        <f t="shared" si="3"/>
        <v/>
      </c>
      <c r="F987" s="22" t="str">
        <f t="shared" si="6"/>
        <v>#DIV/0!</v>
      </c>
      <c r="H987" s="22" t="str">
        <f t="shared" si="4"/>
        <v/>
      </c>
      <c r="I987" s="22" t="str">
        <f t="shared" si="1"/>
        <v>#N/A</v>
      </c>
      <c r="J987" s="22" t="str">
        <f t="shared" si="2"/>
        <v>#N/A</v>
      </c>
      <c r="K987" s="22" t="str">
        <f t="array" ref="K987">IF(H987="Crash",MATCH(TRUE, B988:B1085 &gt;= B986, 0),"")</f>
        <v/>
      </c>
    </row>
    <row r="988" ht="15.75" customHeight="1">
      <c r="A988" s="31" t="str">
        <f>'EQUITY BACKTEST'!A991</f>
        <v/>
      </c>
      <c r="B988" s="22" t="str">
        <f>'EQUITY BACKTEST'!B991</f>
        <v/>
      </c>
      <c r="C988" s="22" t="str">
        <f>1/'EQUITY BACKTEST'!E991</f>
        <v>#DIV/0!</v>
      </c>
      <c r="D988" s="22" t="str">
        <f t="shared" si="7"/>
        <v>#DIV/0!</v>
      </c>
      <c r="E988" s="22" t="str">
        <f t="shared" si="3"/>
        <v/>
      </c>
      <c r="F988" s="22" t="str">
        <f t="shared" si="6"/>
        <v>#DIV/0!</v>
      </c>
      <c r="H988" s="22" t="str">
        <f t="shared" si="4"/>
        <v/>
      </c>
      <c r="I988" s="22" t="str">
        <f t="shared" si="1"/>
        <v>#N/A</v>
      </c>
      <c r="J988" s="22" t="str">
        <f t="shared" si="2"/>
        <v>#N/A</v>
      </c>
      <c r="K988" s="22" t="str">
        <f t="array" ref="K988">IF(H988="Crash",MATCH(TRUE, B989:B1086 &gt;= B987, 0),"")</f>
        <v/>
      </c>
    </row>
    <row r="989" ht="15.75" customHeight="1">
      <c r="A989" s="31" t="str">
        <f>'EQUITY BACKTEST'!A992</f>
        <v/>
      </c>
      <c r="B989" s="22" t="str">
        <f>'EQUITY BACKTEST'!B992</f>
        <v/>
      </c>
      <c r="C989" s="22" t="str">
        <f>1/'EQUITY BACKTEST'!E992</f>
        <v>#DIV/0!</v>
      </c>
      <c r="D989" s="22" t="str">
        <f t="shared" si="7"/>
        <v>#DIV/0!</v>
      </c>
      <c r="E989" s="22" t="str">
        <f t="shared" si="3"/>
        <v/>
      </c>
      <c r="F989" s="22" t="str">
        <f t="shared" si="6"/>
        <v>#DIV/0!</v>
      </c>
      <c r="H989" s="22" t="str">
        <f t="shared" si="4"/>
        <v/>
      </c>
      <c r="I989" s="22" t="str">
        <f t="shared" si="1"/>
        <v>#N/A</v>
      </c>
      <c r="J989" s="22" t="str">
        <f t="shared" si="2"/>
        <v>#N/A</v>
      </c>
      <c r="K989" s="22" t="str">
        <f t="array" ref="K989">IF(H989="Crash",MATCH(TRUE, B990:B1087 &gt;= B988, 0),"")</f>
        <v/>
      </c>
    </row>
    <row r="990" ht="15.75" customHeight="1">
      <c r="A990" s="31" t="str">
        <f>'EQUITY BACKTEST'!A993</f>
        <v/>
      </c>
      <c r="B990" s="22" t="str">
        <f>'EQUITY BACKTEST'!B993</f>
        <v/>
      </c>
      <c r="C990" s="22" t="str">
        <f>1/'EQUITY BACKTEST'!E993</f>
        <v>#DIV/0!</v>
      </c>
      <c r="D990" s="22" t="str">
        <f t="shared" si="7"/>
        <v>#DIV/0!</v>
      </c>
      <c r="E990" s="22" t="str">
        <f t="shared" si="3"/>
        <v/>
      </c>
      <c r="F990" s="22" t="str">
        <f t="shared" si="6"/>
        <v>#DIV/0!</v>
      </c>
      <c r="H990" s="22" t="str">
        <f t="shared" si="4"/>
        <v/>
      </c>
      <c r="I990" s="22" t="str">
        <f t="shared" si="1"/>
        <v>#N/A</v>
      </c>
      <c r="J990" s="22" t="str">
        <f t="shared" si="2"/>
        <v>#N/A</v>
      </c>
      <c r="K990" s="22" t="str">
        <f t="array" ref="K990">IF(H990="Crash",MATCH(TRUE, B991:B1088 &gt;= B989, 0),"")</f>
        <v/>
      </c>
    </row>
    <row r="991" ht="15.75" customHeight="1">
      <c r="A991" s="31" t="str">
        <f>'EQUITY BACKTEST'!A994</f>
        <v/>
      </c>
      <c r="B991" s="22" t="str">
        <f>'EQUITY BACKTEST'!B994</f>
        <v/>
      </c>
      <c r="C991" s="22" t="str">
        <f>1/'EQUITY BACKTEST'!E994</f>
        <v>#DIV/0!</v>
      </c>
      <c r="D991" s="22" t="str">
        <f t="shared" si="7"/>
        <v>#DIV/0!</v>
      </c>
      <c r="E991" s="22" t="str">
        <f t="shared" si="3"/>
        <v/>
      </c>
      <c r="F991" s="22" t="str">
        <f t="shared" si="6"/>
        <v>#DIV/0!</v>
      </c>
      <c r="H991" s="22" t="str">
        <f t="shared" si="4"/>
        <v/>
      </c>
      <c r="I991" s="22" t="str">
        <f t="shared" si="1"/>
        <v>#N/A</v>
      </c>
      <c r="J991" s="22" t="str">
        <f t="shared" si="2"/>
        <v>#N/A</v>
      </c>
      <c r="K991" s="22" t="str">
        <f t="array" ref="K991">IF(H991="Crash",MATCH(TRUE, B992:B1089 &gt;= B990, 0),"")</f>
        <v/>
      </c>
    </row>
    <row r="992" ht="15.75" customHeight="1">
      <c r="A992" s="31" t="str">
        <f>'EQUITY BACKTEST'!A995</f>
        <v/>
      </c>
      <c r="B992" s="22" t="str">
        <f>'EQUITY BACKTEST'!B995</f>
        <v/>
      </c>
      <c r="C992" s="22" t="str">
        <f>1/'EQUITY BACKTEST'!E995</f>
        <v>#DIV/0!</v>
      </c>
      <c r="D992" s="22" t="str">
        <f t="shared" si="7"/>
        <v>#DIV/0!</v>
      </c>
      <c r="E992" s="22" t="str">
        <f t="shared" si="3"/>
        <v/>
      </c>
      <c r="F992" s="22" t="str">
        <f t="shared" si="6"/>
        <v>#DIV/0!</v>
      </c>
      <c r="H992" s="22" t="str">
        <f t="shared" si="4"/>
        <v/>
      </c>
      <c r="I992" s="22" t="str">
        <f t="shared" si="1"/>
        <v>#N/A</v>
      </c>
      <c r="J992" s="22" t="str">
        <f t="shared" si="2"/>
        <v>#N/A</v>
      </c>
      <c r="K992" s="22" t="str">
        <f t="array" ref="K992">IF(H992="Crash",MATCH(TRUE, B993:B1090 &gt;= B991, 0),"")</f>
        <v/>
      </c>
    </row>
    <row r="993" ht="15.75" customHeight="1">
      <c r="A993" s="31" t="str">
        <f>'EQUITY BACKTEST'!A996</f>
        <v/>
      </c>
      <c r="B993" s="22" t="str">
        <f>'EQUITY BACKTEST'!B996</f>
        <v/>
      </c>
      <c r="C993" s="22" t="str">
        <f>1/'EQUITY BACKTEST'!E996</f>
        <v>#DIV/0!</v>
      </c>
      <c r="D993" s="22" t="str">
        <f t="shared" si="7"/>
        <v>#DIV/0!</v>
      </c>
      <c r="E993" s="22" t="str">
        <f t="shared" si="3"/>
        <v/>
      </c>
      <c r="F993" s="22" t="str">
        <f t="shared" si="6"/>
        <v>#DIV/0!</v>
      </c>
      <c r="H993" s="22" t="str">
        <f t="shared" si="4"/>
        <v/>
      </c>
      <c r="I993" s="22" t="str">
        <f t="shared" si="1"/>
        <v>#N/A</v>
      </c>
      <c r="J993" s="22" t="str">
        <f t="shared" si="2"/>
        <v>#N/A</v>
      </c>
      <c r="K993" s="22" t="str">
        <f t="array" ref="K993">IF(H993="Crash",MATCH(TRUE, B994:B1091 &gt;= B992, 0),"")</f>
        <v/>
      </c>
    </row>
    <row r="994" ht="15.75" customHeight="1">
      <c r="A994" s="31" t="str">
        <f>'EQUITY BACKTEST'!A997</f>
        <v/>
      </c>
      <c r="B994" s="22" t="str">
        <f>'EQUITY BACKTEST'!B997</f>
        <v/>
      </c>
      <c r="C994" s="22" t="str">
        <f>1/'EQUITY BACKTEST'!E997</f>
        <v>#DIV/0!</v>
      </c>
      <c r="D994" s="22" t="str">
        <f t="shared" si="7"/>
        <v>#DIV/0!</v>
      </c>
      <c r="E994" s="22" t="str">
        <f t="shared" si="3"/>
        <v/>
      </c>
      <c r="F994" s="22" t="str">
        <f t="shared" si="6"/>
        <v>#DIV/0!</v>
      </c>
      <c r="H994" s="22" t="str">
        <f t="shared" si="4"/>
        <v/>
      </c>
      <c r="I994" s="22" t="str">
        <f t="shared" si="1"/>
        <v>#N/A</v>
      </c>
      <c r="J994" s="22" t="str">
        <f t="shared" si="2"/>
        <v>#N/A</v>
      </c>
      <c r="K994" s="22" t="str">
        <f t="array" ref="K994">IF(H994="Crash",MATCH(TRUE, B995:B1092 &gt;= B993, 0),"")</f>
        <v/>
      </c>
    </row>
    <row r="995" ht="15.75" customHeight="1">
      <c r="A995" s="31" t="str">
        <f>'EQUITY BACKTEST'!A998</f>
        <v/>
      </c>
      <c r="B995" s="22" t="str">
        <f>'EQUITY BACKTEST'!B998</f>
        <v/>
      </c>
      <c r="C995" s="22" t="str">
        <f>1/'EQUITY BACKTEST'!E998</f>
        <v>#DIV/0!</v>
      </c>
      <c r="D995" s="22" t="str">
        <f t="shared" si="7"/>
        <v>#DIV/0!</v>
      </c>
      <c r="E995" s="22" t="str">
        <f t="shared" si="3"/>
        <v/>
      </c>
      <c r="F995" s="22" t="str">
        <f t="shared" si="6"/>
        <v>#DIV/0!</v>
      </c>
      <c r="H995" s="22" t="str">
        <f t="shared" si="4"/>
        <v/>
      </c>
      <c r="I995" s="22" t="str">
        <f t="shared" si="1"/>
        <v>#N/A</v>
      </c>
      <c r="J995" s="22" t="str">
        <f t="shared" si="2"/>
        <v>#N/A</v>
      </c>
      <c r="K995" s="22" t="str">
        <f t="array" ref="K995">IF(H995="Crash",MATCH(TRUE, B996:B1093 &gt;= B994, 0),"")</f>
        <v/>
      </c>
    </row>
    <row r="996" ht="15.75" customHeight="1">
      <c r="A996" s="31" t="str">
        <f>'EQUITY BACKTEST'!A999</f>
        <v/>
      </c>
      <c r="B996" s="22" t="str">
        <f>'EQUITY BACKTEST'!B999</f>
        <v/>
      </c>
      <c r="C996" s="22" t="str">
        <f>1/'EQUITY BACKTEST'!E999</f>
        <v>#DIV/0!</v>
      </c>
      <c r="D996" s="22" t="str">
        <f t="shared" si="7"/>
        <v>#DIV/0!</v>
      </c>
      <c r="E996" s="22" t="str">
        <f t="shared" si="3"/>
        <v/>
      </c>
      <c r="F996" s="22" t="str">
        <f t="shared" si="6"/>
        <v>#DIV/0!</v>
      </c>
      <c r="H996" s="22" t="str">
        <f t="shared" si="4"/>
        <v/>
      </c>
      <c r="I996" s="22" t="str">
        <f t="shared" si="1"/>
        <v>#N/A</v>
      </c>
      <c r="J996" s="22" t="str">
        <f t="shared" si="2"/>
        <v>#N/A</v>
      </c>
      <c r="K996" s="22" t="str">
        <f t="array" ref="K996">IF(H996="Crash",MATCH(TRUE, B997:B1094 &gt;= B995, 0),"")</f>
        <v/>
      </c>
    </row>
    <row r="997" ht="15.75" customHeight="1">
      <c r="A997" s="31" t="str">
        <f>'EQUITY BACKTEST'!A1000</f>
        <v/>
      </c>
      <c r="B997" s="22" t="str">
        <f>'EQUITY BACKTEST'!B1000</f>
        <v/>
      </c>
      <c r="C997" s="22" t="str">
        <f>1/'EQUITY BACKTEST'!E1000</f>
        <v>#DIV/0!</v>
      </c>
      <c r="D997" s="22" t="str">
        <f t="shared" si="7"/>
        <v>#DIV/0!</v>
      </c>
      <c r="E997" s="22" t="str">
        <f t="shared" si="3"/>
        <v/>
      </c>
      <c r="F997" s="22" t="str">
        <f t="shared" si="6"/>
        <v>#DIV/0!</v>
      </c>
      <c r="H997" s="22" t="str">
        <f t="shared" si="4"/>
        <v/>
      </c>
      <c r="I997" s="22" t="str">
        <f t="shared" si="1"/>
        <v>#N/A</v>
      </c>
      <c r="J997" s="22" t="str">
        <f t="shared" si="2"/>
        <v>#N/A</v>
      </c>
      <c r="K997" s="22" t="str">
        <f t="array" ref="K997">IF(H997="Crash",MATCH(TRUE, B998:B1095 &gt;= B996, 0),"")</f>
        <v/>
      </c>
    </row>
    <row r="998" ht="15.75" customHeight="1">
      <c r="A998" s="31" t="str">
        <f>'EQUITY BACKTEST'!A1001</f>
        <v/>
      </c>
      <c r="B998" s="22" t="str">
        <f>'EQUITY BACKTEST'!B1001</f>
        <v/>
      </c>
      <c r="C998" s="22" t="str">
        <f>1/'EQUITY BACKTEST'!E1001</f>
        <v>#DIV/0!</v>
      </c>
      <c r="D998" s="22" t="str">
        <f t="shared" si="7"/>
        <v>#DIV/0!</v>
      </c>
      <c r="E998" s="22" t="str">
        <f t="shared" si="3"/>
        <v/>
      </c>
      <c r="F998" s="22" t="str">
        <f t="shared" si="6"/>
        <v>#DIV/0!</v>
      </c>
      <c r="H998" s="22" t="str">
        <f t="shared" si="4"/>
        <v/>
      </c>
      <c r="I998" s="22" t="str">
        <f t="shared" si="1"/>
        <v>#N/A</v>
      </c>
      <c r="J998" s="22" t="str">
        <f t="shared" si="2"/>
        <v>#N/A</v>
      </c>
      <c r="K998" s="22" t="str">
        <f t="array" ref="K998">IF(H998="Crash",MATCH(TRUE, B999:B1096 &gt;= B997, 0),"")</f>
        <v/>
      </c>
    </row>
    <row r="999" ht="15.75" customHeight="1">
      <c r="A999" s="31" t="str">
        <f>'EQUITY BACKTEST'!A1002</f>
        <v/>
      </c>
      <c r="B999" s="22" t="str">
        <f>'EQUITY BACKTEST'!B1002</f>
        <v/>
      </c>
      <c r="C999" s="22" t="str">
        <f>1/'EQUITY BACKTEST'!E1002</f>
        <v>#DIV/0!</v>
      </c>
      <c r="D999" s="22" t="str">
        <f t="shared" si="7"/>
        <v>#DIV/0!</v>
      </c>
      <c r="E999" s="22" t="str">
        <f t="shared" si="3"/>
        <v/>
      </c>
      <c r="F999" s="22" t="str">
        <f t="shared" si="6"/>
        <v>#DIV/0!</v>
      </c>
      <c r="H999" s="22" t="str">
        <f t="shared" si="4"/>
        <v/>
      </c>
      <c r="I999" s="22" t="str">
        <f t="shared" si="1"/>
        <v>#N/A</v>
      </c>
      <c r="J999" s="22" t="str">
        <f t="shared" si="2"/>
        <v>#N/A</v>
      </c>
      <c r="K999" s="22" t="str">
        <f t="array" ref="K999">IF(H999="Crash",MATCH(TRUE, B1000:B1097 &gt;= B998, 0),"")</f>
        <v/>
      </c>
    </row>
    <row r="1000" ht="15.75" customHeight="1">
      <c r="A1000" s="31" t="str">
        <f>'EQUITY BACKTEST'!A1003</f>
        <v/>
      </c>
      <c r="B1000" s="22" t="str">
        <f>'EQUITY BACKTEST'!B1003</f>
        <v/>
      </c>
      <c r="C1000" s="22" t="str">
        <f>1/'EQUITY BACKTEST'!E1003</f>
        <v>#DIV/0!</v>
      </c>
      <c r="D1000" s="22" t="str">
        <f t="shared" si="7"/>
        <v>#DIV/0!</v>
      </c>
      <c r="E1000" s="22" t="str">
        <f t="shared" si="3"/>
        <v/>
      </c>
      <c r="F1000" s="22" t="str">
        <f t="shared" si="6"/>
        <v>#DIV/0!</v>
      </c>
      <c r="H1000" s="22" t="str">
        <f t="shared" si="4"/>
        <v/>
      </c>
      <c r="I1000" s="22" t="str">
        <f t="shared" si="1"/>
        <v>#N/A</v>
      </c>
      <c r="J1000" s="22" t="str">
        <f t="shared" si="2"/>
        <v>#N/A</v>
      </c>
      <c r="K1000" s="22" t="str">
        <f t="array" ref="K1000">IF(H1000="Crash",MATCH(TRUE, B1001:B1098 &gt;= B999, 0),"")</f>
        <v/>
      </c>
    </row>
    <row r="1001" ht="15.75" customHeight="1">
      <c r="A1001" s="31" t="str">
        <f>'EQUITY BACKTEST'!A1004</f>
        <v/>
      </c>
      <c r="B1001" s="22" t="str">
        <f>'EQUITY BACKTEST'!B1004</f>
        <v/>
      </c>
      <c r="C1001" s="22" t="str">
        <f>1/'EQUITY BACKTEST'!E1004</f>
        <v>#DIV/0!</v>
      </c>
      <c r="D1001" s="22" t="str">
        <f t="shared" si="7"/>
        <v>#DIV/0!</v>
      </c>
      <c r="E1001" s="22" t="str">
        <f t="shared" si="3"/>
        <v/>
      </c>
      <c r="F1001" s="22" t="str">
        <f t="shared" si="6"/>
        <v>#DIV/0!</v>
      </c>
      <c r="H1001" s="22" t="str">
        <f t="shared" si="4"/>
        <v/>
      </c>
      <c r="I1001" s="22" t="str">
        <f t="shared" si="1"/>
        <v>#N/A</v>
      </c>
      <c r="J1001" s="22" t="str">
        <f t="shared" si="2"/>
        <v>#N/A</v>
      </c>
      <c r="K1001" s="22" t="str">
        <f t="array" ref="K1001">IF(H1001="Crash",MATCH(TRUE, B1002:B1099 &gt;= B1000, 0),"")</f>
        <v/>
      </c>
    </row>
    <row r="1002" ht="15.75" customHeight="1">
      <c r="A1002" s="31" t="str">
        <f>'EQUITY BACKTEST'!A1005</f>
        <v/>
      </c>
      <c r="B1002" s="22" t="str">
        <f>'EQUITY BACKTEST'!B1005</f>
        <v/>
      </c>
      <c r="C1002" s="22" t="str">
        <f>1/'EQUITY BACKTEST'!E1005</f>
        <v>#DIV/0!</v>
      </c>
      <c r="D1002" s="22" t="str">
        <f t="shared" si="7"/>
        <v>#DIV/0!</v>
      </c>
      <c r="E1002" s="22" t="str">
        <f t="shared" si="3"/>
        <v/>
      </c>
      <c r="F1002" s="22" t="str">
        <f t="shared" si="6"/>
        <v>#DIV/0!</v>
      </c>
      <c r="H1002" s="22" t="str">
        <f t="shared" si="4"/>
        <v/>
      </c>
      <c r="I1002" s="22" t="str">
        <f t="shared" si="1"/>
        <v>#N/A</v>
      </c>
      <c r="J1002" s="22" t="str">
        <f t="shared" si="2"/>
        <v>#N/A</v>
      </c>
      <c r="K1002" s="22" t="str">
        <f t="array" ref="K1002">IF(H1002="Crash",MATCH(TRUE, B1003:B1100 &gt;= B1001, 0),"")</f>
        <v/>
      </c>
    </row>
    <row r="1003" ht="15.75" customHeight="1">
      <c r="A1003" s="31" t="str">
        <f>'EQUITY BACKTEST'!A1006</f>
        <v/>
      </c>
      <c r="B1003" s="22" t="str">
        <f>'EQUITY BACKTEST'!B1006</f>
        <v/>
      </c>
      <c r="C1003" s="22" t="str">
        <f>1/'EQUITY BACKTEST'!E1006</f>
        <v>#DIV/0!</v>
      </c>
      <c r="D1003" s="22" t="str">
        <f t="shared" si="7"/>
        <v>#DIV/0!</v>
      </c>
      <c r="E1003" s="22" t="str">
        <f t="shared" si="3"/>
        <v/>
      </c>
      <c r="F1003" s="22" t="str">
        <f t="shared" si="6"/>
        <v>#DIV/0!</v>
      </c>
      <c r="H1003" s="22" t="str">
        <f t="shared" si="4"/>
        <v/>
      </c>
      <c r="I1003" s="22" t="str">
        <f t="shared" si="1"/>
        <v>#N/A</v>
      </c>
      <c r="J1003" s="22" t="str">
        <f t="shared" si="2"/>
        <v>#N/A</v>
      </c>
      <c r="K1003" s="22" t="str">
        <f t="array" ref="K1003">IF(H1003="Crash",MATCH(TRUE, B1004:B1101 &gt;= B1002, 0),"")</f>
        <v/>
      </c>
    </row>
    <row r="1004" ht="15.75" customHeight="1">
      <c r="A1004" s="31" t="str">
        <f>'EQUITY BACKTEST'!A1007</f>
        <v/>
      </c>
      <c r="B1004" s="22" t="str">
        <f>'EQUITY BACKTEST'!B1007</f>
        <v/>
      </c>
      <c r="C1004" s="22" t="str">
        <f>1/'EQUITY BACKTEST'!E1007</f>
        <v>#DIV/0!</v>
      </c>
      <c r="D1004" s="22" t="str">
        <f t="shared" si="7"/>
        <v>#DIV/0!</v>
      </c>
      <c r="E1004" s="22" t="str">
        <f t="shared" si="3"/>
        <v/>
      </c>
      <c r="F1004" s="22" t="str">
        <f t="shared" si="6"/>
        <v>#DIV/0!</v>
      </c>
      <c r="H1004" s="22" t="str">
        <f t="shared" si="4"/>
        <v/>
      </c>
      <c r="I1004" s="22" t="str">
        <f t="shared" si="1"/>
        <v>#N/A</v>
      </c>
      <c r="J1004" s="22" t="str">
        <f t="shared" si="2"/>
        <v>#N/A</v>
      </c>
      <c r="K1004" s="22" t="str">
        <f t="array" ref="K1004">IF(H1004="Crash",MATCH(TRUE, B1005:B1102 &gt;= B1003, 0),"")</f>
        <v/>
      </c>
    </row>
    <row r="1005" ht="15.75" customHeight="1">
      <c r="A1005" s="31" t="str">
        <f>'EQUITY BACKTEST'!A1008</f>
        <v/>
      </c>
      <c r="B1005" s="22" t="str">
        <f>'EQUITY BACKTEST'!B1008</f>
        <v/>
      </c>
      <c r="C1005" s="22" t="str">
        <f>1/'EQUITY BACKTEST'!E1008</f>
        <v>#DIV/0!</v>
      </c>
      <c r="D1005" s="22" t="str">
        <f t="shared" si="7"/>
        <v>#DIV/0!</v>
      </c>
      <c r="E1005" s="22" t="str">
        <f t="shared" si="3"/>
        <v/>
      </c>
      <c r="F1005" s="22" t="str">
        <f t="shared" si="6"/>
        <v>#DIV/0!</v>
      </c>
      <c r="H1005" s="22" t="str">
        <f t="shared" si="4"/>
        <v/>
      </c>
      <c r="I1005" s="22" t="str">
        <f t="shared" si="1"/>
        <v>#N/A</v>
      </c>
      <c r="J1005" s="22" t="str">
        <f t="shared" si="2"/>
        <v>#N/A</v>
      </c>
      <c r="K1005" s="22" t="str">
        <f t="array" ref="K1005">IF(H1005="Crash",MATCH(TRUE, B1006:B1103 &gt;= B1004, 0),"")</f>
        <v/>
      </c>
    </row>
    <row r="1006" ht="15.75" customHeight="1">
      <c r="A1006" s="31" t="str">
        <f>'EQUITY BACKTEST'!A1009</f>
        <v/>
      </c>
      <c r="B1006" s="22" t="str">
        <f>'EQUITY BACKTEST'!B1009</f>
        <v/>
      </c>
      <c r="C1006" s="22" t="str">
        <f>1/'EQUITY BACKTEST'!E1009</f>
        <v>#DIV/0!</v>
      </c>
      <c r="D1006" s="22" t="str">
        <f t="shared" si="7"/>
        <v>#DIV/0!</v>
      </c>
      <c r="E1006" s="22" t="str">
        <f t="shared" si="3"/>
        <v/>
      </c>
      <c r="F1006" s="22" t="str">
        <f t="shared" si="6"/>
        <v>#DIV/0!</v>
      </c>
      <c r="H1006" s="22" t="str">
        <f t="shared" si="4"/>
        <v/>
      </c>
      <c r="I1006" s="22" t="str">
        <f t="shared" si="1"/>
        <v>#N/A</v>
      </c>
      <c r="J1006" s="22" t="str">
        <f t="shared" si="2"/>
        <v>#N/A</v>
      </c>
      <c r="K1006" s="22" t="str">
        <f t="array" ref="K1006">IF(H1006="Crash",MATCH(TRUE, B1007:B1104 &gt;= B1005, 0),"")</f>
        <v/>
      </c>
    </row>
    <row r="1007" ht="15.75" customHeight="1">
      <c r="A1007" s="31" t="str">
        <f>'EQUITY BACKTEST'!A1010</f>
        <v/>
      </c>
      <c r="B1007" s="22" t="str">
        <f>'EQUITY BACKTEST'!B1010</f>
        <v/>
      </c>
      <c r="C1007" s="22" t="str">
        <f>1/'EQUITY BACKTEST'!E1010</f>
        <v>#DIV/0!</v>
      </c>
      <c r="D1007" s="22" t="str">
        <f t="shared" si="7"/>
        <v>#DIV/0!</v>
      </c>
      <c r="E1007" s="22" t="str">
        <f t="shared" si="3"/>
        <v/>
      </c>
      <c r="F1007" s="22" t="str">
        <f t="shared" si="6"/>
        <v>#DIV/0!</v>
      </c>
      <c r="H1007" s="22" t="str">
        <f t="shared" si="4"/>
        <v/>
      </c>
      <c r="I1007" s="22" t="str">
        <f t="shared" si="1"/>
        <v>#N/A</v>
      </c>
      <c r="J1007" s="22" t="str">
        <f t="shared" si="2"/>
        <v>#N/A</v>
      </c>
      <c r="K1007" s="22" t="str">
        <f t="array" ref="K1007">IF(H1007="Crash",MATCH(TRUE, B1008:B1105 &gt;= B1006, 0),"")</f>
        <v/>
      </c>
    </row>
    <row r="1008" ht="15.75" customHeight="1">
      <c r="A1008" s="31" t="str">
        <f>'EQUITY BACKTEST'!A1011</f>
        <v/>
      </c>
      <c r="B1008" s="22" t="str">
        <f>'EQUITY BACKTEST'!B1011</f>
        <v/>
      </c>
      <c r="C1008" s="22" t="str">
        <f>1/'EQUITY BACKTEST'!E1011</f>
        <v>#DIV/0!</v>
      </c>
      <c r="D1008" s="22" t="str">
        <f t="shared" si="7"/>
        <v>#DIV/0!</v>
      </c>
      <c r="E1008" s="22" t="str">
        <f t="shared" si="3"/>
        <v/>
      </c>
      <c r="F1008" s="22" t="str">
        <f t="shared" si="6"/>
        <v>#DIV/0!</v>
      </c>
      <c r="H1008" s="22" t="str">
        <f t="shared" si="4"/>
        <v/>
      </c>
      <c r="I1008" s="22" t="str">
        <f t="shared" si="1"/>
        <v>#N/A</v>
      </c>
      <c r="J1008" s="22" t="str">
        <f t="shared" si="2"/>
        <v>#N/A</v>
      </c>
      <c r="K1008" s="22" t="str">
        <f t="array" ref="K1008">IF(H1008="Crash",MATCH(TRUE, B1009:B1106 &gt;= B1007, 0),"")</f>
        <v/>
      </c>
    </row>
    <row r="1009" ht="15.75" customHeight="1">
      <c r="A1009" s="31" t="str">
        <f>'EQUITY BACKTEST'!A1012</f>
        <v/>
      </c>
      <c r="B1009" s="22" t="str">
        <f>'EQUITY BACKTEST'!B1012</f>
        <v/>
      </c>
      <c r="C1009" s="22" t="str">
        <f>1/'EQUITY BACKTEST'!E1012</f>
        <v>#DIV/0!</v>
      </c>
      <c r="D1009" s="22" t="str">
        <f t="shared" si="7"/>
        <v>#DIV/0!</v>
      </c>
      <c r="E1009" s="22" t="str">
        <f t="shared" si="3"/>
        <v/>
      </c>
      <c r="F1009" s="22" t="str">
        <f t="shared" si="6"/>
        <v>#DIV/0!</v>
      </c>
      <c r="H1009" s="22" t="str">
        <f t="shared" si="4"/>
        <v/>
      </c>
      <c r="I1009" s="22" t="str">
        <f t="shared" si="1"/>
        <v>#N/A</v>
      </c>
      <c r="J1009" s="22" t="str">
        <f t="shared" si="2"/>
        <v>#N/A</v>
      </c>
      <c r="K1009" s="22" t="str">
        <f t="array" ref="K1009">IF(H1009="Crash",MATCH(TRUE, B1010:B1107 &gt;= B1008, 0),"")</f>
        <v/>
      </c>
    </row>
    <row r="1010" ht="15.75" customHeight="1">
      <c r="A1010" s="31" t="str">
        <f>'EQUITY BACKTEST'!A1013</f>
        <v/>
      </c>
      <c r="B1010" s="22" t="str">
        <f>'EQUITY BACKTEST'!B1013</f>
        <v/>
      </c>
      <c r="C1010" s="22" t="str">
        <f>1/'EQUITY BACKTEST'!E1013</f>
        <v>#DIV/0!</v>
      </c>
      <c r="D1010" s="22" t="str">
        <f t="shared" si="7"/>
        <v>#DIV/0!</v>
      </c>
      <c r="E1010" s="22" t="str">
        <f t="shared" si="3"/>
        <v/>
      </c>
      <c r="F1010" s="22" t="str">
        <f t="shared" si="6"/>
        <v>#DIV/0!</v>
      </c>
      <c r="H1010" s="22" t="str">
        <f t="shared" si="4"/>
        <v/>
      </c>
      <c r="I1010" s="22" t="str">
        <f t="shared" si="1"/>
        <v>#N/A</v>
      </c>
      <c r="J1010" s="22" t="str">
        <f t="shared" si="2"/>
        <v>#N/A</v>
      </c>
      <c r="K1010" s="22" t="str">
        <f t="array" ref="K1010">IF(H1010="Crash",MATCH(TRUE, B1011:B1108 &gt;= B1009, 0),"")</f>
        <v/>
      </c>
    </row>
    <row r="1011" ht="15.75" customHeight="1">
      <c r="A1011" s="31" t="str">
        <f>'EQUITY BACKTEST'!A1014</f>
        <v/>
      </c>
      <c r="B1011" s="22" t="str">
        <f>'EQUITY BACKTEST'!B1014</f>
        <v/>
      </c>
      <c r="C1011" s="22" t="str">
        <f>1/'EQUITY BACKTEST'!E1014</f>
        <v>#DIV/0!</v>
      </c>
      <c r="D1011" s="22" t="str">
        <f t="shared" si="7"/>
        <v>#DIV/0!</v>
      </c>
      <c r="E1011" s="22" t="str">
        <f t="shared" si="3"/>
        <v/>
      </c>
      <c r="F1011" s="22" t="str">
        <f t="shared" si="6"/>
        <v>#DIV/0!</v>
      </c>
      <c r="H1011" s="22" t="str">
        <f t="shared" si="4"/>
        <v/>
      </c>
      <c r="I1011" s="22" t="str">
        <f t="shared" si="1"/>
        <v>#N/A</v>
      </c>
      <c r="J1011" s="22" t="str">
        <f t="shared" si="2"/>
        <v>#N/A</v>
      </c>
      <c r="K1011" s="22" t="str">
        <f t="array" ref="K1011">IF(H1011="Crash",MATCH(TRUE, B1012:B1109 &gt;= B1010, 0),"")</f>
        <v/>
      </c>
    </row>
    <row r="1012" ht="15.75" customHeight="1">
      <c r="A1012" s="31" t="str">
        <f>'EQUITY BACKTEST'!A1015</f>
        <v/>
      </c>
      <c r="B1012" s="22" t="str">
        <f>'EQUITY BACKTEST'!B1015</f>
        <v/>
      </c>
      <c r="C1012" s="22" t="str">
        <f>1/'EQUITY BACKTEST'!E1015</f>
        <v>#DIV/0!</v>
      </c>
      <c r="D1012" s="22" t="str">
        <f t="shared" si="7"/>
        <v>#DIV/0!</v>
      </c>
      <c r="E1012" s="22" t="str">
        <f t="shared" si="3"/>
        <v/>
      </c>
      <c r="F1012" s="22" t="str">
        <f t="shared" si="6"/>
        <v>#DIV/0!</v>
      </c>
      <c r="H1012" s="22" t="str">
        <f t="shared" si="4"/>
        <v/>
      </c>
      <c r="I1012" s="22" t="str">
        <f t="shared" si="1"/>
        <v>#N/A</v>
      </c>
      <c r="J1012" s="22" t="str">
        <f t="shared" si="2"/>
        <v>#N/A</v>
      </c>
      <c r="K1012" s="22" t="str">
        <f t="array" ref="K1012">IF(H1012="Crash",MATCH(TRUE, B1013:B1110 &gt;= B1011, 0),"")</f>
        <v/>
      </c>
    </row>
    <row r="1013" ht="15.75" customHeight="1">
      <c r="A1013" s="31" t="str">
        <f>'EQUITY BACKTEST'!A1016</f>
        <v/>
      </c>
      <c r="B1013" s="22" t="str">
        <f>'EQUITY BACKTEST'!B1016</f>
        <v/>
      </c>
      <c r="C1013" s="22" t="str">
        <f>1/'EQUITY BACKTEST'!E1016</f>
        <v>#DIV/0!</v>
      </c>
      <c r="D1013" s="22" t="str">
        <f t="shared" si="7"/>
        <v>#DIV/0!</v>
      </c>
      <c r="E1013" s="22" t="str">
        <f t="shared" si="3"/>
        <v/>
      </c>
      <c r="F1013" s="22" t="str">
        <f t="shared" si="6"/>
        <v>#DIV/0!</v>
      </c>
      <c r="H1013" s="22" t="str">
        <f t="shared" si="4"/>
        <v/>
      </c>
      <c r="I1013" s="22" t="str">
        <f t="shared" si="1"/>
        <v>#N/A</v>
      </c>
      <c r="J1013" s="22" t="str">
        <f t="shared" si="2"/>
        <v>#N/A</v>
      </c>
      <c r="K1013" s="22" t="str">
        <f t="array" ref="K1013">IF(H1013="Crash",MATCH(TRUE, B1014:B1111 &gt;= B1012, 0),"")</f>
        <v/>
      </c>
    </row>
    <row r="1014" ht="15.75" customHeight="1">
      <c r="A1014" s="31" t="str">
        <f>'EQUITY BACKTEST'!A1017</f>
        <v/>
      </c>
      <c r="B1014" s="22" t="str">
        <f>'EQUITY BACKTEST'!B1017</f>
        <v/>
      </c>
      <c r="C1014" s="22" t="str">
        <f>1/'EQUITY BACKTEST'!E1017</f>
        <v>#DIV/0!</v>
      </c>
      <c r="D1014" s="22" t="str">
        <f t="shared" si="7"/>
        <v>#DIV/0!</v>
      </c>
      <c r="E1014" s="22" t="str">
        <f t="shared" si="3"/>
        <v/>
      </c>
      <c r="F1014" s="22" t="str">
        <f t="shared" si="6"/>
        <v>#DIV/0!</v>
      </c>
      <c r="H1014" s="22" t="str">
        <f t="shared" si="4"/>
        <v/>
      </c>
      <c r="I1014" s="22" t="str">
        <f t="shared" si="1"/>
        <v>#N/A</v>
      </c>
      <c r="J1014" s="22" t="str">
        <f t="shared" si="2"/>
        <v>#N/A</v>
      </c>
      <c r="K1014" s="22" t="str">
        <f t="array" ref="K1014">IF(H1014="Crash",MATCH(TRUE, B1015:B1112 &gt;= B1013, 0),"")</f>
        <v/>
      </c>
    </row>
    <row r="1015" ht="15.75" customHeight="1">
      <c r="A1015" s="31" t="str">
        <f>'EQUITY BACKTEST'!A1018</f>
        <v/>
      </c>
      <c r="B1015" s="22" t="str">
        <f>'EQUITY BACKTEST'!B1018</f>
        <v/>
      </c>
      <c r="C1015" s="22" t="str">
        <f>1/'EQUITY BACKTEST'!E1018</f>
        <v>#DIV/0!</v>
      </c>
      <c r="D1015" s="22" t="str">
        <f t="shared" si="7"/>
        <v>#DIV/0!</v>
      </c>
      <c r="E1015" s="22" t="str">
        <f t="shared" si="3"/>
        <v/>
      </c>
      <c r="F1015" s="22" t="str">
        <f t="shared" si="6"/>
        <v>#DIV/0!</v>
      </c>
      <c r="H1015" s="22" t="str">
        <f t="shared" si="4"/>
        <v/>
      </c>
      <c r="I1015" s="22" t="str">
        <f t="shared" si="1"/>
        <v>#N/A</v>
      </c>
      <c r="J1015" s="22" t="str">
        <f t="shared" si="2"/>
        <v>#N/A</v>
      </c>
      <c r="K1015" s="22" t="str">
        <f t="array" ref="K1015">IF(H1015="Crash",MATCH(TRUE, B1016:B1113 &gt;= B1014, 0),"")</f>
        <v/>
      </c>
    </row>
    <row r="1016" ht="15.75" customHeight="1">
      <c r="A1016" s="31" t="str">
        <f>'EQUITY BACKTEST'!A1019</f>
        <v/>
      </c>
      <c r="B1016" s="22" t="str">
        <f>'EQUITY BACKTEST'!B1019</f>
        <v/>
      </c>
      <c r="C1016" s="22" t="str">
        <f>1/'EQUITY BACKTEST'!E1019</f>
        <v>#DIV/0!</v>
      </c>
      <c r="D1016" s="22" t="str">
        <f t="shared" si="7"/>
        <v>#DIV/0!</v>
      </c>
      <c r="E1016" s="22" t="str">
        <f t="shared" si="3"/>
        <v/>
      </c>
      <c r="F1016" s="22" t="str">
        <f t="shared" si="6"/>
        <v>#DIV/0!</v>
      </c>
      <c r="H1016" s="22" t="str">
        <f t="shared" si="4"/>
        <v/>
      </c>
      <c r="I1016" s="22" t="str">
        <f t="shared" si="1"/>
        <v>#N/A</v>
      </c>
      <c r="J1016" s="22" t="str">
        <f t="shared" si="2"/>
        <v>#N/A</v>
      </c>
      <c r="K1016" s="22" t="str">
        <f t="array" ref="K1016">IF(H1016="Crash",MATCH(TRUE, B1017:B1114 &gt;= B1015, 0),"")</f>
        <v/>
      </c>
    </row>
    <row r="1017" ht="15.75" customHeight="1">
      <c r="A1017" s="31" t="str">
        <f>'EQUITY BACKTEST'!A1020</f>
        <v/>
      </c>
      <c r="B1017" s="22" t="str">
        <f>'EQUITY BACKTEST'!B1020</f>
        <v/>
      </c>
      <c r="C1017" s="22" t="str">
        <f>1/'EQUITY BACKTEST'!E1020</f>
        <v>#DIV/0!</v>
      </c>
      <c r="D1017" s="22" t="str">
        <f t="shared" si="7"/>
        <v>#DIV/0!</v>
      </c>
      <c r="E1017" s="22" t="str">
        <f t="shared" si="3"/>
        <v/>
      </c>
      <c r="F1017" s="22" t="str">
        <f t="shared" si="6"/>
        <v>#DIV/0!</v>
      </c>
      <c r="H1017" s="22" t="str">
        <f t="shared" si="4"/>
        <v/>
      </c>
      <c r="I1017" s="22" t="str">
        <f t="shared" si="1"/>
        <v>#N/A</v>
      </c>
      <c r="J1017" s="22" t="str">
        <f t="shared" si="2"/>
        <v>#N/A</v>
      </c>
      <c r="K1017" s="22" t="str">
        <f t="array" ref="K1017">IF(H1017="Crash",MATCH(TRUE, B1018:B1115 &gt;= B1016, 0),"")</f>
        <v/>
      </c>
    </row>
    <row r="1018" ht="15.75" customHeight="1">
      <c r="A1018" s="31" t="str">
        <f>'EQUITY BACKTEST'!A1021</f>
        <v/>
      </c>
      <c r="B1018" s="22" t="str">
        <f>'EQUITY BACKTEST'!B1021</f>
        <v/>
      </c>
      <c r="C1018" s="22" t="str">
        <f>1/'EQUITY BACKTEST'!E1021</f>
        <v>#DIV/0!</v>
      </c>
      <c r="D1018" s="22" t="str">
        <f t="shared" si="7"/>
        <v>#DIV/0!</v>
      </c>
      <c r="E1018" s="22" t="str">
        <f t="shared" si="3"/>
        <v/>
      </c>
      <c r="F1018" s="22" t="str">
        <f t="shared" si="6"/>
        <v>#DIV/0!</v>
      </c>
      <c r="H1018" s="22" t="str">
        <f t="shared" si="4"/>
        <v/>
      </c>
      <c r="I1018" s="22" t="str">
        <f t="shared" si="1"/>
        <v>#N/A</v>
      </c>
      <c r="J1018" s="22" t="str">
        <f t="shared" si="2"/>
        <v>#N/A</v>
      </c>
      <c r="K1018" s="22" t="str">
        <f t="array" ref="K1018">IF(H1018="Crash",MATCH(TRUE, B1019:B1116 &gt;= B1017, 0),"")</f>
        <v/>
      </c>
    </row>
    <row r="1019" ht="15.75" customHeight="1">
      <c r="A1019" s="31" t="str">
        <f>'EQUITY BACKTEST'!A1022</f>
        <v/>
      </c>
      <c r="B1019" s="22" t="str">
        <f>'EQUITY BACKTEST'!B1022</f>
        <v/>
      </c>
      <c r="C1019" s="22" t="str">
        <f>1/'EQUITY BACKTEST'!E1022</f>
        <v>#DIV/0!</v>
      </c>
      <c r="D1019" s="22" t="str">
        <f t="shared" si="7"/>
        <v>#DIV/0!</v>
      </c>
      <c r="E1019" s="22" t="str">
        <f t="shared" si="3"/>
        <v/>
      </c>
      <c r="F1019" s="22" t="str">
        <f t="shared" si="6"/>
        <v>#DIV/0!</v>
      </c>
      <c r="H1019" s="22" t="str">
        <f t="shared" si="4"/>
        <v/>
      </c>
      <c r="I1019" s="22" t="str">
        <f t="shared" si="1"/>
        <v>#N/A</v>
      </c>
      <c r="J1019" s="22" t="str">
        <f t="shared" si="2"/>
        <v>#N/A</v>
      </c>
      <c r="K1019" s="22" t="str">
        <f t="array" ref="K1019">IF(H1019="Crash",MATCH(TRUE, B1020:B1117 &gt;= B1018, 0),"")</f>
        <v/>
      </c>
    </row>
    <row r="1020" ht="15.75" customHeight="1">
      <c r="A1020" s="31" t="str">
        <f>'EQUITY BACKTEST'!A1023</f>
        <v/>
      </c>
      <c r="B1020" s="22" t="str">
        <f>'EQUITY BACKTEST'!B1023</f>
        <v/>
      </c>
      <c r="C1020" s="22" t="str">
        <f>1/'EQUITY BACKTEST'!E1023</f>
        <v>#DIV/0!</v>
      </c>
      <c r="D1020" s="22" t="str">
        <f t="shared" si="7"/>
        <v>#DIV/0!</v>
      </c>
      <c r="E1020" s="22" t="str">
        <f t="shared" si="3"/>
        <v/>
      </c>
      <c r="F1020" s="22" t="str">
        <f t="shared" si="6"/>
        <v>#DIV/0!</v>
      </c>
      <c r="H1020" s="22" t="str">
        <f t="shared" si="4"/>
        <v/>
      </c>
      <c r="I1020" s="22" t="str">
        <f t="shared" si="1"/>
        <v>#N/A</v>
      </c>
      <c r="J1020" s="22" t="str">
        <f t="shared" si="2"/>
        <v>#N/A</v>
      </c>
      <c r="K1020" s="22" t="str">
        <f t="array" ref="K1020">IF(H1020="Crash",MATCH(TRUE, B1021:B1118 &gt;= B1019, 0),"")</f>
        <v/>
      </c>
    </row>
    <row r="1021" ht="15.75" customHeight="1">
      <c r="A1021" s="31" t="str">
        <f>'EQUITY BACKTEST'!A1024</f>
        <v/>
      </c>
      <c r="B1021" s="22" t="str">
        <f>'EQUITY BACKTEST'!B1024</f>
        <v/>
      </c>
      <c r="C1021" s="22" t="str">
        <f>1/'EQUITY BACKTEST'!E1024</f>
        <v>#DIV/0!</v>
      </c>
      <c r="D1021" s="22" t="str">
        <f t="shared" si="7"/>
        <v>#DIV/0!</v>
      </c>
      <c r="E1021" s="22" t="str">
        <f t="shared" si="3"/>
        <v/>
      </c>
      <c r="F1021" s="22" t="str">
        <f t="shared" si="6"/>
        <v>#DIV/0!</v>
      </c>
      <c r="H1021" s="22" t="str">
        <f t="shared" si="4"/>
        <v/>
      </c>
      <c r="I1021" s="22" t="str">
        <f t="shared" si="1"/>
        <v>#N/A</v>
      </c>
      <c r="J1021" s="22" t="str">
        <f t="shared" si="2"/>
        <v>#N/A</v>
      </c>
      <c r="K1021" s="22" t="str">
        <f t="array" ref="K1021">IF(H1021="Crash",MATCH(TRUE, B1022:B1119 &gt;= B1020, 0),"")</f>
        <v/>
      </c>
    </row>
    <row r="1022" ht="15.75" customHeight="1">
      <c r="A1022" s="31" t="str">
        <f>'EQUITY BACKTEST'!A1025</f>
        <v/>
      </c>
      <c r="B1022" s="22" t="str">
        <f>'EQUITY BACKTEST'!B1025</f>
        <v/>
      </c>
      <c r="C1022" s="22" t="str">
        <f>1/'EQUITY BACKTEST'!E1025</f>
        <v>#DIV/0!</v>
      </c>
      <c r="D1022" s="22" t="str">
        <f t="shared" si="7"/>
        <v>#DIV/0!</v>
      </c>
      <c r="E1022" s="22" t="str">
        <f t="shared" si="3"/>
        <v/>
      </c>
      <c r="F1022" s="22" t="str">
        <f t="shared" si="6"/>
        <v>#DIV/0!</v>
      </c>
      <c r="H1022" s="22" t="str">
        <f t="shared" si="4"/>
        <v/>
      </c>
      <c r="I1022" s="22" t="str">
        <f t="shared" si="1"/>
        <v>#N/A</v>
      </c>
      <c r="J1022" s="22" t="str">
        <f t="shared" si="2"/>
        <v>#N/A</v>
      </c>
      <c r="K1022" s="22" t="str">
        <f t="array" ref="K1022">IF(H1022="Crash",MATCH(TRUE, B1023:B1120 &gt;= B1021, 0),"")</f>
        <v/>
      </c>
    </row>
    <row r="1023" ht="15.75" customHeight="1">
      <c r="A1023" s="31" t="str">
        <f>'EQUITY BACKTEST'!A1026</f>
        <v/>
      </c>
      <c r="B1023" s="22" t="str">
        <f>'EQUITY BACKTEST'!B1026</f>
        <v/>
      </c>
      <c r="C1023" s="22" t="str">
        <f>1/'EQUITY BACKTEST'!E1026</f>
        <v>#DIV/0!</v>
      </c>
      <c r="D1023" s="22" t="str">
        <f t="shared" si="7"/>
        <v>#DIV/0!</v>
      </c>
      <c r="E1023" s="22" t="str">
        <f t="shared" si="3"/>
        <v/>
      </c>
      <c r="F1023" s="22" t="str">
        <f t="shared" si="6"/>
        <v>#DIV/0!</v>
      </c>
      <c r="H1023" s="22" t="str">
        <f t="shared" si="4"/>
        <v/>
      </c>
      <c r="I1023" s="22" t="str">
        <f t="shared" si="1"/>
        <v>#N/A</v>
      </c>
      <c r="J1023" s="22" t="str">
        <f t="shared" si="2"/>
        <v>#N/A</v>
      </c>
      <c r="K1023" s="22" t="str">
        <f t="array" ref="K1023">IF(H1023="Crash",MATCH(TRUE, B1024:B1121 &gt;= B1022, 0),"")</f>
        <v/>
      </c>
    </row>
    <row r="1024" ht="15.75" customHeight="1">
      <c r="A1024" s="31" t="str">
        <f>'EQUITY BACKTEST'!A1027</f>
        <v/>
      </c>
      <c r="B1024" s="22" t="str">
        <f>'EQUITY BACKTEST'!B1027</f>
        <v/>
      </c>
      <c r="C1024" s="22" t="str">
        <f>1/'EQUITY BACKTEST'!E1027</f>
        <v>#DIV/0!</v>
      </c>
      <c r="D1024" s="22" t="str">
        <f t="shared" si="7"/>
        <v>#DIV/0!</v>
      </c>
      <c r="E1024" s="22" t="str">
        <f t="shared" si="3"/>
        <v/>
      </c>
      <c r="F1024" s="22" t="str">
        <f t="shared" si="6"/>
        <v>#DIV/0!</v>
      </c>
      <c r="H1024" s="22" t="str">
        <f t="shared" si="4"/>
        <v/>
      </c>
      <c r="I1024" s="22" t="str">
        <f t="shared" si="1"/>
        <v>#N/A</v>
      </c>
      <c r="J1024" s="22" t="str">
        <f t="shared" si="2"/>
        <v>#N/A</v>
      </c>
      <c r="K1024" s="22" t="str">
        <f t="array" ref="K1024">IF(H1024="Crash",MATCH(TRUE, B1025:B1122 &gt;= B1023, 0),"")</f>
        <v/>
      </c>
    </row>
    <row r="1025" ht="15.75" customHeight="1">
      <c r="A1025" s="31" t="str">
        <f>'EQUITY BACKTEST'!A1028</f>
        <v/>
      </c>
      <c r="B1025" s="22" t="str">
        <f>'EQUITY BACKTEST'!B1028</f>
        <v/>
      </c>
      <c r="C1025" s="22" t="str">
        <f>1/'EQUITY BACKTEST'!E1028</f>
        <v>#DIV/0!</v>
      </c>
      <c r="D1025" s="22" t="str">
        <f t="shared" si="7"/>
        <v>#DIV/0!</v>
      </c>
      <c r="E1025" s="22" t="str">
        <f t="shared" si="3"/>
        <v/>
      </c>
      <c r="F1025" s="22" t="str">
        <f t="shared" si="6"/>
        <v>#DIV/0!</v>
      </c>
      <c r="H1025" s="22" t="str">
        <f t="shared" si="4"/>
        <v/>
      </c>
      <c r="I1025" s="22" t="str">
        <f t="shared" si="1"/>
        <v>#N/A</v>
      </c>
      <c r="J1025" s="22" t="str">
        <f t="shared" si="2"/>
        <v>#N/A</v>
      </c>
      <c r="K1025" s="22" t="str">
        <f t="array" ref="K1025">IF(H1025="Crash",MATCH(TRUE, B1026:B1123 &gt;= B1024, 0),"")</f>
        <v/>
      </c>
    </row>
    <row r="1026" ht="15.75" customHeight="1">
      <c r="A1026" s="31" t="str">
        <f>'EQUITY BACKTEST'!A1029</f>
        <v/>
      </c>
      <c r="B1026" s="22" t="str">
        <f>'EQUITY BACKTEST'!B1029</f>
        <v/>
      </c>
      <c r="C1026" s="22" t="str">
        <f>1/'EQUITY BACKTEST'!E1029</f>
        <v>#DIV/0!</v>
      </c>
      <c r="D1026" s="22" t="str">
        <f t="shared" si="7"/>
        <v>#DIV/0!</v>
      </c>
      <c r="E1026" s="22" t="str">
        <f t="shared" si="3"/>
        <v/>
      </c>
      <c r="F1026" s="22" t="str">
        <f t="shared" si="6"/>
        <v>#DIV/0!</v>
      </c>
      <c r="H1026" s="22" t="str">
        <f t="shared" si="4"/>
        <v/>
      </c>
      <c r="I1026" s="22" t="str">
        <f t="shared" si="1"/>
        <v>#N/A</v>
      </c>
      <c r="J1026" s="22" t="str">
        <f t="shared" si="2"/>
        <v>#N/A</v>
      </c>
      <c r="K1026" s="22" t="str">
        <f t="array" ref="K1026">IF(H1026="Crash",MATCH(TRUE, B1027:B1124 &gt;= B1025, 0),"")</f>
        <v/>
      </c>
    </row>
    <row r="1027" ht="15.75" customHeight="1">
      <c r="A1027" s="31" t="str">
        <f>'EQUITY BACKTEST'!A1030</f>
        <v/>
      </c>
      <c r="B1027" s="22" t="str">
        <f>'EQUITY BACKTEST'!B1030</f>
        <v/>
      </c>
      <c r="C1027" s="22" t="str">
        <f>1/'EQUITY BACKTEST'!E1030</f>
        <v>#DIV/0!</v>
      </c>
      <c r="D1027" s="22" t="str">
        <f t="shared" si="7"/>
        <v>#DIV/0!</v>
      </c>
      <c r="E1027" s="22" t="str">
        <f t="shared" si="3"/>
        <v/>
      </c>
      <c r="F1027" s="22" t="str">
        <f t="shared" si="6"/>
        <v>#DIV/0!</v>
      </c>
      <c r="H1027" s="22" t="str">
        <f t="shared" si="4"/>
        <v/>
      </c>
      <c r="I1027" s="22" t="str">
        <f t="shared" si="1"/>
        <v>#N/A</v>
      </c>
      <c r="J1027" s="22" t="str">
        <f t="shared" si="2"/>
        <v>#N/A</v>
      </c>
      <c r="K1027" s="22" t="str">
        <f t="array" ref="K1027">IF(H1027="Crash",MATCH(TRUE, B1028:B1125 &gt;= B1026, 0),"")</f>
        <v/>
      </c>
    </row>
    <row r="1028" ht="15.75" customHeight="1">
      <c r="A1028" s="31" t="str">
        <f>'EQUITY BACKTEST'!A1031</f>
        <v/>
      </c>
      <c r="B1028" s="22" t="str">
        <f>'EQUITY BACKTEST'!B1031</f>
        <v/>
      </c>
      <c r="C1028" s="22" t="str">
        <f>1/'EQUITY BACKTEST'!E1031</f>
        <v>#DIV/0!</v>
      </c>
      <c r="D1028" s="22" t="str">
        <f t="shared" si="7"/>
        <v>#DIV/0!</v>
      </c>
      <c r="E1028" s="22" t="str">
        <f t="shared" si="3"/>
        <v/>
      </c>
      <c r="F1028" s="22" t="str">
        <f t="shared" si="6"/>
        <v>#DIV/0!</v>
      </c>
      <c r="H1028" s="22" t="str">
        <f t="shared" si="4"/>
        <v/>
      </c>
      <c r="I1028" s="22" t="str">
        <f t="shared" si="1"/>
        <v>#N/A</v>
      </c>
      <c r="J1028" s="22" t="str">
        <f t="shared" si="2"/>
        <v>#N/A</v>
      </c>
      <c r="K1028" s="22" t="str">
        <f t="array" ref="K1028">IF(H1028="Crash",MATCH(TRUE, B1029:B1126 &gt;= B1027, 0),"")</f>
        <v/>
      </c>
    </row>
    <row r="1029" ht="15.75" customHeight="1">
      <c r="A1029" s="31" t="str">
        <f>'EQUITY BACKTEST'!A1032</f>
        <v/>
      </c>
      <c r="B1029" s="22" t="str">
        <f>'EQUITY BACKTEST'!B1032</f>
        <v/>
      </c>
      <c r="C1029" s="22" t="str">
        <f>1/'EQUITY BACKTEST'!E1032</f>
        <v>#DIV/0!</v>
      </c>
      <c r="D1029" s="22" t="str">
        <f t="shared" si="7"/>
        <v>#DIV/0!</v>
      </c>
      <c r="E1029" s="22" t="str">
        <f t="shared" si="3"/>
        <v/>
      </c>
      <c r="F1029" s="22" t="str">
        <f t="shared" si="6"/>
        <v>#DIV/0!</v>
      </c>
      <c r="H1029" s="22" t="str">
        <f t="shared" si="4"/>
        <v/>
      </c>
      <c r="I1029" s="22" t="str">
        <f t="shared" si="1"/>
        <v>#N/A</v>
      </c>
      <c r="J1029" s="22" t="str">
        <f t="shared" si="2"/>
        <v>#N/A</v>
      </c>
      <c r="K1029" s="22" t="str">
        <f t="array" ref="K1029">IF(H1029="Crash",MATCH(TRUE, B1030:B1127 &gt;= B1028, 0),"")</f>
        <v/>
      </c>
    </row>
    <row r="1030" ht="15.75" customHeight="1">
      <c r="A1030" s="31" t="str">
        <f>'EQUITY BACKTEST'!A1033</f>
        <v/>
      </c>
      <c r="B1030" s="22" t="str">
        <f>'EQUITY BACKTEST'!B1033</f>
        <v/>
      </c>
      <c r="C1030" s="22" t="str">
        <f>1/'EQUITY BACKTEST'!E1033</f>
        <v>#DIV/0!</v>
      </c>
      <c r="D1030" s="22" t="str">
        <f t="shared" si="7"/>
        <v>#DIV/0!</v>
      </c>
      <c r="E1030" s="22" t="str">
        <f t="shared" si="3"/>
        <v/>
      </c>
      <c r="F1030" s="22" t="str">
        <f t="shared" si="6"/>
        <v>#DIV/0!</v>
      </c>
      <c r="H1030" s="22" t="str">
        <f t="shared" si="4"/>
        <v/>
      </c>
      <c r="I1030" s="22" t="str">
        <f t="shared" si="1"/>
        <v>#N/A</v>
      </c>
      <c r="J1030" s="22" t="str">
        <f t="shared" si="2"/>
        <v>#N/A</v>
      </c>
      <c r="K1030" s="22" t="str">
        <f t="array" ref="K1030">IF(H1030="Crash",MATCH(TRUE, B1031:B1128 &gt;= B1029, 0),"")</f>
        <v/>
      </c>
    </row>
    <row r="1031" ht="15.75" customHeight="1">
      <c r="A1031" s="31" t="str">
        <f>'EQUITY BACKTEST'!A1034</f>
        <v/>
      </c>
      <c r="B1031" s="22" t="str">
        <f>'EQUITY BACKTEST'!B1034</f>
        <v/>
      </c>
      <c r="C1031" s="22" t="str">
        <f>1/'EQUITY BACKTEST'!E1034</f>
        <v>#DIV/0!</v>
      </c>
      <c r="D1031" s="22" t="str">
        <f t="shared" si="7"/>
        <v>#DIV/0!</v>
      </c>
      <c r="E1031" s="22" t="str">
        <f t="shared" si="3"/>
        <v/>
      </c>
      <c r="F1031" s="22" t="str">
        <f t="shared" si="6"/>
        <v>#DIV/0!</v>
      </c>
      <c r="H1031" s="22" t="str">
        <f t="shared" si="4"/>
        <v/>
      </c>
      <c r="I1031" s="22" t="str">
        <f t="shared" si="1"/>
        <v>#N/A</v>
      </c>
      <c r="J1031" s="22" t="str">
        <f t="shared" si="2"/>
        <v>#N/A</v>
      </c>
      <c r="K1031" s="22" t="str">
        <f t="array" ref="K1031">IF(H1031="Crash",MATCH(TRUE, B1032:B1129 &gt;= B1030, 0),"")</f>
        <v/>
      </c>
    </row>
    <row r="1032" ht="15.75" customHeight="1">
      <c r="A1032" s="31" t="str">
        <f>'EQUITY BACKTEST'!A1035</f>
        <v/>
      </c>
      <c r="B1032" s="22" t="str">
        <f>'EQUITY BACKTEST'!B1035</f>
        <v/>
      </c>
      <c r="C1032" s="22" t="str">
        <f>1/'EQUITY BACKTEST'!E1035</f>
        <v>#DIV/0!</v>
      </c>
      <c r="D1032" s="22" t="str">
        <f t="shared" si="7"/>
        <v>#DIV/0!</v>
      </c>
      <c r="E1032" s="22" t="str">
        <f t="shared" si="3"/>
        <v/>
      </c>
      <c r="F1032" s="22" t="str">
        <f t="shared" si="6"/>
        <v>#DIV/0!</v>
      </c>
      <c r="H1032" s="22" t="str">
        <f t="shared" si="4"/>
        <v/>
      </c>
      <c r="I1032" s="22" t="str">
        <f t="shared" si="1"/>
        <v>#N/A</v>
      </c>
      <c r="J1032" s="22" t="str">
        <f t="shared" si="2"/>
        <v>#N/A</v>
      </c>
      <c r="K1032" s="22" t="str">
        <f t="array" ref="K1032">IF(H1032="Crash",MATCH(TRUE, B1033:B1130 &gt;= B1031, 0),"")</f>
        <v/>
      </c>
    </row>
    <row r="1033" ht="15.75" customHeight="1">
      <c r="A1033" s="31" t="str">
        <f>'EQUITY BACKTEST'!A1036</f>
        <v/>
      </c>
      <c r="B1033" s="22" t="str">
        <f>'EQUITY BACKTEST'!B1036</f>
        <v/>
      </c>
      <c r="C1033" s="22" t="str">
        <f>1/'EQUITY BACKTEST'!E1036</f>
        <v>#DIV/0!</v>
      </c>
      <c r="D1033" s="22" t="str">
        <f t="shared" si="7"/>
        <v>#DIV/0!</v>
      </c>
      <c r="E1033" s="22" t="str">
        <f t="shared" si="3"/>
        <v/>
      </c>
      <c r="F1033" s="22" t="str">
        <f t="shared" si="6"/>
        <v>#DIV/0!</v>
      </c>
      <c r="H1033" s="22" t="str">
        <f t="shared" si="4"/>
        <v/>
      </c>
      <c r="I1033" s="22" t="str">
        <f t="shared" si="1"/>
        <v>#N/A</v>
      </c>
      <c r="J1033" s="22" t="str">
        <f t="shared" si="2"/>
        <v>#N/A</v>
      </c>
      <c r="K1033" s="22" t="str">
        <f t="array" ref="K1033">IF(H1033="Crash",MATCH(TRUE, B1034:B1131 &gt;= B1032, 0),"")</f>
        <v/>
      </c>
    </row>
    <row r="1034" ht="15.75" customHeight="1">
      <c r="A1034" s="31" t="str">
        <f>'EQUITY BACKTEST'!A1037</f>
        <v/>
      </c>
      <c r="B1034" s="22" t="str">
        <f>'EQUITY BACKTEST'!B1037</f>
        <v/>
      </c>
      <c r="C1034" s="22" t="str">
        <f>1/'EQUITY BACKTEST'!E1037</f>
        <v>#DIV/0!</v>
      </c>
      <c r="D1034" s="22" t="str">
        <f t="shared" si="7"/>
        <v>#DIV/0!</v>
      </c>
      <c r="E1034" s="22" t="str">
        <f t="shared" si="3"/>
        <v/>
      </c>
      <c r="F1034" s="22" t="str">
        <f t="shared" si="6"/>
        <v>#DIV/0!</v>
      </c>
      <c r="H1034" s="22" t="str">
        <f t="shared" si="4"/>
        <v/>
      </c>
      <c r="I1034" s="22" t="str">
        <f t="shared" si="1"/>
        <v>#N/A</v>
      </c>
      <c r="J1034" s="22" t="str">
        <f t="shared" si="2"/>
        <v>#N/A</v>
      </c>
      <c r="K1034" s="22" t="str">
        <f t="array" ref="K1034">IF(H1034="Crash",MATCH(TRUE, B1035:B1132 &gt;= B1033, 0),"")</f>
        <v/>
      </c>
    </row>
    <row r="1035" ht="15.75" customHeight="1">
      <c r="A1035" s="31" t="str">
        <f>'EQUITY BACKTEST'!A1038</f>
        <v/>
      </c>
      <c r="B1035" s="22" t="str">
        <f>'EQUITY BACKTEST'!B1038</f>
        <v/>
      </c>
      <c r="C1035" s="22" t="str">
        <f>1/'EQUITY BACKTEST'!E1038</f>
        <v>#DIV/0!</v>
      </c>
      <c r="D1035" s="22" t="str">
        <f t="shared" si="7"/>
        <v>#DIV/0!</v>
      </c>
      <c r="E1035" s="22" t="str">
        <f t="shared" si="3"/>
        <v/>
      </c>
      <c r="F1035" s="22" t="str">
        <f t="shared" si="6"/>
        <v>#DIV/0!</v>
      </c>
      <c r="H1035" s="22" t="str">
        <f t="shared" si="4"/>
        <v/>
      </c>
      <c r="I1035" s="22" t="str">
        <f t="shared" si="1"/>
        <v>#N/A</v>
      </c>
      <c r="J1035" s="22" t="str">
        <f t="shared" si="2"/>
        <v>#N/A</v>
      </c>
      <c r="K1035" s="22" t="str">
        <f t="array" ref="K1035">IF(H1035="Crash",MATCH(TRUE, B1036:B1133 &gt;= B1034, 0),"")</f>
        <v/>
      </c>
    </row>
    <row r="1036" ht="15.75" customHeight="1">
      <c r="A1036" s="31" t="str">
        <f>'EQUITY BACKTEST'!A1039</f>
        <v/>
      </c>
      <c r="B1036" s="22" t="str">
        <f>'EQUITY BACKTEST'!B1039</f>
        <v/>
      </c>
      <c r="C1036" s="22" t="str">
        <f>1/'EQUITY BACKTEST'!E1039</f>
        <v>#DIV/0!</v>
      </c>
      <c r="D1036" s="22" t="str">
        <f t="shared" si="7"/>
        <v>#DIV/0!</v>
      </c>
      <c r="E1036" s="22" t="str">
        <f t="shared" si="3"/>
        <v/>
      </c>
      <c r="F1036" s="22" t="str">
        <f t="shared" si="6"/>
        <v>#DIV/0!</v>
      </c>
      <c r="H1036" s="22" t="str">
        <f t="shared" si="4"/>
        <v/>
      </c>
      <c r="I1036" s="22" t="str">
        <f t="shared" si="1"/>
        <v>#N/A</v>
      </c>
      <c r="J1036" s="22" t="str">
        <f t="shared" si="2"/>
        <v>#N/A</v>
      </c>
      <c r="K1036" s="22" t="str">
        <f t="array" ref="K1036">IF(H1036="Crash",MATCH(TRUE, B1037:B1134 &gt;= B1035, 0),"")</f>
        <v/>
      </c>
    </row>
    <row r="1037" ht="15.75" customHeight="1">
      <c r="A1037" s="31" t="str">
        <f>'EQUITY BACKTEST'!A1040</f>
        <v/>
      </c>
      <c r="B1037" s="22" t="str">
        <f>'EQUITY BACKTEST'!B1040</f>
        <v/>
      </c>
      <c r="C1037" s="22" t="str">
        <f>1/'EQUITY BACKTEST'!E1040</f>
        <v>#DIV/0!</v>
      </c>
      <c r="D1037" s="22" t="str">
        <f t="shared" si="7"/>
        <v>#DIV/0!</v>
      </c>
      <c r="E1037" s="22" t="str">
        <f t="shared" si="3"/>
        <v/>
      </c>
      <c r="F1037" s="22" t="str">
        <f t="shared" si="6"/>
        <v>#DIV/0!</v>
      </c>
      <c r="H1037" s="22" t="str">
        <f t="shared" si="4"/>
        <v/>
      </c>
      <c r="I1037" s="22" t="str">
        <f t="shared" si="1"/>
        <v>#N/A</v>
      </c>
      <c r="J1037" s="22" t="str">
        <f t="shared" si="2"/>
        <v>#N/A</v>
      </c>
      <c r="K1037" s="22" t="str">
        <f t="array" ref="K1037">IF(H1037="Crash",MATCH(TRUE, B1038:B1135 &gt;= B1036, 0),"")</f>
        <v/>
      </c>
    </row>
    <row r="1038" ht="15.75" customHeight="1">
      <c r="A1038" s="31" t="str">
        <f>'EQUITY BACKTEST'!A1041</f>
        <v/>
      </c>
      <c r="B1038" s="22" t="str">
        <f>'EQUITY BACKTEST'!B1041</f>
        <v/>
      </c>
      <c r="C1038" s="22" t="str">
        <f>1/'EQUITY BACKTEST'!E1041</f>
        <v>#DIV/0!</v>
      </c>
      <c r="D1038" s="22" t="str">
        <f t="shared" si="7"/>
        <v>#DIV/0!</v>
      </c>
      <c r="E1038" s="22" t="str">
        <f t="shared" si="3"/>
        <v/>
      </c>
      <c r="F1038" s="22" t="str">
        <f t="shared" si="6"/>
        <v>#DIV/0!</v>
      </c>
      <c r="H1038" s="22" t="str">
        <f t="shared" si="4"/>
        <v/>
      </c>
      <c r="I1038" s="22" t="str">
        <f t="shared" si="1"/>
        <v>#N/A</v>
      </c>
      <c r="J1038" s="22" t="str">
        <f t="shared" si="2"/>
        <v>#N/A</v>
      </c>
      <c r="K1038" s="22" t="str">
        <f t="array" ref="K1038">IF(H1038="Crash",MATCH(TRUE, B1039:B1136 &gt;= B1037, 0),"")</f>
        <v/>
      </c>
    </row>
    <row r="1039" ht="15.75" customHeight="1">
      <c r="A1039" s="31" t="str">
        <f>'EQUITY BACKTEST'!A1042</f>
        <v/>
      </c>
      <c r="B1039" s="22" t="str">
        <f>'EQUITY BACKTEST'!B1042</f>
        <v/>
      </c>
      <c r="C1039" s="22" t="str">
        <f>1/'EQUITY BACKTEST'!E1042</f>
        <v>#DIV/0!</v>
      </c>
      <c r="D1039" s="22" t="str">
        <f t="shared" si="7"/>
        <v>#DIV/0!</v>
      </c>
      <c r="E1039" s="22" t="str">
        <f t="shared" si="3"/>
        <v/>
      </c>
      <c r="F1039" s="22" t="str">
        <f t="shared" si="6"/>
        <v>#DIV/0!</v>
      </c>
      <c r="H1039" s="22" t="str">
        <f t="shared" si="4"/>
        <v/>
      </c>
      <c r="I1039" s="22" t="str">
        <f t="shared" si="1"/>
        <v>#N/A</v>
      </c>
      <c r="J1039" s="22" t="str">
        <f t="shared" si="2"/>
        <v>#N/A</v>
      </c>
      <c r="K1039" s="22" t="str">
        <f t="array" ref="K1039">IF(H1039="Crash",MATCH(TRUE, B1040:B1137 &gt;= B1038, 0),"")</f>
        <v/>
      </c>
    </row>
    <row r="1040" ht="15.75" customHeight="1">
      <c r="A1040" s="31" t="str">
        <f>'EQUITY BACKTEST'!A1043</f>
        <v/>
      </c>
      <c r="B1040" s="22" t="str">
        <f>'EQUITY BACKTEST'!B1043</f>
        <v/>
      </c>
      <c r="C1040" s="22" t="str">
        <f>1/'EQUITY BACKTEST'!E1043</f>
        <v>#DIV/0!</v>
      </c>
      <c r="D1040" s="22" t="str">
        <f t="shared" si="7"/>
        <v>#DIV/0!</v>
      </c>
      <c r="E1040" s="22" t="str">
        <f t="shared" si="3"/>
        <v/>
      </c>
      <c r="F1040" s="22" t="str">
        <f t="shared" si="6"/>
        <v>#DIV/0!</v>
      </c>
      <c r="H1040" s="22" t="str">
        <f t="shared" si="4"/>
        <v/>
      </c>
      <c r="I1040" s="22" t="str">
        <f t="shared" si="1"/>
        <v>#N/A</v>
      </c>
      <c r="J1040" s="22" t="str">
        <f t="shared" si="2"/>
        <v>#N/A</v>
      </c>
      <c r="K1040" s="22" t="str">
        <f t="array" ref="K1040">IF(H1040="Crash",MATCH(TRUE, B1041:B1138 &gt;= B1039, 0),"")</f>
        <v/>
      </c>
    </row>
    <row r="1041" ht="15.75" customHeight="1">
      <c r="A1041" s="31" t="str">
        <f>'EQUITY BACKTEST'!A1044</f>
        <v/>
      </c>
      <c r="B1041" s="22" t="str">
        <f>'EQUITY BACKTEST'!B1044</f>
        <v/>
      </c>
      <c r="C1041" s="22" t="str">
        <f>1/'EQUITY BACKTEST'!E1044</f>
        <v>#DIV/0!</v>
      </c>
      <c r="D1041" s="22" t="str">
        <f t="shared" si="7"/>
        <v>#DIV/0!</v>
      </c>
      <c r="E1041" s="22" t="str">
        <f t="shared" si="3"/>
        <v/>
      </c>
      <c r="F1041" s="22" t="str">
        <f t="shared" si="6"/>
        <v>#DIV/0!</v>
      </c>
      <c r="H1041" s="22" t="str">
        <f t="shared" si="4"/>
        <v/>
      </c>
      <c r="I1041" s="22" t="str">
        <f t="shared" si="1"/>
        <v>#N/A</v>
      </c>
      <c r="J1041" s="22" t="str">
        <f t="shared" si="2"/>
        <v>#N/A</v>
      </c>
      <c r="K1041" s="22" t="str">
        <f t="array" ref="K1041">IF(H1041="Crash",MATCH(TRUE, B1042:B1139 &gt;= B1040, 0),"")</f>
        <v/>
      </c>
    </row>
    <row r="1042" ht="15.75" customHeight="1">
      <c r="A1042" s="31" t="str">
        <f>'EQUITY BACKTEST'!A1045</f>
        <v/>
      </c>
      <c r="B1042" s="22" t="str">
        <f>'EQUITY BACKTEST'!B1045</f>
        <v/>
      </c>
      <c r="C1042" s="22" t="str">
        <f>1/'EQUITY BACKTEST'!E1045</f>
        <v>#DIV/0!</v>
      </c>
      <c r="D1042" s="22" t="str">
        <f t="shared" si="7"/>
        <v>#DIV/0!</v>
      </c>
      <c r="E1042" s="22" t="str">
        <f t="shared" si="3"/>
        <v/>
      </c>
      <c r="F1042" s="22" t="str">
        <f t="shared" si="6"/>
        <v>#DIV/0!</v>
      </c>
      <c r="H1042" s="22" t="str">
        <f t="shared" si="4"/>
        <v/>
      </c>
      <c r="I1042" s="22" t="str">
        <f t="shared" si="1"/>
        <v>#N/A</v>
      </c>
      <c r="J1042" s="22" t="str">
        <f t="shared" si="2"/>
        <v>#N/A</v>
      </c>
      <c r="K1042" s="22" t="str">
        <f t="array" ref="K1042">IF(H1042="Crash",MATCH(TRUE, B1043:B1140 &gt;= B1041, 0),"")</f>
        <v/>
      </c>
    </row>
    <row r="1043" ht="15.75" customHeight="1">
      <c r="A1043" s="31" t="str">
        <f>'EQUITY BACKTEST'!A1046</f>
        <v/>
      </c>
      <c r="B1043" s="22" t="str">
        <f>'EQUITY BACKTEST'!B1046</f>
        <v/>
      </c>
      <c r="C1043" s="22" t="str">
        <f>1/'EQUITY BACKTEST'!E1046</f>
        <v>#DIV/0!</v>
      </c>
      <c r="D1043" s="22" t="str">
        <f t="shared" si="7"/>
        <v>#DIV/0!</v>
      </c>
      <c r="E1043" s="22" t="str">
        <f t="shared" si="3"/>
        <v/>
      </c>
      <c r="F1043" s="22" t="str">
        <f t="shared" si="6"/>
        <v>#DIV/0!</v>
      </c>
      <c r="H1043" s="22" t="str">
        <f t="shared" si="4"/>
        <v/>
      </c>
      <c r="I1043" s="22" t="str">
        <f t="shared" si="1"/>
        <v>#N/A</v>
      </c>
      <c r="J1043" s="22" t="str">
        <f t="shared" si="2"/>
        <v>#N/A</v>
      </c>
      <c r="K1043" s="22" t="str">
        <f t="array" ref="K1043">IF(H1043="Crash",MATCH(TRUE, B1044:B1141 &gt;= B1042, 0),"")</f>
        <v/>
      </c>
    </row>
    <row r="1044" ht="15.75" customHeight="1">
      <c r="A1044" s="31" t="str">
        <f>'EQUITY BACKTEST'!A1047</f>
        <v/>
      </c>
      <c r="B1044" s="22" t="str">
        <f>'EQUITY BACKTEST'!B1047</f>
        <v/>
      </c>
      <c r="C1044" s="22" t="str">
        <f>1/'EQUITY BACKTEST'!E1047</f>
        <v>#DIV/0!</v>
      </c>
      <c r="D1044" s="22" t="str">
        <f t="shared" si="7"/>
        <v>#DIV/0!</v>
      </c>
      <c r="E1044" s="22" t="str">
        <f t="shared" si="3"/>
        <v/>
      </c>
      <c r="F1044" s="22" t="str">
        <f t="shared" si="6"/>
        <v>#DIV/0!</v>
      </c>
      <c r="H1044" s="22" t="str">
        <f t="shared" si="4"/>
        <v/>
      </c>
      <c r="I1044" s="22" t="str">
        <f t="shared" si="1"/>
        <v>#N/A</v>
      </c>
      <c r="J1044" s="22" t="str">
        <f t="shared" si="2"/>
        <v>#N/A</v>
      </c>
      <c r="K1044" s="22" t="str">
        <f t="array" ref="K1044">IF(H1044="Crash",MATCH(TRUE, B1045:B1142 &gt;= B1043, 0),"")</f>
        <v/>
      </c>
    </row>
    <row r="1045" ht="15.75" customHeight="1">
      <c r="A1045" s="31" t="str">
        <f>'EQUITY BACKTEST'!A1048</f>
        <v/>
      </c>
      <c r="B1045" s="22" t="str">
        <f>'EQUITY BACKTEST'!B1048</f>
        <v/>
      </c>
      <c r="C1045" s="22" t="str">
        <f>1/'EQUITY BACKTEST'!E1048</f>
        <v>#DIV/0!</v>
      </c>
      <c r="D1045" s="22" t="str">
        <f t="shared" si="7"/>
        <v>#DIV/0!</v>
      </c>
      <c r="E1045" s="22" t="str">
        <f t="shared" si="3"/>
        <v/>
      </c>
      <c r="F1045" s="22" t="str">
        <f t="shared" si="6"/>
        <v>#DIV/0!</v>
      </c>
      <c r="H1045" s="22" t="str">
        <f t="shared" si="4"/>
        <v/>
      </c>
      <c r="I1045" s="22" t="str">
        <f t="shared" si="1"/>
        <v>#N/A</v>
      </c>
      <c r="J1045" s="22" t="str">
        <f t="shared" si="2"/>
        <v>#N/A</v>
      </c>
      <c r="K1045" s="22" t="str">
        <f t="array" ref="K1045">IF(H1045="Crash",MATCH(TRUE, B1046:B1143 &gt;= B1044, 0),"")</f>
        <v/>
      </c>
    </row>
    <row r="1046" ht="15.75" customHeight="1">
      <c r="A1046" s="31" t="str">
        <f>'EQUITY BACKTEST'!A1049</f>
        <v/>
      </c>
      <c r="B1046" s="22" t="str">
        <f>'EQUITY BACKTEST'!B1049</f>
        <v/>
      </c>
      <c r="C1046" s="22" t="str">
        <f>1/'EQUITY BACKTEST'!E1049</f>
        <v>#DIV/0!</v>
      </c>
      <c r="D1046" s="22" t="str">
        <f t="shared" si="7"/>
        <v>#DIV/0!</v>
      </c>
      <c r="E1046" s="22" t="str">
        <f t="shared" si="3"/>
        <v/>
      </c>
      <c r="F1046" s="22" t="str">
        <f t="shared" si="6"/>
        <v>#DIV/0!</v>
      </c>
      <c r="H1046" s="22" t="str">
        <f t="shared" si="4"/>
        <v/>
      </c>
      <c r="I1046" s="22" t="str">
        <f t="shared" si="1"/>
        <v>#N/A</v>
      </c>
      <c r="J1046" s="22" t="str">
        <f t="shared" si="2"/>
        <v>#N/A</v>
      </c>
      <c r="K1046" s="22" t="str">
        <f t="array" ref="K1046">IF(H1046="Crash",MATCH(TRUE, B1047:B1144 &gt;= B1045, 0),"")</f>
        <v/>
      </c>
    </row>
    <row r="1047" ht="15.75" customHeight="1">
      <c r="A1047" s="31" t="str">
        <f>'EQUITY BACKTEST'!A1050</f>
        <v/>
      </c>
      <c r="B1047" s="22" t="str">
        <f>'EQUITY BACKTEST'!B1050</f>
        <v/>
      </c>
      <c r="C1047" s="22" t="str">
        <f>1/'EQUITY BACKTEST'!E1050</f>
        <v>#DIV/0!</v>
      </c>
      <c r="D1047" s="22" t="str">
        <f t="shared" si="7"/>
        <v>#DIV/0!</v>
      </c>
      <c r="E1047" s="22" t="str">
        <f t="shared" si="3"/>
        <v/>
      </c>
      <c r="F1047" s="22" t="str">
        <f t="shared" si="6"/>
        <v>#DIV/0!</v>
      </c>
      <c r="H1047" s="22" t="str">
        <f t="shared" si="4"/>
        <v/>
      </c>
      <c r="I1047" s="22" t="str">
        <f t="shared" si="1"/>
        <v>#N/A</v>
      </c>
      <c r="J1047" s="22" t="str">
        <f t="shared" si="2"/>
        <v>#N/A</v>
      </c>
      <c r="K1047" s="22" t="str">
        <f t="array" ref="K1047">IF(H1047="Crash",MATCH(TRUE, B1048:B1145 &gt;= B1046, 0),"")</f>
        <v/>
      </c>
    </row>
    <row r="1048" ht="15.75" customHeight="1">
      <c r="A1048" s="31" t="str">
        <f>'EQUITY BACKTEST'!A1051</f>
        <v/>
      </c>
      <c r="B1048" s="22" t="str">
        <f>'EQUITY BACKTEST'!B1051</f>
        <v/>
      </c>
      <c r="C1048" s="22" t="str">
        <f>1/'EQUITY BACKTEST'!E1051</f>
        <v>#DIV/0!</v>
      </c>
      <c r="D1048" s="22" t="str">
        <f t="shared" si="7"/>
        <v>#DIV/0!</v>
      </c>
      <c r="E1048" s="22" t="str">
        <f t="shared" si="3"/>
        <v/>
      </c>
      <c r="F1048" s="22" t="str">
        <f t="shared" si="6"/>
        <v>#DIV/0!</v>
      </c>
      <c r="H1048" s="22" t="str">
        <f t="shared" si="4"/>
        <v/>
      </c>
      <c r="I1048" s="22" t="str">
        <f t="shared" si="1"/>
        <v>#N/A</v>
      </c>
      <c r="J1048" s="22" t="str">
        <f t="shared" si="2"/>
        <v>#N/A</v>
      </c>
      <c r="K1048" s="22" t="str">
        <f t="array" ref="K1048">IF(H1048="Crash",MATCH(TRUE, B1049:B1146 &gt;= B1047, 0),"")</f>
        <v/>
      </c>
    </row>
    <row r="1049" ht="15.75" customHeight="1">
      <c r="A1049" s="31" t="str">
        <f>'EQUITY BACKTEST'!A1052</f>
        <v/>
      </c>
      <c r="B1049" s="22" t="str">
        <f>'EQUITY BACKTEST'!B1052</f>
        <v/>
      </c>
      <c r="C1049" s="22" t="str">
        <f>1/'EQUITY BACKTEST'!E1052</f>
        <v>#DIV/0!</v>
      </c>
      <c r="D1049" s="22" t="str">
        <f t="shared" si="7"/>
        <v>#DIV/0!</v>
      </c>
      <c r="E1049" s="22" t="str">
        <f t="shared" si="3"/>
        <v/>
      </c>
      <c r="F1049" s="22" t="str">
        <f t="shared" si="6"/>
        <v>#DIV/0!</v>
      </c>
      <c r="H1049" s="22" t="str">
        <f t="shared" si="4"/>
        <v/>
      </c>
      <c r="I1049" s="22" t="str">
        <f t="shared" si="1"/>
        <v>#N/A</v>
      </c>
      <c r="J1049" s="22" t="str">
        <f t="shared" si="2"/>
        <v>#N/A</v>
      </c>
      <c r="K1049" s="22" t="str">
        <f t="array" ref="K1049">IF(H1049="Crash",MATCH(TRUE, B1050:B1147 &gt;= B1048, 0),"")</f>
        <v/>
      </c>
    </row>
    <row r="1050" ht="15.75" customHeight="1">
      <c r="A1050" s="31" t="str">
        <f>'EQUITY BACKTEST'!A1053</f>
        <v/>
      </c>
      <c r="B1050" s="22" t="str">
        <f>'EQUITY BACKTEST'!B1053</f>
        <v/>
      </c>
      <c r="C1050" s="22" t="str">
        <f>1/'EQUITY BACKTEST'!E1053</f>
        <v>#DIV/0!</v>
      </c>
      <c r="D1050" s="22" t="str">
        <f t="shared" si="7"/>
        <v>#DIV/0!</v>
      </c>
      <c r="E1050" s="22" t="str">
        <f t="shared" si="3"/>
        <v/>
      </c>
      <c r="F1050" s="22" t="str">
        <f t="shared" si="6"/>
        <v>#DIV/0!</v>
      </c>
      <c r="H1050" s="22" t="str">
        <f t="shared" si="4"/>
        <v/>
      </c>
      <c r="I1050" s="22" t="str">
        <f t="shared" si="1"/>
        <v>#N/A</v>
      </c>
      <c r="J1050" s="22" t="str">
        <f t="shared" si="2"/>
        <v>#N/A</v>
      </c>
      <c r="K1050" s="22" t="str">
        <f t="array" ref="K1050">IF(H1050="Crash",MATCH(TRUE, B1051:B1148 &gt;= B1049, 0),"")</f>
        <v/>
      </c>
    </row>
    <row r="1051" ht="15.75" customHeight="1">
      <c r="A1051" s="31" t="str">
        <f>'EQUITY BACKTEST'!A1054</f>
        <v/>
      </c>
      <c r="B1051" s="22" t="str">
        <f>'EQUITY BACKTEST'!B1054</f>
        <v/>
      </c>
      <c r="C1051" s="22" t="str">
        <f>1/'EQUITY BACKTEST'!E1054</f>
        <v>#DIV/0!</v>
      </c>
      <c r="D1051" s="22" t="str">
        <f t="shared" si="7"/>
        <v>#DIV/0!</v>
      </c>
      <c r="E1051" s="22" t="str">
        <f t="shared" si="3"/>
        <v/>
      </c>
      <c r="F1051" s="22" t="str">
        <f t="shared" si="6"/>
        <v>#DIV/0!</v>
      </c>
      <c r="H1051" s="22" t="str">
        <f t="shared" si="4"/>
        <v/>
      </c>
      <c r="I1051" s="22" t="str">
        <f t="shared" si="1"/>
        <v>#N/A</v>
      </c>
      <c r="J1051" s="22" t="str">
        <f t="shared" si="2"/>
        <v>#N/A</v>
      </c>
      <c r="K1051" s="22" t="str">
        <f t="array" ref="K1051">IF(H1051="Crash",MATCH(TRUE, B1052:B1149 &gt;= B1050, 0),"")</f>
        <v/>
      </c>
    </row>
    <row r="1052" ht="15.75" customHeight="1">
      <c r="A1052" s="31" t="str">
        <f>'EQUITY BACKTEST'!A1055</f>
        <v/>
      </c>
      <c r="B1052" s="22" t="str">
        <f>'EQUITY BACKTEST'!B1055</f>
        <v/>
      </c>
      <c r="C1052" s="22" t="str">
        <f>1/'EQUITY BACKTEST'!E1055</f>
        <v>#DIV/0!</v>
      </c>
      <c r="D1052" s="22" t="str">
        <f t="shared" si="7"/>
        <v>#DIV/0!</v>
      </c>
      <c r="E1052" s="22" t="str">
        <f t="shared" si="3"/>
        <v/>
      </c>
      <c r="F1052" s="22" t="str">
        <f t="shared" si="6"/>
        <v>#DIV/0!</v>
      </c>
      <c r="H1052" s="22" t="str">
        <f t="shared" si="4"/>
        <v/>
      </c>
      <c r="I1052" s="22" t="str">
        <f t="shared" si="1"/>
        <v>#N/A</v>
      </c>
      <c r="J1052" s="22" t="str">
        <f t="shared" si="2"/>
        <v>#N/A</v>
      </c>
      <c r="K1052" s="22" t="str">
        <f t="array" ref="K1052">IF(H1052="Crash",MATCH(TRUE, B1053:B1150 &gt;= B1051, 0),"")</f>
        <v/>
      </c>
    </row>
    <row r="1053" ht="15.75" customHeight="1">
      <c r="A1053" s="31" t="str">
        <f>'EQUITY BACKTEST'!A1056</f>
        <v/>
      </c>
      <c r="B1053" s="22" t="str">
        <f>'EQUITY BACKTEST'!B1056</f>
        <v/>
      </c>
      <c r="C1053" s="22" t="str">
        <f>1/'EQUITY BACKTEST'!E1056</f>
        <v>#DIV/0!</v>
      </c>
      <c r="D1053" s="22" t="str">
        <f t="shared" si="7"/>
        <v>#DIV/0!</v>
      </c>
      <c r="E1053" s="22" t="str">
        <f t="shared" si="3"/>
        <v/>
      </c>
      <c r="F1053" s="22" t="str">
        <f t="shared" si="6"/>
        <v>#DIV/0!</v>
      </c>
      <c r="H1053" s="22" t="str">
        <f t="shared" si="4"/>
        <v/>
      </c>
      <c r="I1053" s="22" t="str">
        <f t="shared" si="1"/>
        <v>#N/A</v>
      </c>
      <c r="J1053" s="22" t="str">
        <f t="shared" si="2"/>
        <v>#N/A</v>
      </c>
      <c r="K1053" s="22" t="str">
        <f t="array" ref="K1053">IF(H1053="Crash",MATCH(TRUE, B1054:B1151 &gt;= B1052, 0),"")</f>
        <v/>
      </c>
    </row>
    <row r="1054" ht="15.75" customHeight="1">
      <c r="A1054" s="31" t="str">
        <f>'EQUITY BACKTEST'!A1057</f>
        <v/>
      </c>
      <c r="B1054" s="22" t="str">
        <f>'EQUITY BACKTEST'!B1057</f>
        <v/>
      </c>
      <c r="C1054" s="22" t="str">
        <f>1/'EQUITY BACKTEST'!E1057</f>
        <v>#DIV/0!</v>
      </c>
      <c r="D1054" s="22" t="str">
        <f t="shared" si="7"/>
        <v>#DIV/0!</v>
      </c>
      <c r="E1054" s="22" t="str">
        <f t="shared" si="3"/>
        <v/>
      </c>
      <c r="F1054" s="22" t="str">
        <f t="shared" si="6"/>
        <v>#DIV/0!</v>
      </c>
      <c r="H1054" s="22" t="str">
        <f t="shared" si="4"/>
        <v/>
      </c>
      <c r="I1054" s="22" t="str">
        <f t="shared" si="1"/>
        <v>#N/A</v>
      </c>
      <c r="J1054" s="22" t="str">
        <f t="shared" si="2"/>
        <v>#N/A</v>
      </c>
      <c r="K1054" s="22" t="str">
        <f t="array" ref="K1054">IF(H1054="Crash",MATCH(TRUE, B1055:B1152 &gt;= B1053, 0),"")</f>
        <v/>
      </c>
    </row>
    <row r="1055" ht="15.75" customHeight="1">
      <c r="A1055" s="31" t="str">
        <f>'EQUITY BACKTEST'!A1058</f>
        <v/>
      </c>
      <c r="B1055" s="22" t="str">
        <f>'EQUITY BACKTEST'!B1058</f>
        <v/>
      </c>
      <c r="C1055" s="22" t="str">
        <f>1/'EQUITY BACKTEST'!E1058</f>
        <v>#DIV/0!</v>
      </c>
      <c r="D1055" s="22" t="str">
        <f t="shared" si="7"/>
        <v>#DIV/0!</v>
      </c>
      <c r="E1055" s="22" t="str">
        <f t="shared" si="3"/>
        <v/>
      </c>
      <c r="F1055" s="22" t="str">
        <f t="shared" si="6"/>
        <v>#DIV/0!</v>
      </c>
      <c r="H1055" s="22" t="str">
        <f t="shared" si="4"/>
        <v/>
      </c>
      <c r="I1055" s="22" t="str">
        <f t="shared" si="1"/>
        <v>#N/A</v>
      </c>
      <c r="J1055" s="22" t="str">
        <f t="shared" si="2"/>
        <v>#N/A</v>
      </c>
      <c r="K1055" s="22" t="str">
        <f t="array" ref="K1055">IF(H1055="Crash",MATCH(TRUE, B1056:B1153 &gt;= B1054, 0),"")</f>
        <v/>
      </c>
    </row>
    <row r="1056" ht="15.75" customHeight="1">
      <c r="A1056" s="31" t="str">
        <f>'EQUITY BACKTEST'!A1059</f>
        <v/>
      </c>
      <c r="B1056" s="22" t="str">
        <f>'EQUITY BACKTEST'!B1059</f>
        <v/>
      </c>
      <c r="C1056" s="22" t="str">
        <f>1/'EQUITY BACKTEST'!E1059</f>
        <v>#DIV/0!</v>
      </c>
      <c r="D1056" s="22" t="str">
        <f t="shared" si="7"/>
        <v>#DIV/0!</v>
      </c>
      <c r="E1056" s="22" t="str">
        <f t="shared" si="3"/>
        <v/>
      </c>
      <c r="F1056" s="22" t="str">
        <f t="shared" si="6"/>
        <v>#DIV/0!</v>
      </c>
      <c r="H1056" s="22" t="str">
        <f t="shared" si="4"/>
        <v/>
      </c>
      <c r="I1056" s="22" t="str">
        <f t="shared" si="1"/>
        <v>#N/A</v>
      </c>
      <c r="J1056" s="22" t="str">
        <f t="shared" si="2"/>
        <v>#N/A</v>
      </c>
      <c r="K1056" s="22" t="str">
        <f t="array" ref="K1056">IF(H1056="Crash",MATCH(TRUE, B1057:B1154 &gt;= B1055, 0),"")</f>
        <v/>
      </c>
    </row>
    <row r="1057" ht="15.75" customHeight="1">
      <c r="A1057" s="31" t="str">
        <f>'EQUITY BACKTEST'!A1060</f>
        <v/>
      </c>
      <c r="B1057" s="22" t="str">
        <f>'EQUITY BACKTEST'!B1060</f>
        <v/>
      </c>
      <c r="C1057" s="22" t="str">
        <f>1/'EQUITY BACKTEST'!E1060</f>
        <v>#DIV/0!</v>
      </c>
      <c r="D1057" s="22" t="str">
        <f t="shared" si="7"/>
        <v>#DIV/0!</v>
      </c>
      <c r="E1057" s="22" t="str">
        <f t="shared" si="3"/>
        <v/>
      </c>
      <c r="F1057" s="22" t="str">
        <f t="shared" si="6"/>
        <v>#DIV/0!</v>
      </c>
      <c r="H1057" s="22" t="str">
        <f t="shared" si="4"/>
        <v/>
      </c>
      <c r="I1057" s="22" t="str">
        <f t="shared" si="1"/>
        <v>#N/A</v>
      </c>
      <c r="J1057" s="22" t="str">
        <f t="shared" si="2"/>
        <v>#N/A</v>
      </c>
      <c r="K1057" s="22" t="str">
        <f t="array" ref="K1057">IF(H1057="Crash",MATCH(TRUE, B1058:B1155 &gt;= B1056, 0),"")</f>
        <v/>
      </c>
    </row>
    <row r="1058" ht="15.75" customHeight="1">
      <c r="A1058" s="31" t="str">
        <f>'EQUITY BACKTEST'!A1061</f>
        <v/>
      </c>
      <c r="B1058" s="22" t="str">
        <f>'EQUITY BACKTEST'!B1061</f>
        <v/>
      </c>
      <c r="C1058" s="22" t="str">
        <f>1/'EQUITY BACKTEST'!E1061</f>
        <v>#DIV/0!</v>
      </c>
      <c r="D1058" s="22" t="str">
        <f t="shared" si="7"/>
        <v>#DIV/0!</v>
      </c>
      <c r="E1058" s="22" t="str">
        <f t="shared" si="3"/>
        <v/>
      </c>
      <c r="F1058" s="22" t="str">
        <f t="shared" si="6"/>
        <v>#DIV/0!</v>
      </c>
      <c r="H1058" s="22" t="str">
        <f t="shared" si="4"/>
        <v/>
      </c>
      <c r="I1058" s="22" t="str">
        <f t="shared" si="1"/>
        <v>#N/A</v>
      </c>
      <c r="J1058" s="22" t="str">
        <f t="shared" si="2"/>
        <v>#N/A</v>
      </c>
      <c r="K1058" s="22" t="str">
        <f t="array" ref="K1058">IF(H1058="Crash",MATCH(TRUE, B1059:B1156 &gt;= B1057, 0),"")</f>
        <v/>
      </c>
    </row>
    <row r="1059" ht="15.75" customHeight="1">
      <c r="A1059" s="31" t="str">
        <f>'EQUITY BACKTEST'!A1062</f>
        <v/>
      </c>
      <c r="B1059" s="22" t="str">
        <f>'EQUITY BACKTEST'!B1062</f>
        <v/>
      </c>
      <c r="C1059" s="22" t="str">
        <f>1/'EQUITY BACKTEST'!E1062</f>
        <v>#DIV/0!</v>
      </c>
      <c r="D1059" s="22" t="str">
        <f t="shared" si="7"/>
        <v>#DIV/0!</v>
      </c>
      <c r="E1059" s="22" t="str">
        <f t="shared" si="3"/>
        <v/>
      </c>
      <c r="F1059" s="22" t="str">
        <f t="shared" si="6"/>
        <v>#DIV/0!</v>
      </c>
      <c r="H1059" s="22" t="str">
        <f t="shared" si="4"/>
        <v/>
      </c>
      <c r="I1059" s="22" t="str">
        <f t="shared" si="1"/>
        <v>#N/A</v>
      </c>
      <c r="J1059" s="22" t="str">
        <f t="shared" si="2"/>
        <v>#N/A</v>
      </c>
      <c r="K1059" s="22" t="str">
        <f t="array" ref="K1059">IF(H1059="Crash",MATCH(TRUE, B1060:B1157 &gt;= B1058, 0),"")</f>
        <v/>
      </c>
    </row>
    <row r="1060" ht="15.75" customHeight="1">
      <c r="A1060" s="31" t="str">
        <f>'EQUITY BACKTEST'!A1063</f>
        <v/>
      </c>
      <c r="B1060" s="22" t="str">
        <f>'EQUITY BACKTEST'!B1063</f>
        <v/>
      </c>
      <c r="C1060" s="22" t="str">
        <f>1/'EQUITY BACKTEST'!E1063</f>
        <v>#DIV/0!</v>
      </c>
      <c r="D1060" s="22" t="str">
        <f t="shared" si="7"/>
        <v>#DIV/0!</v>
      </c>
      <c r="E1060" s="22" t="str">
        <f t="shared" si="3"/>
        <v/>
      </c>
      <c r="F1060" s="22" t="str">
        <f t="shared" si="6"/>
        <v>#DIV/0!</v>
      </c>
      <c r="H1060" s="22" t="str">
        <f t="shared" si="4"/>
        <v/>
      </c>
      <c r="I1060" s="22" t="str">
        <f t="shared" si="1"/>
        <v>#N/A</v>
      </c>
      <c r="J1060" s="22" t="str">
        <f t="shared" si="2"/>
        <v>#N/A</v>
      </c>
      <c r="K1060" s="22" t="str">
        <f t="array" ref="K1060">IF(H1060="Crash",MATCH(TRUE, B1061:B1158 &gt;= B1059, 0),"")</f>
        <v/>
      </c>
    </row>
    <row r="1061" ht="15.75" customHeight="1">
      <c r="A1061" s="31" t="str">
        <f>'EQUITY BACKTEST'!A1064</f>
        <v/>
      </c>
      <c r="B1061" s="22" t="str">
        <f>'EQUITY BACKTEST'!B1064</f>
        <v/>
      </c>
      <c r="C1061" s="22" t="str">
        <f>1/'EQUITY BACKTEST'!E1064</f>
        <v>#DIV/0!</v>
      </c>
      <c r="D1061" s="22" t="str">
        <f t="shared" si="7"/>
        <v>#DIV/0!</v>
      </c>
      <c r="E1061" s="22" t="str">
        <f t="shared" si="3"/>
        <v/>
      </c>
      <c r="F1061" s="22" t="str">
        <f t="shared" si="6"/>
        <v>#DIV/0!</v>
      </c>
      <c r="H1061" s="22" t="str">
        <f t="shared" si="4"/>
        <v/>
      </c>
      <c r="I1061" s="22" t="str">
        <f t="shared" si="1"/>
        <v>#N/A</v>
      </c>
      <c r="J1061" s="22" t="str">
        <f t="shared" si="2"/>
        <v>#N/A</v>
      </c>
      <c r="K1061" s="22" t="str">
        <f t="array" ref="K1061">IF(H1061="Crash",MATCH(TRUE, B1062:B1159 &gt;= B1060, 0),"")</f>
        <v/>
      </c>
    </row>
    <row r="1062" ht="15.75" customHeight="1">
      <c r="A1062" s="31" t="str">
        <f>'EQUITY BACKTEST'!A1065</f>
        <v/>
      </c>
      <c r="B1062" s="22" t="str">
        <f>'EQUITY BACKTEST'!B1065</f>
        <v/>
      </c>
      <c r="C1062" s="22" t="str">
        <f>1/'EQUITY BACKTEST'!E1065</f>
        <v>#DIV/0!</v>
      </c>
      <c r="D1062" s="22" t="str">
        <f t="shared" si="7"/>
        <v>#DIV/0!</v>
      </c>
      <c r="E1062" s="22" t="str">
        <f t="shared" si="3"/>
        <v/>
      </c>
      <c r="F1062" s="22" t="str">
        <f t="shared" si="6"/>
        <v>#DIV/0!</v>
      </c>
      <c r="H1062" s="22" t="str">
        <f t="shared" si="4"/>
        <v/>
      </c>
      <c r="I1062" s="22" t="str">
        <f t="shared" si="1"/>
        <v>#N/A</v>
      </c>
      <c r="J1062" s="22" t="str">
        <f t="shared" si="2"/>
        <v>#N/A</v>
      </c>
      <c r="K1062" s="22" t="str">
        <f t="array" ref="K1062">IF(H1062="Crash",MATCH(TRUE, B1063:B1160 &gt;= B1061, 0),"")</f>
        <v/>
      </c>
    </row>
    <row r="1063" ht="15.75" customHeight="1">
      <c r="A1063" s="31" t="str">
        <f>'EQUITY BACKTEST'!A1066</f>
        <v/>
      </c>
      <c r="B1063" s="22" t="str">
        <f>'EQUITY BACKTEST'!B1066</f>
        <v/>
      </c>
      <c r="C1063" s="22" t="str">
        <f>1/'EQUITY BACKTEST'!E1066</f>
        <v>#DIV/0!</v>
      </c>
      <c r="D1063" s="22" t="str">
        <f t="shared" si="7"/>
        <v>#DIV/0!</v>
      </c>
      <c r="E1063" s="22" t="str">
        <f t="shared" si="3"/>
        <v/>
      </c>
      <c r="F1063" s="22" t="str">
        <f t="shared" si="6"/>
        <v>#DIV/0!</v>
      </c>
      <c r="H1063" s="22" t="str">
        <f t="shared" si="4"/>
        <v/>
      </c>
      <c r="I1063" s="22" t="str">
        <f t="shared" si="1"/>
        <v>#N/A</v>
      </c>
      <c r="J1063" s="22" t="str">
        <f t="shared" si="2"/>
        <v>#N/A</v>
      </c>
      <c r="K1063" s="22" t="str">
        <f t="array" ref="K1063">IF(H1063="Crash",MATCH(TRUE, B1064:B1161 &gt;= B1062, 0),"")</f>
        <v/>
      </c>
    </row>
    <row r="1064" ht="15.75" customHeight="1">
      <c r="A1064" s="31" t="str">
        <f>'EQUITY BACKTEST'!A1067</f>
        <v/>
      </c>
      <c r="B1064" s="22" t="str">
        <f>'EQUITY BACKTEST'!B1067</f>
        <v/>
      </c>
      <c r="C1064" s="22" t="str">
        <f>1/'EQUITY BACKTEST'!E1067</f>
        <v>#DIV/0!</v>
      </c>
      <c r="D1064" s="22" t="str">
        <f t="shared" si="7"/>
        <v>#DIV/0!</v>
      </c>
      <c r="E1064" s="22" t="str">
        <f t="shared" si="3"/>
        <v/>
      </c>
      <c r="F1064" s="22" t="str">
        <f t="shared" si="6"/>
        <v>#DIV/0!</v>
      </c>
      <c r="H1064" s="22" t="str">
        <f t="shared" si="4"/>
        <v/>
      </c>
      <c r="I1064" s="22" t="str">
        <f t="shared" si="1"/>
        <v>#N/A</v>
      </c>
      <c r="J1064" s="22" t="str">
        <f t="shared" si="2"/>
        <v>#N/A</v>
      </c>
      <c r="K1064" s="22" t="str">
        <f t="array" ref="K1064">IF(H1064="Crash",MATCH(TRUE, B1065:B1162 &gt;= B1063, 0),"")</f>
        <v/>
      </c>
    </row>
    <row r="1065" ht="15.75" customHeight="1">
      <c r="A1065" s="31" t="str">
        <f>'EQUITY BACKTEST'!A1068</f>
        <v/>
      </c>
      <c r="B1065" s="22" t="str">
        <f>'EQUITY BACKTEST'!B1068</f>
        <v/>
      </c>
      <c r="C1065" s="22" t="str">
        <f>1/'EQUITY BACKTEST'!E1068</f>
        <v>#DIV/0!</v>
      </c>
      <c r="D1065" s="22" t="str">
        <f t="shared" si="7"/>
        <v>#DIV/0!</v>
      </c>
      <c r="E1065" s="22" t="str">
        <f t="shared" si="3"/>
        <v/>
      </c>
      <c r="F1065" s="22" t="str">
        <f t="shared" si="6"/>
        <v>#DIV/0!</v>
      </c>
      <c r="H1065" s="22" t="str">
        <f t="shared" si="4"/>
        <v/>
      </c>
      <c r="I1065" s="22" t="str">
        <f t="shared" si="1"/>
        <v>#N/A</v>
      </c>
      <c r="J1065" s="22" t="str">
        <f t="shared" si="2"/>
        <v>#N/A</v>
      </c>
      <c r="K1065" s="22" t="str">
        <f t="array" ref="K1065">IF(H1065="Crash",MATCH(TRUE, B1066:B1163 &gt;= B1064, 0),"")</f>
        <v/>
      </c>
    </row>
    <row r="1066" ht="15.75" customHeight="1">
      <c r="A1066" s="31" t="str">
        <f>'EQUITY BACKTEST'!A1069</f>
        <v/>
      </c>
      <c r="B1066" s="22" t="str">
        <f>'EQUITY BACKTEST'!B1069</f>
        <v/>
      </c>
      <c r="C1066" s="22" t="str">
        <f>1/'EQUITY BACKTEST'!E1069</f>
        <v>#DIV/0!</v>
      </c>
      <c r="D1066" s="22" t="str">
        <f t="shared" si="7"/>
        <v>#DIV/0!</v>
      </c>
      <c r="E1066" s="22" t="str">
        <f t="shared" si="3"/>
        <v/>
      </c>
      <c r="F1066" s="22" t="str">
        <f t="shared" si="6"/>
        <v>#DIV/0!</v>
      </c>
      <c r="H1066" s="22" t="str">
        <f t="shared" si="4"/>
        <v/>
      </c>
      <c r="I1066" s="22" t="str">
        <f t="shared" si="1"/>
        <v>#N/A</v>
      </c>
      <c r="J1066" s="22" t="str">
        <f t="shared" si="2"/>
        <v>#N/A</v>
      </c>
      <c r="K1066" s="22" t="str">
        <f t="array" ref="K1066">IF(H1066="Crash",MATCH(TRUE, B1067:B1164 &gt;= B1065, 0),"")</f>
        <v/>
      </c>
    </row>
    <row r="1067" ht="15.75" customHeight="1">
      <c r="A1067" s="31" t="str">
        <f>'EQUITY BACKTEST'!A1070</f>
        <v/>
      </c>
      <c r="B1067" s="22" t="str">
        <f>'EQUITY BACKTEST'!B1070</f>
        <v/>
      </c>
      <c r="C1067" s="22" t="str">
        <f>1/'EQUITY BACKTEST'!E1070</f>
        <v>#DIV/0!</v>
      </c>
      <c r="D1067" s="22" t="str">
        <f t="shared" si="7"/>
        <v>#DIV/0!</v>
      </c>
      <c r="E1067" s="22" t="str">
        <f t="shared" si="3"/>
        <v/>
      </c>
      <c r="F1067" s="22" t="str">
        <f t="shared" si="6"/>
        <v>#DIV/0!</v>
      </c>
      <c r="H1067" s="22" t="str">
        <f t="shared" si="4"/>
        <v/>
      </c>
      <c r="I1067" s="22" t="str">
        <f t="shared" si="1"/>
        <v>#N/A</v>
      </c>
      <c r="J1067" s="22" t="str">
        <f t="shared" si="2"/>
        <v>#N/A</v>
      </c>
      <c r="K1067" s="22" t="str">
        <f t="array" ref="K1067">IF(H1067="Crash",MATCH(TRUE, B1068:B1165 &gt;= B1066, 0),"")</f>
        <v/>
      </c>
    </row>
    <row r="1068" ht="15.75" customHeight="1">
      <c r="A1068" s="31" t="str">
        <f>'EQUITY BACKTEST'!A1071</f>
        <v/>
      </c>
      <c r="B1068" s="22" t="str">
        <f>'EQUITY BACKTEST'!B1071</f>
        <v/>
      </c>
      <c r="C1068" s="22" t="str">
        <f>1/'EQUITY BACKTEST'!E1071</f>
        <v>#DIV/0!</v>
      </c>
      <c r="D1068" s="22" t="str">
        <f t="shared" si="7"/>
        <v>#DIV/0!</v>
      </c>
      <c r="E1068" s="22" t="str">
        <f t="shared" si="3"/>
        <v/>
      </c>
      <c r="F1068" s="22" t="str">
        <f t="shared" si="6"/>
        <v>#DIV/0!</v>
      </c>
      <c r="H1068" s="22" t="str">
        <f t="shared" si="4"/>
        <v/>
      </c>
      <c r="I1068" s="22" t="str">
        <f t="shared" si="1"/>
        <v>#N/A</v>
      </c>
      <c r="J1068" s="22" t="str">
        <f t="shared" si="2"/>
        <v>#N/A</v>
      </c>
      <c r="K1068" s="22" t="str">
        <f t="array" ref="K1068">IF(H1068="Crash",MATCH(TRUE, B1069:B1166 &gt;= B1067, 0),"")</f>
        <v/>
      </c>
    </row>
    <row r="1069" ht="15.75" customHeight="1">
      <c r="A1069" s="31" t="str">
        <f>'EQUITY BACKTEST'!A1072</f>
        <v/>
      </c>
      <c r="B1069" s="22" t="str">
        <f>'EQUITY BACKTEST'!B1072</f>
        <v/>
      </c>
      <c r="C1069" s="22" t="str">
        <f>1/'EQUITY BACKTEST'!E1072</f>
        <v>#DIV/0!</v>
      </c>
      <c r="D1069" s="22" t="str">
        <f t="shared" si="7"/>
        <v>#DIV/0!</v>
      </c>
      <c r="E1069" s="22" t="str">
        <f t="shared" si="3"/>
        <v/>
      </c>
      <c r="F1069" s="22" t="str">
        <f t="shared" si="6"/>
        <v>#DIV/0!</v>
      </c>
      <c r="H1069" s="22" t="str">
        <f t="shared" si="4"/>
        <v/>
      </c>
      <c r="I1069" s="22" t="str">
        <f t="shared" si="1"/>
        <v>#N/A</v>
      </c>
      <c r="J1069" s="22" t="str">
        <f t="shared" si="2"/>
        <v>#N/A</v>
      </c>
      <c r="K1069" s="22" t="str">
        <f t="array" ref="K1069">IF(H1069="Crash",MATCH(TRUE, B1070:B1167 &gt;= B1068, 0),"")</f>
        <v/>
      </c>
    </row>
    <row r="1070" ht="15.75" customHeight="1">
      <c r="A1070" s="31" t="str">
        <f>'EQUITY BACKTEST'!A1073</f>
        <v/>
      </c>
      <c r="B1070" s="22" t="str">
        <f>'EQUITY BACKTEST'!B1073</f>
        <v/>
      </c>
      <c r="C1070" s="22" t="str">
        <f>1/'EQUITY BACKTEST'!E1073</f>
        <v>#DIV/0!</v>
      </c>
      <c r="D1070" s="22" t="str">
        <f t="shared" si="7"/>
        <v>#DIV/0!</v>
      </c>
      <c r="E1070" s="22" t="str">
        <f t="shared" si="3"/>
        <v/>
      </c>
      <c r="F1070" s="22" t="str">
        <f t="shared" si="6"/>
        <v>#DIV/0!</v>
      </c>
      <c r="H1070" s="22" t="str">
        <f t="shared" si="4"/>
        <v/>
      </c>
      <c r="I1070" s="22" t="str">
        <f t="shared" si="1"/>
        <v>#N/A</v>
      </c>
      <c r="J1070" s="22" t="str">
        <f t="shared" si="2"/>
        <v>#N/A</v>
      </c>
      <c r="K1070" s="22" t="str">
        <f t="array" ref="K1070">IF(H1070="Crash",MATCH(TRUE, B1071:B1168 &gt;= B1069, 0),"")</f>
        <v/>
      </c>
    </row>
    <row r="1071" ht="15.75" customHeight="1">
      <c r="A1071" s="31" t="str">
        <f>'EQUITY BACKTEST'!A1074</f>
        <v/>
      </c>
      <c r="B1071" s="22" t="str">
        <f>'EQUITY BACKTEST'!B1074</f>
        <v/>
      </c>
      <c r="C1071" s="22" t="str">
        <f>1/'EQUITY BACKTEST'!E1074</f>
        <v>#DIV/0!</v>
      </c>
      <c r="D1071" s="22" t="str">
        <f t="shared" si="7"/>
        <v>#DIV/0!</v>
      </c>
      <c r="E1071" s="22" t="str">
        <f t="shared" si="3"/>
        <v/>
      </c>
      <c r="F1071" s="22" t="str">
        <f t="shared" si="6"/>
        <v>#DIV/0!</v>
      </c>
      <c r="H1071" s="22" t="str">
        <f t="shared" si="4"/>
        <v/>
      </c>
      <c r="I1071" s="22" t="str">
        <f t="shared" si="1"/>
        <v>#N/A</v>
      </c>
      <c r="J1071" s="22" t="str">
        <f t="shared" si="2"/>
        <v>#N/A</v>
      </c>
      <c r="K1071" s="22" t="str">
        <f t="array" ref="K1071">IF(H1071="Crash",MATCH(TRUE, B1072:B1169 &gt;= B1070, 0),"")</f>
        <v/>
      </c>
    </row>
    <row r="1072" ht="15.75" customHeight="1">
      <c r="A1072" s="31" t="str">
        <f>'EQUITY BACKTEST'!A1075</f>
        <v/>
      </c>
      <c r="B1072" s="22" t="str">
        <f>'EQUITY BACKTEST'!B1075</f>
        <v/>
      </c>
      <c r="C1072" s="22" t="str">
        <f>1/'EQUITY BACKTEST'!E1075</f>
        <v>#DIV/0!</v>
      </c>
      <c r="D1072" s="22" t="str">
        <f t="shared" si="7"/>
        <v>#DIV/0!</v>
      </c>
      <c r="E1072" s="22" t="str">
        <f t="shared" si="3"/>
        <v/>
      </c>
      <c r="F1072" s="22" t="str">
        <f t="shared" si="6"/>
        <v>#DIV/0!</v>
      </c>
      <c r="H1072" s="22" t="str">
        <f t="shared" si="4"/>
        <v/>
      </c>
      <c r="I1072" s="22" t="str">
        <f t="shared" si="1"/>
        <v>#N/A</v>
      </c>
      <c r="J1072" s="22" t="str">
        <f t="shared" si="2"/>
        <v>#N/A</v>
      </c>
      <c r="K1072" s="22" t="str">
        <f t="array" ref="K1072">IF(H1072="Crash",MATCH(TRUE, B1073:B1170 &gt;= B1071, 0),"")</f>
        <v/>
      </c>
    </row>
    <row r="1073" ht="15.75" customHeight="1">
      <c r="A1073" s="31" t="str">
        <f>'EQUITY BACKTEST'!A1076</f>
        <v/>
      </c>
      <c r="B1073" s="22" t="str">
        <f>'EQUITY BACKTEST'!B1076</f>
        <v/>
      </c>
      <c r="C1073" s="22" t="str">
        <f>1/'EQUITY BACKTEST'!E1076</f>
        <v>#DIV/0!</v>
      </c>
      <c r="D1073" s="22" t="str">
        <f t="shared" si="7"/>
        <v>#DIV/0!</v>
      </c>
      <c r="E1073" s="22" t="str">
        <f t="shared" si="3"/>
        <v/>
      </c>
      <c r="F1073" s="22" t="str">
        <f t="shared" si="6"/>
        <v>#DIV/0!</v>
      </c>
      <c r="H1073" s="22" t="str">
        <f t="shared" si="4"/>
        <v/>
      </c>
      <c r="I1073" s="22" t="str">
        <f t="shared" si="1"/>
        <v>#N/A</v>
      </c>
      <c r="J1073" s="22" t="str">
        <f t="shared" si="2"/>
        <v>#N/A</v>
      </c>
      <c r="K1073" s="22" t="str">
        <f t="array" ref="K1073">IF(H1073="Crash",MATCH(TRUE, B1074:B1171 &gt;= B1072, 0),"")</f>
        <v/>
      </c>
    </row>
    <row r="1074" ht="15.75" customHeight="1">
      <c r="A1074" s="31" t="str">
        <f>'EQUITY BACKTEST'!A1077</f>
        <v/>
      </c>
      <c r="B1074" s="22" t="str">
        <f>'EQUITY BACKTEST'!B1077</f>
        <v/>
      </c>
      <c r="C1074" s="22" t="str">
        <f>1/'EQUITY BACKTEST'!E1077</f>
        <v>#DIV/0!</v>
      </c>
      <c r="D1074" s="22" t="str">
        <f t="shared" si="7"/>
        <v>#DIV/0!</v>
      </c>
      <c r="E1074" s="22" t="str">
        <f t="shared" si="3"/>
        <v/>
      </c>
      <c r="F1074" s="22" t="str">
        <f t="shared" si="6"/>
        <v>#DIV/0!</v>
      </c>
      <c r="H1074" s="22" t="str">
        <f t="shared" si="4"/>
        <v/>
      </c>
      <c r="I1074" s="22" t="str">
        <f t="shared" si="1"/>
        <v>#N/A</v>
      </c>
      <c r="J1074" s="22" t="str">
        <f t="shared" si="2"/>
        <v>#N/A</v>
      </c>
      <c r="K1074" s="22" t="str">
        <f t="array" ref="K1074">IF(H1074="Crash",MATCH(TRUE, B1075:B1172 &gt;= B1073, 0),"")</f>
        <v/>
      </c>
    </row>
    <row r="1075" ht="15.75" customHeight="1">
      <c r="A1075" s="31" t="str">
        <f>'EQUITY BACKTEST'!A1078</f>
        <v/>
      </c>
      <c r="B1075" s="22" t="str">
        <f>'EQUITY BACKTEST'!B1078</f>
        <v/>
      </c>
      <c r="C1075" s="22" t="str">
        <f>1/'EQUITY BACKTEST'!E1078</f>
        <v>#DIV/0!</v>
      </c>
      <c r="D1075" s="22" t="str">
        <f t="shared" si="7"/>
        <v>#DIV/0!</v>
      </c>
      <c r="E1075" s="22" t="str">
        <f t="shared" si="3"/>
        <v/>
      </c>
      <c r="F1075" s="22" t="str">
        <f t="shared" si="6"/>
        <v>#DIV/0!</v>
      </c>
      <c r="H1075" s="22" t="str">
        <f t="shared" si="4"/>
        <v/>
      </c>
      <c r="I1075" s="22" t="str">
        <f t="shared" si="1"/>
        <v>#N/A</v>
      </c>
      <c r="J1075" s="22" t="str">
        <f t="shared" si="2"/>
        <v>#N/A</v>
      </c>
      <c r="K1075" s="22" t="str">
        <f t="array" ref="K1075">IF(H1075="Crash",MATCH(TRUE, B1076:B1173 &gt;= B1074, 0),"")</f>
        <v/>
      </c>
    </row>
    <row r="1076" ht="15.75" customHeight="1">
      <c r="A1076" s="31" t="str">
        <f>'EQUITY BACKTEST'!A1079</f>
        <v/>
      </c>
      <c r="B1076" s="22" t="str">
        <f>'EQUITY BACKTEST'!B1079</f>
        <v/>
      </c>
      <c r="C1076" s="22" t="str">
        <f>1/'EQUITY BACKTEST'!E1079</f>
        <v>#DIV/0!</v>
      </c>
      <c r="D1076" s="22" t="str">
        <f t="shared" si="7"/>
        <v>#DIV/0!</v>
      </c>
      <c r="E1076" s="22" t="str">
        <f t="shared" si="3"/>
        <v/>
      </c>
      <c r="F1076" s="22" t="str">
        <f t="shared" si="6"/>
        <v>#DIV/0!</v>
      </c>
      <c r="H1076" s="22" t="str">
        <f t="shared" si="4"/>
        <v/>
      </c>
      <c r="I1076" s="22" t="str">
        <f t="shared" si="1"/>
        <v>#N/A</v>
      </c>
      <c r="J1076" s="22" t="str">
        <f t="shared" si="2"/>
        <v>#N/A</v>
      </c>
      <c r="K1076" s="22" t="str">
        <f t="array" ref="K1076">IF(H1076="Crash",MATCH(TRUE, B1077:B1174 &gt;= B1075, 0),"")</f>
        <v/>
      </c>
    </row>
    <row r="1077" ht="15.75" customHeight="1">
      <c r="A1077" s="31" t="str">
        <f>'EQUITY BACKTEST'!A1080</f>
        <v/>
      </c>
      <c r="B1077" s="22" t="str">
        <f>'EQUITY BACKTEST'!B1080</f>
        <v/>
      </c>
      <c r="C1077" s="22" t="str">
        <f>1/'EQUITY BACKTEST'!E1080</f>
        <v>#DIV/0!</v>
      </c>
      <c r="D1077" s="22" t="str">
        <f t="shared" si="7"/>
        <v>#DIV/0!</v>
      </c>
      <c r="E1077" s="22" t="str">
        <f t="shared" si="3"/>
        <v/>
      </c>
      <c r="F1077" s="22" t="str">
        <f t="shared" si="6"/>
        <v>#DIV/0!</v>
      </c>
      <c r="H1077" s="22" t="str">
        <f t="shared" si="4"/>
        <v/>
      </c>
      <c r="I1077" s="22" t="str">
        <f t="shared" si="1"/>
        <v>#N/A</v>
      </c>
      <c r="J1077" s="22" t="str">
        <f t="shared" si="2"/>
        <v>#N/A</v>
      </c>
      <c r="K1077" s="22" t="str">
        <f t="array" ref="K1077">IF(H1077="Crash",MATCH(TRUE, B1078:B1175 &gt;= B1076, 0),"")</f>
        <v/>
      </c>
    </row>
    <row r="1078" ht="15.75" customHeight="1">
      <c r="A1078" s="31" t="str">
        <f>'EQUITY BACKTEST'!A1081</f>
        <v/>
      </c>
      <c r="B1078" s="22" t="str">
        <f>'EQUITY BACKTEST'!B1081</f>
        <v/>
      </c>
      <c r="C1078" s="22" t="str">
        <f>1/'EQUITY BACKTEST'!E1081</f>
        <v>#DIV/0!</v>
      </c>
      <c r="D1078" s="22" t="str">
        <f t="shared" si="7"/>
        <v>#DIV/0!</v>
      </c>
      <c r="E1078" s="22" t="str">
        <f t="shared" si="3"/>
        <v/>
      </c>
      <c r="F1078" s="22" t="str">
        <f t="shared" si="6"/>
        <v>#DIV/0!</v>
      </c>
      <c r="H1078" s="22" t="str">
        <f t="shared" si="4"/>
        <v/>
      </c>
      <c r="I1078" s="22" t="str">
        <f t="shared" si="1"/>
        <v>#N/A</v>
      </c>
      <c r="J1078" s="22" t="str">
        <f t="shared" si="2"/>
        <v>#N/A</v>
      </c>
      <c r="K1078" s="22" t="str">
        <f t="array" ref="K1078">IF(H1078="Crash",MATCH(TRUE, B1079:B1176 &gt;= B1077, 0),"")</f>
        <v/>
      </c>
    </row>
    <row r="1079" ht="15.75" customHeight="1">
      <c r="A1079" s="31" t="str">
        <f>'EQUITY BACKTEST'!A1082</f>
        <v/>
      </c>
      <c r="B1079" s="22" t="str">
        <f>'EQUITY BACKTEST'!B1082</f>
        <v/>
      </c>
      <c r="C1079" s="22" t="str">
        <f>1/'EQUITY BACKTEST'!E1082</f>
        <v>#DIV/0!</v>
      </c>
      <c r="D1079" s="22" t="str">
        <f t="shared" si="7"/>
        <v>#DIV/0!</v>
      </c>
      <c r="E1079" s="22" t="str">
        <f t="shared" si="3"/>
        <v/>
      </c>
      <c r="F1079" s="22" t="str">
        <f t="shared" si="6"/>
        <v>#DIV/0!</v>
      </c>
      <c r="H1079" s="22" t="str">
        <f t="shared" si="4"/>
        <v/>
      </c>
      <c r="I1079" s="22" t="str">
        <f t="shared" si="1"/>
        <v>#N/A</v>
      </c>
      <c r="J1079" s="22" t="str">
        <f t="shared" si="2"/>
        <v>#N/A</v>
      </c>
      <c r="K1079" s="22" t="str">
        <f t="array" ref="K1079">IF(H1079="Crash",MATCH(TRUE, B1080:B1177 &gt;= B1078, 0),"")</f>
        <v/>
      </c>
    </row>
    <row r="1080" ht="15.75" customHeight="1">
      <c r="A1080" s="31" t="str">
        <f>'EQUITY BACKTEST'!A1083</f>
        <v/>
      </c>
      <c r="B1080" s="22" t="str">
        <f>'EQUITY BACKTEST'!B1083</f>
        <v/>
      </c>
      <c r="C1080" s="22" t="str">
        <f>1/'EQUITY BACKTEST'!E1083</f>
        <v>#DIV/0!</v>
      </c>
      <c r="D1080" s="22" t="str">
        <f t="shared" si="7"/>
        <v>#DIV/0!</v>
      </c>
      <c r="E1080" s="22" t="str">
        <f t="shared" si="3"/>
        <v/>
      </c>
      <c r="F1080" s="22" t="str">
        <f t="shared" si="6"/>
        <v>#DIV/0!</v>
      </c>
      <c r="H1080" s="22" t="str">
        <f t="shared" si="4"/>
        <v/>
      </c>
      <c r="I1080" s="22" t="str">
        <f t="shared" si="1"/>
        <v>#N/A</v>
      </c>
      <c r="J1080" s="22" t="str">
        <f t="shared" si="2"/>
        <v>#N/A</v>
      </c>
      <c r="K1080" s="22" t="str">
        <f t="array" ref="K1080">IF(H1080="Crash",MATCH(TRUE, B1081:B1178 &gt;= B1079, 0),"")</f>
        <v/>
      </c>
    </row>
    <row r="1081" ht="15.75" customHeight="1">
      <c r="A1081" s="31" t="str">
        <f>'EQUITY BACKTEST'!A1084</f>
        <v/>
      </c>
      <c r="B1081" s="22" t="str">
        <f>'EQUITY BACKTEST'!B1084</f>
        <v/>
      </c>
      <c r="C1081" s="22" t="str">
        <f>1/'EQUITY BACKTEST'!E1084</f>
        <v>#DIV/0!</v>
      </c>
      <c r="D1081" s="22" t="str">
        <f t="shared" si="7"/>
        <v>#DIV/0!</v>
      </c>
      <c r="E1081" s="22" t="str">
        <f t="shared" si="3"/>
        <v/>
      </c>
      <c r="F1081" s="22" t="str">
        <f t="shared" si="6"/>
        <v>#DIV/0!</v>
      </c>
      <c r="H1081" s="22" t="str">
        <f t="shared" si="4"/>
        <v/>
      </c>
      <c r="I1081" s="22" t="str">
        <f t="shared" si="1"/>
        <v>#N/A</v>
      </c>
      <c r="J1081" s="22" t="str">
        <f t="shared" si="2"/>
        <v>#N/A</v>
      </c>
      <c r="K1081" s="22" t="str">
        <f t="array" ref="K1081">IF(H1081="Crash",MATCH(TRUE, B1082:B1179 &gt;= B1080, 0),"")</f>
        <v/>
      </c>
    </row>
    <row r="1082" ht="15.75" customHeight="1">
      <c r="A1082" s="31" t="str">
        <f>'EQUITY BACKTEST'!A1085</f>
        <v/>
      </c>
      <c r="B1082" s="22" t="str">
        <f>'EQUITY BACKTEST'!B1085</f>
        <v/>
      </c>
      <c r="C1082" s="22" t="str">
        <f>1/'EQUITY BACKTEST'!E1085</f>
        <v>#DIV/0!</v>
      </c>
      <c r="D1082" s="22" t="str">
        <f t="shared" si="7"/>
        <v>#DIV/0!</v>
      </c>
      <c r="E1082" s="22" t="str">
        <f t="shared" si="3"/>
        <v/>
      </c>
      <c r="F1082" s="22" t="str">
        <f t="shared" si="6"/>
        <v>#DIV/0!</v>
      </c>
      <c r="H1082" s="22" t="str">
        <f t="shared" si="4"/>
        <v/>
      </c>
      <c r="I1082" s="22" t="str">
        <f t="shared" si="1"/>
        <v>#N/A</v>
      </c>
      <c r="J1082" s="22" t="str">
        <f t="shared" si="2"/>
        <v>#N/A</v>
      </c>
      <c r="K1082" s="22" t="str">
        <f t="array" ref="K1082">IF(H1082="Crash",MATCH(TRUE, B1083:B1180 &gt;= B1081, 0),"")</f>
        <v/>
      </c>
    </row>
    <row r="1083" ht="15.75" customHeight="1">
      <c r="A1083" s="31" t="str">
        <f>'EQUITY BACKTEST'!A1086</f>
        <v/>
      </c>
      <c r="B1083" s="22" t="str">
        <f>'EQUITY BACKTEST'!B1086</f>
        <v/>
      </c>
      <c r="C1083" s="22" t="str">
        <f>1/'EQUITY BACKTEST'!E1086</f>
        <v>#DIV/0!</v>
      </c>
      <c r="D1083" s="22" t="str">
        <f t="shared" si="7"/>
        <v>#DIV/0!</v>
      </c>
      <c r="E1083" s="22" t="str">
        <f t="shared" si="3"/>
        <v/>
      </c>
      <c r="F1083" s="22" t="str">
        <f t="shared" si="6"/>
        <v>#DIV/0!</v>
      </c>
      <c r="H1083" s="22" t="str">
        <f t="shared" si="4"/>
        <v/>
      </c>
      <c r="I1083" s="22" t="str">
        <f t="shared" si="1"/>
        <v>#N/A</v>
      </c>
      <c r="J1083" s="22" t="str">
        <f t="shared" si="2"/>
        <v>#N/A</v>
      </c>
      <c r="K1083" s="22" t="str">
        <f t="array" ref="K1083">IF(H1083="Crash",MATCH(TRUE, B1084:B1181 &gt;= B1082, 0),"")</f>
        <v/>
      </c>
    </row>
    <row r="1084" ht="15.75" customHeight="1">
      <c r="A1084" s="31" t="str">
        <f>'EQUITY BACKTEST'!A1087</f>
        <v/>
      </c>
      <c r="B1084" s="22" t="str">
        <f>'EQUITY BACKTEST'!B1087</f>
        <v/>
      </c>
      <c r="C1084" s="22" t="str">
        <f>1/'EQUITY BACKTEST'!E1087</f>
        <v>#DIV/0!</v>
      </c>
      <c r="D1084" s="22" t="str">
        <f t="shared" si="7"/>
        <v>#DIV/0!</v>
      </c>
      <c r="E1084" s="22" t="str">
        <f t="shared" si="3"/>
        <v/>
      </c>
      <c r="F1084" s="22" t="str">
        <f t="shared" si="6"/>
        <v>#DIV/0!</v>
      </c>
      <c r="H1084" s="22" t="str">
        <f t="shared" si="4"/>
        <v/>
      </c>
      <c r="I1084" s="22" t="str">
        <f t="shared" si="1"/>
        <v>#N/A</v>
      </c>
      <c r="J1084" s="22" t="str">
        <f t="shared" si="2"/>
        <v>#N/A</v>
      </c>
      <c r="K1084" s="22" t="str">
        <f t="array" ref="K1084">IF(H1084="Crash",MATCH(TRUE, B1085:B1182 &gt;= B1083, 0),"")</f>
        <v/>
      </c>
    </row>
    <row r="1085" ht="15.75" customHeight="1">
      <c r="A1085" s="31" t="str">
        <f>'EQUITY BACKTEST'!A1088</f>
        <v/>
      </c>
      <c r="B1085" s="22" t="str">
        <f>'EQUITY BACKTEST'!B1088</f>
        <v/>
      </c>
      <c r="C1085" s="22" t="str">
        <f>1/'EQUITY BACKTEST'!E1088</f>
        <v>#DIV/0!</v>
      </c>
      <c r="D1085" s="22" t="str">
        <f t="shared" si="7"/>
        <v>#DIV/0!</v>
      </c>
      <c r="E1085" s="22" t="str">
        <f t="shared" si="3"/>
        <v/>
      </c>
      <c r="F1085" s="22" t="str">
        <f t="shared" si="6"/>
        <v>#DIV/0!</v>
      </c>
      <c r="H1085" s="22" t="str">
        <f t="shared" si="4"/>
        <v/>
      </c>
      <c r="I1085" s="22" t="str">
        <f t="shared" si="1"/>
        <v>#N/A</v>
      </c>
      <c r="J1085" s="22" t="str">
        <f t="shared" si="2"/>
        <v>#N/A</v>
      </c>
      <c r="K1085" s="22" t="str">
        <f t="array" ref="K1085">IF(H1085="Crash",MATCH(TRUE, B1086:B1183 &gt;= B1084, 0),"")</f>
        <v/>
      </c>
    </row>
    <row r="1086" ht="15.75" customHeight="1">
      <c r="A1086" s="31" t="str">
        <f>'EQUITY BACKTEST'!A1089</f>
        <v/>
      </c>
      <c r="B1086" s="22" t="str">
        <f>'EQUITY BACKTEST'!B1089</f>
        <v/>
      </c>
      <c r="C1086" s="22" t="str">
        <f>1/'EQUITY BACKTEST'!E1089</f>
        <v>#DIV/0!</v>
      </c>
      <c r="D1086" s="22" t="str">
        <f t="shared" si="7"/>
        <v>#DIV/0!</v>
      </c>
      <c r="E1086" s="22" t="str">
        <f t="shared" si="3"/>
        <v/>
      </c>
      <c r="F1086" s="22" t="str">
        <f t="shared" si="6"/>
        <v>#DIV/0!</v>
      </c>
      <c r="H1086" s="22" t="str">
        <f t="shared" si="4"/>
        <v/>
      </c>
      <c r="I1086" s="22" t="str">
        <f t="shared" si="1"/>
        <v>#N/A</v>
      </c>
      <c r="J1086" s="22" t="str">
        <f t="shared" si="2"/>
        <v>#N/A</v>
      </c>
      <c r="K1086" s="22" t="str">
        <f t="array" ref="K1086">IF(H1086="Crash",MATCH(TRUE, B1087:B1184 &gt;= B1085, 0),"")</f>
        <v/>
      </c>
    </row>
    <row r="1087" ht="15.75" customHeight="1">
      <c r="A1087" s="31" t="str">
        <f>'EQUITY BACKTEST'!A1090</f>
        <v/>
      </c>
      <c r="B1087" s="22" t="str">
        <f>'EQUITY BACKTEST'!B1090</f>
        <v/>
      </c>
      <c r="C1087" s="22" t="str">
        <f>1/'EQUITY BACKTEST'!E1090</f>
        <v>#DIV/0!</v>
      </c>
      <c r="D1087" s="22" t="str">
        <f t="shared" si="7"/>
        <v>#DIV/0!</v>
      </c>
      <c r="E1087" s="22" t="str">
        <f t="shared" si="3"/>
        <v/>
      </c>
      <c r="F1087" s="22" t="str">
        <f t="shared" si="6"/>
        <v>#DIV/0!</v>
      </c>
      <c r="H1087" s="22" t="str">
        <f t="shared" si="4"/>
        <v/>
      </c>
      <c r="I1087" s="22" t="str">
        <f t="shared" si="1"/>
        <v>#N/A</v>
      </c>
      <c r="J1087" s="22" t="str">
        <f t="shared" si="2"/>
        <v>#N/A</v>
      </c>
      <c r="K1087" s="22" t="str">
        <f t="array" ref="K1087">IF(H1087="Crash",MATCH(TRUE, B1088:B1185 &gt;= B1086, 0),"")</f>
        <v/>
      </c>
    </row>
    <row r="1088" ht="15.75" customHeight="1">
      <c r="A1088" s="31" t="str">
        <f>'EQUITY BACKTEST'!A1091</f>
        <v/>
      </c>
      <c r="B1088" s="22" t="str">
        <f>'EQUITY BACKTEST'!B1091</f>
        <v/>
      </c>
      <c r="C1088" s="22" t="str">
        <f>1/'EQUITY BACKTEST'!E1091</f>
        <v>#DIV/0!</v>
      </c>
      <c r="D1088" s="22" t="str">
        <f t="shared" si="7"/>
        <v>#DIV/0!</v>
      </c>
      <c r="E1088" s="22" t="str">
        <f t="shared" si="3"/>
        <v/>
      </c>
      <c r="F1088" s="22" t="str">
        <f t="shared" si="6"/>
        <v>#DIV/0!</v>
      </c>
      <c r="H1088" s="22" t="str">
        <f t="shared" si="4"/>
        <v/>
      </c>
      <c r="I1088" s="22" t="str">
        <f t="shared" si="1"/>
        <v>#N/A</v>
      </c>
      <c r="J1088" s="22" t="str">
        <f t="shared" si="2"/>
        <v>#N/A</v>
      </c>
      <c r="K1088" s="22" t="str">
        <f t="array" ref="K1088">IF(H1088="Crash",MATCH(TRUE, B1089:B1186 &gt;= B1087, 0),"")</f>
        <v/>
      </c>
    </row>
    <row r="1089" ht="15.75" customHeight="1">
      <c r="A1089" s="31" t="str">
        <f>'EQUITY BACKTEST'!A1092</f>
        <v/>
      </c>
      <c r="B1089" s="22" t="str">
        <f>'EQUITY BACKTEST'!B1092</f>
        <v/>
      </c>
      <c r="C1089" s="22" t="str">
        <f>1/'EQUITY BACKTEST'!E1092</f>
        <v>#DIV/0!</v>
      </c>
      <c r="D1089" s="22" t="str">
        <f t="shared" si="7"/>
        <v>#DIV/0!</v>
      </c>
      <c r="E1089" s="22" t="str">
        <f t="shared" si="3"/>
        <v/>
      </c>
      <c r="F1089" s="22" t="str">
        <f t="shared" si="6"/>
        <v>#DIV/0!</v>
      </c>
      <c r="H1089" s="22" t="str">
        <f t="shared" si="4"/>
        <v/>
      </c>
      <c r="I1089" s="22" t="str">
        <f t="shared" si="1"/>
        <v>#N/A</v>
      </c>
      <c r="J1089" s="22" t="str">
        <f t="shared" si="2"/>
        <v>#N/A</v>
      </c>
      <c r="K1089" s="22" t="str">
        <f t="array" ref="K1089">IF(H1089="Crash",MATCH(TRUE, B1090:B1187 &gt;= B1088, 0),"")</f>
        <v/>
      </c>
    </row>
    <row r="1090" ht="15.75" customHeight="1">
      <c r="A1090" s="31" t="str">
        <f>'EQUITY BACKTEST'!A1093</f>
        <v/>
      </c>
      <c r="B1090" s="22" t="str">
        <f>'EQUITY BACKTEST'!B1093</f>
        <v/>
      </c>
      <c r="C1090" s="22" t="str">
        <f>1/'EQUITY BACKTEST'!E1093</f>
        <v>#DIV/0!</v>
      </c>
      <c r="D1090" s="22" t="str">
        <f t="shared" si="7"/>
        <v>#DIV/0!</v>
      </c>
      <c r="E1090" s="22" t="str">
        <f t="shared" si="3"/>
        <v/>
      </c>
      <c r="F1090" s="22" t="str">
        <f t="shared" si="6"/>
        <v>#DIV/0!</v>
      </c>
      <c r="H1090" s="22" t="str">
        <f t="shared" si="4"/>
        <v/>
      </c>
      <c r="I1090" s="22" t="str">
        <f t="shared" si="1"/>
        <v>#N/A</v>
      </c>
      <c r="J1090" s="22" t="str">
        <f t="shared" si="2"/>
        <v>#N/A</v>
      </c>
      <c r="K1090" s="22" t="str">
        <f t="array" ref="K1090">IF(H1090="Crash",MATCH(TRUE, B1091:B1188 &gt;= B1089, 0),"")</f>
        <v/>
      </c>
    </row>
    <row r="1091" ht="15.75" customHeight="1">
      <c r="A1091" s="31" t="str">
        <f>'EQUITY BACKTEST'!A1094</f>
        <v/>
      </c>
      <c r="B1091" s="22" t="str">
        <f>'EQUITY BACKTEST'!B1094</f>
        <v/>
      </c>
      <c r="C1091" s="22" t="str">
        <f>1/'EQUITY BACKTEST'!E1094</f>
        <v>#DIV/0!</v>
      </c>
      <c r="D1091" s="22" t="str">
        <f t="shared" si="7"/>
        <v>#DIV/0!</v>
      </c>
      <c r="E1091" s="22" t="str">
        <f t="shared" si="3"/>
        <v/>
      </c>
      <c r="F1091" s="22" t="str">
        <f t="shared" si="6"/>
        <v>#DIV/0!</v>
      </c>
      <c r="H1091" s="22" t="str">
        <f t="shared" si="4"/>
        <v/>
      </c>
      <c r="I1091" s="22" t="str">
        <f t="shared" si="1"/>
        <v>#N/A</v>
      </c>
      <c r="J1091" s="22" t="str">
        <f t="shared" si="2"/>
        <v>#N/A</v>
      </c>
      <c r="K1091" s="22" t="str">
        <f t="array" ref="K1091">IF(H1091="Crash",MATCH(TRUE, B1092:B1189 &gt;= B1090, 0),"")</f>
        <v/>
      </c>
    </row>
    <row r="1092" ht="15.75" customHeight="1">
      <c r="A1092" s="31" t="str">
        <f>'EQUITY BACKTEST'!A1095</f>
        <v/>
      </c>
      <c r="B1092" s="22" t="str">
        <f>'EQUITY BACKTEST'!B1095</f>
        <v/>
      </c>
      <c r="C1092" s="22" t="str">
        <f>1/'EQUITY BACKTEST'!E1095</f>
        <v>#DIV/0!</v>
      </c>
      <c r="D1092" s="22" t="str">
        <f t="shared" si="7"/>
        <v>#DIV/0!</v>
      </c>
      <c r="E1092" s="22" t="str">
        <f t="shared" si="3"/>
        <v/>
      </c>
      <c r="F1092" s="22" t="str">
        <f t="shared" si="6"/>
        <v>#DIV/0!</v>
      </c>
      <c r="H1092" s="22" t="str">
        <f t="shared" si="4"/>
        <v/>
      </c>
      <c r="I1092" s="22" t="str">
        <f t="shared" si="1"/>
        <v>#N/A</v>
      </c>
      <c r="J1092" s="22" t="str">
        <f t="shared" si="2"/>
        <v>#N/A</v>
      </c>
      <c r="K1092" s="22" t="str">
        <f t="array" ref="K1092">IF(H1092="Crash",MATCH(TRUE, B1093:B1190 &gt;= B1091, 0),"")</f>
        <v/>
      </c>
    </row>
    <row r="1093" ht="15.75" customHeight="1">
      <c r="A1093" s="31" t="str">
        <f>'EQUITY BACKTEST'!A1096</f>
        <v/>
      </c>
      <c r="B1093" s="22" t="str">
        <f>'EQUITY BACKTEST'!B1096</f>
        <v/>
      </c>
      <c r="C1093" s="22" t="str">
        <f>1/'EQUITY BACKTEST'!E1096</f>
        <v>#DIV/0!</v>
      </c>
      <c r="D1093" s="22" t="str">
        <f t="shared" si="7"/>
        <v>#DIV/0!</v>
      </c>
      <c r="E1093" s="22" t="str">
        <f t="shared" si="3"/>
        <v/>
      </c>
      <c r="F1093" s="22" t="str">
        <f t="shared" si="6"/>
        <v>#DIV/0!</v>
      </c>
      <c r="H1093" s="22" t="str">
        <f t="shared" si="4"/>
        <v/>
      </c>
      <c r="I1093" s="22" t="str">
        <f t="shared" si="1"/>
        <v>#N/A</v>
      </c>
      <c r="J1093" s="22" t="str">
        <f t="shared" si="2"/>
        <v>#N/A</v>
      </c>
      <c r="K1093" s="22" t="str">
        <f t="array" ref="K1093">IF(H1093="Crash",MATCH(TRUE, B1094:B1191 &gt;= B1092, 0),"")</f>
        <v/>
      </c>
    </row>
    <row r="1094" ht="15.75" customHeight="1">
      <c r="A1094" s="31" t="str">
        <f>'EQUITY BACKTEST'!A1097</f>
        <v/>
      </c>
      <c r="B1094" s="22" t="str">
        <f>'EQUITY BACKTEST'!B1097</f>
        <v/>
      </c>
      <c r="C1094" s="22" t="str">
        <f>1/'EQUITY BACKTEST'!E1097</f>
        <v>#DIV/0!</v>
      </c>
      <c r="D1094" s="22" t="str">
        <f t="shared" si="7"/>
        <v>#DIV/0!</v>
      </c>
      <c r="E1094" s="22" t="str">
        <f t="shared" si="3"/>
        <v/>
      </c>
      <c r="F1094" s="22" t="str">
        <f t="shared" si="6"/>
        <v>#DIV/0!</v>
      </c>
      <c r="H1094" s="22" t="str">
        <f t="shared" si="4"/>
        <v/>
      </c>
      <c r="I1094" s="22" t="str">
        <f t="shared" si="1"/>
        <v>#N/A</v>
      </c>
      <c r="J1094" s="22" t="str">
        <f t="shared" si="2"/>
        <v>#N/A</v>
      </c>
      <c r="K1094" s="22" t="str">
        <f t="array" ref="K1094">IF(H1094="Crash",MATCH(TRUE, B1095:B1192 &gt;= B1093, 0),"")</f>
        <v/>
      </c>
    </row>
    <row r="1095" ht="15.75" customHeight="1">
      <c r="A1095" s="31" t="str">
        <f>'EQUITY BACKTEST'!A1098</f>
        <v/>
      </c>
      <c r="B1095" s="22" t="str">
        <f>'EQUITY BACKTEST'!B1098</f>
        <v/>
      </c>
      <c r="C1095" s="22" t="str">
        <f>1/'EQUITY BACKTEST'!E1098</f>
        <v>#DIV/0!</v>
      </c>
      <c r="D1095" s="22" t="str">
        <f t="shared" si="7"/>
        <v>#DIV/0!</v>
      </c>
      <c r="E1095" s="22" t="str">
        <f t="shared" si="3"/>
        <v/>
      </c>
      <c r="F1095" s="22" t="str">
        <f t="shared" si="6"/>
        <v>#DIV/0!</v>
      </c>
      <c r="H1095" s="22" t="str">
        <f t="shared" si="4"/>
        <v/>
      </c>
      <c r="I1095" s="22" t="str">
        <f t="shared" si="1"/>
        <v>#N/A</v>
      </c>
      <c r="J1095" s="22" t="str">
        <f t="shared" si="2"/>
        <v>#N/A</v>
      </c>
      <c r="K1095" s="22" t="str">
        <f t="array" ref="K1095">IF(H1095="Crash",MATCH(TRUE, B1096:B1193 &gt;= B1094, 0),"")</f>
        <v/>
      </c>
    </row>
    <row r="1096" ht="15.75" customHeight="1">
      <c r="A1096" s="31" t="str">
        <f>'EQUITY BACKTEST'!A1099</f>
        <v/>
      </c>
      <c r="B1096" s="22" t="str">
        <f>'EQUITY BACKTEST'!B1099</f>
        <v/>
      </c>
      <c r="C1096" s="22" t="str">
        <f>1/'EQUITY BACKTEST'!E1099</f>
        <v>#DIV/0!</v>
      </c>
      <c r="D1096" s="22" t="str">
        <f t="shared" si="7"/>
        <v>#DIV/0!</v>
      </c>
      <c r="E1096" s="22" t="str">
        <f t="shared" si="3"/>
        <v/>
      </c>
      <c r="F1096" s="22" t="str">
        <f t="shared" si="6"/>
        <v>#DIV/0!</v>
      </c>
      <c r="H1096" s="22" t="str">
        <f t="shared" si="4"/>
        <v/>
      </c>
      <c r="I1096" s="22" t="str">
        <f t="shared" si="1"/>
        <v>#N/A</v>
      </c>
      <c r="J1096" s="22" t="str">
        <f t="shared" si="2"/>
        <v>#N/A</v>
      </c>
      <c r="K1096" s="22" t="str">
        <f t="array" ref="K1096">IF(H1096="Crash",MATCH(TRUE, B1097:B1194 &gt;= B1095, 0),"")</f>
        <v/>
      </c>
    </row>
    <row r="1097" ht="15.75" customHeight="1">
      <c r="A1097" s="31" t="str">
        <f>'EQUITY BACKTEST'!A1100</f>
        <v/>
      </c>
      <c r="B1097" s="22" t="str">
        <f>'EQUITY BACKTEST'!B1100</f>
        <v/>
      </c>
      <c r="C1097" s="22" t="str">
        <f>1/'EQUITY BACKTEST'!E1100</f>
        <v>#DIV/0!</v>
      </c>
      <c r="D1097" s="22" t="str">
        <f t="shared" si="7"/>
        <v>#DIV/0!</v>
      </c>
      <c r="E1097" s="22" t="str">
        <f t="shared" si="3"/>
        <v/>
      </c>
      <c r="F1097" s="22" t="str">
        <f t="shared" si="6"/>
        <v>#DIV/0!</v>
      </c>
      <c r="H1097" s="22" t="str">
        <f t="shared" si="4"/>
        <v/>
      </c>
      <c r="I1097" s="22" t="str">
        <f t="shared" si="1"/>
        <v>#N/A</v>
      </c>
      <c r="J1097" s="22" t="str">
        <f t="shared" si="2"/>
        <v>#N/A</v>
      </c>
      <c r="K1097" s="22" t="str">
        <f t="array" ref="K1097">IF(H1097="Crash",MATCH(TRUE, B1098:B1195 &gt;= B1096, 0),"")</f>
        <v/>
      </c>
    </row>
    <row r="1098" ht="15.75" customHeight="1">
      <c r="A1098" s="31" t="str">
        <f>'EQUITY BACKTEST'!A1101</f>
        <v/>
      </c>
      <c r="B1098" s="22" t="str">
        <f>'EQUITY BACKTEST'!B1101</f>
        <v/>
      </c>
      <c r="C1098" s="22" t="str">
        <f>1/'EQUITY BACKTEST'!E1101</f>
        <v>#DIV/0!</v>
      </c>
      <c r="D1098" s="22" t="str">
        <f t="shared" si="7"/>
        <v>#DIV/0!</v>
      </c>
      <c r="E1098" s="22" t="str">
        <f t="shared" si="3"/>
        <v/>
      </c>
      <c r="F1098" s="22" t="str">
        <f t="shared" si="6"/>
        <v>#DIV/0!</v>
      </c>
      <c r="H1098" s="22" t="str">
        <f t="shared" si="4"/>
        <v/>
      </c>
      <c r="I1098" s="22" t="str">
        <f t="shared" si="1"/>
        <v>#N/A</v>
      </c>
      <c r="J1098" s="22" t="str">
        <f t="shared" si="2"/>
        <v>#N/A</v>
      </c>
      <c r="K1098" s="22" t="str">
        <f t="array" ref="K1098">IF(H1098="Crash",MATCH(TRUE, B1099:B1196 &gt;= B1097, 0),"")</f>
        <v/>
      </c>
    </row>
    <row r="1099" ht="15.75" customHeight="1">
      <c r="A1099" s="31" t="str">
        <f>'EQUITY BACKTEST'!A1102</f>
        <v/>
      </c>
      <c r="B1099" s="22" t="str">
        <f>'EQUITY BACKTEST'!B1102</f>
        <v/>
      </c>
      <c r="C1099" s="22" t="str">
        <f>1/'EQUITY BACKTEST'!E1102</f>
        <v>#DIV/0!</v>
      </c>
      <c r="D1099" s="22" t="str">
        <f t="shared" si="7"/>
        <v>#DIV/0!</v>
      </c>
      <c r="E1099" s="22" t="str">
        <f t="shared" si="3"/>
        <v/>
      </c>
      <c r="F1099" s="22" t="str">
        <f t="shared" si="6"/>
        <v>#DIV/0!</v>
      </c>
      <c r="H1099" s="22" t="str">
        <f t="shared" si="4"/>
        <v/>
      </c>
      <c r="I1099" s="22" t="str">
        <f t="shared" si="1"/>
        <v>#N/A</v>
      </c>
      <c r="J1099" s="22" t="str">
        <f t="shared" si="2"/>
        <v>#N/A</v>
      </c>
      <c r="K1099" s="22" t="str">
        <f t="array" ref="K1099">IF(H1099="Crash",MATCH(TRUE, B1100:B1197 &gt;= B1098, 0),"")</f>
        <v/>
      </c>
    </row>
    <row r="1100" ht="15.75" customHeight="1">
      <c r="A1100" s="31" t="str">
        <f>'EQUITY BACKTEST'!A1103</f>
        <v/>
      </c>
      <c r="B1100" s="22" t="str">
        <f>'EQUITY BACKTEST'!B1103</f>
        <v/>
      </c>
      <c r="C1100" s="22" t="str">
        <f>1/'EQUITY BACKTEST'!E1103</f>
        <v>#DIV/0!</v>
      </c>
      <c r="D1100" s="22" t="str">
        <f t="shared" si="7"/>
        <v>#DIV/0!</v>
      </c>
      <c r="E1100" s="22" t="str">
        <f t="shared" si="3"/>
        <v/>
      </c>
      <c r="F1100" s="22" t="str">
        <f t="shared" si="6"/>
        <v>#DIV/0!</v>
      </c>
      <c r="H1100" s="22" t="str">
        <f t="shared" si="4"/>
        <v/>
      </c>
      <c r="I1100" s="22" t="str">
        <f t="shared" si="1"/>
        <v>#N/A</v>
      </c>
      <c r="J1100" s="22" t="str">
        <f t="shared" si="2"/>
        <v>#N/A</v>
      </c>
      <c r="K1100" s="22" t="str">
        <f t="array" ref="K1100">IF(H1100="Crash",MATCH(TRUE, B1101:B1198 &gt;= B1099, 0),"")</f>
        <v/>
      </c>
    </row>
    <row r="1101" ht="15.75" customHeight="1">
      <c r="A1101" s="31" t="str">
        <f>'EQUITY BACKTEST'!A1104</f>
        <v/>
      </c>
      <c r="B1101" s="22" t="str">
        <f>'EQUITY BACKTEST'!B1104</f>
        <v/>
      </c>
      <c r="C1101" s="22" t="str">
        <f>1/'EQUITY BACKTEST'!E1104</f>
        <v>#DIV/0!</v>
      </c>
      <c r="D1101" s="22" t="str">
        <f t="shared" si="7"/>
        <v>#DIV/0!</v>
      </c>
      <c r="E1101" s="22" t="str">
        <f t="shared" si="3"/>
        <v/>
      </c>
      <c r="F1101" s="22" t="str">
        <f t="shared" si="6"/>
        <v>#DIV/0!</v>
      </c>
      <c r="H1101" s="22" t="str">
        <f t="shared" si="4"/>
        <v/>
      </c>
      <c r="I1101" s="22" t="str">
        <f t="shared" si="1"/>
        <v>#N/A</v>
      </c>
      <c r="J1101" s="22" t="str">
        <f t="shared" si="2"/>
        <v>#N/A</v>
      </c>
      <c r="K1101" s="22" t="str">
        <f t="array" ref="K1101">IF(H1101="Crash",MATCH(TRUE, B1102:B1199 &gt;= B1100, 0),"")</f>
        <v/>
      </c>
    </row>
    <row r="1102" ht="15.75" customHeight="1">
      <c r="A1102" s="31" t="str">
        <f>'EQUITY BACKTEST'!A1105</f>
        <v/>
      </c>
      <c r="B1102" s="22" t="str">
        <f>'EQUITY BACKTEST'!B1105</f>
        <v/>
      </c>
      <c r="C1102" s="22" t="str">
        <f>1/'EQUITY BACKTEST'!E1105</f>
        <v>#DIV/0!</v>
      </c>
      <c r="D1102" s="22" t="str">
        <f t="shared" si="7"/>
        <v>#DIV/0!</v>
      </c>
      <c r="E1102" s="22" t="str">
        <f t="shared" si="3"/>
        <v/>
      </c>
      <c r="F1102" s="22" t="str">
        <f t="shared" si="6"/>
        <v>#DIV/0!</v>
      </c>
      <c r="H1102" s="22" t="str">
        <f t="shared" si="4"/>
        <v/>
      </c>
      <c r="I1102" s="22" t="str">
        <f t="shared" si="1"/>
        <v>#N/A</v>
      </c>
      <c r="J1102" s="22" t="str">
        <f t="shared" si="2"/>
        <v>#N/A</v>
      </c>
      <c r="K1102" s="22" t="str">
        <f t="array" ref="K1102">IF(H1102="Crash",MATCH(TRUE, B1103:B1200 &gt;= B1101, 0),"")</f>
        <v/>
      </c>
    </row>
    <row r="1103" ht="15.75" customHeight="1">
      <c r="A1103" s="31" t="str">
        <f>'EQUITY BACKTEST'!A1106</f>
        <v/>
      </c>
      <c r="B1103" s="22" t="str">
        <f>'EQUITY BACKTEST'!B1106</f>
        <v/>
      </c>
      <c r="C1103" s="22" t="str">
        <f>1/'EQUITY BACKTEST'!E1106</f>
        <v>#DIV/0!</v>
      </c>
      <c r="D1103" s="22" t="str">
        <f t="shared" si="7"/>
        <v>#DIV/0!</v>
      </c>
      <c r="E1103" s="22" t="str">
        <f t="shared" si="3"/>
        <v/>
      </c>
      <c r="F1103" s="22" t="str">
        <f t="shared" si="6"/>
        <v>#DIV/0!</v>
      </c>
      <c r="H1103" s="22" t="str">
        <f t="shared" si="4"/>
        <v/>
      </c>
      <c r="I1103" s="22" t="str">
        <f t="shared" si="1"/>
        <v>#N/A</v>
      </c>
      <c r="J1103" s="22" t="str">
        <f t="shared" si="2"/>
        <v>#N/A</v>
      </c>
      <c r="K1103" s="22" t="str">
        <f t="array" ref="K1103">IF(H1103="Crash",MATCH(TRUE, B1104:B1201 &gt;= B1102, 0),"")</f>
        <v/>
      </c>
    </row>
    <row r="1104" ht="15.75" customHeight="1">
      <c r="A1104" s="31" t="str">
        <f>'EQUITY BACKTEST'!A1107</f>
        <v/>
      </c>
      <c r="B1104" s="22" t="str">
        <f>'EQUITY BACKTEST'!B1107</f>
        <v/>
      </c>
      <c r="C1104" s="22" t="str">
        <f>1/'EQUITY BACKTEST'!E1107</f>
        <v>#DIV/0!</v>
      </c>
      <c r="D1104" s="22" t="str">
        <f t="shared" si="7"/>
        <v>#DIV/0!</v>
      </c>
      <c r="E1104" s="22" t="str">
        <f t="shared" si="3"/>
        <v/>
      </c>
      <c r="F1104" s="22" t="str">
        <f t="shared" si="6"/>
        <v>#DIV/0!</v>
      </c>
      <c r="H1104" s="22" t="str">
        <f t="shared" si="4"/>
        <v/>
      </c>
      <c r="I1104" s="22" t="str">
        <f t="shared" si="1"/>
        <v>#N/A</v>
      </c>
      <c r="J1104" s="22" t="str">
        <f t="shared" si="2"/>
        <v>#N/A</v>
      </c>
      <c r="K1104" s="22" t="str">
        <f t="array" ref="K1104">IF(H1104="Crash",MATCH(TRUE, B1105:B1202 &gt;= B1103, 0),"")</f>
        <v/>
      </c>
    </row>
    <row r="1105" ht="15.75" customHeight="1">
      <c r="A1105" s="31" t="str">
        <f>'EQUITY BACKTEST'!A1108</f>
        <v/>
      </c>
      <c r="B1105" s="22" t="str">
        <f>'EQUITY BACKTEST'!B1108</f>
        <v/>
      </c>
      <c r="C1105" s="22" t="str">
        <f>1/'EQUITY BACKTEST'!E1108</f>
        <v>#DIV/0!</v>
      </c>
      <c r="D1105" s="22" t="str">
        <f t="shared" si="7"/>
        <v>#DIV/0!</v>
      </c>
      <c r="E1105" s="22" t="str">
        <f t="shared" si="3"/>
        <v/>
      </c>
      <c r="F1105" s="22" t="str">
        <f t="shared" si="6"/>
        <v>#DIV/0!</v>
      </c>
      <c r="H1105" s="22" t="str">
        <f t="shared" si="4"/>
        <v/>
      </c>
      <c r="I1105" s="22" t="str">
        <f t="shared" si="1"/>
        <v>#N/A</v>
      </c>
      <c r="J1105" s="22" t="str">
        <f t="shared" si="2"/>
        <v>#N/A</v>
      </c>
      <c r="K1105" s="22" t="str">
        <f t="array" ref="K1105">IF(H1105="Crash",MATCH(TRUE, B1106:B1203 &gt;= B1104, 0),"")</f>
        <v/>
      </c>
    </row>
    <row r="1106" ht="15.75" customHeight="1">
      <c r="A1106" s="31" t="str">
        <f>'EQUITY BACKTEST'!A1109</f>
        <v/>
      </c>
      <c r="B1106" s="22" t="str">
        <f>'EQUITY BACKTEST'!B1109</f>
        <v/>
      </c>
      <c r="C1106" s="22" t="str">
        <f>1/'EQUITY BACKTEST'!E1109</f>
        <v>#DIV/0!</v>
      </c>
      <c r="D1106" s="22" t="str">
        <f t="shared" si="7"/>
        <v>#DIV/0!</v>
      </c>
      <c r="E1106" s="22" t="str">
        <f t="shared" si="3"/>
        <v/>
      </c>
      <c r="F1106" s="22" t="str">
        <f t="shared" si="6"/>
        <v>#DIV/0!</v>
      </c>
      <c r="H1106" s="22" t="str">
        <f t="shared" si="4"/>
        <v/>
      </c>
      <c r="I1106" s="22" t="str">
        <f t="shared" si="1"/>
        <v>#N/A</v>
      </c>
      <c r="J1106" s="22" t="str">
        <f t="shared" si="2"/>
        <v>#N/A</v>
      </c>
      <c r="K1106" s="22" t="str">
        <f t="array" ref="K1106">IF(H1106="Crash",MATCH(TRUE, B1107:B1204 &gt;= B1105, 0),"")</f>
        <v/>
      </c>
    </row>
    <row r="1107" ht="15.75" customHeight="1">
      <c r="A1107" s="31" t="str">
        <f>'EQUITY BACKTEST'!A1110</f>
        <v/>
      </c>
      <c r="B1107" s="22" t="str">
        <f>'EQUITY BACKTEST'!B1110</f>
        <v/>
      </c>
      <c r="C1107" s="22" t="str">
        <f>1/'EQUITY BACKTEST'!E1110</f>
        <v>#DIV/0!</v>
      </c>
      <c r="D1107" s="22" t="str">
        <f t="shared" si="7"/>
        <v>#DIV/0!</v>
      </c>
      <c r="E1107" s="22" t="str">
        <f t="shared" si="3"/>
        <v/>
      </c>
      <c r="F1107" s="22" t="str">
        <f t="shared" si="6"/>
        <v>#DIV/0!</v>
      </c>
      <c r="H1107" s="22" t="str">
        <f t="shared" si="4"/>
        <v/>
      </c>
      <c r="I1107" s="22" t="str">
        <f t="shared" si="1"/>
        <v>#N/A</v>
      </c>
      <c r="J1107" s="22" t="str">
        <f t="shared" si="2"/>
        <v>#N/A</v>
      </c>
      <c r="K1107" s="22" t="str">
        <f t="array" ref="K1107">IF(H1107="Crash",MATCH(TRUE, B1108:B1205 &gt;= B1106, 0),"")</f>
        <v/>
      </c>
    </row>
    <row r="1108" ht="15.75" customHeight="1">
      <c r="A1108" s="31" t="str">
        <f>'EQUITY BACKTEST'!A1111</f>
        <v/>
      </c>
      <c r="B1108" s="22" t="str">
        <f>'EQUITY BACKTEST'!B1111</f>
        <v/>
      </c>
      <c r="C1108" s="22" t="str">
        <f>1/'EQUITY BACKTEST'!E1111</f>
        <v>#DIV/0!</v>
      </c>
      <c r="D1108" s="22" t="str">
        <f t="shared" si="7"/>
        <v>#DIV/0!</v>
      </c>
      <c r="E1108" s="22" t="str">
        <f t="shared" si="3"/>
        <v/>
      </c>
      <c r="F1108" s="22" t="str">
        <f t="shared" si="6"/>
        <v>#DIV/0!</v>
      </c>
      <c r="H1108" s="22" t="str">
        <f t="shared" si="4"/>
        <v/>
      </c>
      <c r="I1108" s="22" t="str">
        <f t="shared" si="1"/>
        <v>#N/A</v>
      </c>
      <c r="J1108" s="22" t="str">
        <f t="shared" si="2"/>
        <v>#N/A</v>
      </c>
      <c r="K1108" s="22" t="str">
        <f t="array" ref="K1108">IF(H1108="Crash",MATCH(TRUE, B1109:B1206 &gt;= B1107, 0),"")</f>
        <v/>
      </c>
    </row>
    <row r="1109" ht="15.75" customHeight="1">
      <c r="A1109" s="31" t="str">
        <f>'EQUITY BACKTEST'!A1112</f>
        <v/>
      </c>
      <c r="B1109" s="22" t="str">
        <f>'EQUITY BACKTEST'!B1112</f>
        <v/>
      </c>
      <c r="C1109" s="22" t="str">
        <f>1/'EQUITY BACKTEST'!E1112</f>
        <v>#DIV/0!</v>
      </c>
      <c r="D1109" s="22" t="str">
        <f t="shared" si="7"/>
        <v>#DIV/0!</v>
      </c>
      <c r="E1109" s="22" t="str">
        <f t="shared" si="3"/>
        <v/>
      </c>
      <c r="F1109" s="22" t="str">
        <f t="shared" si="6"/>
        <v>#DIV/0!</v>
      </c>
      <c r="H1109" s="22" t="str">
        <f t="shared" si="4"/>
        <v/>
      </c>
      <c r="I1109" s="22" t="str">
        <f t="shared" si="1"/>
        <v>#N/A</v>
      </c>
      <c r="J1109" s="22" t="str">
        <f t="shared" si="2"/>
        <v>#N/A</v>
      </c>
      <c r="K1109" s="22" t="str">
        <f t="array" ref="K1109">IF(H1109="Crash",MATCH(TRUE, B1110:B1207 &gt;= B1108, 0),"")</f>
        <v/>
      </c>
    </row>
    <row r="1110" ht="15.75" customHeight="1">
      <c r="A1110" s="31" t="str">
        <f>'EQUITY BACKTEST'!A1113</f>
        <v/>
      </c>
      <c r="B1110" s="22" t="str">
        <f>'EQUITY BACKTEST'!B1113</f>
        <v/>
      </c>
      <c r="C1110" s="22" t="str">
        <f>1/'EQUITY BACKTEST'!E1113</f>
        <v>#DIV/0!</v>
      </c>
      <c r="D1110" s="22" t="str">
        <f t="shared" si="7"/>
        <v>#DIV/0!</v>
      </c>
      <c r="E1110" s="22" t="str">
        <f t="shared" si="3"/>
        <v/>
      </c>
      <c r="F1110" s="22" t="str">
        <f t="shared" si="6"/>
        <v>#DIV/0!</v>
      </c>
      <c r="H1110" s="22" t="str">
        <f t="shared" si="4"/>
        <v/>
      </c>
      <c r="I1110" s="22" t="str">
        <f t="shared" si="1"/>
        <v>#N/A</v>
      </c>
      <c r="J1110" s="22" t="str">
        <f t="shared" si="2"/>
        <v>#N/A</v>
      </c>
      <c r="K1110" s="22" t="str">
        <f t="array" ref="K1110">IF(H1110="Crash",MATCH(TRUE, B1111:B1208 &gt;= B1109, 0),"")</f>
        <v/>
      </c>
    </row>
    <row r="1111" ht="15.75" customHeight="1">
      <c r="A1111" s="31" t="str">
        <f>'EQUITY BACKTEST'!A1114</f>
        <v/>
      </c>
      <c r="B1111" s="22" t="str">
        <f>'EQUITY BACKTEST'!B1114</f>
        <v/>
      </c>
      <c r="C1111" s="22" t="str">
        <f>1/'EQUITY BACKTEST'!E1114</f>
        <v>#DIV/0!</v>
      </c>
      <c r="D1111" s="22" t="str">
        <f t="shared" si="7"/>
        <v>#DIV/0!</v>
      </c>
      <c r="E1111" s="22" t="str">
        <f t="shared" si="3"/>
        <v/>
      </c>
      <c r="F1111" s="22" t="str">
        <f t="shared" si="6"/>
        <v>#DIV/0!</v>
      </c>
      <c r="H1111" s="22" t="str">
        <f t="shared" si="4"/>
        <v/>
      </c>
      <c r="I1111" s="22" t="str">
        <f t="shared" si="1"/>
        <v>#N/A</v>
      </c>
      <c r="J1111" s="22" t="str">
        <f t="shared" si="2"/>
        <v>#N/A</v>
      </c>
      <c r="K1111" s="22" t="str">
        <f t="array" ref="K1111">IF(H1111="Crash",MATCH(TRUE, B1112:B1209 &gt;= B1110, 0),"")</f>
        <v/>
      </c>
    </row>
    <row r="1112" ht="15.75" customHeight="1">
      <c r="A1112" s="31" t="str">
        <f>'EQUITY BACKTEST'!A1115</f>
        <v/>
      </c>
      <c r="B1112" s="22" t="str">
        <f>'EQUITY BACKTEST'!B1115</f>
        <v/>
      </c>
      <c r="C1112" s="22" t="str">
        <f>1/'EQUITY BACKTEST'!E1115</f>
        <v>#DIV/0!</v>
      </c>
      <c r="D1112" s="22" t="str">
        <f t="shared" si="7"/>
        <v>#DIV/0!</v>
      </c>
      <c r="E1112" s="22" t="str">
        <f t="shared" si="3"/>
        <v/>
      </c>
      <c r="F1112" s="22" t="str">
        <f t="shared" si="6"/>
        <v>#DIV/0!</v>
      </c>
      <c r="H1112" s="22" t="str">
        <f t="shared" si="4"/>
        <v/>
      </c>
      <c r="I1112" s="22" t="str">
        <f t="shared" si="1"/>
        <v>#N/A</v>
      </c>
      <c r="J1112" s="22" t="str">
        <f t="shared" si="2"/>
        <v>#N/A</v>
      </c>
      <c r="K1112" s="22" t="str">
        <f t="array" ref="K1112">IF(H1112="Crash",MATCH(TRUE, B1113:B1210 &gt;= B1111, 0),"")</f>
        <v/>
      </c>
    </row>
    <row r="1113" ht="15.75" customHeight="1">
      <c r="A1113" s="31" t="str">
        <f>'EQUITY BACKTEST'!A1116</f>
        <v/>
      </c>
      <c r="B1113" s="22" t="str">
        <f>'EQUITY BACKTEST'!B1116</f>
        <v/>
      </c>
      <c r="C1113" s="22" t="str">
        <f>1/'EQUITY BACKTEST'!E1116</f>
        <v>#DIV/0!</v>
      </c>
      <c r="D1113" s="22" t="str">
        <f t="shared" si="7"/>
        <v>#DIV/0!</v>
      </c>
      <c r="E1113" s="22" t="str">
        <f t="shared" si="3"/>
        <v/>
      </c>
      <c r="F1113" s="22" t="str">
        <f t="shared" si="6"/>
        <v>#DIV/0!</v>
      </c>
      <c r="H1113" s="22" t="str">
        <f t="shared" si="4"/>
        <v/>
      </c>
      <c r="I1113" s="22" t="str">
        <f t="shared" si="1"/>
        <v>#N/A</v>
      </c>
      <c r="J1113" s="22" t="str">
        <f t="shared" si="2"/>
        <v>#N/A</v>
      </c>
      <c r="K1113" s="22" t="str">
        <f t="array" ref="K1113">IF(H1113="Crash",MATCH(TRUE, B1114:B1211 &gt;= B1112, 0),"")</f>
        <v/>
      </c>
    </row>
    <row r="1114" ht="15.75" customHeight="1">
      <c r="A1114" s="31" t="str">
        <f>'EQUITY BACKTEST'!A1117</f>
        <v/>
      </c>
      <c r="B1114" s="22" t="str">
        <f>'EQUITY BACKTEST'!B1117</f>
        <v/>
      </c>
      <c r="C1114" s="22" t="str">
        <f>1/'EQUITY BACKTEST'!E1117</f>
        <v>#DIV/0!</v>
      </c>
      <c r="D1114" s="22" t="str">
        <f t="shared" si="7"/>
        <v>#DIV/0!</v>
      </c>
      <c r="E1114" s="22" t="str">
        <f t="shared" si="3"/>
        <v/>
      </c>
      <c r="F1114" s="22" t="str">
        <f t="shared" si="6"/>
        <v>#DIV/0!</v>
      </c>
      <c r="H1114" s="22" t="str">
        <f t="shared" si="4"/>
        <v/>
      </c>
      <c r="I1114" s="22" t="str">
        <f t="shared" si="1"/>
        <v>#N/A</v>
      </c>
      <c r="J1114" s="22" t="str">
        <f t="shared" si="2"/>
        <v>#N/A</v>
      </c>
      <c r="K1114" s="22" t="str">
        <f t="array" ref="K1114">IF(H1114="Crash",MATCH(TRUE, B1115:B1212 &gt;= B1113, 0),"")</f>
        <v/>
      </c>
    </row>
    <row r="1115" ht="15.75" customHeight="1">
      <c r="A1115" s="31" t="str">
        <f>'EQUITY BACKTEST'!A1118</f>
        <v/>
      </c>
      <c r="B1115" s="22" t="str">
        <f>'EQUITY BACKTEST'!B1118</f>
        <v/>
      </c>
      <c r="C1115" s="22" t="str">
        <f>1/'EQUITY BACKTEST'!E1118</f>
        <v>#DIV/0!</v>
      </c>
      <c r="D1115" s="22" t="str">
        <f t="shared" si="7"/>
        <v>#DIV/0!</v>
      </c>
      <c r="E1115" s="22" t="str">
        <f t="shared" si="3"/>
        <v/>
      </c>
      <c r="F1115" s="22" t="str">
        <f t="shared" si="6"/>
        <v>#DIV/0!</v>
      </c>
      <c r="H1115" s="22" t="str">
        <f t="shared" si="4"/>
        <v/>
      </c>
      <c r="I1115" s="22" t="str">
        <f t="shared" si="1"/>
        <v>#N/A</v>
      </c>
      <c r="J1115" s="22" t="str">
        <f t="shared" si="2"/>
        <v>#N/A</v>
      </c>
      <c r="K1115" s="22" t="str">
        <f t="array" ref="K1115">IF(H1115="Crash",MATCH(TRUE, B1116:B1213 &gt;= B1114, 0),"")</f>
        <v/>
      </c>
    </row>
    <row r="1116" ht="15.75" customHeight="1">
      <c r="A1116" s="31" t="str">
        <f>'EQUITY BACKTEST'!A1119</f>
        <v/>
      </c>
      <c r="B1116" s="22" t="str">
        <f>'EQUITY BACKTEST'!B1119</f>
        <v/>
      </c>
      <c r="C1116" s="22" t="str">
        <f>1/'EQUITY BACKTEST'!E1119</f>
        <v>#DIV/0!</v>
      </c>
      <c r="D1116" s="22" t="str">
        <f t="shared" si="7"/>
        <v>#DIV/0!</v>
      </c>
      <c r="E1116" s="22" t="str">
        <f t="shared" si="3"/>
        <v/>
      </c>
      <c r="F1116" s="22" t="str">
        <f t="shared" si="6"/>
        <v>#DIV/0!</v>
      </c>
      <c r="H1116" s="22" t="str">
        <f t="shared" si="4"/>
        <v/>
      </c>
      <c r="I1116" s="22" t="str">
        <f t="shared" si="1"/>
        <v>#N/A</v>
      </c>
      <c r="J1116" s="22" t="str">
        <f t="shared" si="2"/>
        <v>#N/A</v>
      </c>
      <c r="K1116" s="22" t="str">
        <f t="array" ref="K1116">IF(H1116="Crash",MATCH(TRUE, B1117:B1214 &gt;= B1115, 0),"")</f>
        <v/>
      </c>
    </row>
    <row r="1117" ht="15.75" customHeight="1">
      <c r="A1117" s="31" t="str">
        <f>'EQUITY BACKTEST'!A1120</f>
        <v/>
      </c>
      <c r="B1117" s="22" t="str">
        <f>'EQUITY BACKTEST'!B1120</f>
        <v/>
      </c>
      <c r="C1117" s="22" t="str">
        <f>1/'EQUITY BACKTEST'!E1120</f>
        <v>#DIV/0!</v>
      </c>
      <c r="D1117" s="22" t="str">
        <f t="shared" si="7"/>
        <v>#DIV/0!</v>
      </c>
      <c r="E1117" s="22" t="str">
        <f t="shared" si="3"/>
        <v/>
      </c>
      <c r="F1117" s="22" t="str">
        <f t="shared" si="6"/>
        <v>#DIV/0!</v>
      </c>
      <c r="H1117" s="22" t="str">
        <f t="shared" si="4"/>
        <v/>
      </c>
      <c r="I1117" s="22" t="str">
        <f t="shared" si="1"/>
        <v>#N/A</v>
      </c>
      <c r="J1117" s="22" t="str">
        <f t="shared" si="2"/>
        <v>#N/A</v>
      </c>
      <c r="K1117" s="22" t="str">
        <f t="array" ref="K1117">IF(H1117="Crash",MATCH(TRUE, B1118:B1215 &gt;= B1116, 0),"")</f>
        <v/>
      </c>
    </row>
    <row r="1118" ht="15.75" customHeight="1">
      <c r="A1118" s="31" t="str">
        <f>'EQUITY BACKTEST'!A1121</f>
        <v/>
      </c>
      <c r="B1118" s="22" t="str">
        <f>'EQUITY BACKTEST'!B1121</f>
        <v/>
      </c>
      <c r="C1118" s="22" t="str">
        <f>1/'EQUITY BACKTEST'!E1121</f>
        <v>#DIV/0!</v>
      </c>
      <c r="D1118" s="22" t="str">
        <f t="shared" si="7"/>
        <v>#DIV/0!</v>
      </c>
      <c r="E1118" s="22" t="str">
        <f t="shared" si="3"/>
        <v/>
      </c>
      <c r="F1118" s="22" t="str">
        <f t="shared" si="6"/>
        <v>#DIV/0!</v>
      </c>
      <c r="H1118" s="22" t="str">
        <f t="shared" si="4"/>
        <v/>
      </c>
      <c r="I1118" s="22" t="str">
        <f t="shared" si="1"/>
        <v>#N/A</v>
      </c>
      <c r="J1118" s="22" t="str">
        <f t="shared" si="2"/>
        <v>#N/A</v>
      </c>
      <c r="K1118" s="22" t="str">
        <f t="array" ref="K1118">IF(H1118="Crash",MATCH(TRUE, B1119:B1216 &gt;= B1117, 0),"")</f>
        <v/>
      </c>
    </row>
    <row r="1119" ht="15.75" customHeight="1">
      <c r="A1119" s="31" t="str">
        <f>'EQUITY BACKTEST'!A1122</f>
        <v/>
      </c>
      <c r="B1119" s="22" t="str">
        <f>'EQUITY BACKTEST'!B1122</f>
        <v/>
      </c>
      <c r="C1119" s="22" t="str">
        <f>1/'EQUITY BACKTEST'!E1122</f>
        <v>#DIV/0!</v>
      </c>
      <c r="D1119" s="22" t="str">
        <f t="shared" si="7"/>
        <v>#DIV/0!</v>
      </c>
      <c r="E1119" s="22" t="str">
        <f t="shared" si="3"/>
        <v/>
      </c>
      <c r="F1119" s="22" t="str">
        <f t="shared" si="6"/>
        <v>#DIV/0!</v>
      </c>
      <c r="H1119" s="22" t="str">
        <f t="shared" si="4"/>
        <v/>
      </c>
      <c r="I1119" s="22" t="str">
        <f t="shared" si="1"/>
        <v>#N/A</v>
      </c>
      <c r="J1119" s="22" t="str">
        <f t="shared" si="2"/>
        <v>#N/A</v>
      </c>
      <c r="K1119" s="22" t="str">
        <f t="array" ref="K1119">IF(H1119="Crash",MATCH(TRUE, B1120:B1217 &gt;= B1118, 0),"")</f>
        <v/>
      </c>
    </row>
    <row r="1120" ht="15.75" customHeight="1">
      <c r="A1120" s="31" t="str">
        <f>'EQUITY BACKTEST'!A1123</f>
        <v/>
      </c>
      <c r="B1120" s="22" t="str">
        <f>'EQUITY BACKTEST'!B1123</f>
        <v/>
      </c>
      <c r="C1120" s="22" t="str">
        <f>1/'EQUITY BACKTEST'!E1123</f>
        <v>#DIV/0!</v>
      </c>
      <c r="D1120" s="22" t="str">
        <f t="shared" si="7"/>
        <v>#DIV/0!</v>
      </c>
      <c r="E1120" s="22" t="str">
        <f t="shared" si="3"/>
        <v/>
      </c>
      <c r="F1120" s="22" t="str">
        <f t="shared" si="6"/>
        <v>#DIV/0!</v>
      </c>
      <c r="H1120" s="22" t="str">
        <f t="shared" si="4"/>
        <v/>
      </c>
      <c r="I1120" s="22" t="str">
        <f t="shared" si="1"/>
        <v>#N/A</v>
      </c>
      <c r="J1120" s="22" t="str">
        <f t="shared" si="2"/>
        <v>#N/A</v>
      </c>
      <c r="K1120" s="22" t="str">
        <f t="array" ref="K1120">IF(H1120="Crash",MATCH(TRUE, B1121:B1218 &gt;= B1119, 0),"")</f>
        <v/>
      </c>
    </row>
    <row r="1121" ht="15.75" customHeight="1">
      <c r="A1121" s="31" t="str">
        <f>'EQUITY BACKTEST'!A1124</f>
        <v/>
      </c>
      <c r="B1121" s="22" t="str">
        <f>'EQUITY BACKTEST'!B1124</f>
        <v/>
      </c>
      <c r="C1121" s="22" t="str">
        <f>1/'EQUITY BACKTEST'!E1124</f>
        <v>#DIV/0!</v>
      </c>
      <c r="D1121" s="22" t="str">
        <f t="shared" si="7"/>
        <v>#DIV/0!</v>
      </c>
      <c r="E1121" s="22" t="str">
        <f t="shared" si="3"/>
        <v/>
      </c>
      <c r="F1121" s="22" t="str">
        <f t="shared" si="6"/>
        <v>#DIV/0!</v>
      </c>
      <c r="H1121" s="22" t="str">
        <f t="shared" si="4"/>
        <v/>
      </c>
      <c r="I1121" s="22" t="str">
        <f t="shared" si="1"/>
        <v>#N/A</v>
      </c>
      <c r="J1121" s="22" t="str">
        <f t="shared" si="2"/>
        <v>#N/A</v>
      </c>
      <c r="K1121" s="22" t="str">
        <f t="array" ref="K1121">IF(H1121="Crash",MATCH(TRUE, B1122:B1219 &gt;= B1120, 0),"")</f>
        <v/>
      </c>
    </row>
    <row r="1122" ht="15.75" customHeight="1">
      <c r="A1122" s="31" t="str">
        <f>'EQUITY BACKTEST'!A1125</f>
        <v/>
      </c>
      <c r="B1122" s="22" t="str">
        <f>'EQUITY BACKTEST'!B1125</f>
        <v/>
      </c>
      <c r="C1122" s="22" t="str">
        <f>1/'EQUITY BACKTEST'!E1125</f>
        <v>#DIV/0!</v>
      </c>
      <c r="D1122" s="22" t="str">
        <f t="shared" si="7"/>
        <v>#DIV/0!</v>
      </c>
      <c r="E1122" s="22" t="str">
        <f t="shared" si="3"/>
        <v/>
      </c>
      <c r="F1122" s="22" t="str">
        <f t="shared" si="6"/>
        <v>#DIV/0!</v>
      </c>
      <c r="H1122" s="22" t="str">
        <f t="shared" si="4"/>
        <v/>
      </c>
      <c r="I1122" s="22" t="str">
        <f t="shared" si="1"/>
        <v>#N/A</v>
      </c>
      <c r="J1122" s="22" t="str">
        <f t="shared" si="2"/>
        <v>#N/A</v>
      </c>
      <c r="K1122" s="22" t="str">
        <f t="array" ref="K1122">IF(H1122="Crash",MATCH(TRUE, B1123:B1220 &gt;= B1121, 0),"")</f>
        <v/>
      </c>
    </row>
    <row r="1123" ht="15.75" customHeight="1">
      <c r="A1123" s="31" t="str">
        <f>'EQUITY BACKTEST'!A1126</f>
        <v/>
      </c>
      <c r="B1123" s="22" t="str">
        <f>'EQUITY BACKTEST'!B1126</f>
        <v/>
      </c>
      <c r="C1123" s="22" t="str">
        <f>1/'EQUITY BACKTEST'!E1126</f>
        <v>#DIV/0!</v>
      </c>
      <c r="D1123" s="22" t="str">
        <f t="shared" si="7"/>
        <v>#DIV/0!</v>
      </c>
      <c r="E1123" s="22" t="str">
        <f t="shared" si="3"/>
        <v/>
      </c>
      <c r="F1123" s="22" t="str">
        <f t="shared" si="6"/>
        <v>#DIV/0!</v>
      </c>
      <c r="H1123" s="22" t="str">
        <f t="shared" si="4"/>
        <v/>
      </c>
      <c r="I1123" s="22" t="str">
        <f t="shared" si="1"/>
        <v>#N/A</v>
      </c>
      <c r="J1123" s="22" t="str">
        <f t="shared" si="2"/>
        <v>#N/A</v>
      </c>
      <c r="K1123" s="22" t="str">
        <f t="array" ref="K1123">IF(H1123="Crash",MATCH(TRUE, B1124:B1221 &gt;= B1122, 0),"")</f>
        <v/>
      </c>
    </row>
    <row r="1124" ht="15.75" customHeight="1">
      <c r="A1124" s="31" t="str">
        <f>'EQUITY BACKTEST'!A1127</f>
        <v/>
      </c>
      <c r="B1124" s="22" t="str">
        <f>'EQUITY BACKTEST'!B1127</f>
        <v/>
      </c>
      <c r="C1124" s="22" t="str">
        <f>1/'EQUITY BACKTEST'!E1127</f>
        <v>#DIV/0!</v>
      </c>
      <c r="D1124" s="22" t="str">
        <f t="shared" si="7"/>
        <v>#DIV/0!</v>
      </c>
      <c r="E1124" s="22" t="str">
        <f t="shared" si="3"/>
        <v/>
      </c>
      <c r="F1124" s="22" t="str">
        <f t="shared" si="6"/>
        <v>#DIV/0!</v>
      </c>
      <c r="H1124" s="22" t="str">
        <f t="shared" si="4"/>
        <v/>
      </c>
      <c r="I1124" s="22" t="str">
        <f t="shared" si="1"/>
        <v>#N/A</v>
      </c>
      <c r="J1124" s="22" t="str">
        <f t="shared" si="2"/>
        <v>#N/A</v>
      </c>
      <c r="K1124" s="22" t="str">
        <f t="array" ref="K1124">IF(H1124="Crash",MATCH(TRUE, B1125:B1222 &gt;= B1123, 0),"")</f>
        <v/>
      </c>
    </row>
    <row r="1125" ht="15.75" customHeight="1">
      <c r="A1125" s="31" t="str">
        <f>'EQUITY BACKTEST'!A1128</f>
        <v/>
      </c>
      <c r="B1125" s="22" t="str">
        <f>'EQUITY BACKTEST'!B1128</f>
        <v/>
      </c>
      <c r="C1125" s="22" t="str">
        <f>1/'EQUITY BACKTEST'!E1128</f>
        <v>#DIV/0!</v>
      </c>
      <c r="D1125" s="22" t="str">
        <f t="shared" si="7"/>
        <v>#DIV/0!</v>
      </c>
      <c r="E1125" s="22" t="str">
        <f t="shared" si="3"/>
        <v/>
      </c>
      <c r="F1125" s="22" t="str">
        <f t="shared" si="6"/>
        <v>#DIV/0!</v>
      </c>
      <c r="H1125" s="22" t="str">
        <f t="shared" si="4"/>
        <v/>
      </c>
      <c r="I1125" s="22" t="str">
        <f t="shared" si="1"/>
        <v>#N/A</v>
      </c>
      <c r="J1125" s="22" t="str">
        <f t="shared" si="2"/>
        <v>#N/A</v>
      </c>
      <c r="K1125" s="22" t="str">
        <f t="array" ref="K1125">IF(H1125="Crash",MATCH(TRUE, B1126:B1223 &gt;= B1124, 0),"")</f>
        <v/>
      </c>
    </row>
    <row r="1126" ht="15.75" customHeight="1">
      <c r="A1126" s="31" t="str">
        <f>'EQUITY BACKTEST'!A1129</f>
        <v/>
      </c>
      <c r="B1126" s="22" t="str">
        <f>'EQUITY BACKTEST'!B1129</f>
        <v/>
      </c>
      <c r="C1126" s="22" t="str">
        <f>1/'EQUITY BACKTEST'!E1129</f>
        <v>#DIV/0!</v>
      </c>
      <c r="D1126" s="22" t="str">
        <f t="shared" si="7"/>
        <v>#DIV/0!</v>
      </c>
      <c r="E1126" s="22" t="str">
        <f t="shared" si="3"/>
        <v/>
      </c>
      <c r="F1126" s="22" t="str">
        <f t="shared" si="6"/>
        <v>#DIV/0!</v>
      </c>
      <c r="H1126" s="22" t="str">
        <f t="shared" si="4"/>
        <v/>
      </c>
      <c r="I1126" s="22" t="str">
        <f t="shared" si="1"/>
        <v>#N/A</v>
      </c>
      <c r="J1126" s="22" t="str">
        <f t="shared" si="2"/>
        <v>#N/A</v>
      </c>
      <c r="K1126" s="22" t="str">
        <f t="array" ref="K1126">IF(H1126="Crash",MATCH(TRUE, B1127:B1224 &gt;= B1125, 0),"")</f>
        <v/>
      </c>
    </row>
    <row r="1127" ht="15.75" customHeight="1">
      <c r="A1127" s="31" t="str">
        <f>'EQUITY BACKTEST'!A1130</f>
        <v/>
      </c>
      <c r="B1127" s="22" t="str">
        <f>'EQUITY BACKTEST'!B1130</f>
        <v/>
      </c>
      <c r="C1127" s="22" t="str">
        <f>1/'EQUITY BACKTEST'!E1130</f>
        <v>#DIV/0!</v>
      </c>
      <c r="D1127" s="22" t="str">
        <f t="shared" si="7"/>
        <v>#DIV/0!</v>
      </c>
      <c r="E1127" s="22" t="str">
        <f t="shared" si="3"/>
        <v/>
      </c>
      <c r="F1127" s="22" t="str">
        <f t="shared" si="6"/>
        <v>#DIV/0!</v>
      </c>
      <c r="H1127" s="22" t="str">
        <f t="shared" si="4"/>
        <v/>
      </c>
      <c r="I1127" s="22" t="str">
        <f t="shared" si="1"/>
        <v>#N/A</v>
      </c>
      <c r="J1127" s="22" t="str">
        <f t="shared" si="2"/>
        <v>#N/A</v>
      </c>
      <c r="K1127" s="22" t="str">
        <f t="array" ref="K1127">IF(H1127="Crash",MATCH(TRUE, B1128:B1225 &gt;= B1126, 0),"")</f>
        <v/>
      </c>
    </row>
    <row r="1128" ht="15.75" customHeight="1">
      <c r="A1128" s="31" t="str">
        <f>'EQUITY BACKTEST'!A1131</f>
        <v/>
      </c>
      <c r="B1128" s="22" t="str">
        <f>'EQUITY BACKTEST'!B1131</f>
        <v/>
      </c>
      <c r="C1128" s="22" t="str">
        <f>1/'EQUITY BACKTEST'!E1131</f>
        <v>#DIV/0!</v>
      </c>
      <c r="D1128" s="22" t="str">
        <f t="shared" si="7"/>
        <v>#DIV/0!</v>
      </c>
      <c r="E1128" s="22" t="str">
        <f t="shared" si="3"/>
        <v/>
      </c>
      <c r="F1128" s="22" t="str">
        <f t="shared" si="6"/>
        <v>#DIV/0!</v>
      </c>
      <c r="H1128" s="22" t="str">
        <f t="shared" si="4"/>
        <v/>
      </c>
      <c r="I1128" s="22" t="str">
        <f t="shared" si="1"/>
        <v>#N/A</v>
      </c>
      <c r="J1128" s="22" t="str">
        <f t="shared" si="2"/>
        <v>#N/A</v>
      </c>
      <c r="K1128" s="22" t="str">
        <f t="array" ref="K1128">IF(H1128="Crash",MATCH(TRUE, B1129:B1226 &gt;= B1127, 0),"")</f>
        <v/>
      </c>
    </row>
    <row r="1129" ht="15.75" customHeight="1">
      <c r="A1129" s="31" t="str">
        <f>'EQUITY BACKTEST'!A1132</f>
        <v/>
      </c>
      <c r="B1129" s="22" t="str">
        <f>'EQUITY BACKTEST'!B1132</f>
        <v/>
      </c>
      <c r="C1129" s="22" t="str">
        <f>1/'EQUITY BACKTEST'!E1132</f>
        <v>#DIV/0!</v>
      </c>
      <c r="D1129" s="22" t="str">
        <f t="shared" si="7"/>
        <v>#DIV/0!</v>
      </c>
      <c r="E1129" s="22" t="str">
        <f t="shared" si="3"/>
        <v/>
      </c>
      <c r="F1129" s="22" t="str">
        <f t="shared" si="6"/>
        <v>#DIV/0!</v>
      </c>
      <c r="H1129" s="22" t="str">
        <f t="shared" si="4"/>
        <v/>
      </c>
      <c r="I1129" s="22" t="str">
        <f t="shared" si="1"/>
        <v>#N/A</v>
      </c>
      <c r="J1129" s="22" t="str">
        <f t="shared" si="2"/>
        <v>#N/A</v>
      </c>
      <c r="K1129" s="22" t="str">
        <f t="array" ref="K1129">IF(H1129="Crash",MATCH(TRUE, B1130:B1227 &gt;= B1128, 0),"")</f>
        <v/>
      </c>
    </row>
    <row r="1130" ht="15.75" customHeight="1">
      <c r="A1130" s="31" t="str">
        <f>'EQUITY BACKTEST'!A1133</f>
        <v/>
      </c>
      <c r="B1130" s="22" t="str">
        <f>'EQUITY BACKTEST'!B1133</f>
        <v/>
      </c>
      <c r="C1130" s="22" t="str">
        <f>1/'EQUITY BACKTEST'!E1133</f>
        <v>#DIV/0!</v>
      </c>
      <c r="D1130" s="22" t="str">
        <f t="shared" si="7"/>
        <v>#DIV/0!</v>
      </c>
      <c r="E1130" s="22" t="str">
        <f t="shared" si="3"/>
        <v/>
      </c>
      <c r="F1130" s="22" t="str">
        <f t="shared" si="6"/>
        <v>#DIV/0!</v>
      </c>
      <c r="H1130" s="22" t="str">
        <f t="shared" si="4"/>
        <v/>
      </c>
      <c r="I1130" s="22" t="str">
        <f t="shared" si="1"/>
        <v>#N/A</v>
      </c>
      <c r="J1130" s="22" t="str">
        <f t="shared" si="2"/>
        <v>#N/A</v>
      </c>
      <c r="K1130" s="22" t="str">
        <f t="array" ref="K1130">IF(H1130="Crash",MATCH(TRUE, B1131:B1228 &gt;= B1129, 0),"")</f>
        <v/>
      </c>
    </row>
    <row r="1131" ht="15.75" customHeight="1">
      <c r="A1131" s="31" t="str">
        <f>'EQUITY BACKTEST'!A1134</f>
        <v/>
      </c>
      <c r="B1131" s="22" t="str">
        <f>'EQUITY BACKTEST'!B1134</f>
        <v/>
      </c>
      <c r="C1131" s="22" t="str">
        <f>1/'EQUITY BACKTEST'!E1134</f>
        <v>#DIV/0!</v>
      </c>
      <c r="D1131" s="22" t="str">
        <f t="shared" si="7"/>
        <v>#DIV/0!</v>
      </c>
      <c r="E1131" s="22" t="str">
        <f t="shared" si="3"/>
        <v/>
      </c>
      <c r="F1131" s="22" t="str">
        <f t="shared" si="6"/>
        <v>#DIV/0!</v>
      </c>
      <c r="H1131" s="22" t="str">
        <f t="shared" si="4"/>
        <v/>
      </c>
      <c r="I1131" s="22" t="str">
        <f t="shared" si="1"/>
        <v>#N/A</v>
      </c>
      <c r="J1131" s="22" t="str">
        <f t="shared" si="2"/>
        <v>#N/A</v>
      </c>
      <c r="K1131" s="22" t="str">
        <f t="array" ref="K1131">IF(H1131="Crash",MATCH(TRUE, B1132:B1229 &gt;= B1130, 0),"")</f>
        <v/>
      </c>
    </row>
    <row r="1132" ht="15.75" customHeight="1">
      <c r="A1132" s="31" t="str">
        <f>'EQUITY BACKTEST'!A1135</f>
        <v/>
      </c>
      <c r="B1132" s="22" t="str">
        <f>'EQUITY BACKTEST'!B1135</f>
        <v/>
      </c>
      <c r="C1132" s="22" t="str">
        <f>1/'EQUITY BACKTEST'!E1135</f>
        <v>#DIV/0!</v>
      </c>
      <c r="D1132" s="22" t="str">
        <f t="shared" si="7"/>
        <v>#DIV/0!</v>
      </c>
      <c r="E1132" s="22" t="str">
        <f t="shared" si="3"/>
        <v/>
      </c>
      <c r="F1132" s="22" t="str">
        <f t="shared" si="6"/>
        <v>#DIV/0!</v>
      </c>
      <c r="H1132" s="22" t="str">
        <f t="shared" si="4"/>
        <v/>
      </c>
      <c r="I1132" s="22" t="str">
        <f t="shared" si="1"/>
        <v>#N/A</v>
      </c>
      <c r="J1132" s="22" t="str">
        <f t="shared" si="2"/>
        <v>#N/A</v>
      </c>
      <c r="K1132" s="22" t="str">
        <f t="array" ref="K1132">IF(H1132="Crash",MATCH(TRUE, B1133:B1230 &gt;= B1131, 0),"")</f>
        <v/>
      </c>
    </row>
    <row r="1133" ht="15.75" customHeight="1">
      <c r="A1133" s="31" t="str">
        <f>'EQUITY BACKTEST'!A1136</f>
        <v/>
      </c>
      <c r="B1133" s="22" t="str">
        <f>'EQUITY BACKTEST'!B1136</f>
        <v/>
      </c>
      <c r="C1133" s="22" t="str">
        <f>1/'EQUITY BACKTEST'!E1136</f>
        <v>#DIV/0!</v>
      </c>
      <c r="D1133" s="22" t="str">
        <f t="shared" si="7"/>
        <v>#DIV/0!</v>
      </c>
      <c r="E1133" s="22" t="str">
        <f t="shared" si="3"/>
        <v/>
      </c>
      <c r="F1133" s="22" t="str">
        <f t="shared" si="6"/>
        <v>#DIV/0!</v>
      </c>
      <c r="H1133" s="22" t="str">
        <f t="shared" si="4"/>
        <v/>
      </c>
      <c r="I1133" s="22" t="str">
        <f t="shared" si="1"/>
        <v>#N/A</v>
      </c>
      <c r="J1133" s="22" t="str">
        <f t="shared" si="2"/>
        <v>#N/A</v>
      </c>
      <c r="K1133" s="22" t="str">
        <f t="array" ref="K1133">IF(H1133="Crash",MATCH(TRUE, B1134:B1231 &gt;= B1132, 0),"")</f>
        <v/>
      </c>
    </row>
    <row r="1134" ht="15.75" customHeight="1">
      <c r="A1134" s="31" t="str">
        <f>'EQUITY BACKTEST'!A1137</f>
        <v/>
      </c>
      <c r="B1134" s="22" t="str">
        <f>'EQUITY BACKTEST'!B1137</f>
        <v/>
      </c>
      <c r="C1134" s="22" t="str">
        <f>1/'EQUITY BACKTEST'!E1137</f>
        <v>#DIV/0!</v>
      </c>
      <c r="D1134" s="22" t="str">
        <f t="shared" si="7"/>
        <v>#DIV/0!</v>
      </c>
      <c r="E1134" s="22" t="str">
        <f t="shared" si="3"/>
        <v/>
      </c>
      <c r="F1134" s="22" t="str">
        <f t="shared" si="6"/>
        <v>#DIV/0!</v>
      </c>
      <c r="H1134" s="22" t="str">
        <f t="shared" si="4"/>
        <v/>
      </c>
      <c r="I1134" s="22" t="str">
        <f t="shared" si="1"/>
        <v>#N/A</v>
      </c>
      <c r="J1134" s="22" t="str">
        <f t="shared" si="2"/>
        <v>#N/A</v>
      </c>
      <c r="K1134" s="22" t="str">
        <f t="array" ref="K1134">IF(H1134="Crash",MATCH(TRUE, B1135:B1232 &gt;= B1133, 0),"")</f>
        <v/>
      </c>
    </row>
    <row r="1135" ht="15.75" customHeight="1">
      <c r="A1135" s="31" t="str">
        <f>'EQUITY BACKTEST'!A1138</f>
        <v/>
      </c>
      <c r="B1135" s="22" t="str">
        <f>'EQUITY BACKTEST'!B1138</f>
        <v/>
      </c>
      <c r="C1135" s="22" t="str">
        <f>1/'EQUITY BACKTEST'!E1138</f>
        <v>#DIV/0!</v>
      </c>
      <c r="D1135" s="22" t="str">
        <f t="shared" si="7"/>
        <v>#DIV/0!</v>
      </c>
      <c r="E1135" s="22" t="str">
        <f t="shared" si="3"/>
        <v/>
      </c>
      <c r="F1135" s="22" t="str">
        <f t="shared" si="6"/>
        <v>#DIV/0!</v>
      </c>
      <c r="H1135" s="22" t="str">
        <f t="shared" si="4"/>
        <v/>
      </c>
      <c r="I1135" s="22" t="str">
        <f t="shared" si="1"/>
        <v>#N/A</v>
      </c>
      <c r="J1135" s="22" t="str">
        <f t="shared" si="2"/>
        <v>#N/A</v>
      </c>
      <c r="K1135" s="22" t="str">
        <f t="array" ref="K1135">IF(H1135="Crash",MATCH(TRUE, B1136:B1233 &gt;= B1134, 0),"")</f>
        <v/>
      </c>
    </row>
    <row r="1136" ht="15.75" customHeight="1">
      <c r="A1136" s="31" t="str">
        <f>'EQUITY BACKTEST'!A1139</f>
        <v/>
      </c>
      <c r="B1136" s="22" t="str">
        <f>'EQUITY BACKTEST'!B1139</f>
        <v/>
      </c>
      <c r="C1136" s="22" t="str">
        <f>1/'EQUITY BACKTEST'!E1139</f>
        <v>#DIV/0!</v>
      </c>
      <c r="D1136" s="22" t="str">
        <f t="shared" si="7"/>
        <v>#DIV/0!</v>
      </c>
      <c r="E1136" s="22" t="str">
        <f t="shared" si="3"/>
        <v/>
      </c>
      <c r="F1136" s="22" t="str">
        <f t="shared" si="6"/>
        <v>#DIV/0!</v>
      </c>
      <c r="H1136" s="22" t="str">
        <f t="shared" si="4"/>
        <v/>
      </c>
      <c r="I1136" s="22" t="str">
        <f t="shared" si="1"/>
        <v>#N/A</v>
      </c>
      <c r="J1136" s="22" t="str">
        <f t="shared" si="2"/>
        <v>#N/A</v>
      </c>
      <c r="K1136" s="22" t="str">
        <f t="array" ref="K1136">IF(H1136="Crash",MATCH(TRUE, B1137:B1234 &gt;= B1135, 0),"")</f>
        <v/>
      </c>
    </row>
    <row r="1137" ht="15.75" customHeight="1">
      <c r="A1137" s="31" t="str">
        <f>'EQUITY BACKTEST'!A1140</f>
        <v/>
      </c>
      <c r="B1137" s="22" t="str">
        <f>'EQUITY BACKTEST'!B1140</f>
        <v/>
      </c>
      <c r="C1137" s="22" t="str">
        <f>1/'EQUITY BACKTEST'!E1140</f>
        <v>#DIV/0!</v>
      </c>
      <c r="D1137" s="22" t="str">
        <f t="shared" si="7"/>
        <v>#DIV/0!</v>
      </c>
      <c r="E1137" s="22" t="str">
        <f t="shared" si="3"/>
        <v/>
      </c>
      <c r="F1137" s="22" t="str">
        <f t="shared" si="6"/>
        <v>#DIV/0!</v>
      </c>
      <c r="H1137" s="22" t="str">
        <f t="shared" si="4"/>
        <v/>
      </c>
      <c r="I1137" s="22" t="str">
        <f t="shared" si="1"/>
        <v>#N/A</v>
      </c>
      <c r="J1137" s="22" t="str">
        <f t="shared" si="2"/>
        <v>#N/A</v>
      </c>
      <c r="K1137" s="22" t="str">
        <f t="array" ref="K1137">IF(H1137="Crash",MATCH(TRUE, B1138:B1235 &gt;= B1136, 0),"")</f>
        <v/>
      </c>
    </row>
    <row r="1138" ht="15.75" customHeight="1">
      <c r="A1138" s="31" t="str">
        <f>'EQUITY BACKTEST'!A1141</f>
        <v/>
      </c>
      <c r="B1138" s="22" t="str">
        <f>'EQUITY BACKTEST'!B1141</f>
        <v/>
      </c>
      <c r="C1138" s="22" t="str">
        <f>1/'EQUITY BACKTEST'!E1141</f>
        <v>#DIV/0!</v>
      </c>
      <c r="D1138" s="22" t="str">
        <f t="shared" si="7"/>
        <v>#DIV/0!</v>
      </c>
      <c r="E1138" s="22" t="str">
        <f t="shared" si="3"/>
        <v/>
      </c>
      <c r="F1138" s="22" t="str">
        <f t="shared" si="6"/>
        <v>#DIV/0!</v>
      </c>
      <c r="H1138" s="22" t="str">
        <f t="shared" si="4"/>
        <v/>
      </c>
      <c r="I1138" s="22" t="str">
        <f t="shared" si="1"/>
        <v>#N/A</v>
      </c>
      <c r="J1138" s="22" t="str">
        <f t="shared" si="2"/>
        <v>#N/A</v>
      </c>
      <c r="K1138" s="22" t="str">
        <f t="array" ref="K1138">IF(H1138="Crash",MATCH(TRUE, B1139:B1236 &gt;= B1137, 0),"")</f>
        <v/>
      </c>
    </row>
    <row r="1139" ht="15.75" customHeight="1">
      <c r="A1139" s="31" t="str">
        <f>'EQUITY BACKTEST'!A1142</f>
        <v/>
      </c>
      <c r="B1139" s="22" t="str">
        <f>'EQUITY BACKTEST'!B1142</f>
        <v/>
      </c>
      <c r="C1139" s="22" t="str">
        <f>1/'EQUITY BACKTEST'!E1142</f>
        <v>#DIV/0!</v>
      </c>
      <c r="D1139" s="22" t="str">
        <f t="shared" si="7"/>
        <v>#DIV/0!</v>
      </c>
      <c r="E1139" s="22" t="str">
        <f t="shared" si="3"/>
        <v/>
      </c>
      <c r="F1139" s="22" t="str">
        <f t="shared" si="6"/>
        <v>#DIV/0!</v>
      </c>
      <c r="H1139" s="22" t="str">
        <f t="shared" si="4"/>
        <v/>
      </c>
      <c r="I1139" s="22" t="str">
        <f t="shared" si="1"/>
        <v>#N/A</v>
      </c>
      <c r="J1139" s="22" t="str">
        <f t="shared" si="2"/>
        <v>#N/A</v>
      </c>
      <c r="K1139" s="22" t="str">
        <f t="array" ref="K1139">IF(H1139="Crash",MATCH(TRUE, B1140:B1237 &gt;= B1138, 0),"")</f>
        <v/>
      </c>
    </row>
    <row r="1140" ht="15.75" customHeight="1">
      <c r="A1140" s="31" t="str">
        <f>'EQUITY BACKTEST'!A1143</f>
        <v/>
      </c>
      <c r="B1140" s="22" t="str">
        <f>'EQUITY BACKTEST'!B1143</f>
        <v/>
      </c>
      <c r="C1140" s="22" t="str">
        <f>1/'EQUITY BACKTEST'!E1143</f>
        <v>#DIV/0!</v>
      </c>
      <c r="D1140" s="22" t="str">
        <f t="shared" si="7"/>
        <v>#DIV/0!</v>
      </c>
      <c r="E1140" s="22" t="str">
        <f t="shared" si="3"/>
        <v/>
      </c>
      <c r="F1140" s="22" t="str">
        <f t="shared" si="6"/>
        <v>#DIV/0!</v>
      </c>
      <c r="H1140" s="22" t="str">
        <f t="shared" si="4"/>
        <v/>
      </c>
      <c r="I1140" s="22" t="str">
        <f t="shared" si="1"/>
        <v>#N/A</v>
      </c>
      <c r="J1140" s="22" t="str">
        <f t="shared" si="2"/>
        <v>#N/A</v>
      </c>
      <c r="K1140" s="22" t="str">
        <f t="array" ref="K1140">IF(H1140="Crash",MATCH(TRUE, B1141:B1238 &gt;= B1139, 0),"")</f>
        <v/>
      </c>
    </row>
    <row r="1141" ht="15.75" customHeight="1">
      <c r="A1141" s="31" t="str">
        <f>'EQUITY BACKTEST'!A1144</f>
        <v/>
      </c>
      <c r="B1141" s="22" t="str">
        <f>'EQUITY BACKTEST'!B1144</f>
        <v/>
      </c>
      <c r="C1141" s="22" t="str">
        <f>1/'EQUITY BACKTEST'!E1144</f>
        <v>#DIV/0!</v>
      </c>
      <c r="D1141" s="22" t="str">
        <f t="shared" si="7"/>
        <v>#DIV/0!</v>
      </c>
      <c r="E1141" s="22" t="str">
        <f t="shared" si="3"/>
        <v/>
      </c>
      <c r="F1141" s="22" t="str">
        <f t="shared" si="6"/>
        <v>#DIV/0!</v>
      </c>
      <c r="H1141" s="22" t="str">
        <f t="shared" si="4"/>
        <v/>
      </c>
      <c r="I1141" s="22" t="str">
        <f t="shared" si="1"/>
        <v>#N/A</v>
      </c>
      <c r="J1141" s="22" t="str">
        <f t="shared" si="2"/>
        <v>#N/A</v>
      </c>
      <c r="K1141" s="22" t="str">
        <f t="array" ref="K1141">IF(H1141="Crash",MATCH(TRUE, B1142:B1239 &gt;= B1140, 0),"")</f>
        <v/>
      </c>
    </row>
    <row r="1142" ht="15.75" customHeight="1">
      <c r="A1142" s="31" t="str">
        <f>'EQUITY BACKTEST'!A1145</f>
        <v/>
      </c>
      <c r="B1142" s="22" t="str">
        <f>'EQUITY BACKTEST'!B1145</f>
        <v/>
      </c>
      <c r="C1142" s="22" t="str">
        <f>1/'EQUITY BACKTEST'!E1145</f>
        <v>#DIV/0!</v>
      </c>
      <c r="D1142" s="22" t="str">
        <f t="shared" si="7"/>
        <v>#DIV/0!</v>
      </c>
      <c r="E1142" s="22" t="str">
        <f t="shared" si="3"/>
        <v/>
      </c>
      <c r="F1142" s="22" t="str">
        <f t="shared" si="6"/>
        <v>#DIV/0!</v>
      </c>
      <c r="H1142" s="22" t="str">
        <f t="shared" si="4"/>
        <v/>
      </c>
      <c r="I1142" s="22" t="str">
        <f t="shared" si="1"/>
        <v>#N/A</v>
      </c>
      <c r="J1142" s="22" t="str">
        <f t="shared" si="2"/>
        <v>#N/A</v>
      </c>
      <c r="K1142" s="22" t="str">
        <f t="array" ref="K1142">IF(H1142="Crash",MATCH(TRUE, B1143:B1240 &gt;= B1141, 0),"")</f>
        <v/>
      </c>
    </row>
    <row r="1143" ht="15.75" customHeight="1">
      <c r="A1143" s="31" t="str">
        <f>'EQUITY BACKTEST'!A1146</f>
        <v/>
      </c>
      <c r="B1143" s="22" t="str">
        <f>'EQUITY BACKTEST'!B1146</f>
        <v/>
      </c>
      <c r="C1143" s="22" t="str">
        <f>1/'EQUITY BACKTEST'!E1146</f>
        <v>#DIV/0!</v>
      </c>
      <c r="D1143" s="22" t="str">
        <f t="shared" si="7"/>
        <v>#DIV/0!</v>
      </c>
      <c r="E1143" s="22" t="str">
        <f t="shared" si="3"/>
        <v/>
      </c>
      <c r="F1143" s="22" t="str">
        <f t="shared" si="6"/>
        <v>#DIV/0!</v>
      </c>
      <c r="H1143" s="22" t="str">
        <f t="shared" si="4"/>
        <v/>
      </c>
      <c r="I1143" s="22" t="str">
        <f t="shared" si="1"/>
        <v>#N/A</v>
      </c>
      <c r="J1143" s="22" t="str">
        <f t="shared" si="2"/>
        <v>#N/A</v>
      </c>
      <c r="K1143" s="22" t="str">
        <f t="array" ref="K1143">IF(H1143="Crash",MATCH(TRUE, B1144:B1241 &gt;= B1142, 0),"")</f>
        <v/>
      </c>
    </row>
    <row r="1144" ht="15.75" customHeight="1">
      <c r="A1144" s="31" t="str">
        <f>'EQUITY BACKTEST'!A1147</f>
        <v/>
      </c>
      <c r="B1144" s="22" t="str">
        <f>'EQUITY BACKTEST'!B1147</f>
        <v/>
      </c>
      <c r="C1144" s="22" t="str">
        <f>1/'EQUITY BACKTEST'!E1147</f>
        <v>#DIV/0!</v>
      </c>
      <c r="D1144" s="22" t="str">
        <f t="shared" si="7"/>
        <v>#DIV/0!</v>
      </c>
      <c r="E1144" s="22" t="str">
        <f t="shared" si="3"/>
        <v/>
      </c>
      <c r="F1144" s="22" t="str">
        <f t="shared" si="6"/>
        <v>#DIV/0!</v>
      </c>
      <c r="H1144" s="22" t="str">
        <f t="shared" si="4"/>
        <v/>
      </c>
      <c r="I1144" s="22" t="str">
        <f t="shared" si="1"/>
        <v>#N/A</v>
      </c>
      <c r="J1144" s="22" t="str">
        <f t="shared" si="2"/>
        <v>#N/A</v>
      </c>
      <c r="K1144" s="22" t="str">
        <f t="array" ref="K1144">IF(H1144="Crash",MATCH(TRUE, B1145:B1242 &gt;= B1143, 0),"")</f>
        <v/>
      </c>
    </row>
    <row r="1145" ht="15.75" customHeight="1">
      <c r="A1145" s="31" t="str">
        <f>'EQUITY BACKTEST'!A1148</f>
        <v/>
      </c>
      <c r="B1145" s="22" t="str">
        <f>'EQUITY BACKTEST'!B1148</f>
        <v/>
      </c>
      <c r="C1145" s="22" t="str">
        <f>1/'EQUITY BACKTEST'!E1148</f>
        <v>#DIV/0!</v>
      </c>
      <c r="D1145" s="22" t="str">
        <f t="shared" si="7"/>
        <v>#DIV/0!</v>
      </c>
      <c r="E1145" s="22" t="str">
        <f t="shared" si="3"/>
        <v/>
      </c>
      <c r="F1145" s="22" t="str">
        <f t="shared" si="6"/>
        <v>#DIV/0!</v>
      </c>
      <c r="H1145" s="22" t="str">
        <f t="shared" si="4"/>
        <v/>
      </c>
      <c r="I1145" s="22" t="str">
        <f t="shared" si="1"/>
        <v>#N/A</v>
      </c>
      <c r="J1145" s="22" t="str">
        <f t="shared" si="2"/>
        <v>#N/A</v>
      </c>
      <c r="K1145" s="22" t="str">
        <f t="array" ref="K1145">IF(H1145="Crash",MATCH(TRUE, B1146:B1243 &gt;= B1144, 0),"")</f>
        <v/>
      </c>
    </row>
    <row r="1146" ht="15.75" customHeight="1">
      <c r="A1146" s="31" t="str">
        <f>'EQUITY BACKTEST'!A1149</f>
        <v/>
      </c>
      <c r="B1146" s="22" t="str">
        <f>'EQUITY BACKTEST'!B1149</f>
        <v/>
      </c>
      <c r="C1146" s="22" t="str">
        <f>1/'EQUITY BACKTEST'!E1149</f>
        <v>#DIV/0!</v>
      </c>
      <c r="D1146" s="22" t="str">
        <f t="shared" si="7"/>
        <v>#DIV/0!</v>
      </c>
      <c r="E1146" s="22" t="str">
        <f t="shared" si="3"/>
        <v/>
      </c>
      <c r="F1146" s="22" t="str">
        <f t="shared" si="6"/>
        <v>#DIV/0!</v>
      </c>
      <c r="H1146" s="22" t="str">
        <f t="shared" si="4"/>
        <v/>
      </c>
      <c r="I1146" s="22" t="str">
        <f t="shared" si="1"/>
        <v>#N/A</v>
      </c>
      <c r="J1146" s="22" t="str">
        <f t="shared" si="2"/>
        <v>#N/A</v>
      </c>
      <c r="K1146" s="22" t="str">
        <f t="array" ref="K1146">IF(H1146="Crash",MATCH(TRUE, B1147:B1244 &gt;= B1145, 0),"")</f>
        <v/>
      </c>
    </row>
    <row r="1147" ht="15.75" customHeight="1">
      <c r="A1147" s="31" t="str">
        <f>'EQUITY BACKTEST'!A1150</f>
        <v/>
      </c>
      <c r="B1147" s="22" t="str">
        <f>'EQUITY BACKTEST'!B1150</f>
        <v/>
      </c>
      <c r="C1147" s="22" t="str">
        <f>1/'EQUITY BACKTEST'!E1150</f>
        <v>#DIV/0!</v>
      </c>
      <c r="D1147" s="22" t="str">
        <f t="shared" si="7"/>
        <v>#DIV/0!</v>
      </c>
      <c r="E1147" s="22" t="str">
        <f t="shared" si="3"/>
        <v/>
      </c>
      <c r="F1147" s="22" t="str">
        <f t="shared" si="6"/>
        <v>#DIV/0!</v>
      </c>
      <c r="H1147" s="22" t="str">
        <f t="shared" si="4"/>
        <v/>
      </c>
      <c r="I1147" s="22" t="str">
        <f t="shared" si="1"/>
        <v>#N/A</v>
      </c>
      <c r="J1147" s="22" t="str">
        <f t="shared" si="2"/>
        <v>#N/A</v>
      </c>
      <c r="K1147" s="22" t="str">
        <f t="array" ref="K1147">IF(H1147="Crash",MATCH(TRUE, B1148:B1245 &gt;= B1146, 0),"")</f>
        <v/>
      </c>
    </row>
    <row r="1148" ht="15.75" customHeight="1">
      <c r="A1148" s="31" t="str">
        <f>'EQUITY BACKTEST'!A1151</f>
        <v/>
      </c>
      <c r="B1148" s="22" t="str">
        <f>'EQUITY BACKTEST'!B1151</f>
        <v/>
      </c>
      <c r="C1148" s="22" t="str">
        <f>1/'EQUITY BACKTEST'!E1151</f>
        <v>#DIV/0!</v>
      </c>
      <c r="D1148" s="22" t="str">
        <f t="shared" si="7"/>
        <v>#DIV/0!</v>
      </c>
      <c r="E1148" s="22" t="str">
        <f t="shared" si="3"/>
        <v/>
      </c>
      <c r="F1148" s="22" t="str">
        <f t="shared" si="6"/>
        <v>#DIV/0!</v>
      </c>
      <c r="H1148" s="22" t="str">
        <f t="shared" si="4"/>
        <v/>
      </c>
      <c r="I1148" s="22" t="str">
        <f t="shared" si="1"/>
        <v>#N/A</v>
      </c>
      <c r="J1148" s="22" t="str">
        <f t="shared" si="2"/>
        <v>#N/A</v>
      </c>
      <c r="K1148" s="22" t="str">
        <f t="array" ref="K1148">IF(H1148="Crash",MATCH(TRUE, B1149:B1246 &gt;= B1147, 0),"")</f>
        <v/>
      </c>
    </row>
    <row r="1149" ht="15.75" customHeight="1">
      <c r="A1149" s="31" t="str">
        <f>'EQUITY BACKTEST'!A1152</f>
        <v/>
      </c>
      <c r="B1149" s="22" t="str">
        <f>'EQUITY BACKTEST'!B1152</f>
        <v/>
      </c>
      <c r="C1149" s="22" t="str">
        <f>1/'EQUITY BACKTEST'!E1152</f>
        <v>#DIV/0!</v>
      </c>
      <c r="D1149" s="22" t="str">
        <f t="shared" si="7"/>
        <v>#DIV/0!</v>
      </c>
      <c r="E1149" s="22" t="str">
        <f t="shared" si="3"/>
        <v/>
      </c>
      <c r="F1149" s="22" t="str">
        <f t="shared" si="6"/>
        <v>#DIV/0!</v>
      </c>
      <c r="H1149" s="22" t="str">
        <f t="shared" si="4"/>
        <v/>
      </c>
      <c r="I1149" s="22" t="str">
        <f t="shared" si="1"/>
        <v>#N/A</v>
      </c>
      <c r="J1149" s="22" t="str">
        <f t="shared" si="2"/>
        <v>#N/A</v>
      </c>
      <c r="K1149" s="22" t="str">
        <f t="array" ref="K1149">IF(H1149="Crash",MATCH(TRUE, B1150:B1247 &gt;= B1148, 0),"")</f>
        <v/>
      </c>
    </row>
    <row r="1150" ht="15.75" customHeight="1">
      <c r="A1150" s="31" t="str">
        <f>'EQUITY BACKTEST'!A1153</f>
        <v/>
      </c>
      <c r="B1150" s="22" t="str">
        <f>'EQUITY BACKTEST'!B1153</f>
        <v/>
      </c>
      <c r="C1150" s="22" t="str">
        <f>1/'EQUITY BACKTEST'!E1153</f>
        <v>#DIV/0!</v>
      </c>
      <c r="D1150" s="22" t="str">
        <f t="shared" si="7"/>
        <v>#DIV/0!</v>
      </c>
      <c r="E1150" s="22" t="str">
        <f t="shared" si="3"/>
        <v/>
      </c>
      <c r="F1150" s="22" t="str">
        <f t="shared" si="6"/>
        <v>#DIV/0!</v>
      </c>
      <c r="H1150" s="22" t="str">
        <f t="shared" si="4"/>
        <v/>
      </c>
      <c r="I1150" s="22" t="str">
        <f t="shared" si="1"/>
        <v>#N/A</v>
      </c>
      <c r="J1150" s="22" t="str">
        <f t="shared" si="2"/>
        <v>#N/A</v>
      </c>
      <c r="K1150" s="22" t="str">
        <f t="array" ref="K1150">IF(H1150="Crash",MATCH(TRUE, B1151:B1248 &gt;= B1149, 0),"")</f>
        <v/>
      </c>
    </row>
    <row r="1151" ht="15.75" customHeight="1">
      <c r="A1151" s="31" t="str">
        <f>'EQUITY BACKTEST'!A1154</f>
        <v/>
      </c>
      <c r="B1151" s="22" t="str">
        <f>'EQUITY BACKTEST'!B1154</f>
        <v/>
      </c>
      <c r="C1151" s="22" t="str">
        <f>1/'EQUITY BACKTEST'!E1154</f>
        <v>#DIV/0!</v>
      </c>
      <c r="D1151" s="22" t="str">
        <f t="shared" si="7"/>
        <v>#DIV/0!</v>
      </c>
      <c r="E1151" s="22" t="str">
        <f t="shared" si="3"/>
        <v/>
      </c>
      <c r="F1151" s="22" t="str">
        <f t="shared" si="6"/>
        <v>#DIV/0!</v>
      </c>
      <c r="H1151" s="22" t="str">
        <f t="shared" si="4"/>
        <v/>
      </c>
      <c r="I1151" s="22" t="str">
        <f t="shared" si="1"/>
        <v>#N/A</v>
      </c>
      <c r="J1151" s="22" t="str">
        <f t="shared" si="2"/>
        <v>#N/A</v>
      </c>
      <c r="K1151" s="22" t="str">
        <f t="array" ref="K1151">IF(H1151="Crash",MATCH(TRUE, B1152:B1249 &gt;= B1150, 0),"")</f>
        <v/>
      </c>
    </row>
    <row r="1152" ht="15.75" customHeight="1">
      <c r="A1152" s="31" t="str">
        <f>'EQUITY BACKTEST'!A1155</f>
        <v/>
      </c>
      <c r="B1152" s="22" t="str">
        <f>'EQUITY BACKTEST'!B1155</f>
        <v/>
      </c>
      <c r="C1152" s="22" t="str">
        <f>1/'EQUITY BACKTEST'!E1155</f>
        <v>#DIV/0!</v>
      </c>
      <c r="D1152" s="22" t="str">
        <f t="shared" si="7"/>
        <v>#DIV/0!</v>
      </c>
      <c r="E1152" s="22" t="str">
        <f t="shared" si="3"/>
        <v/>
      </c>
      <c r="F1152" s="22" t="str">
        <f t="shared" si="6"/>
        <v>#DIV/0!</v>
      </c>
      <c r="H1152" s="22" t="str">
        <f t="shared" si="4"/>
        <v/>
      </c>
      <c r="I1152" s="22" t="str">
        <f t="shared" si="1"/>
        <v>#N/A</v>
      </c>
      <c r="J1152" s="22" t="str">
        <f t="shared" si="2"/>
        <v>#N/A</v>
      </c>
      <c r="K1152" s="22" t="str">
        <f t="array" ref="K1152">IF(H1152="Crash",MATCH(TRUE, B1153:B1250 &gt;= B1151, 0),"")</f>
        <v/>
      </c>
    </row>
    <row r="1153" ht="15.75" customHeight="1">
      <c r="A1153" s="31" t="str">
        <f>'EQUITY BACKTEST'!A1156</f>
        <v/>
      </c>
      <c r="B1153" s="22" t="str">
        <f>'EQUITY BACKTEST'!B1156</f>
        <v/>
      </c>
      <c r="C1153" s="22" t="str">
        <f>1/'EQUITY BACKTEST'!E1156</f>
        <v>#DIV/0!</v>
      </c>
      <c r="D1153" s="22" t="str">
        <f t="shared" si="7"/>
        <v>#DIV/0!</v>
      </c>
      <c r="E1153" s="22" t="str">
        <f t="shared" si="3"/>
        <v/>
      </c>
      <c r="F1153" s="22" t="str">
        <f t="shared" si="6"/>
        <v>#DIV/0!</v>
      </c>
      <c r="H1153" s="22" t="str">
        <f t="shared" si="4"/>
        <v/>
      </c>
      <c r="I1153" s="22" t="str">
        <f t="shared" si="1"/>
        <v>#N/A</v>
      </c>
      <c r="J1153" s="22" t="str">
        <f t="shared" si="2"/>
        <v>#N/A</v>
      </c>
      <c r="K1153" s="22" t="str">
        <f t="array" ref="K1153">IF(H1153="Crash",MATCH(TRUE, B1154:B1251 &gt;= B1152, 0),"")</f>
        <v/>
      </c>
    </row>
    <row r="1154" ht="15.75" customHeight="1">
      <c r="A1154" s="31" t="str">
        <f>'EQUITY BACKTEST'!A1157</f>
        <v/>
      </c>
      <c r="B1154" s="22" t="str">
        <f>'EQUITY BACKTEST'!B1157</f>
        <v/>
      </c>
      <c r="C1154" s="22" t="str">
        <f>1/'EQUITY BACKTEST'!E1157</f>
        <v>#DIV/0!</v>
      </c>
      <c r="D1154" s="22" t="str">
        <f t="shared" si="7"/>
        <v>#DIV/0!</v>
      </c>
      <c r="E1154" s="22" t="str">
        <f t="shared" si="3"/>
        <v/>
      </c>
      <c r="F1154" s="22" t="str">
        <f t="shared" si="6"/>
        <v>#DIV/0!</v>
      </c>
      <c r="H1154" s="22" t="str">
        <f t="shared" si="4"/>
        <v/>
      </c>
      <c r="I1154" s="22" t="str">
        <f t="shared" si="1"/>
        <v>#N/A</v>
      </c>
      <c r="J1154" s="22" t="str">
        <f t="shared" si="2"/>
        <v>#N/A</v>
      </c>
      <c r="K1154" s="22" t="str">
        <f t="array" ref="K1154">IF(H1154="Crash",MATCH(TRUE, B1155:B1252 &gt;= B1153, 0),"")</f>
        <v/>
      </c>
    </row>
    <row r="1155" ht="15.75" customHeight="1">
      <c r="A1155" s="31" t="str">
        <f>'EQUITY BACKTEST'!A1158</f>
        <v/>
      </c>
      <c r="B1155" s="22" t="str">
        <f>'EQUITY BACKTEST'!B1158</f>
        <v/>
      </c>
      <c r="C1155" s="22" t="str">
        <f>1/'EQUITY BACKTEST'!E1158</f>
        <v>#DIV/0!</v>
      </c>
      <c r="D1155" s="22" t="str">
        <f t="shared" si="7"/>
        <v>#DIV/0!</v>
      </c>
      <c r="E1155" s="22" t="str">
        <f t="shared" si="3"/>
        <v/>
      </c>
      <c r="F1155" s="22" t="str">
        <f t="shared" si="6"/>
        <v>#DIV/0!</v>
      </c>
      <c r="H1155" s="22" t="str">
        <f t="shared" si="4"/>
        <v/>
      </c>
      <c r="I1155" s="22" t="str">
        <f t="shared" si="1"/>
        <v>#N/A</v>
      </c>
      <c r="J1155" s="22" t="str">
        <f t="shared" si="2"/>
        <v>#N/A</v>
      </c>
      <c r="K1155" s="22" t="str">
        <f t="array" ref="K1155">IF(H1155="Crash",MATCH(TRUE, B1156:B1253 &gt;= B1154, 0),"")</f>
        <v/>
      </c>
    </row>
    <row r="1156" ht="15.75" customHeight="1">
      <c r="A1156" s="31" t="str">
        <f>'EQUITY BACKTEST'!A1159</f>
        <v/>
      </c>
      <c r="B1156" s="22" t="str">
        <f>'EQUITY BACKTEST'!B1159</f>
        <v/>
      </c>
      <c r="C1156" s="22" t="str">
        <f>1/'EQUITY BACKTEST'!E1159</f>
        <v>#DIV/0!</v>
      </c>
      <c r="D1156" s="22" t="str">
        <f t="shared" si="7"/>
        <v>#DIV/0!</v>
      </c>
      <c r="E1156" s="22" t="str">
        <f t="shared" si="3"/>
        <v/>
      </c>
      <c r="F1156" s="22" t="str">
        <f t="shared" si="6"/>
        <v>#DIV/0!</v>
      </c>
      <c r="H1156" s="22" t="str">
        <f t="shared" si="4"/>
        <v/>
      </c>
      <c r="I1156" s="22" t="str">
        <f t="shared" si="1"/>
        <v>#N/A</v>
      </c>
      <c r="J1156" s="22" t="str">
        <f t="shared" si="2"/>
        <v>#N/A</v>
      </c>
      <c r="K1156" s="22" t="str">
        <f t="array" ref="K1156">IF(H1156="Crash",MATCH(TRUE, B1157:B1254 &gt;= B1155, 0),"")</f>
        <v/>
      </c>
    </row>
    <row r="1157" ht="15.75" customHeight="1">
      <c r="A1157" s="31" t="str">
        <f>'EQUITY BACKTEST'!A1160</f>
        <v/>
      </c>
      <c r="B1157" s="22" t="str">
        <f>'EQUITY BACKTEST'!B1160</f>
        <v/>
      </c>
      <c r="C1157" s="22" t="str">
        <f>1/'EQUITY BACKTEST'!E1160</f>
        <v>#DIV/0!</v>
      </c>
      <c r="D1157" s="22" t="str">
        <f t="shared" si="7"/>
        <v>#DIV/0!</v>
      </c>
      <c r="E1157" s="22" t="str">
        <f t="shared" si="3"/>
        <v/>
      </c>
      <c r="F1157" s="22" t="str">
        <f t="shared" si="6"/>
        <v>#DIV/0!</v>
      </c>
      <c r="H1157" s="22" t="str">
        <f t="shared" si="4"/>
        <v/>
      </c>
      <c r="I1157" s="22" t="str">
        <f t="shared" si="1"/>
        <v>#N/A</v>
      </c>
      <c r="J1157" s="22" t="str">
        <f t="shared" si="2"/>
        <v>#N/A</v>
      </c>
      <c r="K1157" s="22" t="str">
        <f t="array" ref="K1157">IF(H1157="Crash",MATCH(TRUE, B1158:B1255 &gt;= B1156, 0),"")</f>
        <v/>
      </c>
    </row>
    <row r="1158" ht="15.75" customHeight="1">
      <c r="A1158" s="31" t="str">
        <f>'EQUITY BACKTEST'!A1161</f>
        <v/>
      </c>
      <c r="B1158" s="22" t="str">
        <f>'EQUITY BACKTEST'!B1161</f>
        <v/>
      </c>
      <c r="C1158" s="22" t="str">
        <f>1/'EQUITY BACKTEST'!E1161</f>
        <v>#DIV/0!</v>
      </c>
      <c r="D1158" s="22" t="str">
        <f t="shared" si="7"/>
        <v>#DIV/0!</v>
      </c>
      <c r="E1158" s="22" t="str">
        <f t="shared" si="3"/>
        <v/>
      </c>
      <c r="F1158" s="22" t="str">
        <f t="shared" si="6"/>
        <v>#DIV/0!</v>
      </c>
      <c r="H1158" s="22" t="str">
        <f t="shared" si="4"/>
        <v/>
      </c>
      <c r="I1158" s="22" t="str">
        <f t="shared" si="1"/>
        <v>#N/A</v>
      </c>
      <c r="J1158" s="22" t="str">
        <f t="shared" si="2"/>
        <v>#N/A</v>
      </c>
      <c r="K1158" s="22" t="str">
        <f t="array" ref="K1158">IF(H1158="Crash",MATCH(TRUE, B1159:B1256 &gt;= B1157, 0),"")</f>
        <v/>
      </c>
    </row>
    <row r="1159" ht="15.75" customHeight="1">
      <c r="A1159" s="31" t="str">
        <f>'EQUITY BACKTEST'!A1162</f>
        <v/>
      </c>
      <c r="B1159" s="22" t="str">
        <f>'EQUITY BACKTEST'!B1162</f>
        <v/>
      </c>
      <c r="C1159" s="22" t="str">
        <f>1/'EQUITY BACKTEST'!E1162</f>
        <v>#DIV/0!</v>
      </c>
      <c r="D1159" s="22" t="str">
        <f t="shared" si="7"/>
        <v>#DIV/0!</v>
      </c>
      <c r="E1159" s="22" t="str">
        <f t="shared" si="3"/>
        <v/>
      </c>
      <c r="F1159" s="22" t="str">
        <f t="shared" si="6"/>
        <v>#DIV/0!</v>
      </c>
      <c r="H1159" s="22" t="str">
        <f t="shared" si="4"/>
        <v/>
      </c>
      <c r="I1159" s="22" t="str">
        <f t="shared" si="1"/>
        <v>#N/A</v>
      </c>
      <c r="J1159" s="22" t="str">
        <f t="shared" si="2"/>
        <v>#N/A</v>
      </c>
      <c r="K1159" s="22" t="str">
        <f t="array" ref="K1159">IF(H1159="Crash",MATCH(TRUE, B1160:B1257 &gt;= B1158, 0),"")</f>
        <v/>
      </c>
    </row>
    <row r="1160" ht="15.75" customHeight="1">
      <c r="A1160" s="31" t="str">
        <f>'EQUITY BACKTEST'!A1163</f>
        <v/>
      </c>
      <c r="B1160" s="22" t="str">
        <f>'EQUITY BACKTEST'!B1163</f>
        <v/>
      </c>
      <c r="C1160" s="22" t="str">
        <f>1/'EQUITY BACKTEST'!E1163</f>
        <v>#DIV/0!</v>
      </c>
      <c r="D1160" s="22" t="str">
        <f t="shared" si="7"/>
        <v>#DIV/0!</v>
      </c>
      <c r="E1160" s="22" t="str">
        <f t="shared" si="3"/>
        <v/>
      </c>
      <c r="F1160" s="22" t="str">
        <f t="shared" si="6"/>
        <v>#DIV/0!</v>
      </c>
      <c r="H1160" s="22" t="str">
        <f t="shared" si="4"/>
        <v/>
      </c>
      <c r="I1160" s="22" t="str">
        <f t="shared" si="1"/>
        <v>#N/A</v>
      </c>
      <c r="J1160" s="22" t="str">
        <f t="shared" si="2"/>
        <v>#N/A</v>
      </c>
      <c r="K1160" s="22" t="str">
        <f t="array" ref="K1160">IF(H1160="Crash",MATCH(TRUE, B1161:B1258 &gt;= B1159, 0),"")</f>
        <v/>
      </c>
    </row>
    <row r="1161" ht="15.75" customHeight="1">
      <c r="A1161" s="31" t="str">
        <f>'EQUITY BACKTEST'!A1164</f>
        <v/>
      </c>
      <c r="B1161" s="22" t="str">
        <f>'EQUITY BACKTEST'!B1164</f>
        <v/>
      </c>
      <c r="C1161" s="22" t="str">
        <f>1/'EQUITY BACKTEST'!E1164</f>
        <v>#DIV/0!</v>
      </c>
      <c r="D1161" s="22" t="str">
        <f t="shared" si="7"/>
        <v>#DIV/0!</v>
      </c>
      <c r="E1161" s="22" t="str">
        <f t="shared" si="3"/>
        <v/>
      </c>
      <c r="F1161" s="22" t="str">
        <f t="shared" si="6"/>
        <v>#DIV/0!</v>
      </c>
      <c r="H1161" s="22" t="str">
        <f t="shared" si="4"/>
        <v/>
      </c>
      <c r="I1161" s="22" t="str">
        <f t="shared" si="1"/>
        <v>#N/A</v>
      </c>
      <c r="J1161" s="22" t="str">
        <f t="shared" si="2"/>
        <v>#N/A</v>
      </c>
      <c r="K1161" s="22" t="str">
        <f t="array" ref="K1161">IF(H1161="Crash",MATCH(TRUE, B1162:B1259 &gt;= B1160, 0),"")</f>
        <v/>
      </c>
    </row>
    <row r="1162" ht="15.75" customHeight="1">
      <c r="A1162" s="31" t="str">
        <f>'EQUITY BACKTEST'!A1165</f>
        <v/>
      </c>
      <c r="B1162" s="22" t="str">
        <f>'EQUITY BACKTEST'!B1165</f>
        <v/>
      </c>
      <c r="C1162" s="22" t="str">
        <f>1/'EQUITY BACKTEST'!E1165</f>
        <v>#DIV/0!</v>
      </c>
      <c r="D1162" s="22" t="str">
        <f t="shared" si="7"/>
        <v>#DIV/0!</v>
      </c>
      <c r="E1162" s="22" t="str">
        <f t="shared" si="3"/>
        <v/>
      </c>
      <c r="F1162" s="22" t="str">
        <f t="shared" si="6"/>
        <v>#DIV/0!</v>
      </c>
      <c r="H1162" s="22" t="str">
        <f t="shared" si="4"/>
        <v/>
      </c>
      <c r="I1162" s="22" t="str">
        <f t="shared" si="1"/>
        <v>#N/A</v>
      </c>
      <c r="J1162" s="22" t="str">
        <f t="shared" si="2"/>
        <v>#N/A</v>
      </c>
      <c r="K1162" s="22" t="str">
        <f t="array" ref="K1162">IF(H1162="Crash",MATCH(TRUE, B1163:B1260 &gt;= B1161, 0),"")</f>
        <v/>
      </c>
    </row>
    <row r="1163" ht="15.75" customHeight="1">
      <c r="A1163" s="31" t="str">
        <f>'EQUITY BACKTEST'!A1166</f>
        <v/>
      </c>
      <c r="B1163" s="22" t="str">
        <f>'EQUITY BACKTEST'!B1166</f>
        <v/>
      </c>
      <c r="C1163" s="22" t="str">
        <f>1/'EQUITY BACKTEST'!E1166</f>
        <v>#DIV/0!</v>
      </c>
      <c r="D1163" s="22" t="str">
        <f t="shared" si="7"/>
        <v>#DIV/0!</v>
      </c>
      <c r="E1163" s="22" t="str">
        <f t="shared" si="3"/>
        <v/>
      </c>
      <c r="F1163" s="22" t="str">
        <f t="shared" si="6"/>
        <v>#DIV/0!</v>
      </c>
      <c r="H1163" s="22" t="str">
        <f t="shared" si="4"/>
        <v/>
      </c>
      <c r="I1163" s="22" t="str">
        <f t="shared" si="1"/>
        <v>#N/A</v>
      </c>
      <c r="J1163" s="22" t="str">
        <f t="shared" si="2"/>
        <v>#N/A</v>
      </c>
      <c r="K1163" s="22" t="str">
        <f t="array" ref="K1163">IF(H1163="Crash",MATCH(TRUE, B1164:B1261 &gt;= B1162, 0),"")</f>
        <v/>
      </c>
    </row>
    <row r="1164" ht="15.75" customHeight="1">
      <c r="A1164" s="31" t="str">
        <f>'EQUITY BACKTEST'!A1167</f>
        <v/>
      </c>
      <c r="B1164" s="22" t="str">
        <f>'EQUITY BACKTEST'!B1167</f>
        <v/>
      </c>
      <c r="C1164" s="22" t="str">
        <f>1/'EQUITY BACKTEST'!E1167</f>
        <v>#DIV/0!</v>
      </c>
      <c r="D1164" s="22" t="str">
        <f t="shared" si="7"/>
        <v>#DIV/0!</v>
      </c>
      <c r="E1164" s="22" t="str">
        <f t="shared" si="3"/>
        <v/>
      </c>
      <c r="F1164" s="22" t="str">
        <f t="shared" si="6"/>
        <v>#DIV/0!</v>
      </c>
      <c r="H1164" s="22" t="str">
        <f t="shared" si="4"/>
        <v/>
      </c>
      <c r="I1164" s="22" t="str">
        <f t="shared" si="1"/>
        <v>#N/A</v>
      </c>
      <c r="J1164" s="22" t="str">
        <f t="shared" si="2"/>
        <v>#N/A</v>
      </c>
      <c r="K1164" s="22" t="str">
        <f t="array" ref="K1164">IF(H1164="Crash",MATCH(TRUE, B1165:B1262 &gt;= B1163, 0),"")</f>
        <v/>
      </c>
    </row>
    <row r="1165" ht="15.75" customHeight="1">
      <c r="A1165" s="31" t="str">
        <f>'EQUITY BACKTEST'!A1168</f>
        <v/>
      </c>
      <c r="B1165" s="22" t="str">
        <f>'EQUITY BACKTEST'!B1168</f>
        <v/>
      </c>
      <c r="C1165" s="22" t="str">
        <f>1/'EQUITY BACKTEST'!E1168</f>
        <v>#DIV/0!</v>
      </c>
      <c r="D1165" s="22" t="str">
        <f t="shared" si="7"/>
        <v>#DIV/0!</v>
      </c>
      <c r="E1165" s="22" t="str">
        <f t="shared" si="3"/>
        <v/>
      </c>
      <c r="F1165" s="22" t="str">
        <f t="shared" si="6"/>
        <v>#DIV/0!</v>
      </c>
      <c r="H1165" s="22" t="str">
        <f t="shared" si="4"/>
        <v/>
      </c>
      <c r="I1165" s="22" t="str">
        <f t="shared" si="1"/>
        <v>#N/A</v>
      </c>
      <c r="J1165" s="22" t="str">
        <f t="shared" si="2"/>
        <v>#N/A</v>
      </c>
      <c r="K1165" s="22" t="str">
        <f t="shared" ref="K1165:K1775" si="8">IF(C1166="Crash", COUNTIF(A1166:A2000, "&gt;=" &amp; A1165), "")</f>
        <v>#DIV/0!</v>
      </c>
    </row>
    <row r="1166" ht="15.75" customHeight="1">
      <c r="A1166" s="31" t="str">
        <f>'EQUITY BACKTEST'!A1169</f>
        <v/>
      </c>
      <c r="B1166" s="22" t="str">
        <f>'EQUITY BACKTEST'!B1169</f>
        <v/>
      </c>
      <c r="C1166" s="22" t="str">
        <f>1/'EQUITY BACKTEST'!E1169</f>
        <v>#DIV/0!</v>
      </c>
      <c r="D1166" s="22" t="str">
        <f t="shared" si="7"/>
        <v>#DIV/0!</v>
      </c>
      <c r="E1166" s="22" t="str">
        <f t="shared" si="3"/>
        <v/>
      </c>
      <c r="F1166" s="22" t="str">
        <f t="shared" si="6"/>
        <v>#DIV/0!</v>
      </c>
      <c r="H1166" s="22" t="str">
        <f t="shared" si="4"/>
        <v/>
      </c>
      <c r="I1166" s="22" t="str">
        <f t="shared" si="1"/>
        <v>#N/A</v>
      </c>
      <c r="J1166" s="22" t="str">
        <f t="shared" si="2"/>
        <v>#N/A</v>
      </c>
      <c r="K1166" s="22" t="str">
        <f t="shared" si="8"/>
        <v>#DIV/0!</v>
      </c>
    </row>
    <row r="1167" ht="15.75" customHeight="1">
      <c r="A1167" s="31" t="str">
        <f>'EQUITY BACKTEST'!A1170</f>
        <v/>
      </c>
      <c r="B1167" s="22" t="str">
        <f>'EQUITY BACKTEST'!B1170</f>
        <v/>
      </c>
      <c r="C1167" s="22" t="str">
        <f>1/'EQUITY BACKTEST'!E1170</f>
        <v>#DIV/0!</v>
      </c>
      <c r="D1167" s="22" t="str">
        <f t="shared" si="7"/>
        <v>#DIV/0!</v>
      </c>
      <c r="E1167" s="22" t="str">
        <f t="shared" si="3"/>
        <v/>
      </c>
      <c r="F1167" s="22" t="str">
        <f t="shared" si="6"/>
        <v>#DIV/0!</v>
      </c>
      <c r="H1167" s="22" t="str">
        <f t="shared" si="4"/>
        <v/>
      </c>
      <c r="I1167" s="22" t="str">
        <f t="shared" si="1"/>
        <v>#N/A</v>
      </c>
      <c r="J1167" s="22" t="str">
        <f t="shared" si="2"/>
        <v>#N/A</v>
      </c>
      <c r="K1167" s="22" t="str">
        <f t="shared" si="8"/>
        <v>#DIV/0!</v>
      </c>
    </row>
    <row r="1168" ht="15.75" customHeight="1">
      <c r="A1168" s="31" t="str">
        <f>'EQUITY BACKTEST'!A1171</f>
        <v/>
      </c>
      <c r="B1168" s="22" t="str">
        <f>'EQUITY BACKTEST'!B1171</f>
        <v/>
      </c>
      <c r="C1168" s="22" t="str">
        <f>1/'EQUITY BACKTEST'!E1171</f>
        <v>#DIV/0!</v>
      </c>
      <c r="D1168" s="22" t="str">
        <f t="shared" si="7"/>
        <v>#DIV/0!</v>
      </c>
      <c r="E1168" s="22" t="str">
        <f t="shared" si="3"/>
        <v/>
      </c>
      <c r="F1168" s="22" t="str">
        <f t="shared" si="6"/>
        <v>#DIV/0!</v>
      </c>
      <c r="H1168" s="22" t="str">
        <f t="shared" si="4"/>
        <v/>
      </c>
      <c r="I1168" s="22" t="str">
        <f t="shared" si="1"/>
        <v>#N/A</v>
      </c>
      <c r="J1168" s="22" t="str">
        <f t="shared" si="2"/>
        <v>#N/A</v>
      </c>
      <c r="K1168" s="22" t="str">
        <f t="shared" si="8"/>
        <v>#DIV/0!</v>
      </c>
    </row>
    <row r="1169" ht="15.75" customHeight="1">
      <c r="A1169" s="31" t="str">
        <f>'EQUITY BACKTEST'!A1172</f>
        <v/>
      </c>
      <c r="B1169" s="22" t="str">
        <f>'EQUITY BACKTEST'!B1172</f>
        <v/>
      </c>
      <c r="C1169" s="22" t="str">
        <f>1/'EQUITY BACKTEST'!E1172</f>
        <v>#DIV/0!</v>
      </c>
      <c r="D1169" s="22" t="str">
        <f t="shared" si="7"/>
        <v>#DIV/0!</v>
      </c>
      <c r="E1169" s="22" t="str">
        <f t="shared" si="3"/>
        <v/>
      </c>
      <c r="F1169" s="22" t="str">
        <f t="shared" si="6"/>
        <v>#DIV/0!</v>
      </c>
      <c r="H1169" s="22" t="str">
        <f t="shared" si="4"/>
        <v/>
      </c>
      <c r="I1169" s="22" t="str">
        <f t="shared" si="1"/>
        <v>#N/A</v>
      </c>
      <c r="J1169" s="22" t="str">
        <f t="shared" si="2"/>
        <v>#N/A</v>
      </c>
      <c r="K1169" s="22" t="str">
        <f t="shared" si="8"/>
        <v>#DIV/0!</v>
      </c>
    </row>
    <row r="1170" ht="15.75" customHeight="1">
      <c r="A1170" s="31" t="str">
        <f>'EQUITY BACKTEST'!A1173</f>
        <v/>
      </c>
      <c r="B1170" s="22" t="str">
        <f>'EQUITY BACKTEST'!B1173</f>
        <v/>
      </c>
      <c r="C1170" s="22" t="str">
        <f>1/'EQUITY BACKTEST'!E1173</f>
        <v>#DIV/0!</v>
      </c>
      <c r="D1170" s="22" t="str">
        <f t="shared" si="7"/>
        <v>#DIV/0!</v>
      </c>
      <c r="E1170" s="22" t="str">
        <f t="shared" si="3"/>
        <v/>
      </c>
      <c r="F1170" s="22" t="str">
        <f t="shared" si="6"/>
        <v>#DIV/0!</v>
      </c>
      <c r="H1170" s="22" t="str">
        <f t="shared" si="4"/>
        <v/>
      </c>
      <c r="I1170" s="22" t="str">
        <f t="shared" si="1"/>
        <v>#N/A</v>
      </c>
      <c r="J1170" s="22" t="str">
        <f t="shared" si="2"/>
        <v>#N/A</v>
      </c>
      <c r="K1170" s="22" t="str">
        <f t="shared" si="8"/>
        <v>#DIV/0!</v>
      </c>
    </row>
    <row r="1171" ht="15.75" customHeight="1">
      <c r="A1171" s="31" t="str">
        <f>'EQUITY BACKTEST'!A1174</f>
        <v/>
      </c>
      <c r="B1171" s="22" t="str">
        <f>'EQUITY BACKTEST'!B1174</f>
        <v/>
      </c>
      <c r="C1171" s="22" t="str">
        <f>1/'EQUITY BACKTEST'!E1174</f>
        <v>#DIV/0!</v>
      </c>
      <c r="D1171" s="22" t="str">
        <f t="shared" si="7"/>
        <v>#DIV/0!</v>
      </c>
      <c r="E1171" s="22" t="str">
        <f t="shared" si="3"/>
        <v/>
      </c>
      <c r="F1171" s="22" t="str">
        <f t="shared" si="6"/>
        <v>#DIV/0!</v>
      </c>
      <c r="H1171" s="22" t="str">
        <f t="shared" si="4"/>
        <v/>
      </c>
      <c r="I1171" s="22" t="str">
        <f t="shared" si="1"/>
        <v>#N/A</v>
      </c>
      <c r="J1171" s="22" t="str">
        <f t="shared" si="2"/>
        <v>#N/A</v>
      </c>
      <c r="K1171" s="22" t="str">
        <f t="shared" si="8"/>
        <v>#DIV/0!</v>
      </c>
    </row>
    <row r="1172" ht="15.75" customHeight="1">
      <c r="A1172" s="31" t="str">
        <f>'EQUITY BACKTEST'!A1175</f>
        <v/>
      </c>
      <c r="B1172" s="22" t="str">
        <f>'EQUITY BACKTEST'!B1175</f>
        <v/>
      </c>
      <c r="C1172" s="22" t="str">
        <f>1/'EQUITY BACKTEST'!E1175</f>
        <v>#DIV/0!</v>
      </c>
      <c r="D1172" s="22" t="str">
        <f t="shared" si="7"/>
        <v>#DIV/0!</v>
      </c>
      <c r="E1172" s="22" t="str">
        <f t="shared" si="3"/>
        <v/>
      </c>
      <c r="F1172" s="22" t="str">
        <f t="shared" si="6"/>
        <v>#DIV/0!</v>
      </c>
      <c r="H1172" s="22" t="str">
        <f t="shared" si="4"/>
        <v/>
      </c>
      <c r="I1172" s="22" t="str">
        <f t="shared" si="1"/>
        <v>#N/A</v>
      </c>
      <c r="J1172" s="22" t="str">
        <f t="shared" si="2"/>
        <v>#N/A</v>
      </c>
      <c r="K1172" s="22" t="str">
        <f t="shared" si="8"/>
        <v>#DIV/0!</v>
      </c>
    </row>
    <row r="1173" ht="15.75" customHeight="1">
      <c r="A1173" s="31" t="str">
        <f>'EQUITY BACKTEST'!A1176</f>
        <v/>
      </c>
      <c r="B1173" s="22" t="str">
        <f>'EQUITY BACKTEST'!B1176</f>
        <v/>
      </c>
      <c r="C1173" s="22" t="str">
        <f>1/'EQUITY BACKTEST'!E1176</f>
        <v>#DIV/0!</v>
      </c>
      <c r="D1173" s="22" t="str">
        <f t="shared" si="7"/>
        <v>#DIV/0!</v>
      </c>
      <c r="E1173" s="22" t="str">
        <f t="shared" si="3"/>
        <v/>
      </c>
      <c r="F1173" s="22" t="str">
        <f t="shared" si="6"/>
        <v>#DIV/0!</v>
      </c>
      <c r="H1173" s="22" t="str">
        <f t="shared" si="4"/>
        <v/>
      </c>
      <c r="I1173" s="22" t="str">
        <f t="shared" si="1"/>
        <v>#N/A</v>
      </c>
      <c r="J1173" s="22" t="str">
        <f t="shared" si="2"/>
        <v>#N/A</v>
      </c>
      <c r="K1173" s="22" t="str">
        <f t="shared" si="8"/>
        <v>#DIV/0!</v>
      </c>
    </row>
    <row r="1174" ht="15.75" customHeight="1">
      <c r="A1174" s="31" t="str">
        <f>'EQUITY BACKTEST'!A1177</f>
        <v/>
      </c>
      <c r="B1174" s="22" t="str">
        <f>'EQUITY BACKTEST'!B1177</f>
        <v/>
      </c>
      <c r="C1174" s="22" t="str">
        <f>1/'EQUITY BACKTEST'!E1177</f>
        <v>#DIV/0!</v>
      </c>
      <c r="D1174" s="22" t="str">
        <f t="shared" si="7"/>
        <v>#DIV/0!</v>
      </c>
      <c r="E1174" s="22" t="str">
        <f t="shared" si="3"/>
        <v/>
      </c>
      <c r="F1174" s="22" t="str">
        <f t="shared" si="6"/>
        <v>#DIV/0!</v>
      </c>
      <c r="H1174" s="22" t="str">
        <f t="shared" si="4"/>
        <v/>
      </c>
      <c r="I1174" s="22" t="str">
        <f t="shared" si="1"/>
        <v>#N/A</v>
      </c>
      <c r="J1174" s="22" t="str">
        <f t="shared" si="2"/>
        <v>#N/A</v>
      </c>
      <c r="K1174" s="22" t="str">
        <f t="shared" si="8"/>
        <v>#DIV/0!</v>
      </c>
    </row>
    <row r="1175" ht="15.75" customHeight="1">
      <c r="A1175" s="31" t="str">
        <f>'EQUITY BACKTEST'!A1178</f>
        <v/>
      </c>
      <c r="B1175" s="22" t="str">
        <f>'EQUITY BACKTEST'!B1178</f>
        <v/>
      </c>
      <c r="C1175" s="22" t="str">
        <f>1/'EQUITY BACKTEST'!E1178</f>
        <v>#DIV/0!</v>
      </c>
      <c r="D1175" s="22" t="str">
        <f t="shared" si="7"/>
        <v>#DIV/0!</v>
      </c>
      <c r="E1175" s="22" t="str">
        <f t="shared" si="3"/>
        <v/>
      </c>
      <c r="F1175" s="22" t="str">
        <f t="shared" si="6"/>
        <v>#DIV/0!</v>
      </c>
      <c r="H1175" s="22" t="str">
        <f t="shared" si="4"/>
        <v/>
      </c>
      <c r="I1175" s="22" t="str">
        <f t="shared" si="1"/>
        <v>#N/A</v>
      </c>
      <c r="J1175" s="22" t="str">
        <f t="shared" si="2"/>
        <v>#N/A</v>
      </c>
      <c r="K1175" s="22" t="str">
        <f t="shared" si="8"/>
        <v>#DIV/0!</v>
      </c>
    </row>
    <row r="1176" ht="15.75" customHeight="1">
      <c r="A1176" s="31" t="str">
        <f>'EQUITY BACKTEST'!A1179</f>
        <v/>
      </c>
      <c r="B1176" s="22" t="str">
        <f>'EQUITY BACKTEST'!B1179</f>
        <v/>
      </c>
      <c r="C1176" s="22" t="str">
        <f>1/'EQUITY BACKTEST'!E1179</f>
        <v>#DIV/0!</v>
      </c>
      <c r="D1176" s="22" t="str">
        <f t="shared" si="7"/>
        <v>#DIV/0!</v>
      </c>
      <c r="E1176" s="22" t="str">
        <f t="shared" si="3"/>
        <v/>
      </c>
      <c r="F1176" s="22" t="str">
        <f t="shared" si="6"/>
        <v>#DIV/0!</v>
      </c>
      <c r="H1176" s="22" t="str">
        <f t="shared" si="4"/>
        <v/>
      </c>
      <c r="I1176" s="22" t="str">
        <f t="shared" si="1"/>
        <v>#N/A</v>
      </c>
      <c r="J1176" s="22" t="str">
        <f t="shared" si="2"/>
        <v>#N/A</v>
      </c>
      <c r="K1176" s="22" t="str">
        <f t="shared" si="8"/>
        <v>#DIV/0!</v>
      </c>
    </row>
    <row r="1177" ht="15.75" customHeight="1">
      <c r="A1177" s="31" t="str">
        <f>'EQUITY BACKTEST'!A1180</f>
        <v/>
      </c>
      <c r="B1177" s="22" t="str">
        <f>'EQUITY BACKTEST'!B1180</f>
        <v/>
      </c>
      <c r="C1177" s="22" t="str">
        <f>1/'EQUITY BACKTEST'!E1180</f>
        <v>#DIV/0!</v>
      </c>
      <c r="D1177" s="22" t="str">
        <f t="shared" si="7"/>
        <v>#DIV/0!</v>
      </c>
      <c r="E1177" s="22" t="str">
        <f t="shared" si="3"/>
        <v/>
      </c>
      <c r="F1177" s="22" t="str">
        <f t="shared" si="6"/>
        <v>#DIV/0!</v>
      </c>
      <c r="H1177" s="22" t="str">
        <f t="shared" si="4"/>
        <v/>
      </c>
      <c r="I1177" s="22" t="str">
        <f t="shared" si="1"/>
        <v>#N/A</v>
      </c>
      <c r="J1177" s="22" t="str">
        <f t="shared" si="2"/>
        <v>#N/A</v>
      </c>
      <c r="K1177" s="22" t="str">
        <f t="shared" si="8"/>
        <v>#DIV/0!</v>
      </c>
    </row>
    <row r="1178" ht="15.75" customHeight="1">
      <c r="A1178" s="31" t="str">
        <f>'EQUITY BACKTEST'!A1181</f>
        <v/>
      </c>
      <c r="B1178" s="22" t="str">
        <f>'EQUITY BACKTEST'!B1181</f>
        <v/>
      </c>
      <c r="C1178" s="22" t="str">
        <f>1/'EQUITY BACKTEST'!E1181</f>
        <v>#DIV/0!</v>
      </c>
      <c r="D1178" s="22" t="str">
        <f t="shared" si="7"/>
        <v>#DIV/0!</v>
      </c>
      <c r="E1178" s="22" t="str">
        <f t="shared" si="3"/>
        <v/>
      </c>
      <c r="F1178" s="22" t="str">
        <f t="shared" si="6"/>
        <v>#DIV/0!</v>
      </c>
      <c r="H1178" s="22" t="str">
        <f t="shared" si="4"/>
        <v/>
      </c>
      <c r="I1178" s="22" t="str">
        <f t="shared" si="1"/>
        <v>#N/A</v>
      </c>
      <c r="J1178" s="22" t="str">
        <f t="shared" si="2"/>
        <v>#N/A</v>
      </c>
      <c r="K1178" s="22" t="str">
        <f t="shared" si="8"/>
        <v>#DIV/0!</v>
      </c>
    </row>
    <row r="1179" ht="15.75" customHeight="1">
      <c r="A1179" s="31" t="str">
        <f>'EQUITY BACKTEST'!A1182</f>
        <v/>
      </c>
      <c r="B1179" s="22" t="str">
        <f>'EQUITY BACKTEST'!B1182</f>
        <v/>
      </c>
      <c r="C1179" s="22" t="str">
        <f>1/'EQUITY BACKTEST'!E1182</f>
        <v>#DIV/0!</v>
      </c>
      <c r="D1179" s="22" t="str">
        <f t="shared" si="7"/>
        <v>#DIV/0!</v>
      </c>
      <c r="E1179" s="22" t="str">
        <f t="shared" si="3"/>
        <v/>
      </c>
      <c r="F1179" s="22" t="str">
        <f t="shared" si="6"/>
        <v>#DIV/0!</v>
      </c>
      <c r="H1179" s="22" t="str">
        <f t="shared" si="4"/>
        <v/>
      </c>
      <c r="I1179" s="22" t="str">
        <f t="shared" si="1"/>
        <v>#N/A</v>
      </c>
      <c r="J1179" s="22" t="str">
        <f t="shared" si="2"/>
        <v>#N/A</v>
      </c>
      <c r="K1179" s="22" t="str">
        <f t="shared" si="8"/>
        <v>#DIV/0!</v>
      </c>
    </row>
    <row r="1180" ht="15.75" customHeight="1">
      <c r="A1180" s="31" t="str">
        <f>'EQUITY BACKTEST'!A1183</f>
        <v/>
      </c>
      <c r="B1180" s="22" t="str">
        <f>'EQUITY BACKTEST'!B1183</f>
        <v/>
      </c>
      <c r="C1180" s="22" t="str">
        <f>1/'EQUITY BACKTEST'!E1183</f>
        <v>#DIV/0!</v>
      </c>
      <c r="D1180" s="22" t="str">
        <f t="shared" si="7"/>
        <v>#DIV/0!</v>
      </c>
      <c r="E1180" s="22" t="str">
        <f t="shared" si="3"/>
        <v/>
      </c>
      <c r="F1180" s="22" t="str">
        <f t="shared" si="6"/>
        <v>#DIV/0!</v>
      </c>
      <c r="H1180" s="22" t="str">
        <f t="shared" si="4"/>
        <v/>
      </c>
      <c r="I1180" s="22" t="str">
        <f t="shared" si="1"/>
        <v>#N/A</v>
      </c>
      <c r="J1180" s="22" t="str">
        <f t="shared" si="2"/>
        <v>#N/A</v>
      </c>
      <c r="K1180" s="22" t="str">
        <f t="shared" si="8"/>
        <v>#DIV/0!</v>
      </c>
    </row>
    <row r="1181" ht="15.75" customHeight="1">
      <c r="A1181" s="31" t="str">
        <f>'EQUITY BACKTEST'!A1184</f>
        <v/>
      </c>
      <c r="B1181" s="22" t="str">
        <f>'EQUITY BACKTEST'!B1184</f>
        <v/>
      </c>
      <c r="C1181" s="22" t="str">
        <f>1/'EQUITY BACKTEST'!E1184</f>
        <v>#DIV/0!</v>
      </c>
      <c r="D1181" s="22" t="str">
        <f t="shared" si="7"/>
        <v>#DIV/0!</v>
      </c>
      <c r="E1181" s="22" t="str">
        <f t="shared" si="3"/>
        <v/>
      </c>
      <c r="F1181" s="22" t="str">
        <f t="shared" si="6"/>
        <v>#DIV/0!</v>
      </c>
      <c r="H1181" s="22" t="str">
        <f t="shared" si="4"/>
        <v/>
      </c>
      <c r="I1181" s="22" t="str">
        <f t="shared" si="1"/>
        <v>#N/A</v>
      </c>
      <c r="J1181" s="22" t="str">
        <f t="shared" si="2"/>
        <v>#N/A</v>
      </c>
      <c r="K1181" s="22" t="str">
        <f t="shared" si="8"/>
        <v>#DIV/0!</v>
      </c>
    </row>
    <row r="1182" ht="15.75" customHeight="1">
      <c r="A1182" s="31" t="str">
        <f>'EQUITY BACKTEST'!A1185</f>
        <v/>
      </c>
      <c r="B1182" s="22" t="str">
        <f>'EQUITY BACKTEST'!B1185</f>
        <v/>
      </c>
      <c r="C1182" s="22" t="str">
        <f>1/'EQUITY BACKTEST'!E1185</f>
        <v>#DIV/0!</v>
      </c>
      <c r="D1182" s="22" t="str">
        <f t="shared" si="7"/>
        <v>#DIV/0!</v>
      </c>
      <c r="E1182" s="22" t="str">
        <f t="shared" si="3"/>
        <v/>
      </c>
      <c r="F1182" s="22" t="str">
        <f t="shared" si="6"/>
        <v>#DIV/0!</v>
      </c>
      <c r="H1182" s="22" t="str">
        <f t="shared" si="4"/>
        <v/>
      </c>
      <c r="I1182" s="22" t="str">
        <f t="shared" si="1"/>
        <v>#N/A</v>
      </c>
      <c r="J1182" s="22" t="str">
        <f t="shared" si="2"/>
        <v>#N/A</v>
      </c>
      <c r="K1182" s="22" t="str">
        <f t="shared" si="8"/>
        <v>#DIV/0!</v>
      </c>
    </row>
    <row r="1183" ht="15.75" customHeight="1">
      <c r="A1183" s="31" t="str">
        <f>'EQUITY BACKTEST'!A1186</f>
        <v/>
      </c>
      <c r="B1183" s="22" t="str">
        <f>'EQUITY BACKTEST'!B1186</f>
        <v/>
      </c>
      <c r="C1183" s="22" t="str">
        <f>1/'EQUITY BACKTEST'!E1186</f>
        <v>#DIV/0!</v>
      </c>
      <c r="D1183" s="22" t="str">
        <f t="shared" si="7"/>
        <v>#DIV/0!</v>
      </c>
      <c r="E1183" s="22" t="str">
        <f t="shared" si="3"/>
        <v/>
      </c>
      <c r="F1183" s="22" t="str">
        <f t="shared" si="6"/>
        <v>#DIV/0!</v>
      </c>
      <c r="H1183" s="22" t="str">
        <f t="shared" si="4"/>
        <v/>
      </c>
      <c r="I1183" s="22" t="str">
        <f t="shared" si="1"/>
        <v>#N/A</v>
      </c>
      <c r="J1183" s="22" t="str">
        <f t="shared" si="2"/>
        <v>#N/A</v>
      </c>
      <c r="K1183" s="22" t="str">
        <f t="shared" si="8"/>
        <v>#DIV/0!</v>
      </c>
    </row>
    <row r="1184" ht="15.75" customHeight="1">
      <c r="A1184" s="31" t="str">
        <f>'EQUITY BACKTEST'!A1187</f>
        <v/>
      </c>
      <c r="B1184" s="22" t="str">
        <f>'EQUITY BACKTEST'!B1187</f>
        <v/>
      </c>
      <c r="C1184" s="22" t="str">
        <f>1/'EQUITY BACKTEST'!E1187</f>
        <v>#DIV/0!</v>
      </c>
      <c r="D1184" s="22" t="str">
        <f t="shared" si="7"/>
        <v>#DIV/0!</v>
      </c>
      <c r="E1184" s="22" t="str">
        <f t="shared" si="3"/>
        <v/>
      </c>
      <c r="F1184" s="22" t="str">
        <f t="shared" si="6"/>
        <v>#DIV/0!</v>
      </c>
      <c r="H1184" s="22" t="str">
        <f t="shared" si="4"/>
        <v/>
      </c>
      <c r="I1184" s="22" t="str">
        <f t="shared" si="1"/>
        <v>#N/A</v>
      </c>
      <c r="J1184" s="22" t="str">
        <f t="shared" si="2"/>
        <v>#N/A</v>
      </c>
      <c r="K1184" s="22" t="str">
        <f t="shared" si="8"/>
        <v>#DIV/0!</v>
      </c>
    </row>
    <row r="1185" ht="15.75" customHeight="1">
      <c r="A1185" s="31" t="str">
        <f>'EQUITY BACKTEST'!A1188</f>
        <v/>
      </c>
      <c r="B1185" s="22" t="str">
        <f>'EQUITY BACKTEST'!B1188</f>
        <v/>
      </c>
      <c r="C1185" s="22" t="str">
        <f>1/'EQUITY BACKTEST'!E1188</f>
        <v>#DIV/0!</v>
      </c>
      <c r="D1185" s="22" t="str">
        <f t="shared" si="7"/>
        <v>#DIV/0!</v>
      </c>
      <c r="E1185" s="22" t="str">
        <f t="shared" si="3"/>
        <v/>
      </c>
      <c r="F1185" s="22" t="str">
        <f t="shared" si="6"/>
        <v>#DIV/0!</v>
      </c>
      <c r="H1185" s="22" t="str">
        <f t="shared" si="4"/>
        <v/>
      </c>
      <c r="I1185" s="22" t="str">
        <f t="shared" si="1"/>
        <v>#N/A</v>
      </c>
      <c r="J1185" s="22" t="str">
        <f t="shared" si="2"/>
        <v>#N/A</v>
      </c>
      <c r="K1185" s="22" t="str">
        <f t="shared" si="8"/>
        <v>#DIV/0!</v>
      </c>
    </row>
    <row r="1186" ht="15.75" customHeight="1">
      <c r="A1186" s="31" t="str">
        <f>'EQUITY BACKTEST'!A1189</f>
        <v/>
      </c>
      <c r="B1186" s="22" t="str">
        <f>'EQUITY BACKTEST'!B1189</f>
        <v/>
      </c>
      <c r="C1186" s="22" t="str">
        <f>1/'EQUITY BACKTEST'!E1189</f>
        <v>#DIV/0!</v>
      </c>
      <c r="D1186" s="22" t="str">
        <f t="shared" si="7"/>
        <v>#DIV/0!</v>
      </c>
      <c r="E1186" s="22" t="str">
        <f t="shared" si="3"/>
        <v/>
      </c>
      <c r="F1186" s="22" t="str">
        <f t="shared" si="6"/>
        <v>#DIV/0!</v>
      </c>
      <c r="H1186" s="22" t="str">
        <f t="shared" si="4"/>
        <v/>
      </c>
      <c r="I1186" s="22" t="str">
        <f t="shared" si="1"/>
        <v>#N/A</v>
      </c>
      <c r="J1186" s="22" t="str">
        <f t="shared" si="2"/>
        <v>#N/A</v>
      </c>
      <c r="K1186" s="22" t="str">
        <f t="shared" si="8"/>
        <v>#DIV/0!</v>
      </c>
    </row>
    <row r="1187" ht="15.75" customHeight="1">
      <c r="A1187" s="31" t="str">
        <f>'EQUITY BACKTEST'!A1190</f>
        <v/>
      </c>
      <c r="B1187" s="22" t="str">
        <f>'EQUITY BACKTEST'!B1190</f>
        <v/>
      </c>
      <c r="C1187" s="22" t="str">
        <f>1/'EQUITY BACKTEST'!E1190</f>
        <v>#DIV/0!</v>
      </c>
      <c r="D1187" s="22" t="str">
        <f t="shared" si="7"/>
        <v>#DIV/0!</v>
      </c>
      <c r="E1187" s="22" t="str">
        <f t="shared" si="3"/>
        <v/>
      </c>
      <c r="F1187" s="22" t="str">
        <f t="shared" si="6"/>
        <v>#DIV/0!</v>
      </c>
      <c r="H1187" s="22" t="str">
        <f t="shared" si="4"/>
        <v/>
      </c>
      <c r="I1187" s="22" t="str">
        <f t="shared" si="1"/>
        <v>#N/A</v>
      </c>
      <c r="J1187" s="22" t="str">
        <f t="shared" si="2"/>
        <v>#N/A</v>
      </c>
      <c r="K1187" s="22" t="str">
        <f t="shared" si="8"/>
        <v>#DIV/0!</v>
      </c>
    </row>
    <row r="1188" ht="15.75" customHeight="1">
      <c r="A1188" s="31" t="str">
        <f>'EQUITY BACKTEST'!A1191</f>
        <v/>
      </c>
      <c r="B1188" s="22" t="str">
        <f>'EQUITY BACKTEST'!B1191</f>
        <v/>
      </c>
      <c r="C1188" s="22" t="str">
        <f>1/'EQUITY BACKTEST'!E1191</f>
        <v>#DIV/0!</v>
      </c>
      <c r="D1188" s="22" t="str">
        <f t="shared" si="7"/>
        <v>#DIV/0!</v>
      </c>
      <c r="E1188" s="22" t="str">
        <f t="shared" si="3"/>
        <v/>
      </c>
      <c r="F1188" s="22" t="str">
        <f t="shared" si="6"/>
        <v>#DIV/0!</v>
      </c>
      <c r="H1188" s="22" t="str">
        <f t="shared" si="4"/>
        <v/>
      </c>
      <c r="I1188" s="22" t="str">
        <f t="shared" si="1"/>
        <v>#N/A</v>
      </c>
      <c r="J1188" s="22" t="str">
        <f t="shared" si="2"/>
        <v>#N/A</v>
      </c>
      <c r="K1188" s="22" t="str">
        <f t="shared" si="8"/>
        <v>#DIV/0!</v>
      </c>
    </row>
    <row r="1189" ht="15.75" customHeight="1">
      <c r="A1189" s="31" t="str">
        <f>'EQUITY BACKTEST'!A1192</f>
        <v/>
      </c>
      <c r="B1189" s="22" t="str">
        <f>'EQUITY BACKTEST'!B1192</f>
        <v/>
      </c>
      <c r="C1189" s="22" t="str">
        <f>1/'EQUITY BACKTEST'!E1192</f>
        <v>#DIV/0!</v>
      </c>
      <c r="D1189" s="22" t="str">
        <f t="shared" si="7"/>
        <v>#DIV/0!</v>
      </c>
      <c r="E1189" s="22" t="str">
        <f t="shared" si="3"/>
        <v/>
      </c>
      <c r="F1189" s="22" t="str">
        <f t="shared" si="6"/>
        <v>#DIV/0!</v>
      </c>
      <c r="H1189" s="22" t="str">
        <f t="shared" si="4"/>
        <v/>
      </c>
      <c r="I1189" s="22" t="str">
        <f t="shared" si="1"/>
        <v>#N/A</v>
      </c>
      <c r="J1189" s="22" t="str">
        <f t="shared" si="2"/>
        <v>#N/A</v>
      </c>
      <c r="K1189" s="22" t="str">
        <f t="shared" si="8"/>
        <v>#DIV/0!</v>
      </c>
    </row>
    <row r="1190" ht="15.75" customHeight="1">
      <c r="A1190" s="31" t="str">
        <f>'EQUITY BACKTEST'!A1193</f>
        <v/>
      </c>
      <c r="B1190" s="22" t="str">
        <f>'EQUITY BACKTEST'!B1193</f>
        <v/>
      </c>
      <c r="C1190" s="22" t="str">
        <f>1/'EQUITY BACKTEST'!E1193</f>
        <v>#DIV/0!</v>
      </c>
      <c r="D1190" s="22" t="str">
        <f t="shared" si="7"/>
        <v>#DIV/0!</v>
      </c>
      <c r="E1190" s="22" t="str">
        <f t="shared" si="3"/>
        <v/>
      </c>
      <c r="F1190" s="22" t="str">
        <f t="shared" si="6"/>
        <v>#DIV/0!</v>
      </c>
      <c r="H1190" s="22" t="str">
        <f t="shared" si="4"/>
        <v/>
      </c>
      <c r="I1190" s="22" t="str">
        <f t="shared" si="1"/>
        <v>#N/A</v>
      </c>
      <c r="J1190" s="22" t="str">
        <f t="shared" si="2"/>
        <v>#N/A</v>
      </c>
      <c r="K1190" s="22" t="str">
        <f t="shared" si="8"/>
        <v>#DIV/0!</v>
      </c>
    </row>
    <row r="1191" ht="15.75" customHeight="1">
      <c r="A1191" s="31" t="str">
        <f>'EQUITY BACKTEST'!A1194</f>
        <v/>
      </c>
      <c r="B1191" s="22" t="str">
        <f>'EQUITY BACKTEST'!B1194</f>
        <v/>
      </c>
      <c r="C1191" s="22" t="str">
        <f>1/'EQUITY BACKTEST'!E1194</f>
        <v>#DIV/0!</v>
      </c>
      <c r="D1191" s="22" t="str">
        <f t="shared" si="7"/>
        <v>#DIV/0!</v>
      </c>
      <c r="E1191" s="22" t="str">
        <f t="shared" si="3"/>
        <v/>
      </c>
      <c r="F1191" s="22" t="str">
        <f t="shared" si="6"/>
        <v>#DIV/0!</v>
      </c>
      <c r="H1191" s="22" t="str">
        <f t="shared" si="4"/>
        <v/>
      </c>
      <c r="I1191" s="22" t="str">
        <f t="shared" si="1"/>
        <v>#N/A</v>
      </c>
      <c r="J1191" s="22" t="str">
        <f t="shared" si="2"/>
        <v>#N/A</v>
      </c>
      <c r="K1191" s="22" t="str">
        <f t="shared" si="8"/>
        <v>#DIV/0!</v>
      </c>
    </row>
    <row r="1192" ht="15.75" customHeight="1">
      <c r="A1192" s="31" t="str">
        <f>'EQUITY BACKTEST'!A1195</f>
        <v/>
      </c>
      <c r="B1192" s="22" t="str">
        <f>'EQUITY BACKTEST'!B1195</f>
        <v/>
      </c>
      <c r="C1192" s="22" t="str">
        <f>1/'EQUITY BACKTEST'!E1195</f>
        <v>#DIV/0!</v>
      </c>
      <c r="D1192" s="22" t="str">
        <f t="shared" si="7"/>
        <v>#DIV/0!</v>
      </c>
      <c r="E1192" s="22" t="str">
        <f t="shared" si="3"/>
        <v/>
      </c>
      <c r="F1192" s="22" t="str">
        <f t="shared" si="6"/>
        <v>#DIV/0!</v>
      </c>
      <c r="H1192" s="22" t="str">
        <f t="shared" si="4"/>
        <v/>
      </c>
      <c r="I1192" s="22" t="str">
        <f t="shared" si="1"/>
        <v>#N/A</v>
      </c>
      <c r="J1192" s="22" t="str">
        <f t="shared" si="2"/>
        <v>#N/A</v>
      </c>
      <c r="K1192" s="22" t="str">
        <f t="shared" si="8"/>
        <v>#DIV/0!</v>
      </c>
    </row>
    <row r="1193" ht="15.75" customHeight="1">
      <c r="A1193" s="31" t="str">
        <f>'EQUITY BACKTEST'!A1196</f>
        <v/>
      </c>
      <c r="B1193" s="22" t="str">
        <f>'EQUITY BACKTEST'!B1196</f>
        <v/>
      </c>
      <c r="C1193" s="22" t="str">
        <f>1/'EQUITY BACKTEST'!E1196</f>
        <v>#DIV/0!</v>
      </c>
      <c r="D1193" s="22" t="str">
        <f t="shared" si="7"/>
        <v>#DIV/0!</v>
      </c>
      <c r="E1193" s="22" t="str">
        <f t="shared" si="3"/>
        <v/>
      </c>
      <c r="F1193" s="22" t="str">
        <f t="shared" si="6"/>
        <v>#DIV/0!</v>
      </c>
      <c r="H1193" s="22" t="str">
        <f t="shared" si="4"/>
        <v/>
      </c>
      <c r="I1193" s="22" t="str">
        <f t="shared" si="1"/>
        <v>#N/A</v>
      </c>
      <c r="J1193" s="22" t="str">
        <f t="shared" si="2"/>
        <v>#N/A</v>
      </c>
      <c r="K1193" s="22" t="str">
        <f t="shared" si="8"/>
        <v>#DIV/0!</v>
      </c>
    </row>
    <row r="1194" ht="15.75" customHeight="1">
      <c r="A1194" s="31" t="str">
        <f>'EQUITY BACKTEST'!A1197</f>
        <v/>
      </c>
      <c r="B1194" s="22" t="str">
        <f>'EQUITY BACKTEST'!B1197</f>
        <v/>
      </c>
      <c r="C1194" s="22" t="str">
        <f>1/'EQUITY BACKTEST'!E1197</f>
        <v>#DIV/0!</v>
      </c>
      <c r="D1194" s="22" t="str">
        <f t="shared" si="7"/>
        <v>#DIV/0!</v>
      </c>
      <c r="E1194" s="22" t="str">
        <f t="shared" si="3"/>
        <v/>
      </c>
      <c r="F1194" s="22" t="str">
        <f t="shared" si="6"/>
        <v>#DIV/0!</v>
      </c>
      <c r="H1194" s="22" t="str">
        <f t="shared" si="4"/>
        <v/>
      </c>
      <c r="I1194" s="22" t="str">
        <f t="shared" si="1"/>
        <v>#N/A</v>
      </c>
      <c r="J1194" s="22" t="str">
        <f t="shared" si="2"/>
        <v>#N/A</v>
      </c>
      <c r="K1194" s="22" t="str">
        <f t="shared" si="8"/>
        <v>#DIV/0!</v>
      </c>
    </row>
    <row r="1195" ht="15.75" customHeight="1">
      <c r="A1195" s="31" t="str">
        <f>'EQUITY BACKTEST'!A1198</f>
        <v/>
      </c>
      <c r="B1195" s="22" t="str">
        <f>'EQUITY BACKTEST'!B1198</f>
        <v/>
      </c>
      <c r="C1195" s="22" t="str">
        <f>1/'EQUITY BACKTEST'!E1198</f>
        <v>#DIV/0!</v>
      </c>
      <c r="D1195" s="22" t="str">
        <f t="shared" si="7"/>
        <v>#DIV/0!</v>
      </c>
      <c r="E1195" s="22" t="str">
        <f t="shared" si="3"/>
        <v/>
      </c>
      <c r="F1195" s="22" t="str">
        <f t="shared" si="6"/>
        <v>#DIV/0!</v>
      </c>
      <c r="H1195" s="22" t="str">
        <f t="shared" si="4"/>
        <v/>
      </c>
      <c r="I1195" s="22" t="str">
        <f t="shared" si="1"/>
        <v>#N/A</v>
      </c>
      <c r="J1195" s="22" t="str">
        <f t="shared" si="2"/>
        <v>#N/A</v>
      </c>
      <c r="K1195" s="22" t="str">
        <f t="shared" si="8"/>
        <v>#DIV/0!</v>
      </c>
    </row>
    <row r="1196" ht="15.75" customHeight="1">
      <c r="A1196" s="31" t="str">
        <f>'EQUITY BACKTEST'!A1199</f>
        <v/>
      </c>
      <c r="B1196" s="22" t="str">
        <f>'EQUITY BACKTEST'!B1199</f>
        <v/>
      </c>
      <c r="C1196" s="22" t="str">
        <f>1/'EQUITY BACKTEST'!E1199</f>
        <v>#DIV/0!</v>
      </c>
      <c r="D1196" s="22" t="str">
        <f t="shared" si="7"/>
        <v>#DIV/0!</v>
      </c>
      <c r="E1196" s="22" t="str">
        <f t="shared" si="3"/>
        <v/>
      </c>
      <c r="F1196" s="22" t="str">
        <f t="shared" si="6"/>
        <v>#DIV/0!</v>
      </c>
      <c r="H1196" s="22" t="str">
        <f t="shared" si="4"/>
        <v/>
      </c>
      <c r="I1196" s="22" t="str">
        <f t="shared" si="1"/>
        <v>#N/A</v>
      </c>
      <c r="J1196" s="22" t="str">
        <f t="shared" si="2"/>
        <v>#N/A</v>
      </c>
      <c r="K1196" s="22" t="str">
        <f t="shared" si="8"/>
        <v>#DIV/0!</v>
      </c>
    </row>
    <row r="1197" ht="15.75" customHeight="1">
      <c r="A1197" s="31" t="str">
        <f>'EQUITY BACKTEST'!A1200</f>
        <v/>
      </c>
      <c r="B1197" s="22" t="str">
        <f>'EQUITY BACKTEST'!B1200</f>
        <v/>
      </c>
      <c r="C1197" s="22" t="str">
        <f>1/'EQUITY BACKTEST'!E1200</f>
        <v>#DIV/0!</v>
      </c>
      <c r="D1197" s="22" t="str">
        <f t="shared" si="7"/>
        <v>#DIV/0!</v>
      </c>
      <c r="E1197" s="22" t="str">
        <f t="shared" si="3"/>
        <v/>
      </c>
      <c r="F1197" s="22" t="str">
        <f t="shared" si="6"/>
        <v>#DIV/0!</v>
      </c>
      <c r="H1197" s="22" t="str">
        <f t="shared" si="4"/>
        <v/>
      </c>
      <c r="I1197" s="22" t="str">
        <f t="shared" si="1"/>
        <v>#N/A</v>
      </c>
      <c r="J1197" s="22" t="str">
        <f t="shared" si="2"/>
        <v>#N/A</v>
      </c>
      <c r="K1197" s="22" t="str">
        <f t="shared" si="8"/>
        <v>#DIV/0!</v>
      </c>
    </row>
    <row r="1198" ht="15.75" customHeight="1">
      <c r="A1198" s="31" t="str">
        <f>'EQUITY BACKTEST'!A1201</f>
        <v/>
      </c>
      <c r="B1198" s="22" t="str">
        <f>'EQUITY BACKTEST'!B1201</f>
        <v/>
      </c>
      <c r="C1198" s="22" t="str">
        <f>1/'EQUITY BACKTEST'!E1201</f>
        <v>#DIV/0!</v>
      </c>
      <c r="D1198" s="22" t="str">
        <f t="shared" si="7"/>
        <v>#DIV/0!</v>
      </c>
      <c r="E1198" s="22" t="str">
        <f t="shared" si="3"/>
        <v/>
      </c>
      <c r="F1198" s="22" t="str">
        <f t="shared" si="6"/>
        <v>#DIV/0!</v>
      </c>
      <c r="H1198" s="22" t="str">
        <f t="shared" si="4"/>
        <v/>
      </c>
      <c r="I1198" s="22" t="str">
        <f t="shared" si="1"/>
        <v>#N/A</v>
      </c>
      <c r="J1198" s="22" t="str">
        <f t="shared" si="2"/>
        <v>#N/A</v>
      </c>
      <c r="K1198" s="22" t="str">
        <f t="shared" si="8"/>
        <v>#DIV/0!</v>
      </c>
    </row>
    <row r="1199" ht="15.75" customHeight="1">
      <c r="A1199" s="31" t="str">
        <f>'EQUITY BACKTEST'!A1202</f>
        <v/>
      </c>
      <c r="B1199" s="22" t="str">
        <f>'EQUITY BACKTEST'!B1202</f>
        <v/>
      </c>
      <c r="C1199" s="22" t="str">
        <f>1/'EQUITY BACKTEST'!E1202</f>
        <v>#DIV/0!</v>
      </c>
      <c r="D1199" s="22" t="str">
        <f t="shared" si="7"/>
        <v>#DIV/0!</v>
      </c>
      <c r="E1199" s="22" t="str">
        <f t="shared" si="3"/>
        <v/>
      </c>
      <c r="F1199" s="22" t="str">
        <f t="shared" si="6"/>
        <v>#DIV/0!</v>
      </c>
      <c r="H1199" s="22" t="str">
        <f t="shared" si="4"/>
        <v/>
      </c>
      <c r="I1199" s="22" t="str">
        <f t="shared" si="1"/>
        <v>#N/A</v>
      </c>
      <c r="J1199" s="22" t="str">
        <f t="shared" si="2"/>
        <v>#N/A</v>
      </c>
      <c r="K1199" s="22" t="str">
        <f t="shared" si="8"/>
        <v>#DIV/0!</v>
      </c>
    </row>
    <row r="1200" ht="15.75" customHeight="1">
      <c r="A1200" s="31" t="str">
        <f>'EQUITY BACKTEST'!A1203</f>
        <v/>
      </c>
      <c r="B1200" s="22" t="str">
        <f>'EQUITY BACKTEST'!B1203</f>
        <v/>
      </c>
      <c r="C1200" s="22" t="str">
        <f>1/'EQUITY BACKTEST'!E1203</f>
        <v>#DIV/0!</v>
      </c>
      <c r="D1200" s="22" t="str">
        <f t="shared" si="7"/>
        <v>#DIV/0!</v>
      </c>
      <c r="E1200" s="22" t="str">
        <f t="shared" si="3"/>
        <v/>
      </c>
      <c r="F1200" s="22" t="str">
        <f t="shared" si="6"/>
        <v>#DIV/0!</v>
      </c>
      <c r="H1200" s="22" t="str">
        <f t="shared" si="4"/>
        <v/>
      </c>
      <c r="I1200" s="22" t="str">
        <f t="shared" si="1"/>
        <v>#N/A</v>
      </c>
      <c r="J1200" s="22" t="str">
        <f t="shared" si="2"/>
        <v>#N/A</v>
      </c>
      <c r="K1200" s="22" t="str">
        <f t="shared" si="8"/>
        <v>#DIV/0!</v>
      </c>
    </row>
    <row r="1201" ht="15.75" customHeight="1">
      <c r="A1201" s="31" t="str">
        <f>'EQUITY BACKTEST'!A1204</f>
        <v/>
      </c>
      <c r="B1201" s="22" t="str">
        <f>'EQUITY BACKTEST'!B1204</f>
        <v/>
      </c>
      <c r="C1201" s="22" t="str">
        <f>1/'EQUITY BACKTEST'!E1204</f>
        <v>#DIV/0!</v>
      </c>
      <c r="D1201" s="22" t="str">
        <f t="shared" si="7"/>
        <v>#DIV/0!</v>
      </c>
      <c r="E1201" s="22" t="str">
        <f t="shared" si="3"/>
        <v/>
      </c>
      <c r="F1201" s="22" t="str">
        <f t="shared" si="6"/>
        <v>#DIV/0!</v>
      </c>
      <c r="H1201" s="22" t="str">
        <f t="shared" si="4"/>
        <v/>
      </c>
      <c r="I1201" s="22" t="str">
        <f t="shared" si="1"/>
        <v>#N/A</v>
      </c>
      <c r="J1201" s="22" t="str">
        <f t="shared" si="2"/>
        <v>#N/A</v>
      </c>
      <c r="K1201" s="22" t="str">
        <f t="shared" si="8"/>
        <v>#DIV/0!</v>
      </c>
    </row>
    <row r="1202" ht="15.75" customHeight="1">
      <c r="A1202" s="31" t="str">
        <f>'EQUITY BACKTEST'!A1205</f>
        <v/>
      </c>
      <c r="B1202" s="22" t="str">
        <f>'EQUITY BACKTEST'!B1205</f>
        <v/>
      </c>
      <c r="C1202" s="22" t="str">
        <f>1/'EQUITY BACKTEST'!E1205</f>
        <v>#DIV/0!</v>
      </c>
      <c r="D1202" s="22" t="str">
        <f t="shared" si="7"/>
        <v>#DIV/0!</v>
      </c>
      <c r="E1202" s="22" t="str">
        <f t="shared" si="3"/>
        <v/>
      </c>
      <c r="F1202" s="22" t="str">
        <f t="shared" si="6"/>
        <v>#DIV/0!</v>
      </c>
      <c r="H1202" s="22" t="str">
        <f t="shared" si="4"/>
        <v/>
      </c>
      <c r="I1202" s="22" t="str">
        <f t="shared" si="1"/>
        <v>#N/A</v>
      </c>
      <c r="J1202" s="22" t="str">
        <f t="shared" si="2"/>
        <v>#N/A</v>
      </c>
      <c r="K1202" s="22" t="str">
        <f t="shared" si="8"/>
        <v>#DIV/0!</v>
      </c>
    </row>
    <row r="1203" ht="15.75" customHeight="1">
      <c r="A1203" s="31" t="str">
        <f>'EQUITY BACKTEST'!A1206</f>
        <v/>
      </c>
      <c r="B1203" s="22" t="str">
        <f>'EQUITY BACKTEST'!B1206</f>
        <v/>
      </c>
      <c r="C1203" s="22" t="str">
        <f>1/'EQUITY BACKTEST'!E1206</f>
        <v>#DIV/0!</v>
      </c>
      <c r="D1203" s="22" t="str">
        <f t="shared" si="7"/>
        <v>#DIV/0!</v>
      </c>
      <c r="E1203" s="22" t="str">
        <f t="shared" si="3"/>
        <v/>
      </c>
      <c r="F1203" s="22" t="str">
        <f t="shared" si="6"/>
        <v>#DIV/0!</v>
      </c>
      <c r="H1203" s="22" t="str">
        <f t="shared" si="4"/>
        <v/>
      </c>
      <c r="I1203" s="22" t="str">
        <f t="shared" si="1"/>
        <v>#N/A</v>
      </c>
      <c r="J1203" s="22" t="str">
        <f t="shared" si="2"/>
        <v>#N/A</v>
      </c>
      <c r="K1203" s="22" t="str">
        <f t="shared" si="8"/>
        <v>#DIV/0!</v>
      </c>
    </row>
    <row r="1204" ht="15.75" customHeight="1">
      <c r="A1204" s="31" t="str">
        <f>'EQUITY BACKTEST'!A1207</f>
        <v/>
      </c>
      <c r="B1204" s="22" t="str">
        <f>'EQUITY BACKTEST'!B1207</f>
        <v/>
      </c>
      <c r="C1204" s="22" t="str">
        <f>1/'EQUITY BACKTEST'!E1207</f>
        <v>#DIV/0!</v>
      </c>
      <c r="D1204" s="22" t="str">
        <f t="shared" si="7"/>
        <v>#DIV/0!</v>
      </c>
      <c r="E1204" s="22" t="str">
        <f t="shared" si="3"/>
        <v/>
      </c>
      <c r="F1204" s="22" t="str">
        <f t="shared" si="6"/>
        <v>#DIV/0!</v>
      </c>
      <c r="H1204" s="22" t="str">
        <f t="shared" si="4"/>
        <v/>
      </c>
      <c r="I1204" s="22" t="str">
        <f t="shared" si="1"/>
        <v>#N/A</v>
      </c>
      <c r="J1204" s="22" t="str">
        <f t="shared" si="2"/>
        <v>#N/A</v>
      </c>
      <c r="K1204" s="22" t="str">
        <f t="shared" si="8"/>
        <v>#DIV/0!</v>
      </c>
    </row>
    <row r="1205" ht="15.75" customHeight="1">
      <c r="A1205" s="31" t="str">
        <f>'EQUITY BACKTEST'!A1208</f>
        <v/>
      </c>
      <c r="B1205" s="22" t="str">
        <f>'EQUITY BACKTEST'!B1208</f>
        <v/>
      </c>
      <c r="C1205" s="22" t="str">
        <f>1/'EQUITY BACKTEST'!E1208</f>
        <v>#DIV/0!</v>
      </c>
      <c r="D1205" s="22" t="str">
        <f t="shared" si="7"/>
        <v>#DIV/0!</v>
      </c>
      <c r="E1205" s="22" t="str">
        <f t="shared" si="3"/>
        <v/>
      </c>
      <c r="F1205" s="22" t="str">
        <f t="shared" si="6"/>
        <v>#DIV/0!</v>
      </c>
      <c r="H1205" s="22" t="str">
        <f t="shared" si="4"/>
        <v/>
      </c>
      <c r="I1205" s="22" t="str">
        <f t="shared" si="1"/>
        <v>#N/A</v>
      </c>
      <c r="J1205" s="22" t="str">
        <f t="shared" si="2"/>
        <v>#N/A</v>
      </c>
      <c r="K1205" s="22" t="str">
        <f t="shared" si="8"/>
        <v>#DIV/0!</v>
      </c>
    </row>
    <row r="1206" ht="15.75" customHeight="1">
      <c r="A1206" s="31" t="str">
        <f>'EQUITY BACKTEST'!A1209</f>
        <v/>
      </c>
      <c r="B1206" s="22" t="str">
        <f>'EQUITY BACKTEST'!B1209</f>
        <v/>
      </c>
      <c r="C1206" s="22" t="str">
        <f>1/'EQUITY BACKTEST'!E1209</f>
        <v>#DIV/0!</v>
      </c>
      <c r="D1206" s="22" t="str">
        <f t="shared" si="7"/>
        <v>#DIV/0!</v>
      </c>
      <c r="E1206" s="22" t="str">
        <f t="shared" si="3"/>
        <v/>
      </c>
      <c r="F1206" s="22" t="str">
        <f t="shared" si="6"/>
        <v>#DIV/0!</v>
      </c>
      <c r="H1206" s="22" t="str">
        <f t="shared" si="4"/>
        <v/>
      </c>
      <c r="I1206" s="22" t="str">
        <f t="shared" si="1"/>
        <v>#N/A</v>
      </c>
      <c r="J1206" s="22" t="str">
        <f t="shared" si="2"/>
        <v>#N/A</v>
      </c>
      <c r="K1206" s="22" t="str">
        <f t="shared" si="8"/>
        <v>#DIV/0!</v>
      </c>
    </row>
    <row r="1207" ht="15.75" customHeight="1">
      <c r="A1207" s="31" t="str">
        <f>'EQUITY BACKTEST'!A1210</f>
        <v/>
      </c>
      <c r="B1207" s="22" t="str">
        <f>'EQUITY BACKTEST'!B1210</f>
        <v/>
      </c>
      <c r="C1207" s="22" t="str">
        <f>1/'EQUITY BACKTEST'!E1210</f>
        <v>#DIV/0!</v>
      </c>
      <c r="D1207" s="22" t="str">
        <f t="shared" si="7"/>
        <v>#DIV/0!</v>
      </c>
      <c r="E1207" s="22" t="str">
        <f t="shared" si="3"/>
        <v/>
      </c>
      <c r="F1207" s="22" t="str">
        <f t="shared" si="6"/>
        <v>#DIV/0!</v>
      </c>
      <c r="H1207" s="22" t="str">
        <f t="shared" si="4"/>
        <v/>
      </c>
      <c r="I1207" s="22" t="str">
        <f t="shared" si="1"/>
        <v>#N/A</v>
      </c>
      <c r="J1207" s="22" t="str">
        <f t="shared" si="2"/>
        <v>#N/A</v>
      </c>
      <c r="K1207" s="22" t="str">
        <f t="shared" si="8"/>
        <v>#DIV/0!</v>
      </c>
    </row>
    <row r="1208" ht="15.75" customHeight="1">
      <c r="A1208" s="31" t="str">
        <f>'EQUITY BACKTEST'!A1211</f>
        <v/>
      </c>
      <c r="B1208" s="22" t="str">
        <f>'EQUITY BACKTEST'!B1211</f>
        <v/>
      </c>
      <c r="C1208" s="22" t="str">
        <f>1/'EQUITY BACKTEST'!E1211</f>
        <v>#DIV/0!</v>
      </c>
      <c r="D1208" s="22" t="str">
        <f t="shared" si="7"/>
        <v>#DIV/0!</v>
      </c>
      <c r="E1208" s="22" t="str">
        <f t="shared" si="3"/>
        <v/>
      </c>
      <c r="F1208" s="22" t="str">
        <f t="shared" si="6"/>
        <v>#DIV/0!</v>
      </c>
      <c r="H1208" s="22" t="str">
        <f t="shared" si="4"/>
        <v/>
      </c>
      <c r="I1208" s="22" t="str">
        <f t="shared" si="1"/>
        <v>#N/A</v>
      </c>
      <c r="J1208" s="22" t="str">
        <f t="shared" si="2"/>
        <v>#N/A</v>
      </c>
      <c r="K1208" s="22" t="str">
        <f t="shared" si="8"/>
        <v>#DIV/0!</v>
      </c>
    </row>
    <row r="1209" ht="15.75" customHeight="1">
      <c r="A1209" s="31" t="str">
        <f>'EQUITY BACKTEST'!A1212</f>
        <v/>
      </c>
      <c r="B1209" s="22" t="str">
        <f>'EQUITY BACKTEST'!B1212</f>
        <v/>
      </c>
      <c r="C1209" s="22" t="str">
        <f>1/'EQUITY BACKTEST'!E1212</f>
        <v>#DIV/0!</v>
      </c>
      <c r="D1209" s="22" t="str">
        <f t="shared" si="7"/>
        <v>#DIV/0!</v>
      </c>
      <c r="E1209" s="22" t="str">
        <f t="shared" si="3"/>
        <v/>
      </c>
      <c r="F1209" s="22" t="str">
        <f t="shared" si="6"/>
        <v>#DIV/0!</v>
      </c>
      <c r="H1209" s="22" t="str">
        <f t="shared" si="4"/>
        <v/>
      </c>
      <c r="I1209" s="22" t="str">
        <f t="shared" si="1"/>
        <v>#N/A</v>
      </c>
      <c r="J1209" s="22" t="str">
        <f t="shared" si="2"/>
        <v>#N/A</v>
      </c>
      <c r="K1209" s="22" t="str">
        <f t="shared" si="8"/>
        <v>#DIV/0!</v>
      </c>
    </row>
    <row r="1210" ht="15.75" customHeight="1">
      <c r="A1210" s="31" t="str">
        <f>'EQUITY BACKTEST'!A1213</f>
        <v/>
      </c>
      <c r="B1210" s="22" t="str">
        <f>'EQUITY BACKTEST'!B1213</f>
        <v/>
      </c>
      <c r="C1210" s="22" t="str">
        <f>1/'EQUITY BACKTEST'!E1213</f>
        <v>#DIV/0!</v>
      </c>
      <c r="D1210" s="22" t="str">
        <f t="shared" si="7"/>
        <v>#DIV/0!</v>
      </c>
      <c r="E1210" s="22" t="str">
        <f t="shared" si="3"/>
        <v/>
      </c>
      <c r="F1210" s="22" t="str">
        <f t="shared" si="6"/>
        <v>#DIV/0!</v>
      </c>
      <c r="H1210" s="22" t="str">
        <f t="shared" si="4"/>
        <v/>
      </c>
      <c r="I1210" s="22" t="str">
        <f t="shared" si="1"/>
        <v>#N/A</v>
      </c>
      <c r="J1210" s="22" t="str">
        <f t="shared" si="2"/>
        <v>#N/A</v>
      </c>
      <c r="K1210" s="22" t="str">
        <f t="shared" si="8"/>
        <v>#DIV/0!</v>
      </c>
    </row>
    <row r="1211" ht="15.75" customHeight="1">
      <c r="A1211" s="31" t="str">
        <f>'EQUITY BACKTEST'!A1214</f>
        <v/>
      </c>
      <c r="B1211" s="22" t="str">
        <f>'EQUITY BACKTEST'!B1214</f>
        <v/>
      </c>
      <c r="C1211" s="22" t="str">
        <f>1/'EQUITY BACKTEST'!E1214</f>
        <v>#DIV/0!</v>
      </c>
      <c r="D1211" s="22" t="str">
        <f t="shared" si="7"/>
        <v>#DIV/0!</v>
      </c>
      <c r="E1211" s="22" t="str">
        <f t="shared" si="3"/>
        <v/>
      </c>
      <c r="F1211" s="22" t="str">
        <f t="shared" si="6"/>
        <v>#DIV/0!</v>
      </c>
      <c r="H1211" s="22" t="str">
        <f t="shared" si="4"/>
        <v/>
      </c>
      <c r="I1211" s="22" t="str">
        <f t="shared" si="1"/>
        <v>#N/A</v>
      </c>
      <c r="J1211" s="22" t="str">
        <f t="shared" si="2"/>
        <v>#N/A</v>
      </c>
      <c r="K1211" s="22" t="str">
        <f t="shared" si="8"/>
        <v>#DIV/0!</v>
      </c>
    </row>
    <row r="1212" ht="15.75" customHeight="1">
      <c r="A1212" s="31" t="str">
        <f>'EQUITY BACKTEST'!A1215</f>
        <v/>
      </c>
      <c r="B1212" s="22" t="str">
        <f>'EQUITY BACKTEST'!B1215</f>
        <v/>
      </c>
      <c r="C1212" s="22" t="str">
        <f>1/'EQUITY BACKTEST'!E1215</f>
        <v>#DIV/0!</v>
      </c>
      <c r="D1212" s="22" t="str">
        <f t="shared" si="7"/>
        <v>#DIV/0!</v>
      </c>
      <c r="E1212" s="22" t="str">
        <f t="shared" si="3"/>
        <v/>
      </c>
      <c r="F1212" s="22" t="str">
        <f t="shared" si="6"/>
        <v>#DIV/0!</v>
      </c>
      <c r="H1212" s="22" t="str">
        <f t="shared" si="4"/>
        <v/>
      </c>
      <c r="I1212" s="22" t="str">
        <f t="shared" si="1"/>
        <v>#N/A</v>
      </c>
      <c r="J1212" s="22" t="str">
        <f t="shared" si="2"/>
        <v>#N/A</v>
      </c>
      <c r="K1212" s="22" t="str">
        <f t="shared" si="8"/>
        <v>#DIV/0!</v>
      </c>
    </row>
    <row r="1213" ht="15.75" customHeight="1">
      <c r="A1213" s="31" t="str">
        <f>'EQUITY BACKTEST'!A1216</f>
        <v/>
      </c>
      <c r="B1213" s="22" t="str">
        <f>'EQUITY BACKTEST'!B1216</f>
        <v/>
      </c>
      <c r="C1213" s="22" t="str">
        <f>1/'EQUITY BACKTEST'!E1216</f>
        <v>#DIV/0!</v>
      </c>
      <c r="D1213" s="22" t="str">
        <f t="shared" si="7"/>
        <v>#DIV/0!</v>
      </c>
      <c r="E1213" s="22" t="str">
        <f t="shared" si="3"/>
        <v/>
      </c>
      <c r="F1213" s="22" t="str">
        <f t="shared" si="6"/>
        <v>#DIV/0!</v>
      </c>
      <c r="H1213" s="22" t="str">
        <f t="shared" si="4"/>
        <v/>
      </c>
      <c r="I1213" s="22" t="str">
        <f t="shared" si="1"/>
        <v>#N/A</v>
      </c>
      <c r="J1213" s="22" t="str">
        <f t="shared" si="2"/>
        <v>#N/A</v>
      </c>
      <c r="K1213" s="22" t="str">
        <f t="shared" si="8"/>
        <v>#DIV/0!</v>
      </c>
    </row>
    <row r="1214" ht="15.75" customHeight="1">
      <c r="A1214" s="31" t="str">
        <f>'EQUITY BACKTEST'!A1217</f>
        <v/>
      </c>
      <c r="B1214" s="22" t="str">
        <f>'EQUITY BACKTEST'!B1217</f>
        <v/>
      </c>
      <c r="C1214" s="22" t="str">
        <f>1/'EQUITY BACKTEST'!E1217</f>
        <v>#DIV/0!</v>
      </c>
      <c r="D1214" s="22" t="str">
        <f t="shared" si="7"/>
        <v>#DIV/0!</v>
      </c>
      <c r="E1214" s="22" t="str">
        <f t="shared" si="3"/>
        <v/>
      </c>
      <c r="F1214" s="22" t="str">
        <f t="shared" si="6"/>
        <v>#DIV/0!</v>
      </c>
      <c r="H1214" s="22" t="str">
        <f t="shared" si="4"/>
        <v/>
      </c>
      <c r="I1214" s="22" t="str">
        <f t="shared" si="1"/>
        <v>#N/A</v>
      </c>
      <c r="J1214" s="22" t="str">
        <f t="shared" si="2"/>
        <v>#N/A</v>
      </c>
      <c r="K1214" s="22" t="str">
        <f t="shared" si="8"/>
        <v>#DIV/0!</v>
      </c>
    </row>
    <row r="1215" ht="15.75" customHeight="1">
      <c r="A1215" s="31" t="str">
        <f>'EQUITY BACKTEST'!A1218</f>
        <v/>
      </c>
      <c r="B1215" s="22" t="str">
        <f>'EQUITY BACKTEST'!B1218</f>
        <v/>
      </c>
      <c r="C1215" s="22" t="str">
        <f>1/'EQUITY BACKTEST'!E1218</f>
        <v>#DIV/0!</v>
      </c>
      <c r="D1215" s="22" t="str">
        <f t="shared" si="7"/>
        <v>#DIV/0!</v>
      </c>
      <c r="E1215" s="22" t="str">
        <f t="shared" si="3"/>
        <v/>
      </c>
      <c r="F1215" s="22" t="str">
        <f t="shared" si="6"/>
        <v>#DIV/0!</v>
      </c>
      <c r="H1215" s="22" t="str">
        <f t="shared" si="4"/>
        <v/>
      </c>
      <c r="I1215" s="22" t="str">
        <f t="shared" si="1"/>
        <v>#N/A</v>
      </c>
      <c r="J1215" s="22" t="str">
        <f t="shared" si="2"/>
        <v>#N/A</v>
      </c>
      <c r="K1215" s="22" t="str">
        <f t="shared" si="8"/>
        <v>#DIV/0!</v>
      </c>
    </row>
    <row r="1216" ht="15.75" customHeight="1">
      <c r="A1216" s="31" t="str">
        <f>'EQUITY BACKTEST'!A1219</f>
        <v/>
      </c>
      <c r="B1216" s="22" t="str">
        <f>'EQUITY BACKTEST'!B1219</f>
        <v/>
      </c>
      <c r="C1216" s="22" t="str">
        <f>1/'EQUITY BACKTEST'!E1219</f>
        <v>#DIV/0!</v>
      </c>
      <c r="D1216" s="22" t="str">
        <f t="shared" si="7"/>
        <v>#DIV/0!</v>
      </c>
      <c r="E1216" s="22" t="str">
        <f t="shared" si="3"/>
        <v/>
      </c>
      <c r="F1216" s="22" t="str">
        <f t="shared" si="6"/>
        <v>#DIV/0!</v>
      </c>
      <c r="H1216" s="22" t="str">
        <f t="shared" si="4"/>
        <v/>
      </c>
      <c r="I1216" s="22" t="str">
        <f t="shared" si="1"/>
        <v>#N/A</v>
      </c>
      <c r="J1216" s="22" t="str">
        <f t="shared" si="2"/>
        <v>#N/A</v>
      </c>
      <c r="K1216" s="22" t="str">
        <f t="shared" si="8"/>
        <v>#DIV/0!</v>
      </c>
    </row>
    <row r="1217" ht="15.75" customHeight="1">
      <c r="A1217" s="31" t="str">
        <f>'EQUITY BACKTEST'!A1220</f>
        <v/>
      </c>
      <c r="B1217" s="22" t="str">
        <f>'EQUITY BACKTEST'!B1220</f>
        <v/>
      </c>
      <c r="C1217" s="22" t="str">
        <f>1/'EQUITY BACKTEST'!E1220</f>
        <v>#DIV/0!</v>
      </c>
      <c r="D1217" s="22" t="str">
        <f t="shared" si="7"/>
        <v>#DIV/0!</v>
      </c>
      <c r="E1217" s="22" t="str">
        <f t="shared" si="3"/>
        <v/>
      </c>
      <c r="F1217" s="22" t="str">
        <f t="shared" si="6"/>
        <v>#DIV/0!</v>
      </c>
      <c r="H1217" s="22" t="str">
        <f t="shared" si="4"/>
        <v/>
      </c>
      <c r="I1217" s="22" t="str">
        <f t="shared" si="1"/>
        <v>#N/A</v>
      </c>
      <c r="J1217" s="22" t="str">
        <f t="shared" si="2"/>
        <v>#N/A</v>
      </c>
      <c r="K1217" s="22" t="str">
        <f t="shared" si="8"/>
        <v>#DIV/0!</v>
      </c>
    </row>
    <row r="1218" ht="15.75" customHeight="1">
      <c r="A1218" s="31" t="str">
        <f>'EQUITY BACKTEST'!A1221</f>
        <v/>
      </c>
      <c r="B1218" s="22" t="str">
        <f>'EQUITY BACKTEST'!B1221</f>
        <v/>
      </c>
      <c r="C1218" s="22" t="str">
        <f>1/'EQUITY BACKTEST'!E1221</f>
        <v>#DIV/0!</v>
      </c>
      <c r="D1218" s="22" t="str">
        <f t="shared" si="7"/>
        <v>#DIV/0!</v>
      </c>
      <c r="E1218" s="22" t="str">
        <f t="shared" si="3"/>
        <v/>
      </c>
      <c r="F1218" s="22" t="str">
        <f t="shared" si="6"/>
        <v>#DIV/0!</v>
      </c>
      <c r="H1218" s="22" t="str">
        <f t="shared" si="4"/>
        <v/>
      </c>
      <c r="I1218" s="22" t="str">
        <f t="shared" si="1"/>
        <v>#N/A</v>
      </c>
      <c r="J1218" s="22" t="str">
        <f t="shared" si="2"/>
        <v>#N/A</v>
      </c>
      <c r="K1218" s="22" t="str">
        <f t="shared" si="8"/>
        <v>#DIV/0!</v>
      </c>
    </row>
    <row r="1219" ht="15.75" customHeight="1">
      <c r="A1219" s="31" t="str">
        <f>'EQUITY BACKTEST'!A1222</f>
        <v/>
      </c>
      <c r="B1219" s="22" t="str">
        <f>'EQUITY BACKTEST'!B1222</f>
        <v/>
      </c>
      <c r="C1219" s="22" t="str">
        <f>1/'EQUITY BACKTEST'!E1222</f>
        <v>#DIV/0!</v>
      </c>
      <c r="D1219" s="22" t="str">
        <f t="shared" si="7"/>
        <v>#DIV/0!</v>
      </c>
      <c r="E1219" s="22" t="str">
        <f t="shared" si="3"/>
        <v/>
      </c>
      <c r="F1219" s="22" t="str">
        <f t="shared" si="6"/>
        <v>#DIV/0!</v>
      </c>
      <c r="H1219" s="22" t="str">
        <f t="shared" si="4"/>
        <v/>
      </c>
      <c r="I1219" s="22" t="str">
        <f t="shared" si="1"/>
        <v>#N/A</v>
      </c>
      <c r="J1219" s="22" t="str">
        <f t="shared" si="2"/>
        <v>#N/A</v>
      </c>
      <c r="K1219" s="22" t="str">
        <f t="shared" si="8"/>
        <v>#DIV/0!</v>
      </c>
    </row>
    <row r="1220" ht="15.75" customHeight="1">
      <c r="A1220" s="31" t="str">
        <f>'EQUITY BACKTEST'!A1223</f>
        <v/>
      </c>
      <c r="B1220" s="22" t="str">
        <f>'EQUITY BACKTEST'!B1223</f>
        <v/>
      </c>
      <c r="C1220" s="22" t="str">
        <f>1/'EQUITY BACKTEST'!E1223</f>
        <v>#DIV/0!</v>
      </c>
      <c r="D1220" s="22" t="str">
        <f t="shared" si="7"/>
        <v>#DIV/0!</v>
      </c>
      <c r="E1220" s="22" t="str">
        <f t="shared" si="3"/>
        <v/>
      </c>
      <c r="F1220" s="22" t="str">
        <f t="shared" si="6"/>
        <v>#DIV/0!</v>
      </c>
      <c r="H1220" s="22" t="str">
        <f t="shared" si="4"/>
        <v/>
      </c>
      <c r="I1220" s="22" t="str">
        <f t="shared" si="1"/>
        <v>#N/A</v>
      </c>
      <c r="J1220" s="22" t="str">
        <f t="shared" si="2"/>
        <v>#N/A</v>
      </c>
      <c r="K1220" s="22" t="str">
        <f t="shared" si="8"/>
        <v>#DIV/0!</v>
      </c>
    </row>
    <row r="1221" ht="15.75" customHeight="1">
      <c r="A1221" s="31" t="str">
        <f>'EQUITY BACKTEST'!A1224</f>
        <v/>
      </c>
      <c r="B1221" s="22" t="str">
        <f>'EQUITY BACKTEST'!B1224</f>
        <v/>
      </c>
      <c r="C1221" s="22" t="str">
        <f>1/'EQUITY BACKTEST'!E1224</f>
        <v>#DIV/0!</v>
      </c>
      <c r="D1221" s="22" t="str">
        <f t="shared" si="7"/>
        <v>#DIV/0!</v>
      </c>
      <c r="E1221" s="22" t="str">
        <f t="shared" si="3"/>
        <v/>
      </c>
      <c r="F1221" s="22" t="str">
        <f t="shared" si="6"/>
        <v>#DIV/0!</v>
      </c>
      <c r="H1221" s="22" t="str">
        <f t="shared" si="4"/>
        <v/>
      </c>
      <c r="I1221" s="22" t="str">
        <f t="shared" si="1"/>
        <v>#N/A</v>
      </c>
      <c r="J1221" s="22" t="str">
        <f t="shared" si="2"/>
        <v>#N/A</v>
      </c>
      <c r="K1221" s="22" t="str">
        <f t="shared" si="8"/>
        <v>#DIV/0!</v>
      </c>
    </row>
    <row r="1222" ht="15.75" customHeight="1">
      <c r="A1222" s="31" t="str">
        <f>'EQUITY BACKTEST'!A1225</f>
        <v/>
      </c>
      <c r="B1222" s="22" t="str">
        <f>'EQUITY BACKTEST'!B1225</f>
        <v/>
      </c>
      <c r="C1222" s="22" t="str">
        <f>1/'EQUITY BACKTEST'!E1225</f>
        <v>#DIV/0!</v>
      </c>
      <c r="D1222" s="22" t="str">
        <f t="shared" si="7"/>
        <v>#DIV/0!</v>
      </c>
      <c r="E1222" s="22" t="str">
        <f t="shared" si="3"/>
        <v/>
      </c>
      <c r="F1222" s="22" t="str">
        <f t="shared" si="6"/>
        <v>#DIV/0!</v>
      </c>
      <c r="H1222" s="22" t="str">
        <f t="shared" si="4"/>
        <v/>
      </c>
      <c r="I1222" s="22" t="str">
        <f t="shared" si="1"/>
        <v>#N/A</v>
      </c>
      <c r="J1222" s="22" t="str">
        <f t="shared" si="2"/>
        <v>#N/A</v>
      </c>
      <c r="K1222" s="22" t="str">
        <f t="shared" si="8"/>
        <v>#DIV/0!</v>
      </c>
    </row>
    <row r="1223" ht="15.75" customHeight="1">
      <c r="A1223" s="31" t="str">
        <f>'EQUITY BACKTEST'!A1226</f>
        <v/>
      </c>
      <c r="B1223" s="22" t="str">
        <f>'EQUITY BACKTEST'!B1226</f>
        <v/>
      </c>
      <c r="C1223" s="22" t="str">
        <f>1/'EQUITY BACKTEST'!E1226</f>
        <v>#DIV/0!</v>
      </c>
      <c r="D1223" s="22" t="str">
        <f t="shared" si="7"/>
        <v>#DIV/0!</v>
      </c>
      <c r="E1223" s="22" t="str">
        <f t="shared" si="3"/>
        <v/>
      </c>
      <c r="F1223" s="22" t="str">
        <f t="shared" si="6"/>
        <v>#DIV/0!</v>
      </c>
      <c r="H1223" s="22" t="str">
        <f t="shared" si="4"/>
        <v/>
      </c>
      <c r="I1223" s="22" t="str">
        <f t="shared" si="1"/>
        <v>#N/A</v>
      </c>
      <c r="J1223" s="22" t="str">
        <f t="shared" si="2"/>
        <v>#N/A</v>
      </c>
      <c r="K1223" s="22" t="str">
        <f t="shared" si="8"/>
        <v>#DIV/0!</v>
      </c>
    </row>
    <row r="1224" ht="15.75" customHeight="1">
      <c r="A1224" s="31" t="str">
        <f>'EQUITY BACKTEST'!A1227</f>
        <v/>
      </c>
      <c r="B1224" s="22" t="str">
        <f>'EQUITY BACKTEST'!B1227</f>
        <v/>
      </c>
      <c r="C1224" s="22" t="str">
        <f>1/'EQUITY BACKTEST'!E1227</f>
        <v>#DIV/0!</v>
      </c>
      <c r="D1224" s="22" t="str">
        <f t="shared" si="7"/>
        <v>#DIV/0!</v>
      </c>
      <c r="E1224" s="22" t="str">
        <f t="shared" si="3"/>
        <v/>
      </c>
      <c r="F1224" s="22" t="str">
        <f t="shared" si="6"/>
        <v>#DIV/0!</v>
      </c>
      <c r="H1224" s="22" t="str">
        <f t="shared" si="4"/>
        <v/>
      </c>
      <c r="I1224" s="22" t="str">
        <f t="shared" si="1"/>
        <v>#N/A</v>
      </c>
      <c r="J1224" s="22" t="str">
        <f t="shared" si="2"/>
        <v>#N/A</v>
      </c>
      <c r="K1224" s="22" t="str">
        <f t="shared" si="8"/>
        <v>#DIV/0!</v>
      </c>
    </row>
    <row r="1225" ht="15.75" customHeight="1">
      <c r="A1225" s="31" t="str">
        <f>'EQUITY BACKTEST'!A1228</f>
        <v/>
      </c>
      <c r="B1225" s="22" t="str">
        <f>'EQUITY BACKTEST'!B1228</f>
        <v/>
      </c>
      <c r="C1225" s="22" t="str">
        <f>1/'EQUITY BACKTEST'!E1228</f>
        <v>#DIV/0!</v>
      </c>
      <c r="D1225" s="22" t="str">
        <f t="shared" si="7"/>
        <v>#DIV/0!</v>
      </c>
      <c r="E1225" s="22" t="str">
        <f t="shared" si="3"/>
        <v/>
      </c>
      <c r="F1225" s="22" t="str">
        <f t="shared" si="6"/>
        <v>#DIV/0!</v>
      </c>
      <c r="H1225" s="22" t="str">
        <f t="shared" si="4"/>
        <v/>
      </c>
      <c r="I1225" s="22" t="str">
        <f t="shared" si="1"/>
        <v>#N/A</v>
      </c>
      <c r="J1225" s="22" t="str">
        <f t="shared" si="2"/>
        <v>#N/A</v>
      </c>
      <c r="K1225" s="22" t="str">
        <f t="shared" si="8"/>
        <v>#DIV/0!</v>
      </c>
    </row>
    <row r="1226" ht="15.75" customHeight="1">
      <c r="A1226" s="31" t="str">
        <f>'EQUITY BACKTEST'!A1229</f>
        <v/>
      </c>
      <c r="B1226" s="22" t="str">
        <f>'EQUITY BACKTEST'!B1229</f>
        <v/>
      </c>
      <c r="C1226" s="22" t="str">
        <f>1/'EQUITY BACKTEST'!E1229</f>
        <v>#DIV/0!</v>
      </c>
      <c r="D1226" s="22" t="str">
        <f t="shared" si="7"/>
        <v>#DIV/0!</v>
      </c>
      <c r="E1226" s="22" t="str">
        <f t="shared" si="3"/>
        <v/>
      </c>
      <c r="F1226" s="22" t="str">
        <f t="shared" si="6"/>
        <v>#DIV/0!</v>
      </c>
      <c r="H1226" s="22" t="str">
        <f t="shared" si="4"/>
        <v/>
      </c>
      <c r="I1226" s="22" t="str">
        <f t="shared" si="1"/>
        <v>#N/A</v>
      </c>
      <c r="J1226" s="22" t="str">
        <f t="shared" si="2"/>
        <v>#N/A</v>
      </c>
      <c r="K1226" s="22" t="str">
        <f t="shared" si="8"/>
        <v>#DIV/0!</v>
      </c>
    </row>
    <row r="1227" ht="15.75" customHeight="1">
      <c r="A1227" s="31" t="str">
        <f>'EQUITY BACKTEST'!A1230</f>
        <v/>
      </c>
      <c r="B1227" s="22" t="str">
        <f>'EQUITY BACKTEST'!B1230</f>
        <v/>
      </c>
      <c r="C1227" s="22" t="str">
        <f>1/'EQUITY BACKTEST'!E1230</f>
        <v>#DIV/0!</v>
      </c>
      <c r="D1227" s="22" t="str">
        <f t="shared" si="7"/>
        <v>#DIV/0!</v>
      </c>
      <c r="E1227" s="22" t="str">
        <f t="shared" si="3"/>
        <v/>
      </c>
      <c r="F1227" s="22" t="str">
        <f t="shared" si="6"/>
        <v>#DIV/0!</v>
      </c>
      <c r="H1227" s="22" t="str">
        <f t="shared" si="4"/>
        <v/>
      </c>
      <c r="I1227" s="22" t="str">
        <f t="shared" si="1"/>
        <v>#N/A</v>
      </c>
      <c r="J1227" s="22" t="str">
        <f t="shared" si="2"/>
        <v>#N/A</v>
      </c>
      <c r="K1227" s="22" t="str">
        <f t="shared" si="8"/>
        <v>#DIV/0!</v>
      </c>
    </row>
    <row r="1228" ht="15.75" customHeight="1">
      <c r="A1228" s="31" t="str">
        <f>'EQUITY BACKTEST'!A1231</f>
        <v/>
      </c>
      <c r="B1228" s="22" t="str">
        <f>'EQUITY BACKTEST'!B1231</f>
        <v/>
      </c>
      <c r="C1228" s="22" t="str">
        <f>1/'EQUITY BACKTEST'!E1231</f>
        <v>#DIV/0!</v>
      </c>
      <c r="D1228" s="22" t="str">
        <f t="shared" si="7"/>
        <v>#DIV/0!</v>
      </c>
      <c r="E1228" s="22" t="str">
        <f t="shared" si="3"/>
        <v/>
      </c>
      <c r="F1228" s="22" t="str">
        <f t="shared" si="6"/>
        <v>#DIV/0!</v>
      </c>
      <c r="H1228" s="22" t="str">
        <f t="shared" si="4"/>
        <v/>
      </c>
      <c r="I1228" s="22" t="str">
        <f t="shared" si="1"/>
        <v>#N/A</v>
      </c>
      <c r="J1228" s="22" t="str">
        <f t="shared" si="2"/>
        <v>#N/A</v>
      </c>
      <c r="K1228" s="22" t="str">
        <f t="shared" si="8"/>
        <v>#DIV/0!</v>
      </c>
    </row>
    <row r="1229" ht="15.75" customHeight="1">
      <c r="A1229" s="31" t="str">
        <f>'EQUITY BACKTEST'!A1232</f>
        <v/>
      </c>
      <c r="B1229" s="22" t="str">
        <f>'EQUITY BACKTEST'!B1232</f>
        <v/>
      </c>
      <c r="C1229" s="22" t="str">
        <f>1/'EQUITY BACKTEST'!E1232</f>
        <v>#DIV/0!</v>
      </c>
      <c r="D1229" s="22" t="str">
        <f t="shared" si="7"/>
        <v>#DIV/0!</v>
      </c>
      <c r="E1229" s="22" t="str">
        <f t="shared" si="3"/>
        <v/>
      </c>
      <c r="F1229" s="22" t="str">
        <f t="shared" si="6"/>
        <v>#DIV/0!</v>
      </c>
      <c r="H1229" s="22" t="str">
        <f t="shared" si="4"/>
        <v/>
      </c>
      <c r="I1229" s="22" t="str">
        <f t="shared" si="1"/>
        <v>#N/A</v>
      </c>
      <c r="J1229" s="22" t="str">
        <f t="shared" si="2"/>
        <v>#N/A</v>
      </c>
      <c r="K1229" s="22" t="str">
        <f t="shared" si="8"/>
        <v>#DIV/0!</v>
      </c>
    </row>
    <row r="1230" ht="15.75" customHeight="1">
      <c r="A1230" s="31" t="str">
        <f>'EQUITY BACKTEST'!A1233</f>
        <v/>
      </c>
      <c r="B1230" s="22" t="str">
        <f>'EQUITY BACKTEST'!B1233</f>
        <v/>
      </c>
      <c r="C1230" s="22" t="str">
        <f>1/'EQUITY BACKTEST'!E1233</f>
        <v>#DIV/0!</v>
      </c>
      <c r="D1230" s="22" t="str">
        <f t="shared" si="7"/>
        <v>#DIV/0!</v>
      </c>
      <c r="E1230" s="22" t="str">
        <f t="shared" si="3"/>
        <v/>
      </c>
      <c r="F1230" s="22" t="str">
        <f t="shared" si="6"/>
        <v>#DIV/0!</v>
      </c>
      <c r="H1230" s="22" t="str">
        <f t="shared" si="4"/>
        <v/>
      </c>
      <c r="I1230" s="22" t="str">
        <f t="shared" si="1"/>
        <v>#N/A</v>
      </c>
      <c r="J1230" s="22" t="str">
        <f t="shared" si="2"/>
        <v>#N/A</v>
      </c>
      <c r="K1230" s="22" t="str">
        <f t="shared" si="8"/>
        <v>#DIV/0!</v>
      </c>
    </row>
    <row r="1231" ht="15.75" customHeight="1">
      <c r="A1231" s="31" t="str">
        <f>'EQUITY BACKTEST'!A1234</f>
        <v/>
      </c>
      <c r="B1231" s="22" t="str">
        <f>'EQUITY BACKTEST'!B1234</f>
        <v/>
      </c>
      <c r="C1231" s="22" t="str">
        <f>1/'EQUITY BACKTEST'!E1234</f>
        <v>#DIV/0!</v>
      </c>
      <c r="D1231" s="22" t="str">
        <f t="shared" si="7"/>
        <v>#DIV/0!</v>
      </c>
      <c r="E1231" s="22" t="str">
        <f t="shared" si="3"/>
        <v/>
      </c>
      <c r="F1231" s="22" t="str">
        <f t="shared" si="6"/>
        <v>#DIV/0!</v>
      </c>
      <c r="H1231" s="22" t="str">
        <f t="shared" si="4"/>
        <v/>
      </c>
      <c r="I1231" s="22" t="str">
        <f t="shared" si="1"/>
        <v>#N/A</v>
      </c>
      <c r="J1231" s="22" t="str">
        <f t="shared" si="2"/>
        <v>#N/A</v>
      </c>
      <c r="K1231" s="22" t="str">
        <f t="shared" si="8"/>
        <v>#DIV/0!</v>
      </c>
    </row>
    <row r="1232" ht="15.75" customHeight="1">
      <c r="A1232" s="31" t="str">
        <f>'EQUITY BACKTEST'!A1235</f>
        <v/>
      </c>
      <c r="B1232" s="22" t="str">
        <f>'EQUITY BACKTEST'!B1235</f>
        <v/>
      </c>
      <c r="C1232" s="22" t="str">
        <f>1/'EQUITY BACKTEST'!E1235</f>
        <v>#DIV/0!</v>
      </c>
      <c r="D1232" s="22" t="str">
        <f t="shared" si="7"/>
        <v>#DIV/0!</v>
      </c>
      <c r="E1232" s="22" t="str">
        <f t="shared" si="3"/>
        <v/>
      </c>
      <c r="F1232" s="22" t="str">
        <f t="shared" si="6"/>
        <v>#DIV/0!</v>
      </c>
      <c r="H1232" s="22" t="str">
        <f t="shared" si="4"/>
        <v/>
      </c>
      <c r="I1232" s="22" t="str">
        <f t="shared" si="1"/>
        <v>#N/A</v>
      </c>
      <c r="J1232" s="22" t="str">
        <f t="shared" si="2"/>
        <v>#N/A</v>
      </c>
      <c r="K1232" s="22" t="str">
        <f t="shared" si="8"/>
        <v>#DIV/0!</v>
      </c>
    </row>
    <row r="1233" ht="15.75" customHeight="1">
      <c r="A1233" s="31" t="str">
        <f>'EQUITY BACKTEST'!A1236</f>
        <v/>
      </c>
      <c r="B1233" s="22" t="str">
        <f>'EQUITY BACKTEST'!B1236</f>
        <v/>
      </c>
      <c r="C1233" s="22" t="str">
        <f>1/'EQUITY BACKTEST'!E1236</f>
        <v>#DIV/0!</v>
      </c>
      <c r="D1233" s="22" t="str">
        <f t="shared" si="7"/>
        <v>#DIV/0!</v>
      </c>
      <c r="E1233" s="22" t="str">
        <f t="shared" si="3"/>
        <v/>
      </c>
      <c r="F1233" s="22" t="str">
        <f t="shared" si="6"/>
        <v>#DIV/0!</v>
      </c>
      <c r="H1233" s="22" t="str">
        <f t="shared" si="4"/>
        <v/>
      </c>
      <c r="I1233" s="22" t="str">
        <f t="shared" si="1"/>
        <v>#N/A</v>
      </c>
      <c r="J1233" s="22" t="str">
        <f t="shared" si="2"/>
        <v>#N/A</v>
      </c>
      <c r="K1233" s="22" t="str">
        <f t="shared" si="8"/>
        <v>#DIV/0!</v>
      </c>
    </row>
    <row r="1234" ht="15.75" customHeight="1">
      <c r="A1234" s="31" t="str">
        <f>'EQUITY BACKTEST'!A1237</f>
        <v/>
      </c>
      <c r="B1234" s="22" t="str">
        <f>'EQUITY BACKTEST'!B1237</f>
        <v/>
      </c>
      <c r="C1234" s="22" t="str">
        <f>1/'EQUITY BACKTEST'!E1237</f>
        <v>#DIV/0!</v>
      </c>
      <c r="D1234" s="22" t="str">
        <f t="shared" si="7"/>
        <v>#DIV/0!</v>
      </c>
      <c r="E1234" s="22" t="str">
        <f t="shared" si="3"/>
        <v/>
      </c>
      <c r="F1234" s="22" t="str">
        <f t="shared" si="6"/>
        <v>#DIV/0!</v>
      </c>
      <c r="H1234" s="22" t="str">
        <f t="shared" si="4"/>
        <v/>
      </c>
      <c r="I1234" s="22" t="str">
        <f t="shared" si="1"/>
        <v>#N/A</v>
      </c>
      <c r="J1234" s="22" t="str">
        <f t="shared" si="2"/>
        <v>#N/A</v>
      </c>
      <c r="K1234" s="22" t="str">
        <f t="shared" si="8"/>
        <v>#DIV/0!</v>
      </c>
    </row>
    <row r="1235" ht="15.75" customHeight="1">
      <c r="A1235" s="31" t="str">
        <f>'EQUITY BACKTEST'!A1238</f>
        <v/>
      </c>
      <c r="B1235" s="22" t="str">
        <f>'EQUITY BACKTEST'!B1238</f>
        <v/>
      </c>
      <c r="C1235" s="22" t="str">
        <f>1/'EQUITY BACKTEST'!E1238</f>
        <v>#DIV/0!</v>
      </c>
      <c r="D1235" s="22" t="str">
        <f t="shared" si="7"/>
        <v>#DIV/0!</v>
      </c>
      <c r="E1235" s="22" t="str">
        <f t="shared" si="3"/>
        <v/>
      </c>
      <c r="F1235" s="22" t="str">
        <f t="shared" si="6"/>
        <v>#DIV/0!</v>
      </c>
      <c r="H1235" s="22" t="str">
        <f t="shared" si="4"/>
        <v/>
      </c>
      <c r="I1235" s="22" t="str">
        <f t="shared" si="1"/>
        <v>#N/A</v>
      </c>
      <c r="J1235" s="22" t="str">
        <f t="shared" si="2"/>
        <v>#N/A</v>
      </c>
      <c r="K1235" s="22" t="str">
        <f t="shared" si="8"/>
        <v>#DIV/0!</v>
      </c>
    </row>
    <row r="1236" ht="15.75" customHeight="1">
      <c r="A1236" s="31" t="str">
        <f>'EQUITY BACKTEST'!A1239</f>
        <v/>
      </c>
      <c r="B1236" s="22" t="str">
        <f>'EQUITY BACKTEST'!B1239</f>
        <v/>
      </c>
      <c r="C1236" s="22" t="str">
        <f>1/'EQUITY BACKTEST'!E1239</f>
        <v>#DIV/0!</v>
      </c>
      <c r="D1236" s="22" t="str">
        <f t="shared" si="7"/>
        <v>#DIV/0!</v>
      </c>
      <c r="E1236" s="22" t="str">
        <f t="shared" si="3"/>
        <v/>
      </c>
      <c r="F1236" s="22" t="str">
        <f t="shared" si="6"/>
        <v>#DIV/0!</v>
      </c>
      <c r="H1236" s="22" t="str">
        <f t="shared" si="4"/>
        <v/>
      </c>
      <c r="I1236" s="22" t="str">
        <f t="shared" si="1"/>
        <v>#N/A</v>
      </c>
      <c r="J1236" s="22" t="str">
        <f t="shared" si="2"/>
        <v>#N/A</v>
      </c>
      <c r="K1236" s="22" t="str">
        <f t="shared" si="8"/>
        <v>#DIV/0!</v>
      </c>
    </row>
    <row r="1237" ht="15.75" customHeight="1">
      <c r="A1237" s="31" t="str">
        <f>'EQUITY BACKTEST'!A1240</f>
        <v/>
      </c>
      <c r="B1237" s="22" t="str">
        <f>'EQUITY BACKTEST'!B1240</f>
        <v/>
      </c>
      <c r="C1237" s="22" t="str">
        <f>1/'EQUITY BACKTEST'!E1240</f>
        <v>#DIV/0!</v>
      </c>
      <c r="D1237" s="22" t="str">
        <f t="shared" si="7"/>
        <v>#DIV/0!</v>
      </c>
      <c r="E1237" s="22" t="str">
        <f t="shared" si="3"/>
        <v/>
      </c>
      <c r="F1237" s="22" t="str">
        <f t="shared" si="6"/>
        <v>#DIV/0!</v>
      </c>
      <c r="H1237" s="22" t="str">
        <f t="shared" si="4"/>
        <v/>
      </c>
      <c r="I1237" s="22" t="str">
        <f t="shared" si="1"/>
        <v>#N/A</v>
      </c>
      <c r="J1237" s="22" t="str">
        <f t="shared" si="2"/>
        <v>#N/A</v>
      </c>
      <c r="K1237" s="22" t="str">
        <f t="shared" si="8"/>
        <v>#DIV/0!</v>
      </c>
    </row>
    <row r="1238" ht="15.75" customHeight="1">
      <c r="A1238" s="31" t="str">
        <f>'EQUITY BACKTEST'!A1241</f>
        <v/>
      </c>
      <c r="B1238" s="22" t="str">
        <f>'EQUITY BACKTEST'!B1241</f>
        <v/>
      </c>
      <c r="C1238" s="22" t="str">
        <f>1/'EQUITY BACKTEST'!E1241</f>
        <v>#DIV/0!</v>
      </c>
      <c r="D1238" s="22" t="str">
        <f t="shared" si="7"/>
        <v>#DIV/0!</v>
      </c>
      <c r="E1238" s="22" t="str">
        <f t="shared" si="3"/>
        <v/>
      </c>
      <c r="F1238" s="22" t="str">
        <f t="shared" si="6"/>
        <v>#DIV/0!</v>
      </c>
      <c r="H1238" s="22" t="str">
        <f t="shared" si="4"/>
        <v/>
      </c>
      <c r="I1238" s="22" t="str">
        <f t="shared" si="1"/>
        <v>#N/A</v>
      </c>
      <c r="J1238" s="22" t="str">
        <f t="shared" si="2"/>
        <v>#N/A</v>
      </c>
      <c r="K1238" s="22" t="str">
        <f t="shared" si="8"/>
        <v>#DIV/0!</v>
      </c>
    </row>
    <row r="1239" ht="15.75" customHeight="1">
      <c r="A1239" s="31" t="str">
        <f>'EQUITY BACKTEST'!A1242</f>
        <v/>
      </c>
      <c r="B1239" s="22" t="str">
        <f>'EQUITY BACKTEST'!B1242</f>
        <v/>
      </c>
      <c r="C1239" s="22" t="str">
        <f>1/'EQUITY BACKTEST'!E1242</f>
        <v>#DIV/0!</v>
      </c>
      <c r="D1239" s="22" t="str">
        <f t="shared" si="7"/>
        <v>#DIV/0!</v>
      </c>
      <c r="E1239" s="22" t="str">
        <f t="shared" si="3"/>
        <v/>
      </c>
      <c r="F1239" s="22" t="str">
        <f t="shared" si="6"/>
        <v>#DIV/0!</v>
      </c>
      <c r="H1239" s="22" t="str">
        <f t="shared" si="4"/>
        <v/>
      </c>
      <c r="I1239" s="22" t="str">
        <f t="shared" si="1"/>
        <v>#N/A</v>
      </c>
      <c r="J1239" s="22" t="str">
        <f t="shared" si="2"/>
        <v>#N/A</v>
      </c>
      <c r="K1239" s="22" t="str">
        <f t="shared" si="8"/>
        <v>#DIV/0!</v>
      </c>
    </row>
    <row r="1240" ht="15.75" customHeight="1">
      <c r="A1240" s="31" t="str">
        <f>'EQUITY BACKTEST'!A1243</f>
        <v/>
      </c>
      <c r="B1240" s="22" t="str">
        <f>'EQUITY BACKTEST'!B1243</f>
        <v/>
      </c>
      <c r="C1240" s="22" t="str">
        <f>1/'EQUITY BACKTEST'!E1243</f>
        <v>#DIV/0!</v>
      </c>
      <c r="D1240" s="22" t="str">
        <f t="shared" si="7"/>
        <v>#DIV/0!</v>
      </c>
      <c r="E1240" s="22" t="str">
        <f t="shared" si="3"/>
        <v/>
      </c>
      <c r="F1240" s="22" t="str">
        <f t="shared" si="6"/>
        <v>#DIV/0!</v>
      </c>
      <c r="H1240" s="22" t="str">
        <f t="shared" si="4"/>
        <v/>
      </c>
      <c r="I1240" s="22" t="str">
        <f t="shared" si="1"/>
        <v>#N/A</v>
      </c>
      <c r="J1240" s="22" t="str">
        <f t="shared" si="2"/>
        <v>#N/A</v>
      </c>
      <c r="K1240" s="22" t="str">
        <f t="shared" si="8"/>
        <v>#DIV/0!</v>
      </c>
    </row>
    <row r="1241" ht="15.75" customHeight="1">
      <c r="A1241" s="31" t="str">
        <f>'EQUITY BACKTEST'!A1244</f>
        <v/>
      </c>
      <c r="B1241" s="22" t="str">
        <f>'EQUITY BACKTEST'!B1244</f>
        <v/>
      </c>
      <c r="C1241" s="22" t="str">
        <f>1/'EQUITY BACKTEST'!E1244</f>
        <v>#DIV/0!</v>
      </c>
      <c r="D1241" s="22" t="str">
        <f t="shared" si="7"/>
        <v>#DIV/0!</v>
      </c>
      <c r="E1241" s="22" t="str">
        <f t="shared" si="3"/>
        <v/>
      </c>
      <c r="F1241" s="22" t="str">
        <f t="shared" si="6"/>
        <v>#DIV/0!</v>
      </c>
      <c r="H1241" s="22" t="str">
        <f t="shared" si="4"/>
        <v/>
      </c>
      <c r="I1241" s="22" t="str">
        <f t="shared" si="1"/>
        <v>#N/A</v>
      </c>
      <c r="J1241" s="22" t="str">
        <f t="shared" si="2"/>
        <v>#N/A</v>
      </c>
      <c r="K1241" s="22" t="str">
        <f t="shared" si="8"/>
        <v>#DIV/0!</v>
      </c>
    </row>
    <row r="1242" ht="15.75" customHeight="1">
      <c r="A1242" s="31" t="str">
        <f>'EQUITY BACKTEST'!A1245</f>
        <v/>
      </c>
      <c r="B1242" s="22" t="str">
        <f>'EQUITY BACKTEST'!B1245</f>
        <v/>
      </c>
      <c r="C1242" s="22" t="str">
        <f>1/'EQUITY BACKTEST'!E1245</f>
        <v>#DIV/0!</v>
      </c>
      <c r="D1242" s="22" t="str">
        <f t="shared" si="7"/>
        <v>#DIV/0!</v>
      </c>
      <c r="E1242" s="22" t="str">
        <f t="shared" si="3"/>
        <v/>
      </c>
      <c r="F1242" s="22" t="str">
        <f t="shared" si="6"/>
        <v>#DIV/0!</v>
      </c>
      <c r="H1242" s="22" t="str">
        <f t="shared" si="4"/>
        <v/>
      </c>
      <c r="I1242" s="22" t="str">
        <f t="shared" si="1"/>
        <v>#N/A</v>
      </c>
      <c r="J1242" s="22" t="str">
        <f t="shared" si="2"/>
        <v>#N/A</v>
      </c>
      <c r="K1242" s="22" t="str">
        <f t="shared" si="8"/>
        <v>#DIV/0!</v>
      </c>
    </row>
    <row r="1243" ht="15.75" customHeight="1">
      <c r="A1243" s="31" t="str">
        <f>'EQUITY BACKTEST'!A1246</f>
        <v/>
      </c>
      <c r="B1243" s="22" t="str">
        <f>'EQUITY BACKTEST'!B1246</f>
        <v/>
      </c>
      <c r="C1243" s="22" t="str">
        <f>1/'EQUITY BACKTEST'!E1246</f>
        <v>#DIV/0!</v>
      </c>
      <c r="D1243" s="22" t="str">
        <f t="shared" si="7"/>
        <v>#DIV/0!</v>
      </c>
      <c r="E1243" s="22" t="str">
        <f t="shared" si="3"/>
        <v/>
      </c>
      <c r="F1243" s="22" t="str">
        <f t="shared" si="6"/>
        <v>#DIV/0!</v>
      </c>
      <c r="H1243" s="22" t="str">
        <f t="shared" si="4"/>
        <v/>
      </c>
      <c r="I1243" s="22" t="str">
        <f t="shared" si="1"/>
        <v>#N/A</v>
      </c>
      <c r="J1243" s="22" t="str">
        <f t="shared" si="2"/>
        <v>#N/A</v>
      </c>
      <c r="K1243" s="22" t="str">
        <f t="shared" si="8"/>
        <v>#DIV/0!</v>
      </c>
    </row>
    <row r="1244" ht="15.75" customHeight="1">
      <c r="A1244" s="31" t="str">
        <f>'EQUITY BACKTEST'!A1247</f>
        <v/>
      </c>
      <c r="B1244" s="22" t="str">
        <f>'EQUITY BACKTEST'!B1247</f>
        <v/>
      </c>
      <c r="C1244" s="22" t="str">
        <f>1/'EQUITY BACKTEST'!E1247</f>
        <v>#DIV/0!</v>
      </c>
      <c r="D1244" s="22" t="str">
        <f t="shared" si="7"/>
        <v>#DIV/0!</v>
      </c>
      <c r="E1244" s="22" t="str">
        <f t="shared" si="3"/>
        <v/>
      </c>
      <c r="F1244" s="22" t="str">
        <f t="shared" si="6"/>
        <v>#DIV/0!</v>
      </c>
      <c r="H1244" s="22" t="str">
        <f t="shared" si="4"/>
        <v/>
      </c>
      <c r="I1244" s="22" t="str">
        <f t="shared" si="1"/>
        <v>#N/A</v>
      </c>
      <c r="J1244" s="22" t="str">
        <f t="shared" si="2"/>
        <v>#N/A</v>
      </c>
      <c r="K1244" s="22" t="str">
        <f t="shared" si="8"/>
        <v>#DIV/0!</v>
      </c>
    </row>
    <row r="1245" ht="15.75" customHeight="1">
      <c r="A1245" s="31" t="str">
        <f>'EQUITY BACKTEST'!A1248</f>
        <v/>
      </c>
      <c r="B1245" s="22" t="str">
        <f>'EQUITY BACKTEST'!B1248</f>
        <v/>
      </c>
      <c r="C1245" s="22" t="str">
        <f>1/'EQUITY BACKTEST'!E1248</f>
        <v>#DIV/0!</v>
      </c>
      <c r="D1245" s="22" t="str">
        <f t="shared" si="7"/>
        <v>#DIV/0!</v>
      </c>
      <c r="E1245" s="22" t="str">
        <f t="shared" si="3"/>
        <v/>
      </c>
      <c r="F1245" s="22" t="str">
        <f t="shared" si="6"/>
        <v>#DIV/0!</v>
      </c>
      <c r="H1245" s="22" t="str">
        <f t="shared" si="4"/>
        <v/>
      </c>
      <c r="I1245" s="22" t="str">
        <f t="shared" si="1"/>
        <v>#N/A</v>
      </c>
      <c r="J1245" s="22" t="str">
        <f t="shared" si="2"/>
        <v>#N/A</v>
      </c>
      <c r="K1245" s="22" t="str">
        <f t="shared" si="8"/>
        <v>#DIV/0!</v>
      </c>
    </row>
    <row r="1246" ht="15.75" customHeight="1">
      <c r="A1246" s="31" t="str">
        <f>'EQUITY BACKTEST'!A1249</f>
        <v/>
      </c>
      <c r="B1246" s="22" t="str">
        <f>'EQUITY BACKTEST'!B1249</f>
        <v/>
      </c>
      <c r="C1246" s="22" t="str">
        <f>1/'EQUITY BACKTEST'!E1249</f>
        <v>#DIV/0!</v>
      </c>
      <c r="D1246" s="22" t="str">
        <f t="shared" si="7"/>
        <v>#DIV/0!</v>
      </c>
      <c r="E1246" s="22" t="str">
        <f t="shared" si="3"/>
        <v/>
      </c>
      <c r="F1246" s="22" t="str">
        <f t="shared" si="6"/>
        <v>#DIV/0!</v>
      </c>
      <c r="H1246" s="22" t="str">
        <f t="shared" si="4"/>
        <v/>
      </c>
      <c r="I1246" s="22" t="str">
        <f t="shared" si="1"/>
        <v>#N/A</v>
      </c>
      <c r="J1246" s="22" t="str">
        <f t="shared" si="2"/>
        <v>#N/A</v>
      </c>
      <c r="K1246" s="22" t="str">
        <f t="shared" si="8"/>
        <v>#DIV/0!</v>
      </c>
    </row>
    <row r="1247" ht="15.75" customHeight="1">
      <c r="A1247" s="31" t="str">
        <f>'EQUITY BACKTEST'!A1250</f>
        <v/>
      </c>
      <c r="B1247" s="22" t="str">
        <f>'EQUITY BACKTEST'!B1250</f>
        <v/>
      </c>
      <c r="C1247" s="22" t="str">
        <f>1/'EQUITY BACKTEST'!E1250</f>
        <v>#DIV/0!</v>
      </c>
      <c r="D1247" s="22" t="str">
        <f t="shared" si="7"/>
        <v>#DIV/0!</v>
      </c>
      <c r="E1247" s="22" t="str">
        <f t="shared" si="3"/>
        <v/>
      </c>
      <c r="F1247" s="22" t="str">
        <f t="shared" si="6"/>
        <v>#DIV/0!</v>
      </c>
      <c r="H1247" s="22" t="str">
        <f t="shared" si="4"/>
        <v/>
      </c>
      <c r="I1247" s="22" t="str">
        <f t="shared" si="1"/>
        <v>#N/A</v>
      </c>
      <c r="J1247" s="22" t="str">
        <f t="shared" si="2"/>
        <v>#N/A</v>
      </c>
      <c r="K1247" s="22" t="str">
        <f t="shared" si="8"/>
        <v>#DIV/0!</v>
      </c>
    </row>
    <row r="1248" ht="15.75" customHeight="1">
      <c r="A1248" s="31" t="str">
        <f>'EQUITY BACKTEST'!A1251</f>
        <v/>
      </c>
      <c r="B1248" s="22" t="str">
        <f>'EQUITY BACKTEST'!B1251</f>
        <v/>
      </c>
      <c r="C1248" s="22" t="str">
        <f>1/'EQUITY BACKTEST'!E1251</f>
        <v>#DIV/0!</v>
      </c>
      <c r="D1248" s="22" t="str">
        <f t="shared" si="7"/>
        <v>#DIV/0!</v>
      </c>
      <c r="E1248" s="22" t="str">
        <f t="shared" si="3"/>
        <v/>
      </c>
      <c r="F1248" s="22" t="str">
        <f t="shared" si="6"/>
        <v>#DIV/0!</v>
      </c>
      <c r="H1248" s="22" t="str">
        <f t="shared" si="4"/>
        <v/>
      </c>
      <c r="I1248" s="22" t="str">
        <f t="shared" si="1"/>
        <v>#N/A</v>
      </c>
      <c r="J1248" s="22" t="str">
        <f t="shared" si="2"/>
        <v>#N/A</v>
      </c>
      <c r="K1248" s="22" t="str">
        <f t="shared" si="8"/>
        <v>#DIV/0!</v>
      </c>
    </row>
    <row r="1249" ht="15.75" customHeight="1">
      <c r="A1249" s="31" t="str">
        <f>'EQUITY BACKTEST'!A1252</f>
        <v/>
      </c>
      <c r="B1249" s="22" t="str">
        <f>'EQUITY BACKTEST'!B1252</f>
        <v/>
      </c>
      <c r="C1249" s="22" t="str">
        <f>1/'EQUITY BACKTEST'!E1252</f>
        <v>#DIV/0!</v>
      </c>
      <c r="D1249" s="22" t="str">
        <f t="shared" si="7"/>
        <v>#DIV/0!</v>
      </c>
      <c r="E1249" s="22" t="str">
        <f t="shared" si="3"/>
        <v/>
      </c>
      <c r="F1249" s="22" t="str">
        <f t="shared" si="6"/>
        <v>#DIV/0!</v>
      </c>
      <c r="H1249" s="22" t="str">
        <f t="shared" si="4"/>
        <v/>
      </c>
      <c r="I1249" s="22" t="str">
        <f t="shared" si="1"/>
        <v>#N/A</v>
      </c>
      <c r="J1249" s="22" t="str">
        <f t="shared" si="2"/>
        <v>#N/A</v>
      </c>
      <c r="K1249" s="22" t="str">
        <f t="shared" si="8"/>
        <v>#DIV/0!</v>
      </c>
    </row>
    <row r="1250" ht="15.75" customHeight="1">
      <c r="A1250" s="31" t="str">
        <f>'EQUITY BACKTEST'!A1253</f>
        <v/>
      </c>
      <c r="B1250" s="22" t="str">
        <f>'EQUITY BACKTEST'!B1253</f>
        <v/>
      </c>
      <c r="C1250" s="22" t="str">
        <f>1/'EQUITY BACKTEST'!E1253</f>
        <v>#DIV/0!</v>
      </c>
      <c r="D1250" s="22" t="str">
        <f t="shared" si="7"/>
        <v>#DIV/0!</v>
      </c>
      <c r="E1250" s="22" t="str">
        <f t="shared" si="3"/>
        <v/>
      </c>
      <c r="F1250" s="22" t="str">
        <f t="shared" si="6"/>
        <v>#DIV/0!</v>
      </c>
      <c r="H1250" s="22" t="str">
        <f t="shared" si="4"/>
        <v/>
      </c>
      <c r="I1250" s="22" t="str">
        <f t="shared" si="1"/>
        <v>#N/A</v>
      </c>
      <c r="J1250" s="22" t="str">
        <f t="shared" si="2"/>
        <v>#N/A</v>
      </c>
      <c r="K1250" s="22" t="str">
        <f t="shared" si="8"/>
        <v>#DIV/0!</v>
      </c>
    </row>
    <row r="1251" ht="15.75" customHeight="1">
      <c r="A1251" s="31" t="str">
        <f>'EQUITY BACKTEST'!A1254</f>
        <v/>
      </c>
      <c r="B1251" s="22" t="str">
        <f>'EQUITY BACKTEST'!B1254</f>
        <v/>
      </c>
      <c r="C1251" s="22" t="str">
        <f>1/'EQUITY BACKTEST'!E1254</f>
        <v>#DIV/0!</v>
      </c>
      <c r="D1251" s="22" t="str">
        <f t="shared" si="7"/>
        <v>#DIV/0!</v>
      </c>
      <c r="E1251" s="22" t="str">
        <f t="shared" si="3"/>
        <v/>
      </c>
      <c r="F1251" s="22" t="str">
        <f t="shared" si="6"/>
        <v>#DIV/0!</v>
      </c>
      <c r="H1251" s="22" t="str">
        <f t="shared" si="4"/>
        <v/>
      </c>
      <c r="I1251" s="22" t="str">
        <f t="shared" si="1"/>
        <v>#N/A</v>
      </c>
      <c r="J1251" s="22" t="str">
        <f t="shared" si="2"/>
        <v>#N/A</v>
      </c>
      <c r="K1251" s="22" t="str">
        <f t="shared" si="8"/>
        <v>#DIV/0!</v>
      </c>
    </row>
    <row r="1252" ht="15.75" customHeight="1">
      <c r="A1252" s="31" t="str">
        <f>'EQUITY BACKTEST'!A1255</f>
        <v/>
      </c>
      <c r="B1252" s="22" t="str">
        <f>'EQUITY BACKTEST'!B1255</f>
        <v/>
      </c>
      <c r="C1252" s="22" t="str">
        <f>1/'EQUITY BACKTEST'!E1255</f>
        <v>#DIV/0!</v>
      </c>
      <c r="D1252" s="22" t="str">
        <f t="shared" si="7"/>
        <v>#DIV/0!</v>
      </c>
      <c r="E1252" s="22" t="str">
        <f t="shared" si="3"/>
        <v/>
      </c>
      <c r="F1252" s="22" t="str">
        <f t="shared" si="6"/>
        <v>#DIV/0!</v>
      </c>
      <c r="H1252" s="22" t="str">
        <f t="shared" si="4"/>
        <v/>
      </c>
      <c r="I1252" s="22" t="str">
        <f t="shared" si="1"/>
        <v>#N/A</v>
      </c>
      <c r="J1252" s="22" t="str">
        <f t="shared" si="2"/>
        <v>#N/A</v>
      </c>
      <c r="K1252" s="22" t="str">
        <f t="shared" si="8"/>
        <v>#DIV/0!</v>
      </c>
    </row>
    <row r="1253" ht="15.75" customHeight="1">
      <c r="A1253" s="31" t="str">
        <f>'EQUITY BACKTEST'!A1256</f>
        <v/>
      </c>
      <c r="B1253" s="22" t="str">
        <f>'EQUITY BACKTEST'!B1256</f>
        <v/>
      </c>
      <c r="C1253" s="22" t="str">
        <f>1/'EQUITY BACKTEST'!E1256</f>
        <v>#DIV/0!</v>
      </c>
      <c r="D1253" s="22" t="str">
        <f t="shared" si="7"/>
        <v>#DIV/0!</v>
      </c>
      <c r="E1253" s="22" t="str">
        <f t="shared" si="3"/>
        <v/>
      </c>
      <c r="F1253" s="22" t="str">
        <f t="shared" si="6"/>
        <v>#DIV/0!</v>
      </c>
      <c r="H1253" s="22" t="str">
        <f t="shared" si="4"/>
        <v/>
      </c>
      <c r="I1253" s="22" t="str">
        <f t="shared" si="1"/>
        <v>#N/A</v>
      </c>
      <c r="J1253" s="22" t="str">
        <f t="shared" si="2"/>
        <v>#N/A</v>
      </c>
      <c r="K1253" s="22" t="str">
        <f t="shared" si="8"/>
        <v>#DIV/0!</v>
      </c>
    </row>
    <row r="1254" ht="15.75" customHeight="1">
      <c r="A1254" s="31" t="str">
        <f>'EQUITY BACKTEST'!A1257</f>
        <v/>
      </c>
      <c r="B1254" s="22" t="str">
        <f>'EQUITY BACKTEST'!B1257</f>
        <v/>
      </c>
      <c r="C1254" s="22" t="str">
        <f>1/'EQUITY BACKTEST'!E1257</f>
        <v>#DIV/0!</v>
      </c>
      <c r="D1254" s="22" t="str">
        <f t="shared" si="7"/>
        <v>#DIV/0!</v>
      </c>
      <c r="E1254" s="22" t="str">
        <f t="shared" si="3"/>
        <v/>
      </c>
      <c r="F1254" s="22" t="str">
        <f t="shared" si="6"/>
        <v>#DIV/0!</v>
      </c>
      <c r="H1254" s="22" t="str">
        <f t="shared" si="4"/>
        <v/>
      </c>
      <c r="I1254" s="22" t="str">
        <f t="shared" si="1"/>
        <v>#N/A</v>
      </c>
      <c r="J1254" s="22" t="str">
        <f t="shared" si="2"/>
        <v>#N/A</v>
      </c>
      <c r="K1254" s="22" t="str">
        <f t="shared" si="8"/>
        <v>#DIV/0!</v>
      </c>
    </row>
    <row r="1255" ht="15.75" customHeight="1">
      <c r="A1255" s="31" t="str">
        <f>'EQUITY BACKTEST'!A1258</f>
        <v/>
      </c>
      <c r="B1255" s="22" t="str">
        <f>'EQUITY BACKTEST'!B1258</f>
        <v/>
      </c>
      <c r="C1255" s="22" t="str">
        <f>1/'EQUITY BACKTEST'!E1258</f>
        <v>#DIV/0!</v>
      </c>
      <c r="D1255" s="22" t="str">
        <f t="shared" si="7"/>
        <v>#DIV/0!</v>
      </c>
      <c r="E1255" s="22" t="str">
        <f t="shared" si="3"/>
        <v/>
      </c>
      <c r="F1255" s="22" t="str">
        <f t="shared" si="6"/>
        <v>#DIV/0!</v>
      </c>
      <c r="H1255" s="22" t="str">
        <f t="shared" si="4"/>
        <v/>
      </c>
      <c r="I1255" s="22" t="str">
        <f t="shared" si="1"/>
        <v>#N/A</v>
      </c>
      <c r="J1255" s="22" t="str">
        <f t="shared" si="2"/>
        <v>#N/A</v>
      </c>
      <c r="K1255" s="22" t="str">
        <f t="shared" si="8"/>
        <v>#DIV/0!</v>
      </c>
    </row>
    <row r="1256" ht="15.75" customHeight="1">
      <c r="A1256" s="31" t="str">
        <f>'EQUITY BACKTEST'!A1259</f>
        <v/>
      </c>
      <c r="B1256" s="22" t="str">
        <f>'EQUITY BACKTEST'!B1259</f>
        <v/>
      </c>
      <c r="C1256" s="22" t="str">
        <f>1/'EQUITY BACKTEST'!E1259</f>
        <v>#DIV/0!</v>
      </c>
      <c r="D1256" s="22" t="str">
        <f t="shared" si="7"/>
        <v>#DIV/0!</v>
      </c>
      <c r="E1256" s="22" t="str">
        <f t="shared" si="3"/>
        <v/>
      </c>
      <c r="F1256" s="22" t="str">
        <f t="shared" si="6"/>
        <v>#DIV/0!</v>
      </c>
      <c r="H1256" s="22" t="str">
        <f t="shared" si="4"/>
        <v/>
      </c>
      <c r="I1256" s="22" t="str">
        <f t="shared" si="1"/>
        <v>#N/A</v>
      </c>
      <c r="J1256" s="22" t="str">
        <f t="shared" si="2"/>
        <v>#N/A</v>
      </c>
      <c r="K1256" s="22" t="str">
        <f t="shared" si="8"/>
        <v>#DIV/0!</v>
      </c>
    </row>
    <row r="1257" ht="15.75" customHeight="1">
      <c r="A1257" s="31" t="str">
        <f>'EQUITY BACKTEST'!A1260</f>
        <v/>
      </c>
      <c r="B1257" s="22" t="str">
        <f>'EQUITY BACKTEST'!B1260</f>
        <v/>
      </c>
      <c r="C1257" s="22" t="str">
        <f>1/'EQUITY BACKTEST'!E1260</f>
        <v>#DIV/0!</v>
      </c>
      <c r="D1257" s="22" t="str">
        <f t="shared" si="7"/>
        <v>#DIV/0!</v>
      </c>
      <c r="E1257" s="22" t="str">
        <f t="shared" si="3"/>
        <v/>
      </c>
      <c r="F1257" s="22" t="str">
        <f t="shared" si="6"/>
        <v>#DIV/0!</v>
      </c>
      <c r="H1257" s="22" t="str">
        <f t="shared" si="4"/>
        <v/>
      </c>
      <c r="I1257" s="22" t="str">
        <f t="shared" si="1"/>
        <v>#N/A</v>
      </c>
      <c r="J1257" s="22" t="str">
        <f t="shared" si="2"/>
        <v>#N/A</v>
      </c>
      <c r="K1257" s="22" t="str">
        <f t="shared" si="8"/>
        <v>#DIV/0!</v>
      </c>
    </row>
    <row r="1258" ht="15.75" customHeight="1">
      <c r="A1258" s="31" t="str">
        <f>'EQUITY BACKTEST'!A1261</f>
        <v/>
      </c>
      <c r="B1258" s="22" t="str">
        <f>'EQUITY BACKTEST'!B1261</f>
        <v/>
      </c>
      <c r="C1258" s="22" t="str">
        <f>1/'EQUITY BACKTEST'!E1261</f>
        <v>#DIV/0!</v>
      </c>
      <c r="D1258" s="22" t="str">
        <f t="shared" si="7"/>
        <v>#DIV/0!</v>
      </c>
      <c r="E1258" s="22" t="str">
        <f t="shared" si="3"/>
        <v/>
      </c>
      <c r="F1258" s="22" t="str">
        <f t="shared" si="6"/>
        <v>#DIV/0!</v>
      </c>
      <c r="H1258" s="22" t="str">
        <f t="shared" si="4"/>
        <v/>
      </c>
      <c r="I1258" s="22" t="str">
        <f t="shared" si="1"/>
        <v>#N/A</v>
      </c>
      <c r="J1258" s="22" t="str">
        <f t="shared" si="2"/>
        <v>#N/A</v>
      </c>
      <c r="K1258" s="22" t="str">
        <f t="shared" si="8"/>
        <v>#DIV/0!</v>
      </c>
    </row>
    <row r="1259" ht="15.75" customHeight="1">
      <c r="A1259" s="31" t="str">
        <f>'EQUITY BACKTEST'!A1262</f>
        <v/>
      </c>
      <c r="B1259" s="22" t="str">
        <f>'EQUITY BACKTEST'!B1262</f>
        <v/>
      </c>
      <c r="C1259" s="22" t="str">
        <f>1/'EQUITY BACKTEST'!E1262</f>
        <v>#DIV/0!</v>
      </c>
      <c r="D1259" s="22" t="str">
        <f t="shared" si="7"/>
        <v>#DIV/0!</v>
      </c>
      <c r="E1259" s="22" t="str">
        <f t="shared" si="3"/>
        <v/>
      </c>
      <c r="F1259" s="22" t="str">
        <f t="shared" si="6"/>
        <v>#DIV/0!</v>
      </c>
      <c r="H1259" s="22" t="str">
        <f t="shared" si="4"/>
        <v/>
      </c>
      <c r="I1259" s="22" t="str">
        <f t="shared" si="1"/>
        <v>#N/A</v>
      </c>
      <c r="J1259" s="22" t="str">
        <f t="shared" si="2"/>
        <v>#N/A</v>
      </c>
      <c r="K1259" s="22" t="str">
        <f t="shared" si="8"/>
        <v>#DIV/0!</v>
      </c>
    </row>
    <row r="1260" ht="15.75" customHeight="1">
      <c r="A1260" s="31" t="str">
        <f>'EQUITY BACKTEST'!A1263</f>
        <v/>
      </c>
      <c r="B1260" s="22" t="str">
        <f>'EQUITY BACKTEST'!B1263</f>
        <v/>
      </c>
      <c r="C1260" s="22" t="str">
        <f>1/'EQUITY BACKTEST'!E1263</f>
        <v>#DIV/0!</v>
      </c>
      <c r="D1260" s="22" t="str">
        <f t="shared" si="7"/>
        <v>#DIV/0!</v>
      </c>
      <c r="E1260" s="22" t="str">
        <f t="shared" si="3"/>
        <v/>
      </c>
      <c r="F1260" s="22" t="str">
        <f t="shared" si="6"/>
        <v>#DIV/0!</v>
      </c>
      <c r="H1260" s="22" t="str">
        <f t="shared" si="4"/>
        <v/>
      </c>
      <c r="I1260" s="22" t="str">
        <f t="shared" si="1"/>
        <v>#N/A</v>
      </c>
      <c r="J1260" s="22" t="str">
        <f t="shared" si="2"/>
        <v>#N/A</v>
      </c>
      <c r="K1260" s="22" t="str">
        <f t="shared" si="8"/>
        <v>#DIV/0!</v>
      </c>
    </row>
    <row r="1261" ht="15.75" customHeight="1">
      <c r="A1261" s="31" t="str">
        <f>'EQUITY BACKTEST'!A1264</f>
        <v/>
      </c>
      <c r="B1261" s="22" t="str">
        <f>'EQUITY BACKTEST'!B1264</f>
        <v/>
      </c>
      <c r="C1261" s="22" t="str">
        <f>1/'EQUITY BACKTEST'!E1264</f>
        <v>#DIV/0!</v>
      </c>
      <c r="D1261" s="22" t="str">
        <f t="shared" si="7"/>
        <v>#DIV/0!</v>
      </c>
      <c r="E1261" s="22" t="str">
        <f t="shared" si="3"/>
        <v/>
      </c>
      <c r="F1261" s="22" t="str">
        <f t="shared" si="6"/>
        <v>#DIV/0!</v>
      </c>
      <c r="H1261" s="22" t="str">
        <f t="shared" si="4"/>
        <v/>
      </c>
      <c r="I1261" s="22" t="str">
        <f t="shared" si="1"/>
        <v>#N/A</v>
      </c>
      <c r="J1261" s="22" t="str">
        <f t="shared" si="2"/>
        <v>#N/A</v>
      </c>
      <c r="K1261" s="22" t="str">
        <f t="shared" si="8"/>
        <v>#DIV/0!</v>
      </c>
    </row>
    <row r="1262" ht="15.75" customHeight="1">
      <c r="A1262" s="31" t="str">
        <f>'EQUITY BACKTEST'!A1265</f>
        <v/>
      </c>
      <c r="B1262" s="22" t="str">
        <f>'EQUITY BACKTEST'!B1265</f>
        <v/>
      </c>
      <c r="C1262" s="22" t="str">
        <f>1/'EQUITY BACKTEST'!E1265</f>
        <v>#DIV/0!</v>
      </c>
      <c r="D1262" s="22" t="str">
        <f t="shared" si="7"/>
        <v>#DIV/0!</v>
      </c>
      <c r="E1262" s="22" t="str">
        <f t="shared" si="3"/>
        <v/>
      </c>
      <c r="F1262" s="22" t="str">
        <f t="shared" si="6"/>
        <v>#DIV/0!</v>
      </c>
      <c r="H1262" s="22" t="str">
        <f t="shared" si="4"/>
        <v/>
      </c>
      <c r="I1262" s="22" t="str">
        <f t="shared" si="1"/>
        <v>#N/A</v>
      </c>
      <c r="J1262" s="22" t="str">
        <f t="shared" si="2"/>
        <v>#N/A</v>
      </c>
      <c r="K1262" s="22" t="str">
        <f t="shared" si="8"/>
        <v>#DIV/0!</v>
      </c>
    </row>
    <row r="1263" ht="15.75" customHeight="1">
      <c r="A1263" s="31" t="str">
        <f>'EQUITY BACKTEST'!A1266</f>
        <v/>
      </c>
      <c r="B1263" s="22" t="str">
        <f>'EQUITY BACKTEST'!B1266</f>
        <v/>
      </c>
      <c r="C1263" s="22" t="str">
        <f>1/'EQUITY BACKTEST'!E1266</f>
        <v>#DIV/0!</v>
      </c>
      <c r="D1263" s="22" t="str">
        <f t="shared" si="7"/>
        <v>#DIV/0!</v>
      </c>
      <c r="E1263" s="22" t="str">
        <f t="shared" si="3"/>
        <v/>
      </c>
      <c r="F1263" s="22" t="str">
        <f t="shared" si="6"/>
        <v>#DIV/0!</v>
      </c>
      <c r="H1263" s="22" t="str">
        <f t="shared" si="4"/>
        <v/>
      </c>
      <c r="I1263" s="22" t="str">
        <f t="shared" si="1"/>
        <v>#N/A</v>
      </c>
      <c r="J1263" s="22" t="str">
        <f t="shared" si="2"/>
        <v>#N/A</v>
      </c>
      <c r="K1263" s="22" t="str">
        <f t="shared" si="8"/>
        <v>#DIV/0!</v>
      </c>
    </row>
    <row r="1264" ht="15.75" customHeight="1">
      <c r="A1264" s="31" t="str">
        <f>'EQUITY BACKTEST'!A1267</f>
        <v/>
      </c>
      <c r="B1264" s="22" t="str">
        <f>'EQUITY BACKTEST'!B1267</f>
        <v/>
      </c>
      <c r="C1264" s="22" t="str">
        <f>1/'EQUITY BACKTEST'!E1267</f>
        <v>#DIV/0!</v>
      </c>
      <c r="D1264" s="22" t="str">
        <f t="shared" si="7"/>
        <v>#DIV/0!</v>
      </c>
      <c r="E1264" s="22" t="str">
        <f t="shared" si="3"/>
        <v/>
      </c>
      <c r="F1264" s="22" t="str">
        <f t="shared" si="6"/>
        <v>#DIV/0!</v>
      </c>
      <c r="H1264" s="22" t="str">
        <f t="shared" si="4"/>
        <v/>
      </c>
      <c r="I1264" s="22" t="str">
        <f t="shared" si="1"/>
        <v>#N/A</v>
      </c>
      <c r="J1264" s="22" t="str">
        <f t="shared" si="2"/>
        <v>#N/A</v>
      </c>
      <c r="K1264" s="22" t="str">
        <f t="shared" si="8"/>
        <v>#DIV/0!</v>
      </c>
    </row>
    <row r="1265" ht="15.75" customHeight="1">
      <c r="A1265" s="31" t="str">
        <f>'EQUITY BACKTEST'!A1268</f>
        <v/>
      </c>
      <c r="B1265" s="22" t="str">
        <f>'EQUITY BACKTEST'!B1268</f>
        <v/>
      </c>
      <c r="C1265" s="22" t="str">
        <f>1/'EQUITY BACKTEST'!E1268</f>
        <v>#DIV/0!</v>
      </c>
      <c r="D1265" s="22" t="str">
        <f t="shared" si="7"/>
        <v>#DIV/0!</v>
      </c>
      <c r="E1265" s="22" t="str">
        <f t="shared" si="3"/>
        <v/>
      </c>
      <c r="F1265" s="22" t="str">
        <f t="shared" si="6"/>
        <v>#DIV/0!</v>
      </c>
      <c r="H1265" s="22" t="str">
        <f t="shared" si="4"/>
        <v/>
      </c>
      <c r="I1265" s="22" t="str">
        <f t="shared" si="1"/>
        <v>#N/A</v>
      </c>
      <c r="J1265" s="22" t="str">
        <f t="shared" si="2"/>
        <v>#N/A</v>
      </c>
      <c r="K1265" s="22" t="str">
        <f t="shared" si="8"/>
        <v>#DIV/0!</v>
      </c>
    </row>
    <row r="1266" ht="15.75" customHeight="1">
      <c r="A1266" s="31" t="str">
        <f>'EQUITY BACKTEST'!A1269</f>
        <v/>
      </c>
      <c r="B1266" s="22" t="str">
        <f>'EQUITY BACKTEST'!B1269</f>
        <v/>
      </c>
      <c r="C1266" s="22" t="str">
        <f>1/'EQUITY BACKTEST'!E1269</f>
        <v>#DIV/0!</v>
      </c>
      <c r="D1266" s="22" t="str">
        <f t="shared" si="7"/>
        <v>#DIV/0!</v>
      </c>
      <c r="E1266" s="22" t="str">
        <f t="shared" si="3"/>
        <v/>
      </c>
      <c r="F1266" s="22" t="str">
        <f t="shared" si="6"/>
        <v>#DIV/0!</v>
      </c>
      <c r="H1266" s="22" t="str">
        <f t="shared" si="4"/>
        <v/>
      </c>
      <c r="I1266" s="22" t="str">
        <f t="shared" si="1"/>
        <v>#N/A</v>
      </c>
      <c r="J1266" s="22" t="str">
        <f t="shared" si="2"/>
        <v>#N/A</v>
      </c>
      <c r="K1266" s="22" t="str">
        <f t="shared" si="8"/>
        <v>#DIV/0!</v>
      </c>
    </row>
    <row r="1267" ht="15.75" customHeight="1">
      <c r="A1267" s="31" t="str">
        <f>'EQUITY BACKTEST'!A1270</f>
        <v/>
      </c>
      <c r="B1267" s="22" t="str">
        <f>'EQUITY BACKTEST'!B1270</f>
        <v/>
      </c>
      <c r="C1267" s="22" t="str">
        <f>1/'EQUITY BACKTEST'!E1270</f>
        <v>#DIV/0!</v>
      </c>
      <c r="D1267" s="22" t="str">
        <f t="shared" si="7"/>
        <v>#DIV/0!</v>
      </c>
      <c r="E1267" s="22" t="str">
        <f t="shared" si="3"/>
        <v/>
      </c>
      <c r="F1267" s="22" t="str">
        <f t="shared" si="6"/>
        <v>#DIV/0!</v>
      </c>
      <c r="H1267" s="22" t="str">
        <f t="shared" si="4"/>
        <v/>
      </c>
      <c r="I1267" s="22" t="str">
        <f t="shared" si="1"/>
        <v>#N/A</v>
      </c>
      <c r="J1267" s="22" t="str">
        <f t="shared" si="2"/>
        <v>#N/A</v>
      </c>
      <c r="K1267" s="22" t="str">
        <f t="shared" si="8"/>
        <v>#DIV/0!</v>
      </c>
    </row>
    <row r="1268" ht="15.75" customHeight="1">
      <c r="A1268" s="31" t="str">
        <f>'EQUITY BACKTEST'!A1271</f>
        <v/>
      </c>
      <c r="B1268" s="22" t="str">
        <f>'EQUITY BACKTEST'!B1271</f>
        <v/>
      </c>
      <c r="C1268" s="22" t="str">
        <f>1/'EQUITY BACKTEST'!E1271</f>
        <v>#DIV/0!</v>
      </c>
      <c r="D1268" s="22" t="str">
        <f t="shared" si="7"/>
        <v>#DIV/0!</v>
      </c>
      <c r="E1268" s="22" t="str">
        <f t="shared" si="3"/>
        <v/>
      </c>
      <c r="F1268" s="22" t="str">
        <f t="shared" si="6"/>
        <v>#DIV/0!</v>
      </c>
      <c r="H1268" s="22" t="str">
        <f t="shared" si="4"/>
        <v/>
      </c>
      <c r="I1268" s="22" t="str">
        <f t="shared" si="1"/>
        <v>#N/A</v>
      </c>
      <c r="J1268" s="22" t="str">
        <f t="shared" si="2"/>
        <v>#N/A</v>
      </c>
      <c r="K1268" s="22" t="str">
        <f t="shared" si="8"/>
        <v>#DIV/0!</v>
      </c>
    </row>
    <row r="1269" ht="15.75" customHeight="1">
      <c r="A1269" s="31" t="str">
        <f>'EQUITY BACKTEST'!A1272</f>
        <v/>
      </c>
      <c r="B1269" s="22" t="str">
        <f>'EQUITY BACKTEST'!B1272</f>
        <v/>
      </c>
      <c r="C1269" s="22" t="str">
        <f>1/'EQUITY BACKTEST'!E1272</f>
        <v>#DIV/0!</v>
      </c>
      <c r="D1269" s="22" t="str">
        <f t="shared" si="7"/>
        <v>#DIV/0!</v>
      </c>
      <c r="E1269" s="22" t="str">
        <f t="shared" si="3"/>
        <v/>
      </c>
      <c r="F1269" s="22" t="str">
        <f t="shared" si="6"/>
        <v>#DIV/0!</v>
      </c>
      <c r="H1269" s="22" t="str">
        <f t="shared" si="4"/>
        <v/>
      </c>
      <c r="I1269" s="22" t="str">
        <f t="shared" si="1"/>
        <v>#N/A</v>
      </c>
      <c r="J1269" s="22" t="str">
        <f t="shared" si="2"/>
        <v>#N/A</v>
      </c>
      <c r="K1269" s="22" t="str">
        <f t="shared" si="8"/>
        <v>#DIV/0!</v>
      </c>
    </row>
    <row r="1270" ht="15.75" customHeight="1">
      <c r="A1270" s="31" t="str">
        <f>'EQUITY BACKTEST'!A1273</f>
        <v/>
      </c>
      <c r="B1270" s="22" t="str">
        <f>'EQUITY BACKTEST'!B1273</f>
        <v/>
      </c>
      <c r="C1270" s="22" t="str">
        <f>1/'EQUITY BACKTEST'!E1273</f>
        <v>#DIV/0!</v>
      </c>
      <c r="D1270" s="22" t="str">
        <f t="shared" si="7"/>
        <v>#DIV/0!</v>
      </c>
      <c r="E1270" s="22" t="str">
        <f t="shared" si="3"/>
        <v/>
      </c>
      <c r="F1270" s="22" t="str">
        <f t="shared" si="6"/>
        <v>#DIV/0!</v>
      </c>
      <c r="H1270" s="22" t="str">
        <f t="shared" si="4"/>
        <v/>
      </c>
      <c r="I1270" s="22" t="str">
        <f t="shared" si="1"/>
        <v>#N/A</v>
      </c>
      <c r="J1270" s="22" t="str">
        <f t="shared" si="2"/>
        <v>#N/A</v>
      </c>
      <c r="K1270" s="22" t="str">
        <f t="shared" si="8"/>
        <v>#DIV/0!</v>
      </c>
    </row>
    <row r="1271" ht="15.75" customHeight="1">
      <c r="A1271" s="31" t="str">
        <f>'EQUITY BACKTEST'!A1274</f>
        <v/>
      </c>
      <c r="B1271" s="22" t="str">
        <f>'EQUITY BACKTEST'!B1274</f>
        <v/>
      </c>
      <c r="C1271" s="22" t="str">
        <f>1/'EQUITY BACKTEST'!E1274</f>
        <v>#DIV/0!</v>
      </c>
      <c r="D1271" s="22" t="str">
        <f t="shared" si="7"/>
        <v>#DIV/0!</v>
      </c>
      <c r="E1271" s="22" t="str">
        <f t="shared" si="3"/>
        <v/>
      </c>
      <c r="F1271" s="22" t="str">
        <f t="shared" si="6"/>
        <v>#DIV/0!</v>
      </c>
      <c r="H1271" s="22" t="str">
        <f t="shared" si="4"/>
        <v/>
      </c>
      <c r="I1271" s="22" t="str">
        <f t="shared" si="1"/>
        <v>#N/A</v>
      </c>
      <c r="J1271" s="22" t="str">
        <f t="shared" si="2"/>
        <v>#N/A</v>
      </c>
      <c r="K1271" s="22" t="str">
        <f t="shared" si="8"/>
        <v>#DIV/0!</v>
      </c>
    </row>
    <row r="1272" ht="15.75" customHeight="1">
      <c r="A1272" s="31" t="str">
        <f>'EQUITY BACKTEST'!A1275</f>
        <v/>
      </c>
      <c r="B1272" s="22" t="str">
        <f>'EQUITY BACKTEST'!B1275</f>
        <v/>
      </c>
      <c r="C1272" s="22" t="str">
        <f>1/'EQUITY BACKTEST'!E1275</f>
        <v>#DIV/0!</v>
      </c>
      <c r="D1272" s="22" t="str">
        <f t="shared" si="7"/>
        <v>#DIV/0!</v>
      </c>
      <c r="E1272" s="22" t="str">
        <f t="shared" si="3"/>
        <v/>
      </c>
      <c r="F1272" s="22" t="str">
        <f t="shared" si="6"/>
        <v>#DIV/0!</v>
      </c>
      <c r="H1272" s="22" t="str">
        <f t="shared" si="4"/>
        <v/>
      </c>
      <c r="I1272" s="22" t="str">
        <f t="shared" si="1"/>
        <v>#N/A</v>
      </c>
      <c r="J1272" s="22" t="str">
        <f t="shared" si="2"/>
        <v>#N/A</v>
      </c>
      <c r="K1272" s="22" t="str">
        <f t="shared" si="8"/>
        <v>#DIV/0!</v>
      </c>
    </row>
    <row r="1273" ht="15.75" customHeight="1">
      <c r="A1273" s="31" t="str">
        <f>'EQUITY BACKTEST'!A1276</f>
        <v/>
      </c>
      <c r="B1273" s="22" t="str">
        <f>'EQUITY BACKTEST'!B1276</f>
        <v/>
      </c>
      <c r="C1273" s="22" t="str">
        <f>1/'EQUITY BACKTEST'!E1276</f>
        <v>#DIV/0!</v>
      </c>
      <c r="D1273" s="22" t="str">
        <f t="shared" si="7"/>
        <v>#DIV/0!</v>
      </c>
      <c r="E1273" s="22" t="str">
        <f t="shared" si="3"/>
        <v/>
      </c>
      <c r="F1273" s="22" t="str">
        <f t="shared" si="6"/>
        <v>#DIV/0!</v>
      </c>
      <c r="H1273" s="22" t="str">
        <f t="shared" si="4"/>
        <v/>
      </c>
      <c r="I1273" s="22" t="str">
        <f t="shared" si="1"/>
        <v>#N/A</v>
      </c>
      <c r="J1273" s="22" t="str">
        <f t="shared" si="2"/>
        <v>#N/A</v>
      </c>
      <c r="K1273" s="22" t="str">
        <f t="shared" si="8"/>
        <v>#DIV/0!</v>
      </c>
    </row>
    <row r="1274" ht="15.75" customHeight="1">
      <c r="A1274" s="31" t="str">
        <f>'EQUITY BACKTEST'!A1277</f>
        <v/>
      </c>
      <c r="B1274" s="22" t="str">
        <f>'EQUITY BACKTEST'!B1277</f>
        <v/>
      </c>
      <c r="C1274" s="22" t="str">
        <f>1/'EQUITY BACKTEST'!E1277</f>
        <v>#DIV/0!</v>
      </c>
      <c r="D1274" s="22" t="str">
        <f t="shared" si="7"/>
        <v>#DIV/0!</v>
      </c>
      <c r="E1274" s="22" t="str">
        <f t="shared" si="3"/>
        <v/>
      </c>
      <c r="F1274" s="22" t="str">
        <f t="shared" si="6"/>
        <v>#DIV/0!</v>
      </c>
      <c r="H1274" s="22" t="str">
        <f t="shared" si="4"/>
        <v/>
      </c>
      <c r="I1274" s="22" t="str">
        <f t="shared" si="1"/>
        <v>#N/A</v>
      </c>
      <c r="J1274" s="22" t="str">
        <f t="shared" si="2"/>
        <v>#N/A</v>
      </c>
      <c r="K1274" s="22" t="str">
        <f t="shared" si="8"/>
        <v>#DIV/0!</v>
      </c>
    </row>
    <row r="1275" ht="15.75" customHeight="1">
      <c r="A1275" s="31" t="str">
        <f>'EQUITY BACKTEST'!A1278</f>
        <v/>
      </c>
      <c r="B1275" s="22" t="str">
        <f>'EQUITY BACKTEST'!B1278</f>
        <v/>
      </c>
      <c r="C1275" s="22" t="str">
        <f>1/'EQUITY BACKTEST'!E1278</f>
        <v>#DIV/0!</v>
      </c>
      <c r="D1275" s="22" t="str">
        <f t="shared" si="7"/>
        <v>#DIV/0!</v>
      </c>
      <c r="E1275" s="22" t="str">
        <f t="shared" si="3"/>
        <v/>
      </c>
      <c r="F1275" s="22" t="str">
        <f t="shared" si="6"/>
        <v>#DIV/0!</v>
      </c>
      <c r="H1275" s="22" t="str">
        <f t="shared" si="4"/>
        <v/>
      </c>
      <c r="I1275" s="22" t="str">
        <f t="shared" si="1"/>
        <v>#N/A</v>
      </c>
      <c r="J1275" s="22" t="str">
        <f t="shared" si="2"/>
        <v>#N/A</v>
      </c>
      <c r="K1275" s="22" t="str">
        <f t="shared" si="8"/>
        <v>#DIV/0!</v>
      </c>
    </row>
    <row r="1276" ht="15.75" customHeight="1">
      <c r="A1276" s="31" t="str">
        <f>'EQUITY BACKTEST'!A1279</f>
        <v/>
      </c>
      <c r="B1276" s="22" t="str">
        <f>'EQUITY BACKTEST'!B1279</f>
        <v/>
      </c>
      <c r="C1276" s="22" t="str">
        <f>1/'EQUITY BACKTEST'!E1279</f>
        <v>#DIV/0!</v>
      </c>
      <c r="D1276" s="22" t="str">
        <f t="shared" si="7"/>
        <v>#DIV/0!</v>
      </c>
      <c r="E1276" s="22" t="str">
        <f t="shared" si="3"/>
        <v/>
      </c>
      <c r="F1276" s="22" t="str">
        <f t="shared" si="6"/>
        <v>#DIV/0!</v>
      </c>
      <c r="H1276" s="22" t="str">
        <f t="shared" si="4"/>
        <v/>
      </c>
      <c r="I1276" s="22" t="str">
        <f t="shared" si="1"/>
        <v>#N/A</v>
      </c>
      <c r="J1276" s="22" t="str">
        <f t="shared" si="2"/>
        <v>#N/A</v>
      </c>
      <c r="K1276" s="22" t="str">
        <f t="shared" si="8"/>
        <v>#DIV/0!</v>
      </c>
    </row>
    <row r="1277" ht="15.75" customHeight="1">
      <c r="A1277" s="31" t="str">
        <f>'EQUITY BACKTEST'!A1280</f>
        <v/>
      </c>
      <c r="B1277" s="22" t="str">
        <f>'EQUITY BACKTEST'!B1280</f>
        <v/>
      </c>
      <c r="C1277" s="22" t="str">
        <f>1/'EQUITY BACKTEST'!E1280</f>
        <v>#DIV/0!</v>
      </c>
      <c r="D1277" s="22" t="str">
        <f t="shared" si="7"/>
        <v>#DIV/0!</v>
      </c>
      <c r="E1277" s="22" t="str">
        <f t="shared" si="3"/>
        <v/>
      </c>
      <c r="F1277" s="22" t="str">
        <f t="shared" si="6"/>
        <v>#DIV/0!</v>
      </c>
      <c r="H1277" s="22" t="str">
        <f t="shared" si="4"/>
        <v/>
      </c>
      <c r="I1277" s="22" t="str">
        <f t="shared" si="1"/>
        <v>#N/A</v>
      </c>
      <c r="J1277" s="22" t="str">
        <f t="shared" si="2"/>
        <v>#N/A</v>
      </c>
      <c r="K1277" s="22" t="str">
        <f t="shared" si="8"/>
        <v>#DIV/0!</v>
      </c>
    </row>
    <row r="1278" ht="15.75" customHeight="1">
      <c r="A1278" s="31" t="str">
        <f>'EQUITY BACKTEST'!A1281</f>
        <v/>
      </c>
      <c r="B1278" s="22" t="str">
        <f>'EQUITY BACKTEST'!B1281</f>
        <v/>
      </c>
      <c r="C1278" s="22" t="str">
        <f>1/'EQUITY BACKTEST'!E1281</f>
        <v>#DIV/0!</v>
      </c>
      <c r="D1278" s="22" t="str">
        <f t="shared" si="7"/>
        <v>#DIV/0!</v>
      </c>
      <c r="E1278" s="22" t="str">
        <f t="shared" si="3"/>
        <v/>
      </c>
      <c r="F1278" s="22" t="str">
        <f t="shared" si="6"/>
        <v>#DIV/0!</v>
      </c>
      <c r="H1278" s="22" t="str">
        <f t="shared" si="4"/>
        <v/>
      </c>
      <c r="I1278" s="22" t="str">
        <f t="shared" si="1"/>
        <v>#N/A</v>
      </c>
      <c r="J1278" s="22" t="str">
        <f t="shared" si="2"/>
        <v>#N/A</v>
      </c>
      <c r="K1278" s="22" t="str">
        <f t="shared" si="8"/>
        <v>#DIV/0!</v>
      </c>
    </row>
    <row r="1279" ht="15.75" customHeight="1">
      <c r="A1279" s="31" t="str">
        <f>'EQUITY BACKTEST'!A1282</f>
        <v/>
      </c>
      <c r="B1279" s="22" t="str">
        <f>'EQUITY BACKTEST'!B1282</f>
        <v/>
      </c>
      <c r="C1279" s="22" t="str">
        <f>1/'EQUITY BACKTEST'!E1282</f>
        <v>#DIV/0!</v>
      </c>
      <c r="D1279" s="22" t="str">
        <f t="shared" si="7"/>
        <v>#DIV/0!</v>
      </c>
      <c r="E1279" s="22" t="str">
        <f t="shared" si="3"/>
        <v/>
      </c>
      <c r="F1279" s="22" t="str">
        <f t="shared" si="6"/>
        <v>#DIV/0!</v>
      </c>
      <c r="H1279" s="22" t="str">
        <f t="shared" si="4"/>
        <v/>
      </c>
      <c r="I1279" s="22" t="str">
        <f t="shared" si="1"/>
        <v>#N/A</v>
      </c>
      <c r="J1279" s="22" t="str">
        <f t="shared" si="2"/>
        <v>#N/A</v>
      </c>
      <c r="K1279" s="22" t="str">
        <f t="shared" si="8"/>
        <v>#DIV/0!</v>
      </c>
    </row>
    <row r="1280" ht="15.75" customHeight="1">
      <c r="A1280" s="31" t="str">
        <f>'EQUITY BACKTEST'!A1283</f>
        <v/>
      </c>
      <c r="B1280" s="22" t="str">
        <f>'EQUITY BACKTEST'!B1283</f>
        <v/>
      </c>
      <c r="C1280" s="22" t="str">
        <f>1/'EQUITY BACKTEST'!E1283</f>
        <v>#DIV/0!</v>
      </c>
      <c r="D1280" s="22" t="str">
        <f t="shared" si="7"/>
        <v>#DIV/0!</v>
      </c>
      <c r="E1280" s="22" t="str">
        <f t="shared" si="3"/>
        <v/>
      </c>
      <c r="F1280" s="22" t="str">
        <f t="shared" si="6"/>
        <v>#DIV/0!</v>
      </c>
      <c r="H1280" s="22" t="str">
        <f t="shared" si="4"/>
        <v/>
      </c>
      <c r="I1280" s="22" t="str">
        <f t="shared" si="1"/>
        <v>#N/A</v>
      </c>
      <c r="J1280" s="22" t="str">
        <f t="shared" si="2"/>
        <v>#N/A</v>
      </c>
      <c r="K1280" s="22" t="str">
        <f t="shared" si="8"/>
        <v>#DIV/0!</v>
      </c>
    </row>
    <row r="1281" ht="15.75" customHeight="1">
      <c r="A1281" s="31" t="str">
        <f>'EQUITY BACKTEST'!A1284</f>
        <v/>
      </c>
      <c r="B1281" s="22" t="str">
        <f>'EQUITY BACKTEST'!B1284</f>
        <v/>
      </c>
      <c r="C1281" s="22" t="str">
        <f>1/'EQUITY BACKTEST'!E1284</f>
        <v>#DIV/0!</v>
      </c>
      <c r="D1281" s="22" t="str">
        <f t="shared" si="7"/>
        <v>#DIV/0!</v>
      </c>
      <c r="E1281" s="22" t="str">
        <f t="shared" si="3"/>
        <v/>
      </c>
      <c r="F1281" s="22" t="str">
        <f t="shared" si="6"/>
        <v>#DIV/0!</v>
      </c>
      <c r="H1281" s="22" t="str">
        <f t="shared" si="4"/>
        <v/>
      </c>
      <c r="I1281" s="22" t="str">
        <f t="shared" si="1"/>
        <v>#N/A</v>
      </c>
      <c r="J1281" s="22" t="str">
        <f t="shared" si="2"/>
        <v>#N/A</v>
      </c>
      <c r="K1281" s="22" t="str">
        <f t="shared" si="8"/>
        <v>#DIV/0!</v>
      </c>
    </row>
    <row r="1282" ht="15.75" customHeight="1">
      <c r="A1282" s="31" t="str">
        <f>'EQUITY BACKTEST'!A1285</f>
        <v/>
      </c>
      <c r="B1282" s="22" t="str">
        <f>'EQUITY BACKTEST'!B1285</f>
        <v/>
      </c>
      <c r="C1282" s="22" t="str">
        <f>1/'EQUITY BACKTEST'!E1285</f>
        <v>#DIV/0!</v>
      </c>
      <c r="D1282" s="22" t="str">
        <f t="shared" si="7"/>
        <v>#DIV/0!</v>
      </c>
      <c r="E1282" s="22" t="str">
        <f t="shared" si="3"/>
        <v/>
      </c>
      <c r="F1282" s="22" t="str">
        <f t="shared" si="6"/>
        <v>#DIV/0!</v>
      </c>
      <c r="H1282" s="22" t="str">
        <f t="shared" si="4"/>
        <v/>
      </c>
      <c r="I1282" s="22" t="str">
        <f t="shared" si="1"/>
        <v>#N/A</v>
      </c>
      <c r="J1282" s="22" t="str">
        <f t="shared" si="2"/>
        <v>#N/A</v>
      </c>
      <c r="K1282" s="22" t="str">
        <f t="shared" si="8"/>
        <v>#DIV/0!</v>
      </c>
    </row>
    <row r="1283" ht="15.75" customHeight="1">
      <c r="A1283" s="31" t="str">
        <f>'EQUITY BACKTEST'!A1286</f>
        <v/>
      </c>
      <c r="B1283" s="22" t="str">
        <f>'EQUITY BACKTEST'!B1286</f>
        <v/>
      </c>
      <c r="C1283" s="22" t="str">
        <f>1/'EQUITY BACKTEST'!E1286</f>
        <v>#DIV/0!</v>
      </c>
      <c r="D1283" s="22" t="str">
        <f t="shared" si="7"/>
        <v>#DIV/0!</v>
      </c>
      <c r="E1283" s="22" t="str">
        <f t="shared" si="3"/>
        <v/>
      </c>
      <c r="F1283" s="22" t="str">
        <f t="shared" si="6"/>
        <v>#DIV/0!</v>
      </c>
      <c r="H1283" s="22" t="str">
        <f t="shared" si="4"/>
        <v/>
      </c>
      <c r="I1283" s="22" t="str">
        <f t="shared" si="1"/>
        <v>#N/A</v>
      </c>
      <c r="J1283" s="22" t="str">
        <f t="shared" si="2"/>
        <v>#N/A</v>
      </c>
      <c r="K1283" s="22" t="str">
        <f t="shared" si="8"/>
        <v>#DIV/0!</v>
      </c>
    </row>
    <row r="1284" ht="15.75" customHeight="1">
      <c r="A1284" s="31" t="str">
        <f>'EQUITY BACKTEST'!A1287</f>
        <v/>
      </c>
      <c r="B1284" s="22" t="str">
        <f>'EQUITY BACKTEST'!B1287</f>
        <v/>
      </c>
      <c r="C1284" s="22" t="str">
        <f>1/'EQUITY BACKTEST'!E1287</f>
        <v>#DIV/0!</v>
      </c>
      <c r="D1284" s="22" t="str">
        <f t="shared" si="7"/>
        <v>#DIV/0!</v>
      </c>
      <c r="E1284" s="22" t="str">
        <f t="shared" si="3"/>
        <v/>
      </c>
      <c r="F1284" s="22" t="str">
        <f t="shared" si="6"/>
        <v>#DIV/0!</v>
      </c>
      <c r="H1284" s="22" t="str">
        <f t="shared" si="4"/>
        <v/>
      </c>
      <c r="I1284" s="22" t="str">
        <f t="shared" si="1"/>
        <v>#N/A</v>
      </c>
      <c r="J1284" s="22" t="str">
        <f t="shared" si="2"/>
        <v>#N/A</v>
      </c>
      <c r="K1284" s="22" t="str">
        <f t="shared" si="8"/>
        <v>#DIV/0!</v>
      </c>
    </row>
    <row r="1285" ht="15.75" customHeight="1">
      <c r="A1285" s="31" t="str">
        <f>'EQUITY BACKTEST'!A1288</f>
        <v/>
      </c>
      <c r="B1285" s="22" t="str">
        <f>'EQUITY BACKTEST'!B1288</f>
        <v/>
      </c>
      <c r="C1285" s="22" t="str">
        <f>1/'EQUITY BACKTEST'!E1288</f>
        <v>#DIV/0!</v>
      </c>
      <c r="D1285" s="22" t="str">
        <f t="shared" si="7"/>
        <v>#DIV/0!</v>
      </c>
      <c r="E1285" s="22" t="str">
        <f t="shared" si="3"/>
        <v/>
      </c>
      <c r="F1285" s="22" t="str">
        <f t="shared" si="6"/>
        <v>#DIV/0!</v>
      </c>
      <c r="H1285" s="22" t="str">
        <f t="shared" si="4"/>
        <v/>
      </c>
      <c r="I1285" s="22" t="str">
        <f t="shared" si="1"/>
        <v>#N/A</v>
      </c>
      <c r="J1285" s="22" t="str">
        <f t="shared" si="2"/>
        <v>#N/A</v>
      </c>
      <c r="K1285" s="22" t="str">
        <f t="shared" si="8"/>
        <v>#DIV/0!</v>
      </c>
    </row>
    <row r="1286" ht="15.75" customHeight="1">
      <c r="A1286" s="31" t="str">
        <f>'EQUITY BACKTEST'!A1289</f>
        <v/>
      </c>
      <c r="B1286" s="22" t="str">
        <f>'EQUITY BACKTEST'!B1289</f>
        <v/>
      </c>
      <c r="C1286" s="22" t="str">
        <f>1/'EQUITY BACKTEST'!E1289</f>
        <v>#DIV/0!</v>
      </c>
      <c r="D1286" s="22" t="str">
        <f t="shared" si="7"/>
        <v>#DIV/0!</v>
      </c>
      <c r="E1286" s="22" t="str">
        <f t="shared" si="3"/>
        <v/>
      </c>
      <c r="F1286" s="22" t="str">
        <f t="shared" si="6"/>
        <v>#DIV/0!</v>
      </c>
      <c r="H1286" s="22" t="str">
        <f t="shared" si="4"/>
        <v/>
      </c>
      <c r="I1286" s="22" t="str">
        <f t="shared" si="1"/>
        <v>#N/A</v>
      </c>
      <c r="J1286" s="22" t="str">
        <f t="shared" si="2"/>
        <v>#N/A</v>
      </c>
      <c r="K1286" s="22" t="str">
        <f t="shared" si="8"/>
        <v>#DIV/0!</v>
      </c>
    </row>
    <row r="1287" ht="15.75" customHeight="1">
      <c r="A1287" s="31" t="str">
        <f>'EQUITY BACKTEST'!A1290</f>
        <v/>
      </c>
      <c r="B1287" s="22" t="str">
        <f>'EQUITY BACKTEST'!B1290</f>
        <v/>
      </c>
      <c r="C1287" s="22" t="str">
        <f>1/'EQUITY BACKTEST'!E1290</f>
        <v>#DIV/0!</v>
      </c>
      <c r="D1287" s="22" t="str">
        <f t="shared" si="7"/>
        <v>#DIV/0!</v>
      </c>
      <c r="E1287" s="22" t="str">
        <f t="shared" si="3"/>
        <v/>
      </c>
      <c r="F1287" s="22" t="str">
        <f t="shared" si="6"/>
        <v>#DIV/0!</v>
      </c>
      <c r="H1287" s="22" t="str">
        <f t="shared" si="4"/>
        <v/>
      </c>
      <c r="I1287" s="22" t="str">
        <f t="shared" si="1"/>
        <v>#N/A</v>
      </c>
      <c r="J1287" s="22" t="str">
        <f t="shared" si="2"/>
        <v>#N/A</v>
      </c>
      <c r="K1287" s="22" t="str">
        <f t="shared" si="8"/>
        <v>#DIV/0!</v>
      </c>
    </row>
    <row r="1288" ht="15.75" customHeight="1">
      <c r="A1288" s="31" t="str">
        <f>'EQUITY BACKTEST'!A1291</f>
        <v/>
      </c>
      <c r="B1288" s="22" t="str">
        <f>'EQUITY BACKTEST'!B1291</f>
        <v/>
      </c>
      <c r="C1288" s="22" t="str">
        <f>1/'EQUITY BACKTEST'!E1291</f>
        <v>#DIV/0!</v>
      </c>
      <c r="D1288" s="22" t="str">
        <f t="shared" si="7"/>
        <v>#DIV/0!</v>
      </c>
      <c r="E1288" s="22" t="str">
        <f t="shared" si="3"/>
        <v/>
      </c>
      <c r="F1288" s="22" t="str">
        <f t="shared" si="6"/>
        <v>#DIV/0!</v>
      </c>
      <c r="H1288" s="22" t="str">
        <f t="shared" si="4"/>
        <v/>
      </c>
      <c r="I1288" s="22" t="str">
        <f t="shared" si="1"/>
        <v>#N/A</v>
      </c>
      <c r="J1288" s="22" t="str">
        <f t="shared" si="2"/>
        <v>#N/A</v>
      </c>
      <c r="K1288" s="22" t="str">
        <f t="shared" si="8"/>
        <v>#DIV/0!</v>
      </c>
    </row>
    <row r="1289" ht="15.75" customHeight="1">
      <c r="A1289" s="31" t="str">
        <f>'EQUITY BACKTEST'!A1292</f>
        <v/>
      </c>
      <c r="B1289" s="22" t="str">
        <f>'EQUITY BACKTEST'!B1292</f>
        <v/>
      </c>
      <c r="C1289" s="22" t="str">
        <f>1/'EQUITY BACKTEST'!E1292</f>
        <v>#DIV/0!</v>
      </c>
      <c r="D1289" s="22" t="str">
        <f t="shared" si="7"/>
        <v>#DIV/0!</v>
      </c>
      <c r="E1289" s="22" t="str">
        <f t="shared" si="3"/>
        <v/>
      </c>
      <c r="F1289" s="22" t="str">
        <f t="shared" si="6"/>
        <v>#DIV/0!</v>
      </c>
      <c r="H1289" s="22" t="str">
        <f t="shared" si="4"/>
        <v/>
      </c>
      <c r="I1289" s="22" t="str">
        <f t="shared" si="1"/>
        <v>#N/A</v>
      </c>
      <c r="J1289" s="22" t="str">
        <f t="shared" si="2"/>
        <v>#N/A</v>
      </c>
      <c r="K1289" s="22" t="str">
        <f t="shared" si="8"/>
        <v>#DIV/0!</v>
      </c>
    </row>
    <row r="1290" ht="15.75" customHeight="1">
      <c r="A1290" s="31" t="str">
        <f>'EQUITY BACKTEST'!A1293</f>
        <v/>
      </c>
      <c r="B1290" s="22" t="str">
        <f>'EQUITY BACKTEST'!B1293</f>
        <v/>
      </c>
      <c r="C1290" s="22" t="str">
        <f>1/'EQUITY BACKTEST'!E1293</f>
        <v>#DIV/0!</v>
      </c>
      <c r="D1290" s="22" t="str">
        <f t="shared" si="7"/>
        <v>#DIV/0!</v>
      </c>
      <c r="E1290" s="22" t="str">
        <f t="shared" si="3"/>
        <v/>
      </c>
      <c r="F1290" s="22" t="str">
        <f t="shared" si="6"/>
        <v>#DIV/0!</v>
      </c>
      <c r="H1290" s="22" t="str">
        <f t="shared" si="4"/>
        <v/>
      </c>
      <c r="I1290" s="22" t="str">
        <f t="shared" si="1"/>
        <v>#N/A</v>
      </c>
      <c r="J1290" s="22" t="str">
        <f t="shared" si="2"/>
        <v>#N/A</v>
      </c>
      <c r="K1290" s="22" t="str">
        <f t="shared" si="8"/>
        <v>#DIV/0!</v>
      </c>
    </row>
    <row r="1291" ht="15.75" customHeight="1">
      <c r="A1291" s="31" t="str">
        <f>'EQUITY BACKTEST'!A1294</f>
        <v/>
      </c>
      <c r="B1291" s="22" t="str">
        <f>'EQUITY BACKTEST'!B1294</f>
        <v/>
      </c>
      <c r="C1291" s="22" t="str">
        <f>1/'EQUITY BACKTEST'!E1294</f>
        <v>#DIV/0!</v>
      </c>
      <c r="D1291" s="22" t="str">
        <f t="shared" si="7"/>
        <v>#DIV/0!</v>
      </c>
      <c r="E1291" s="22" t="str">
        <f t="shared" si="3"/>
        <v/>
      </c>
      <c r="F1291" s="22" t="str">
        <f t="shared" si="6"/>
        <v>#DIV/0!</v>
      </c>
      <c r="H1291" s="22" t="str">
        <f t="shared" si="4"/>
        <v/>
      </c>
      <c r="I1291" s="22" t="str">
        <f t="shared" si="1"/>
        <v>#N/A</v>
      </c>
      <c r="J1291" s="22" t="str">
        <f t="shared" si="2"/>
        <v>#N/A</v>
      </c>
      <c r="K1291" s="22" t="str">
        <f t="shared" si="8"/>
        <v>#DIV/0!</v>
      </c>
    </row>
    <row r="1292" ht="15.75" customHeight="1">
      <c r="A1292" s="31" t="str">
        <f>'EQUITY BACKTEST'!A1295</f>
        <v/>
      </c>
      <c r="B1292" s="22" t="str">
        <f>'EQUITY BACKTEST'!B1295</f>
        <v/>
      </c>
      <c r="C1292" s="22" t="str">
        <f>1/'EQUITY BACKTEST'!E1295</f>
        <v>#DIV/0!</v>
      </c>
      <c r="D1292" s="22" t="str">
        <f t="shared" si="7"/>
        <v>#DIV/0!</v>
      </c>
      <c r="E1292" s="22" t="str">
        <f t="shared" si="3"/>
        <v/>
      </c>
      <c r="F1292" s="22" t="str">
        <f t="shared" si="6"/>
        <v>#DIV/0!</v>
      </c>
      <c r="H1292" s="22" t="str">
        <f t="shared" si="4"/>
        <v/>
      </c>
      <c r="I1292" s="22" t="str">
        <f t="shared" si="1"/>
        <v>#N/A</v>
      </c>
      <c r="J1292" s="22" t="str">
        <f t="shared" si="2"/>
        <v>#N/A</v>
      </c>
      <c r="K1292" s="22" t="str">
        <f t="shared" si="8"/>
        <v>#DIV/0!</v>
      </c>
    </row>
    <row r="1293" ht="15.75" customHeight="1">
      <c r="A1293" s="31" t="str">
        <f>'EQUITY BACKTEST'!A1296</f>
        <v/>
      </c>
      <c r="B1293" s="22" t="str">
        <f>'EQUITY BACKTEST'!B1296</f>
        <v/>
      </c>
      <c r="C1293" s="22" t="str">
        <f>1/'EQUITY BACKTEST'!E1296</f>
        <v>#DIV/0!</v>
      </c>
      <c r="D1293" s="22" t="str">
        <f t="shared" si="7"/>
        <v>#DIV/0!</v>
      </c>
      <c r="E1293" s="22" t="str">
        <f t="shared" si="3"/>
        <v/>
      </c>
      <c r="F1293" s="22" t="str">
        <f t="shared" si="6"/>
        <v>#DIV/0!</v>
      </c>
      <c r="H1293" s="22" t="str">
        <f t="shared" si="4"/>
        <v/>
      </c>
      <c r="I1293" s="22" t="str">
        <f t="shared" si="1"/>
        <v>#N/A</v>
      </c>
      <c r="J1293" s="22" t="str">
        <f t="shared" si="2"/>
        <v>#N/A</v>
      </c>
      <c r="K1293" s="22" t="str">
        <f t="shared" si="8"/>
        <v>#DIV/0!</v>
      </c>
    </row>
    <row r="1294" ht="15.75" customHeight="1">
      <c r="A1294" s="31" t="str">
        <f>'EQUITY BACKTEST'!A1297</f>
        <v/>
      </c>
      <c r="B1294" s="22" t="str">
        <f>'EQUITY BACKTEST'!B1297</f>
        <v/>
      </c>
      <c r="C1294" s="22" t="str">
        <f>1/'EQUITY BACKTEST'!E1297</f>
        <v>#DIV/0!</v>
      </c>
      <c r="D1294" s="22" t="str">
        <f t="shared" si="7"/>
        <v>#DIV/0!</v>
      </c>
      <c r="E1294" s="22" t="str">
        <f t="shared" si="3"/>
        <v/>
      </c>
      <c r="F1294" s="22" t="str">
        <f t="shared" si="6"/>
        <v>#DIV/0!</v>
      </c>
      <c r="H1294" s="22" t="str">
        <f t="shared" si="4"/>
        <v/>
      </c>
      <c r="I1294" s="22" t="str">
        <f t="shared" si="1"/>
        <v>#N/A</v>
      </c>
      <c r="J1294" s="22" t="str">
        <f t="shared" si="2"/>
        <v>#N/A</v>
      </c>
      <c r="K1294" s="22" t="str">
        <f t="shared" si="8"/>
        <v>#DIV/0!</v>
      </c>
    </row>
    <row r="1295" ht="15.75" customHeight="1">
      <c r="A1295" s="31" t="str">
        <f>'EQUITY BACKTEST'!A1298</f>
        <v/>
      </c>
      <c r="B1295" s="22" t="str">
        <f>'EQUITY BACKTEST'!B1298</f>
        <v/>
      </c>
      <c r="C1295" s="22" t="str">
        <f>1/'EQUITY BACKTEST'!E1298</f>
        <v>#DIV/0!</v>
      </c>
      <c r="D1295" s="22" t="str">
        <f t="shared" si="7"/>
        <v>#DIV/0!</v>
      </c>
      <c r="E1295" s="22" t="str">
        <f t="shared" si="3"/>
        <v/>
      </c>
      <c r="F1295" s="22" t="str">
        <f t="shared" si="6"/>
        <v>#DIV/0!</v>
      </c>
      <c r="H1295" s="22" t="str">
        <f t="shared" si="4"/>
        <v/>
      </c>
      <c r="I1295" s="22" t="str">
        <f t="shared" si="1"/>
        <v>#N/A</v>
      </c>
      <c r="J1295" s="22" t="str">
        <f t="shared" si="2"/>
        <v>#N/A</v>
      </c>
      <c r="K1295" s="22" t="str">
        <f t="shared" si="8"/>
        <v>#DIV/0!</v>
      </c>
    </row>
    <row r="1296" ht="15.75" customHeight="1">
      <c r="A1296" s="31" t="str">
        <f>'EQUITY BACKTEST'!A1299</f>
        <v/>
      </c>
      <c r="B1296" s="22" t="str">
        <f>'EQUITY BACKTEST'!B1299</f>
        <v/>
      </c>
      <c r="C1296" s="22" t="str">
        <f>1/'EQUITY BACKTEST'!E1299</f>
        <v>#DIV/0!</v>
      </c>
      <c r="D1296" s="22" t="str">
        <f t="shared" si="7"/>
        <v>#DIV/0!</v>
      </c>
      <c r="E1296" s="22" t="str">
        <f t="shared" si="3"/>
        <v/>
      </c>
      <c r="F1296" s="22" t="str">
        <f t="shared" si="6"/>
        <v>#DIV/0!</v>
      </c>
      <c r="H1296" s="22" t="str">
        <f t="shared" si="4"/>
        <v/>
      </c>
      <c r="I1296" s="22" t="str">
        <f t="shared" si="1"/>
        <v>#N/A</v>
      </c>
      <c r="J1296" s="22" t="str">
        <f t="shared" si="2"/>
        <v>#N/A</v>
      </c>
      <c r="K1296" s="22" t="str">
        <f t="shared" si="8"/>
        <v>#DIV/0!</v>
      </c>
    </row>
    <row r="1297" ht="15.75" customHeight="1">
      <c r="A1297" s="31" t="str">
        <f>'EQUITY BACKTEST'!A1300</f>
        <v/>
      </c>
      <c r="B1297" s="22" t="str">
        <f>'EQUITY BACKTEST'!B1300</f>
        <v/>
      </c>
      <c r="C1297" s="22" t="str">
        <f>1/'EQUITY BACKTEST'!E1300</f>
        <v>#DIV/0!</v>
      </c>
      <c r="D1297" s="22" t="str">
        <f t="shared" si="7"/>
        <v>#DIV/0!</v>
      </c>
      <c r="E1297" s="22" t="str">
        <f t="shared" si="3"/>
        <v/>
      </c>
      <c r="F1297" s="22" t="str">
        <f t="shared" si="6"/>
        <v>#DIV/0!</v>
      </c>
      <c r="H1297" s="22" t="str">
        <f t="shared" si="4"/>
        <v/>
      </c>
      <c r="I1297" s="22" t="str">
        <f t="shared" si="1"/>
        <v>#N/A</v>
      </c>
      <c r="J1297" s="22" t="str">
        <f t="shared" si="2"/>
        <v>#N/A</v>
      </c>
      <c r="K1297" s="22" t="str">
        <f t="shared" si="8"/>
        <v>#DIV/0!</v>
      </c>
    </row>
    <row r="1298" ht="15.75" customHeight="1">
      <c r="A1298" s="31" t="str">
        <f>'EQUITY BACKTEST'!A1301</f>
        <v/>
      </c>
      <c r="B1298" s="22" t="str">
        <f>'EQUITY BACKTEST'!B1301</f>
        <v/>
      </c>
      <c r="C1298" s="22" t="str">
        <f>1/'EQUITY BACKTEST'!E1301</f>
        <v>#DIV/0!</v>
      </c>
      <c r="D1298" s="22" t="str">
        <f t="shared" si="7"/>
        <v>#DIV/0!</v>
      </c>
      <c r="E1298" s="22" t="str">
        <f t="shared" si="3"/>
        <v/>
      </c>
      <c r="F1298" s="22" t="str">
        <f t="shared" si="6"/>
        <v>#DIV/0!</v>
      </c>
      <c r="H1298" s="22" t="str">
        <f t="shared" si="4"/>
        <v/>
      </c>
      <c r="I1298" s="22" t="str">
        <f t="shared" si="1"/>
        <v>#N/A</v>
      </c>
      <c r="J1298" s="22" t="str">
        <f t="shared" si="2"/>
        <v>#N/A</v>
      </c>
      <c r="K1298" s="22" t="str">
        <f t="shared" si="8"/>
        <v>#DIV/0!</v>
      </c>
    </row>
    <row r="1299" ht="15.75" customHeight="1">
      <c r="A1299" s="31" t="str">
        <f>'EQUITY BACKTEST'!A1302</f>
        <v/>
      </c>
      <c r="B1299" s="22" t="str">
        <f>'EQUITY BACKTEST'!B1302</f>
        <v/>
      </c>
      <c r="C1299" s="22" t="str">
        <f>1/'EQUITY BACKTEST'!E1302</f>
        <v>#DIV/0!</v>
      </c>
      <c r="D1299" s="22" t="str">
        <f t="shared" si="7"/>
        <v>#DIV/0!</v>
      </c>
      <c r="E1299" s="22" t="str">
        <f t="shared" si="3"/>
        <v/>
      </c>
      <c r="F1299" s="22" t="str">
        <f t="shared" si="6"/>
        <v>#DIV/0!</v>
      </c>
      <c r="H1299" s="22" t="str">
        <f t="shared" si="4"/>
        <v/>
      </c>
      <c r="I1299" s="22" t="str">
        <f t="shared" si="1"/>
        <v>#N/A</v>
      </c>
      <c r="J1299" s="22" t="str">
        <f t="shared" si="2"/>
        <v>#N/A</v>
      </c>
      <c r="K1299" s="22" t="str">
        <f t="shared" si="8"/>
        <v>#DIV/0!</v>
      </c>
    </row>
    <row r="1300" ht="15.75" customHeight="1">
      <c r="A1300" s="31" t="str">
        <f>'EQUITY BACKTEST'!A1303</f>
        <v/>
      </c>
      <c r="B1300" s="22" t="str">
        <f>'EQUITY BACKTEST'!B1303</f>
        <v/>
      </c>
      <c r="C1300" s="22" t="str">
        <f>1/'EQUITY BACKTEST'!E1303</f>
        <v>#DIV/0!</v>
      </c>
      <c r="D1300" s="22" t="str">
        <f t="shared" si="7"/>
        <v>#DIV/0!</v>
      </c>
      <c r="E1300" s="22" t="str">
        <f t="shared" si="3"/>
        <v/>
      </c>
      <c r="F1300" s="22" t="str">
        <f t="shared" si="6"/>
        <v>#DIV/0!</v>
      </c>
      <c r="H1300" s="22" t="str">
        <f t="shared" si="4"/>
        <v/>
      </c>
      <c r="I1300" s="22" t="str">
        <f t="shared" si="1"/>
        <v>#N/A</v>
      </c>
      <c r="J1300" s="22" t="str">
        <f t="shared" si="2"/>
        <v>#N/A</v>
      </c>
      <c r="K1300" s="22" t="str">
        <f t="shared" si="8"/>
        <v>#DIV/0!</v>
      </c>
    </row>
    <row r="1301" ht="15.75" customHeight="1">
      <c r="A1301" s="31" t="str">
        <f>'EQUITY BACKTEST'!A1304</f>
        <v/>
      </c>
      <c r="B1301" s="22" t="str">
        <f>'EQUITY BACKTEST'!B1304</f>
        <v/>
      </c>
      <c r="C1301" s="22" t="str">
        <f>1/'EQUITY BACKTEST'!E1304</f>
        <v>#DIV/0!</v>
      </c>
      <c r="D1301" s="22" t="str">
        <f t="shared" si="7"/>
        <v>#DIV/0!</v>
      </c>
      <c r="E1301" s="22" t="str">
        <f t="shared" si="3"/>
        <v/>
      </c>
      <c r="F1301" s="22" t="str">
        <f t="shared" si="6"/>
        <v>#DIV/0!</v>
      </c>
      <c r="H1301" s="22" t="str">
        <f t="shared" si="4"/>
        <v/>
      </c>
      <c r="I1301" s="22" t="str">
        <f t="shared" si="1"/>
        <v>#N/A</v>
      </c>
      <c r="J1301" s="22" t="str">
        <f t="shared" si="2"/>
        <v>#N/A</v>
      </c>
      <c r="K1301" s="22" t="str">
        <f t="shared" si="8"/>
        <v>#DIV/0!</v>
      </c>
    </row>
    <row r="1302" ht="15.75" customHeight="1">
      <c r="A1302" s="31" t="str">
        <f>'EQUITY BACKTEST'!A1305</f>
        <v/>
      </c>
      <c r="B1302" s="22" t="str">
        <f>'EQUITY BACKTEST'!B1305</f>
        <v/>
      </c>
      <c r="C1302" s="22" t="str">
        <f>1/'EQUITY BACKTEST'!E1305</f>
        <v>#DIV/0!</v>
      </c>
      <c r="D1302" s="22" t="str">
        <f t="shared" si="7"/>
        <v>#DIV/0!</v>
      </c>
      <c r="E1302" s="22" t="str">
        <f t="shared" si="3"/>
        <v/>
      </c>
      <c r="F1302" s="22" t="str">
        <f t="shared" si="6"/>
        <v>#DIV/0!</v>
      </c>
      <c r="H1302" s="22" t="str">
        <f t="shared" si="4"/>
        <v/>
      </c>
      <c r="I1302" s="22" t="str">
        <f t="shared" si="1"/>
        <v>#N/A</v>
      </c>
      <c r="J1302" s="22" t="str">
        <f t="shared" si="2"/>
        <v>#N/A</v>
      </c>
      <c r="K1302" s="22" t="str">
        <f t="shared" si="8"/>
        <v>#DIV/0!</v>
      </c>
    </row>
    <row r="1303" ht="15.75" customHeight="1">
      <c r="A1303" s="31" t="str">
        <f>'EQUITY BACKTEST'!A1306</f>
        <v/>
      </c>
      <c r="B1303" s="22" t="str">
        <f>'EQUITY BACKTEST'!B1306</f>
        <v/>
      </c>
      <c r="C1303" s="22" t="str">
        <f>1/'EQUITY BACKTEST'!E1306</f>
        <v>#DIV/0!</v>
      </c>
      <c r="D1303" s="22" t="str">
        <f t="shared" si="7"/>
        <v>#DIV/0!</v>
      </c>
      <c r="E1303" s="22" t="str">
        <f t="shared" si="3"/>
        <v/>
      </c>
      <c r="F1303" s="22" t="str">
        <f t="shared" si="6"/>
        <v>#DIV/0!</v>
      </c>
      <c r="H1303" s="22" t="str">
        <f t="shared" si="4"/>
        <v/>
      </c>
      <c r="I1303" s="22" t="str">
        <f t="shared" si="1"/>
        <v>#N/A</v>
      </c>
      <c r="J1303" s="22" t="str">
        <f t="shared" si="2"/>
        <v>#N/A</v>
      </c>
      <c r="K1303" s="22" t="str">
        <f t="shared" si="8"/>
        <v>#DIV/0!</v>
      </c>
    </row>
    <row r="1304" ht="15.75" customHeight="1">
      <c r="A1304" s="31" t="str">
        <f>'EQUITY BACKTEST'!A1307</f>
        <v/>
      </c>
      <c r="B1304" s="22" t="str">
        <f>'EQUITY BACKTEST'!B1307</f>
        <v/>
      </c>
      <c r="C1304" s="22" t="str">
        <f>1/'EQUITY BACKTEST'!E1307</f>
        <v>#DIV/0!</v>
      </c>
      <c r="D1304" s="22" t="str">
        <f t="shared" si="7"/>
        <v>#DIV/0!</v>
      </c>
      <c r="E1304" s="22" t="str">
        <f t="shared" si="3"/>
        <v/>
      </c>
      <c r="F1304" s="22" t="str">
        <f t="shared" si="6"/>
        <v>#DIV/0!</v>
      </c>
      <c r="H1304" s="22" t="str">
        <f t="shared" si="4"/>
        <v/>
      </c>
      <c r="I1304" s="22" t="str">
        <f t="shared" si="1"/>
        <v>#N/A</v>
      </c>
      <c r="J1304" s="22" t="str">
        <f t="shared" si="2"/>
        <v>#N/A</v>
      </c>
      <c r="K1304" s="22" t="str">
        <f t="shared" si="8"/>
        <v>#DIV/0!</v>
      </c>
    </row>
    <row r="1305" ht="15.75" customHeight="1">
      <c r="A1305" s="31" t="str">
        <f>'EQUITY BACKTEST'!A1308</f>
        <v/>
      </c>
      <c r="B1305" s="22" t="str">
        <f>'EQUITY BACKTEST'!B1308</f>
        <v/>
      </c>
      <c r="C1305" s="22" t="str">
        <f>1/'EQUITY BACKTEST'!E1308</f>
        <v>#DIV/0!</v>
      </c>
      <c r="D1305" s="22" t="str">
        <f t="shared" si="7"/>
        <v>#DIV/0!</v>
      </c>
      <c r="E1305" s="22" t="str">
        <f t="shared" si="3"/>
        <v/>
      </c>
      <c r="F1305" s="22" t="str">
        <f t="shared" si="6"/>
        <v>#DIV/0!</v>
      </c>
      <c r="H1305" s="22" t="str">
        <f t="shared" si="4"/>
        <v/>
      </c>
      <c r="I1305" s="22" t="str">
        <f t="shared" si="1"/>
        <v>#N/A</v>
      </c>
      <c r="J1305" s="22" t="str">
        <f t="shared" si="2"/>
        <v>#N/A</v>
      </c>
      <c r="K1305" s="22" t="str">
        <f t="shared" si="8"/>
        <v>#DIV/0!</v>
      </c>
    </row>
    <row r="1306" ht="15.75" customHeight="1">
      <c r="A1306" s="31" t="str">
        <f>'EQUITY BACKTEST'!A1309</f>
        <v/>
      </c>
      <c r="B1306" s="22" t="str">
        <f>'EQUITY BACKTEST'!B1309</f>
        <v/>
      </c>
      <c r="C1306" s="22" t="str">
        <f>1/'EQUITY BACKTEST'!E1309</f>
        <v>#DIV/0!</v>
      </c>
      <c r="D1306" s="22" t="str">
        <f t="shared" si="7"/>
        <v>#DIV/0!</v>
      </c>
      <c r="E1306" s="22" t="str">
        <f t="shared" si="3"/>
        <v/>
      </c>
      <c r="F1306" s="22" t="str">
        <f t="shared" si="6"/>
        <v>#DIV/0!</v>
      </c>
      <c r="H1306" s="22" t="str">
        <f t="shared" si="4"/>
        <v/>
      </c>
      <c r="I1306" s="22" t="str">
        <f t="shared" si="1"/>
        <v>#N/A</v>
      </c>
      <c r="J1306" s="22" t="str">
        <f t="shared" si="2"/>
        <v>#N/A</v>
      </c>
      <c r="K1306" s="22" t="str">
        <f t="shared" si="8"/>
        <v>#DIV/0!</v>
      </c>
    </row>
    <row r="1307" ht="15.75" customHeight="1">
      <c r="A1307" s="31" t="str">
        <f>'EQUITY BACKTEST'!A1310</f>
        <v/>
      </c>
      <c r="B1307" s="22" t="str">
        <f>'EQUITY BACKTEST'!B1310</f>
        <v/>
      </c>
      <c r="C1307" s="22" t="str">
        <f>1/'EQUITY BACKTEST'!E1310</f>
        <v>#DIV/0!</v>
      </c>
      <c r="D1307" s="22" t="str">
        <f t="shared" si="7"/>
        <v>#DIV/0!</v>
      </c>
      <c r="E1307" s="22" t="str">
        <f t="shared" si="3"/>
        <v/>
      </c>
      <c r="F1307" s="22" t="str">
        <f t="shared" si="6"/>
        <v>#DIV/0!</v>
      </c>
      <c r="H1307" s="22" t="str">
        <f t="shared" si="4"/>
        <v/>
      </c>
      <c r="I1307" s="22" t="str">
        <f t="shared" si="1"/>
        <v>#N/A</v>
      </c>
      <c r="J1307" s="22" t="str">
        <f t="shared" si="2"/>
        <v>#N/A</v>
      </c>
      <c r="K1307" s="22" t="str">
        <f t="shared" si="8"/>
        <v>#DIV/0!</v>
      </c>
    </row>
    <row r="1308" ht="15.75" customHeight="1">
      <c r="A1308" s="31" t="str">
        <f>'EQUITY BACKTEST'!A1311</f>
        <v/>
      </c>
      <c r="B1308" s="22" t="str">
        <f>'EQUITY BACKTEST'!B1311</f>
        <v/>
      </c>
      <c r="C1308" s="22" t="str">
        <f>1/'EQUITY BACKTEST'!E1311</f>
        <v>#DIV/0!</v>
      </c>
      <c r="D1308" s="22" t="str">
        <f t="shared" si="7"/>
        <v>#DIV/0!</v>
      </c>
      <c r="E1308" s="22" t="str">
        <f t="shared" si="3"/>
        <v/>
      </c>
      <c r="F1308" s="22" t="str">
        <f t="shared" si="6"/>
        <v>#DIV/0!</v>
      </c>
      <c r="H1308" s="22" t="str">
        <f t="shared" si="4"/>
        <v/>
      </c>
      <c r="I1308" s="22" t="str">
        <f t="shared" si="1"/>
        <v>#N/A</v>
      </c>
      <c r="J1308" s="22" t="str">
        <f t="shared" si="2"/>
        <v>#N/A</v>
      </c>
      <c r="K1308" s="22" t="str">
        <f t="shared" si="8"/>
        <v>#DIV/0!</v>
      </c>
    </row>
    <row r="1309" ht="15.75" customHeight="1">
      <c r="A1309" s="31" t="str">
        <f>'EQUITY BACKTEST'!A1312</f>
        <v/>
      </c>
      <c r="B1309" s="22" t="str">
        <f>'EQUITY BACKTEST'!B1312</f>
        <v/>
      </c>
      <c r="C1309" s="22" t="str">
        <f>1/'EQUITY BACKTEST'!E1312</f>
        <v>#DIV/0!</v>
      </c>
      <c r="D1309" s="22" t="str">
        <f t="shared" si="7"/>
        <v>#DIV/0!</v>
      </c>
      <c r="E1309" s="22" t="str">
        <f t="shared" si="3"/>
        <v/>
      </c>
      <c r="F1309" s="22" t="str">
        <f t="shared" si="6"/>
        <v>#DIV/0!</v>
      </c>
      <c r="H1309" s="22" t="str">
        <f t="shared" si="4"/>
        <v/>
      </c>
      <c r="I1309" s="22" t="str">
        <f t="shared" si="1"/>
        <v>#N/A</v>
      </c>
      <c r="J1309" s="22" t="str">
        <f t="shared" si="2"/>
        <v>#N/A</v>
      </c>
      <c r="K1309" s="22" t="str">
        <f t="shared" si="8"/>
        <v>#DIV/0!</v>
      </c>
    </row>
    <row r="1310" ht="15.75" customHeight="1">
      <c r="A1310" s="31" t="str">
        <f>'EQUITY BACKTEST'!A1313</f>
        <v/>
      </c>
      <c r="B1310" s="22" t="str">
        <f>'EQUITY BACKTEST'!B1313</f>
        <v/>
      </c>
      <c r="C1310" s="22" t="str">
        <f>1/'EQUITY BACKTEST'!E1313</f>
        <v>#DIV/0!</v>
      </c>
      <c r="D1310" s="22" t="str">
        <f t="shared" si="7"/>
        <v>#DIV/0!</v>
      </c>
      <c r="E1310" s="22" t="str">
        <f t="shared" si="3"/>
        <v/>
      </c>
      <c r="F1310" s="22" t="str">
        <f t="shared" si="6"/>
        <v>#DIV/0!</v>
      </c>
      <c r="H1310" s="22" t="str">
        <f t="shared" si="4"/>
        <v/>
      </c>
      <c r="I1310" s="22" t="str">
        <f t="shared" si="1"/>
        <v>#N/A</v>
      </c>
      <c r="J1310" s="22" t="str">
        <f t="shared" si="2"/>
        <v>#N/A</v>
      </c>
      <c r="K1310" s="22" t="str">
        <f t="shared" si="8"/>
        <v>#DIV/0!</v>
      </c>
    </row>
    <row r="1311" ht="15.75" customHeight="1">
      <c r="A1311" s="31" t="str">
        <f>'EQUITY BACKTEST'!A1314</f>
        <v/>
      </c>
      <c r="B1311" s="22" t="str">
        <f>'EQUITY BACKTEST'!B1314</f>
        <v/>
      </c>
      <c r="C1311" s="22" t="str">
        <f>1/'EQUITY BACKTEST'!E1314</f>
        <v>#DIV/0!</v>
      </c>
      <c r="D1311" s="22" t="str">
        <f t="shared" si="7"/>
        <v>#DIV/0!</v>
      </c>
      <c r="E1311" s="22" t="str">
        <f t="shared" si="3"/>
        <v/>
      </c>
      <c r="F1311" s="22" t="str">
        <f t="shared" si="6"/>
        <v>#DIV/0!</v>
      </c>
      <c r="H1311" s="22" t="str">
        <f t="shared" si="4"/>
        <v/>
      </c>
      <c r="I1311" s="22" t="str">
        <f t="shared" si="1"/>
        <v>#N/A</v>
      </c>
      <c r="J1311" s="22" t="str">
        <f t="shared" si="2"/>
        <v>#N/A</v>
      </c>
      <c r="K1311" s="22" t="str">
        <f t="shared" si="8"/>
        <v>#DIV/0!</v>
      </c>
    </row>
    <row r="1312" ht="15.75" customHeight="1">
      <c r="A1312" s="31" t="str">
        <f>'EQUITY BACKTEST'!A1315</f>
        <v/>
      </c>
      <c r="B1312" s="22" t="str">
        <f>'EQUITY BACKTEST'!B1315</f>
        <v/>
      </c>
      <c r="C1312" s="22" t="str">
        <f>1/'EQUITY BACKTEST'!E1315</f>
        <v>#DIV/0!</v>
      </c>
      <c r="D1312" s="22" t="str">
        <f t="shared" si="7"/>
        <v>#DIV/0!</v>
      </c>
      <c r="E1312" s="22" t="str">
        <f t="shared" si="3"/>
        <v/>
      </c>
      <c r="F1312" s="22" t="str">
        <f t="shared" si="6"/>
        <v>#DIV/0!</v>
      </c>
      <c r="H1312" s="22" t="str">
        <f t="shared" si="4"/>
        <v/>
      </c>
      <c r="I1312" s="22" t="str">
        <f t="shared" si="1"/>
        <v>#N/A</v>
      </c>
      <c r="J1312" s="22" t="str">
        <f t="shared" si="2"/>
        <v>#N/A</v>
      </c>
      <c r="K1312" s="22" t="str">
        <f t="shared" si="8"/>
        <v>#DIV/0!</v>
      </c>
    </row>
    <row r="1313" ht="15.75" customHeight="1">
      <c r="A1313" s="31" t="str">
        <f>'EQUITY BACKTEST'!A1316</f>
        <v/>
      </c>
      <c r="B1313" s="22" t="str">
        <f>'EQUITY BACKTEST'!B1316</f>
        <v/>
      </c>
      <c r="C1313" s="22" t="str">
        <f>1/'EQUITY BACKTEST'!E1316</f>
        <v>#DIV/0!</v>
      </c>
      <c r="D1313" s="22" t="str">
        <f t="shared" si="7"/>
        <v>#DIV/0!</v>
      </c>
      <c r="E1313" s="22" t="str">
        <f t="shared" si="3"/>
        <v/>
      </c>
      <c r="F1313" s="22" t="str">
        <f t="shared" si="6"/>
        <v>#DIV/0!</v>
      </c>
      <c r="H1313" s="22" t="str">
        <f t="shared" si="4"/>
        <v/>
      </c>
      <c r="I1313" s="22" t="str">
        <f t="shared" si="1"/>
        <v>#N/A</v>
      </c>
      <c r="J1313" s="22" t="str">
        <f t="shared" si="2"/>
        <v>#N/A</v>
      </c>
      <c r="K1313" s="22" t="str">
        <f t="shared" si="8"/>
        <v>#DIV/0!</v>
      </c>
    </row>
    <row r="1314" ht="15.75" customHeight="1">
      <c r="A1314" s="31" t="str">
        <f>'EQUITY BACKTEST'!A1317</f>
        <v/>
      </c>
      <c r="B1314" s="22" t="str">
        <f>'EQUITY BACKTEST'!B1317</f>
        <v/>
      </c>
      <c r="C1314" s="22" t="str">
        <f>1/'EQUITY BACKTEST'!E1317</f>
        <v>#DIV/0!</v>
      </c>
      <c r="D1314" s="22" t="str">
        <f t="shared" si="7"/>
        <v>#DIV/0!</v>
      </c>
      <c r="E1314" s="22" t="str">
        <f t="shared" si="3"/>
        <v/>
      </c>
      <c r="F1314" s="22" t="str">
        <f t="shared" si="6"/>
        <v>#DIV/0!</v>
      </c>
      <c r="H1314" s="22" t="str">
        <f t="shared" si="4"/>
        <v/>
      </c>
      <c r="I1314" s="22" t="str">
        <f t="shared" si="1"/>
        <v>#N/A</v>
      </c>
      <c r="J1314" s="22" t="str">
        <f t="shared" si="2"/>
        <v>#N/A</v>
      </c>
      <c r="K1314" s="22" t="str">
        <f t="shared" si="8"/>
        <v>#DIV/0!</v>
      </c>
    </row>
    <row r="1315" ht="15.75" customHeight="1">
      <c r="A1315" s="31" t="str">
        <f>'EQUITY BACKTEST'!A1318</f>
        <v/>
      </c>
      <c r="B1315" s="22" t="str">
        <f>'EQUITY BACKTEST'!B1318</f>
        <v/>
      </c>
      <c r="C1315" s="22" t="str">
        <f>1/'EQUITY BACKTEST'!E1318</f>
        <v>#DIV/0!</v>
      </c>
      <c r="D1315" s="22" t="str">
        <f t="shared" si="7"/>
        <v>#DIV/0!</v>
      </c>
      <c r="E1315" s="22" t="str">
        <f t="shared" si="3"/>
        <v/>
      </c>
      <c r="F1315" s="22" t="str">
        <f t="shared" si="6"/>
        <v>#DIV/0!</v>
      </c>
      <c r="H1315" s="22" t="str">
        <f t="shared" si="4"/>
        <v/>
      </c>
      <c r="I1315" s="22" t="str">
        <f t="shared" si="1"/>
        <v>#N/A</v>
      </c>
      <c r="J1315" s="22" t="str">
        <f t="shared" si="2"/>
        <v>#N/A</v>
      </c>
      <c r="K1315" s="22" t="str">
        <f t="shared" si="8"/>
        <v>#DIV/0!</v>
      </c>
    </row>
    <row r="1316" ht="15.75" customHeight="1">
      <c r="A1316" s="31" t="str">
        <f>'EQUITY BACKTEST'!A1319</f>
        <v/>
      </c>
      <c r="B1316" s="22" t="str">
        <f>'EQUITY BACKTEST'!B1319</f>
        <v/>
      </c>
      <c r="C1316" s="22" t="str">
        <f>1/'EQUITY BACKTEST'!E1319</f>
        <v>#DIV/0!</v>
      </c>
      <c r="D1316" s="22" t="str">
        <f t="shared" si="7"/>
        <v>#DIV/0!</v>
      </c>
      <c r="E1316" s="22" t="str">
        <f t="shared" si="3"/>
        <v/>
      </c>
      <c r="F1316" s="22" t="str">
        <f t="shared" si="6"/>
        <v>#DIV/0!</v>
      </c>
      <c r="H1316" s="22" t="str">
        <f t="shared" si="4"/>
        <v/>
      </c>
      <c r="I1316" s="22" t="str">
        <f t="shared" si="1"/>
        <v>#N/A</v>
      </c>
      <c r="J1316" s="22" t="str">
        <f t="shared" si="2"/>
        <v>#N/A</v>
      </c>
      <c r="K1316" s="22" t="str">
        <f t="shared" si="8"/>
        <v>#DIV/0!</v>
      </c>
    </row>
    <row r="1317" ht="15.75" customHeight="1">
      <c r="A1317" s="31" t="str">
        <f>'EQUITY BACKTEST'!A1320</f>
        <v/>
      </c>
      <c r="B1317" s="22" t="str">
        <f>'EQUITY BACKTEST'!B1320</f>
        <v/>
      </c>
      <c r="C1317" s="22" t="str">
        <f>1/'EQUITY BACKTEST'!E1320</f>
        <v>#DIV/0!</v>
      </c>
      <c r="D1317" s="22" t="str">
        <f t="shared" si="7"/>
        <v>#DIV/0!</v>
      </c>
      <c r="E1317" s="22" t="str">
        <f t="shared" si="3"/>
        <v/>
      </c>
      <c r="F1317" s="22" t="str">
        <f t="shared" si="6"/>
        <v>#DIV/0!</v>
      </c>
      <c r="H1317" s="22" t="str">
        <f t="shared" si="4"/>
        <v/>
      </c>
      <c r="I1317" s="22" t="str">
        <f t="shared" si="1"/>
        <v>#N/A</v>
      </c>
      <c r="J1317" s="22" t="str">
        <f t="shared" si="2"/>
        <v>#N/A</v>
      </c>
      <c r="K1317" s="22" t="str">
        <f t="shared" si="8"/>
        <v>#DIV/0!</v>
      </c>
    </row>
    <row r="1318" ht="15.75" customHeight="1">
      <c r="A1318" s="31" t="str">
        <f>'EQUITY BACKTEST'!A1321</f>
        <v/>
      </c>
      <c r="B1318" s="22" t="str">
        <f>'EQUITY BACKTEST'!B1321</f>
        <v/>
      </c>
      <c r="C1318" s="22" t="str">
        <f>1/'EQUITY BACKTEST'!E1321</f>
        <v>#DIV/0!</v>
      </c>
      <c r="D1318" s="22" t="str">
        <f t="shared" si="7"/>
        <v>#DIV/0!</v>
      </c>
      <c r="E1318" s="22" t="str">
        <f t="shared" si="3"/>
        <v/>
      </c>
      <c r="F1318" s="22" t="str">
        <f t="shared" si="6"/>
        <v>#DIV/0!</v>
      </c>
      <c r="H1318" s="22" t="str">
        <f t="shared" si="4"/>
        <v/>
      </c>
      <c r="I1318" s="22" t="str">
        <f t="shared" si="1"/>
        <v>#N/A</v>
      </c>
      <c r="J1318" s="22" t="str">
        <f t="shared" si="2"/>
        <v>#N/A</v>
      </c>
      <c r="K1318" s="22" t="str">
        <f t="shared" si="8"/>
        <v>#DIV/0!</v>
      </c>
    </row>
    <row r="1319" ht="15.75" customHeight="1">
      <c r="A1319" s="31" t="str">
        <f>'EQUITY BACKTEST'!A1322</f>
        <v/>
      </c>
      <c r="B1319" s="22" t="str">
        <f>'EQUITY BACKTEST'!B1322</f>
        <v/>
      </c>
      <c r="C1319" s="22" t="str">
        <f>1/'EQUITY BACKTEST'!E1322</f>
        <v>#DIV/0!</v>
      </c>
      <c r="D1319" s="22" t="str">
        <f t="shared" si="7"/>
        <v>#DIV/0!</v>
      </c>
      <c r="E1319" s="22" t="str">
        <f t="shared" si="3"/>
        <v/>
      </c>
      <c r="F1319" s="22" t="str">
        <f t="shared" si="6"/>
        <v>#DIV/0!</v>
      </c>
      <c r="H1319" s="22" t="str">
        <f t="shared" si="4"/>
        <v/>
      </c>
      <c r="I1319" s="22" t="str">
        <f t="shared" si="1"/>
        <v>#N/A</v>
      </c>
      <c r="J1319" s="22" t="str">
        <f t="shared" si="2"/>
        <v>#N/A</v>
      </c>
      <c r="K1319" s="22" t="str">
        <f t="shared" si="8"/>
        <v>#DIV/0!</v>
      </c>
    </row>
    <row r="1320" ht="15.75" customHeight="1">
      <c r="A1320" s="31" t="str">
        <f>'EQUITY BACKTEST'!A1323</f>
        <v/>
      </c>
      <c r="B1320" s="22" t="str">
        <f>'EQUITY BACKTEST'!B1323</f>
        <v/>
      </c>
      <c r="C1320" s="22" t="str">
        <f>1/'EQUITY BACKTEST'!E1323</f>
        <v>#DIV/0!</v>
      </c>
      <c r="D1320" s="22" t="str">
        <f t="shared" si="7"/>
        <v>#DIV/0!</v>
      </c>
      <c r="E1320" s="22" t="str">
        <f t="shared" si="3"/>
        <v/>
      </c>
      <c r="F1320" s="22" t="str">
        <f t="shared" si="6"/>
        <v>#DIV/0!</v>
      </c>
      <c r="H1320" s="22" t="str">
        <f t="shared" si="4"/>
        <v/>
      </c>
      <c r="I1320" s="22" t="str">
        <f t="shared" si="1"/>
        <v>#N/A</v>
      </c>
      <c r="J1320" s="22" t="str">
        <f t="shared" si="2"/>
        <v>#N/A</v>
      </c>
      <c r="K1320" s="22" t="str">
        <f t="shared" si="8"/>
        <v>#DIV/0!</v>
      </c>
    </row>
    <row r="1321" ht="15.75" customHeight="1">
      <c r="A1321" s="31" t="str">
        <f>'EQUITY BACKTEST'!A1324</f>
        <v/>
      </c>
      <c r="B1321" s="22" t="str">
        <f>'EQUITY BACKTEST'!B1324</f>
        <v/>
      </c>
      <c r="C1321" s="22" t="str">
        <f>1/'EQUITY BACKTEST'!E1324</f>
        <v>#DIV/0!</v>
      </c>
      <c r="D1321" s="22" t="str">
        <f t="shared" si="7"/>
        <v>#DIV/0!</v>
      </c>
      <c r="E1321" s="22" t="str">
        <f t="shared" si="3"/>
        <v/>
      </c>
      <c r="F1321" s="22" t="str">
        <f t="shared" si="6"/>
        <v>#DIV/0!</v>
      </c>
      <c r="H1321" s="22" t="str">
        <f t="shared" si="4"/>
        <v/>
      </c>
      <c r="I1321" s="22" t="str">
        <f t="shared" si="1"/>
        <v>#N/A</v>
      </c>
      <c r="J1321" s="22" t="str">
        <f t="shared" si="2"/>
        <v>#N/A</v>
      </c>
      <c r="K1321" s="22" t="str">
        <f t="shared" si="8"/>
        <v>#DIV/0!</v>
      </c>
    </row>
    <row r="1322" ht="15.75" customHeight="1">
      <c r="A1322" s="31" t="str">
        <f>'EQUITY BACKTEST'!A1325</f>
        <v/>
      </c>
      <c r="B1322" s="22" t="str">
        <f>'EQUITY BACKTEST'!B1325</f>
        <v/>
      </c>
      <c r="C1322" s="22" t="str">
        <f>1/'EQUITY BACKTEST'!E1325</f>
        <v>#DIV/0!</v>
      </c>
      <c r="D1322" s="22" t="str">
        <f t="shared" si="7"/>
        <v>#DIV/0!</v>
      </c>
      <c r="E1322" s="22" t="str">
        <f t="shared" si="3"/>
        <v/>
      </c>
      <c r="F1322" s="22" t="str">
        <f t="shared" si="6"/>
        <v>#DIV/0!</v>
      </c>
      <c r="H1322" s="22" t="str">
        <f t="shared" si="4"/>
        <v/>
      </c>
      <c r="I1322" s="22" t="str">
        <f t="shared" si="1"/>
        <v>#N/A</v>
      </c>
      <c r="J1322" s="22" t="str">
        <f t="shared" si="2"/>
        <v>#N/A</v>
      </c>
      <c r="K1322" s="22" t="str">
        <f t="shared" si="8"/>
        <v>#DIV/0!</v>
      </c>
    </row>
    <row r="1323" ht="15.75" customHeight="1">
      <c r="A1323" s="31" t="str">
        <f>'EQUITY BACKTEST'!A1326</f>
        <v/>
      </c>
      <c r="B1323" s="22" t="str">
        <f>'EQUITY BACKTEST'!B1326</f>
        <v/>
      </c>
      <c r="C1323" s="22" t="str">
        <f>1/'EQUITY BACKTEST'!E1326</f>
        <v>#DIV/0!</v>
      </c>
      <c r="D1323" s="22" t="str">
        <f t="shared" si="7"/>
        <v>#DIV/0!</v>
      </c>
      <c r="E1323" s="22" t="str">
        <f t="shared" si="3"/>
        <v/>
      </c>
      <c r="F1323" s="22" t="str">
        <f t="shared" si="6"/>
        <v>#DIV/0!</v>
      </c>
      <c r="H1323" s="22" t="str">
        <f t="shared" si="4"/>
        <v/>
      </c>
      <c r="I1323" s="22" t="str">
        <f t="shared" si="1"/>
        <v>#N/A</v>
      </c>
      <c r="J1323" s="22" t="str">
        <f t="shared" si="2"/>
        <v>#N/A</v>
      </c>
      <c r="K1323" s="22" t="str">
        <f t="shared" si="8"/>
        <v>#DIV/0!</v>
      </c>
    </row>
    <row r="1324" ht="15.75" customHeight="1">
      <c r="A1324" s="31" t="str">
        <f>'EQUITY BACKTEST'!A1327</f>
        <v/>
      </c>
      <c r="B1324" s="22" t="str">
        <f>'EQUITY BACKTEST'!B1327</f>
        <v/>
      </c>
      <c r="C1324" s="22" t="str">
        <f>1/'EQUITY BACKTEST'!E1327</f>
        <v>#DIV/0!</v>
      </c>
      <c r="D1324" s="22" t="str">
        <f t="shared" si="7"/>
        <v>#DIV/0!</v>
      </c>
      <c r="E1324" s="22" t="str">
        <f t="shared" si="3"/>
        <v/>
      </c>
      <c r="F1324" s="22" t="str">
        <f t="shared" si="6"/>
        <v>#DIV/0!</v>
      </c>
      <c r="H1324" s="22" t="str">
        <f t="shared" si="4"/>
        <v/>
      </c>
      <c r="I1324" s="22" t="str">
        <f t="shared" si="1"/>
        <v>#N/A</v>
      </c>
      <c r="J1324" s="22" t="str">
        <f t="shared" si="2"/>
        <v>#N/A</v>
      </c>
      <c r="K1324" s="22" t="str">
        <f t="shared" si="8"/>
        <v>#DIV/0!</v>
      </c>
    </row>
    <row r="1325" ht="15.75" customHeight="1">
      <c r="A1325" s="31" t="str">
        <f>'EQUITY BACKTEST'!A1328</f>
        <v/>
      </c>
      <c r="B1325" s="22" t="str">
        <f>'EQUITY BACKTEST'!B1328</f>
        <v/>
      </c>
      <c r="C1325" s="22" t="str">
        <f>1/'EQUITY BACKTEST'!E1328</f>
        <v>#DIV/0!</v>
      </c>
      <c r="D1325" s="22" t="str">
        <f t="shared" si="7"/>
        <v>#DIV/0!</v>
      </c>
      <c r="E1325" s="22" t="str">
        <f t="shared" si="3"/>
        <v/>
      </c>
      <c r="F1325" s="22" t="str">
        <f t="shared" si="6"/>
        <v>#DIV/0!</v>
      </c>
      <c r="H1325" s="22" t="str">
        <f t="shared" si="4"/>
        <v/>
      </c>
      <c r="I1325" s="22" t="str">
        <f t="shared" si="1"/>
        <v>#N/A</v>
      </c>
      <c r="J1325" s="22" t="str">
        <f t="shared" si="2"/>
        <v>#N/A</v>
      </c>
      <c r="K1325" s="22" t="str">
        <f t="shared" si="8"/>
        <v>#DIV/0!</v>
      </c>
    </row>
    <row r="1326" ht="15.75" customHeight="1">
      <c r="A1326" s="31" t="str">
        <f>'EQUITY BACKTEST'!A1329</f>
        <v/>
      </c>
      <c r="B1326" s="22" t="str">
        <f>'EQUITY BACKTEST'!B1329</f>
        <v/>
      </c>
      <c r="C1326" s="22" t="str">
        <f>1/'EQUITY BACKTEST'!E1329</f>
        <v>#DIV/0!</v>
      </c>
      <c r="D1326" s="22" t="str">
        <f t="shared" si="7"/>
        <v>#DIV/0!</v>
      </c>
      <c r="E1326" s="22" t="str">
        <f t="shared" si="3"/>
        <v/>
      </c>
      <c r="F1326" s="22" t="str">
        <f t="shared" si="6"/>
        <v>#DIV/0!</v>
      </c>
      <c r="H1326" s="22" t="str">
        <f t="shared" si="4"/>
        <v/>
      </c>
      <c r="I1326" s="22" t="str">
        <f t="shared" si="1"/>
        <v>#N/A</v>
      </c>
      <c r="J1326" s="22" t="str">
        <f t="shared" si="2"/>
        <v>#N/A</v>
      </c>
      <c r="K1326" s="22" t="str">
        <f t="shared" si="8"/>
        <v>#DIV/0!</v>
      </c>
    </row>
    <row r="1327" ht="15.75" customHeight="1">
      <c r="A1327" s="31" t="str">
        <f>'EQUITY BACKTEST'!A1330</f>
        <v/>
      </c>
      <c r="B1327" s="22" t="str">
        <f>'EQUITY BACKTEST'!B1330</f>
        <v/>
      </c>
      <c r="C1327" s="22" t="str">
        <f>1/'EQUITY BACKTEST'!E1330</f>
        <v>#DIV/0!</v>
      </c>
      <c r="D1327" s="22" t="str">
        <f t="shared" si="7"/>
        <v>#DIV/0!</v>
      </c>
      <c r="E1327" s="22" t="str">
        <f t="shared" si="3"/>
        <v/>
      </c>
      <c r="F1327" s="22" t="str">
        <f t="shared" si="6"/>
        <v>#DIV/0!</v>
      </c>
      <c r="H1327" s="22" t="str">
        <f t="shared" si="4"/>
        <v/>
      </c>
      <c r="I1327" s="22" t="str">
        <f t="shared" si="1"/>
        <v>#N/A</v>
      </c>
      <c r="J1327" s="22" t="str">
        <f t="shared" si="2"/>
        <v>#N/A</v>
      </c>
      <c r="K1327" s="22" t="str">
        <f t="shared" si="8"/>
        <v>#DIV/0!</v>
      </c>
    </row>
    <row r="1328" ht="15.75" customHeight="1">
      <c r="A1328" s="31" t="str">
        <f>'EQUITY BACKTEST'!A1331</f>
        <v/>
      </c>
      <c r="B1328" s="22" t="str">
        <f>'EQUITY BACKTEST'!B1331</f>
        <v/>
      </c>
      <c r="C1328" s="22" t="str">
        <f>1/'EQUITY BACKTEST'!E1331</f>
        <v>#DIV/0!</v>
      </c>
      <c r="D1328" s="22" t="str">
        <f t="shared" si="7"/>
        <v>#DIV/0!</v>
      </c>
      <c r="E1328" s="22" t="str">
        <f t="shared" si="3"/>
        <v/>
      </c>
      <c r="F1328" s="22" t="str">
        <f t="shared" si="6"/>
        <v>#DIV/0!</v>
      </c>
      <c r="H1328" s="22" t="str">
        <f t="shared" si="4"/>
        <v/>
      </c>
      <c r="I1328" s="22" t="str">
        <f t="shared" si="1"/>
        <v>#N/A</v>
      </c>
      <c r="J1328" s="22" t="str">
        <f t="shared" si="2"/>
        <v>#N/A</v>
      </c>
      <c r="K1328" s="22" t="str">
        <f t="shared" si="8"/>
        <v>#DIV/0!</v>
      </c>
    </row>
    <row r="1329" ht="15.75" customHeight="1">
      <c r="A1329" s="31" t="str">
        <f>'EQUITY BACKTEST'!A1332</f>
        <v/>
      </c>
      <c r="B1329" s="22" t="str">
        <f>'EQUITY BACKTEST'!B1332</f>
        <v/>
      </c>
      <c r="C1329" s="22" t="str">
        <f>1/'EQUITY BACKTEST'!E1332</f>
        <v>#DIV/0!</v>
      </c>
      <c r="D1329" s="22" t="str">
        <f t="shared" si="7"/>
        <v>#DIV/0!</v>
      </c>
      <c r="E1329" s="22" t="str">
        <f t="shared" si="3"/>
        <v/>
      </c>
      <c r="F1329" s="22" t="str">
        <f t="shared" si="6"/>
        <v>#DIV/0!</v>
      </c>
      <c r="H1329" s="22" t="str">
        <f t="shared" si="4"/>
        <v/>
      </c>
      <c r="I1329" s="22" t="str">
        <f t="shared" si="1"/>
        <v>#N/A</v>
      </c>
      <c r="J1329" s="22" t="str">
        <f t="shared" si="2"/>
        <v>#N/A</v>
      </c>
      <c r="K1329" s="22" t="str">
        <f t="shared" si="8"/>
        <v>#DIV/0!</v>
      </c>
    </row>
    <row r="1330" ht="15.75" customHeight="1">
      <c r="A1330" s="31" t="str">
        <f>'EQUITY BACKTEST'!A1333</f>
        <v/>
      </c>
      <c r="B1330" s="22" t="str">
        <f>'EQUITY BACKTEST'!B1333</f>
        <v/>
      </c>
      <c r="C1330" s="22" t="str">
        <f>1/'EQUITY BACKTEST'!E1333</f>
        <v>#DIV/0!</v>
      </c>
      <c r="D1330" s="22" t="str">
        <f t="shared" si="7"/>
        <v>#DIV/0!</v>
      </c>
      <c r="E1330" s="22" t="str">
        <f t="shared" si="3"/>
        <v/>
      </c>
      <c r="F1330" s="22" t="str">
        <f t="shared" si="6"/>
        <v>#DIV/0!</v>
      </c>
      <c r="H1330" s="22" t="str">
        <f t="shared" si="4"/>
        <v/>
      </c>
      <c r="I1330" s="22" t="str">
        <f t="shared" si="1"/>
        <v>#N/A</v>
      </c>
      <c r="J1330" s="22" t="str">
        <f t="shared" si="2"/>
        <v>#N/A</v>
      </c>
      <c r="K1330" s="22" t="str">
        <f t="shared" si="8"/>
        <v>#DIV/0!</v>
      </c>
    </row>
    <row r="1331" ht="15.75" customHeight="1">
      <c r="A1331" s="31" t="str">
        <f>'EQUITY BACKTEST'!A1334</f>
        <v/>
      </c>
      <c r="B1331" s="22" t="str">
        <f>'EQUITY BACKTEST'!B1334</f>
        <v/>
      </c>
      <c r="C1331" s="22" t="str">
        <f>1/'EQUITY BACKTEST'!E1334</f>
        <v>#DIV/0!</v>
      </c>
      <c r="D1331" s="22" t="str">
        <f t="shared" si="7"/>
        <v>#DIV/0!</v>
      </c>
      <c r="E1331" s="22" t="str">
        <f t="shared" si="3"/>
        <v/>
      </c>
      <c r="F1331" s="22" t="str">
        <f t="shared" si="6"/>
        <v>#DIV/0!</v>
      </c>
      <c r="H1331" s="22" t="str">
        <f t="shared" si="4"/>
        <v/>
      </c>
      <c r="I1331" s="22" t="str">
        <f t="shared" si="1"/>
        <v>#N/A</v>
      </c>
      <c r="J1331" s="22" t="str">
        <f t="shared" si="2"/>
        <v>#N/A</v>
      </c>
      <c r="K1331" s="22" t="str">
        <f t="shared" si="8"/>
        <v>#DIV/0!</v>
      </c>
    </row>
    <row r="1332" ht="15.75" customHeight="1">
      <c r="A1332" s="31" t="str">
        <f>'EQUITY BACKTEST'!A1335</f>
        <v/>
      </c>
      <c r="B1332" s="22" t="str">
        <f>'EQUITY BACKTEST'!B1335</f>
        <v/>
      </c>
      <c r="C1332" s="22" t="str">
        <f>1/'EQUITY BACKTEST'!E1335</f>
        <v>#DIV/0!</v>
      </c>
      <c r="D1332" s="22" t="str">
        <f t="shared" si="7"/>
        <v>#DIV/0!</v>
      </c>
      <c r="E1332" s="22" t="str">
        <f t="shared" si="3"/>
        <v/>
      </c>
      <c r="F1332" s="22" t="str">
        <f t="shared" si="6"/>
        <v>#DIV/0!</v>
      </c>
      <c r="H1332" s="22" t="str">
        <f t="shared" si="4"/>
        <v/>
      </c>
      <c r="I1332" s="22" t="str">
        <f t="shared" si="1"/>
        <v>#N/A</v>
      </c>
      <c r="J1332" s="22" t="str">
        <f t="shared" si="2"/>
        <v>#N/A</v>
      </c>
      <c r="K1332" s="22" t="str">
        <f t="shared" si="8"/>
        <v>#DIV/0!</v>
      </c>
    </row>
    <row r="1333" ht="15.75" customHeight="1">
      <c r="A1333" s="31" t="str">
        <f>'EQUITY BACKTEST'!A1336</f>
        <v/>
      </c>
      <c r="B1333" s="22" t="str">
        <f>'EQUITY BACKTEST'!B1336</f>
        <v/>
      </c>
      <c r="C1333" s="22" t="str">
        <f>1/'EQUITY BACKTEST'!E1336</f>
        <v>#DIV/0!</v>
      </c>
      <c r="D1333" s="22" t="str">
        <f t="shared" si="7"/>
        <v>#DIV/0!</v>
      </c>
      <c r="E1333" s="22" t="str">
        <f t="shared" si="3"/>
        <v/>
      </c>
      <c r="F1333" s="22" t="str">
        <f t="shared" si="6"/>
        <v>#DIV/0!</v>
      </c>
      <c r="H1333" s="22" t="str">
        <f t="shared" si="4"/>
        <v/>
      </c>
      <c r="I1333" s="22" t="str">
        <f t="shared" si="1"/>
        <v>#N/A</v>
      </c>
      <c r="J1333" s="22" t="str">
        <f t="shared" si="2"/>
        <v>#N/A</v>
      </c>
      <c r="K1333" s="22" t="str">
        <f t="shared" si="8"/>
        <v>#DIV/0!</v>
      </c>
    </row>
    <row r="1334" ht="15.75" customHeight="1">
      <c r="A1334" s="31" t="str">
        <f>'EQUITY BACKTEST'!A1337</f>
        <v/>
      </c>
      <c r="B1334" s="22" t="str">
        <f>'EQUITY BACKTEST'!B1337</f>
        <v/>
      </c>
      <c r="C1334" s="22" t="str">
        <f>1/'EQUITY BACKTEST'!E1337</f>
        <v>#DIV/0!</v>
      </c>
      <c r="D1334" s="22" t="str">
        <f t="shared" si="7"/>
        <v>#DIV/0!</v>
      </c>
      <c r="E1334" s="22" t="str">
        <f t="shared" si="3"/>
        <v/>
      </c>
      <c r="F1334" s="22" t="str">
        <f t="shared" si="6"/>
        <v>#DIV/0!</v>
      </c>
      <c r="H1334" s="22" t="str">
        <f t="shared" si="4"/>
        <v/>
      </c>
      <c r="I1334" s="22" t="str">
        <f t="shared" si="1"/>
        <v>#N/A</v>
      </c>
      <c r="J1334" s="22" t="str">
        <f t="shared" si="2"/>
        <v>#N/A</v>
      </c>
      <c r="K1334" s="22" t="str">
        <f t="shared" si="8"/>
        <v>#DIV/0!</v>
      </c>
    </row>
    <row r="1335" ht="15.75" customHeight="1">
      <c r="A1335" s="31" t="str">
        <f>'EQUITY BACKTEST'!A1338</f>
        <v/>
      </c>
      <c r="B1335" s="22" t="str">
        <f>'EQUITY BACKTEST'!B1338</f>
        <v/>
      </c>
      <c r="C1335" s="22" t="str">
        <f>1/'EQUITY BACKTEST'!E1338</f>
        <v>#DIV/0!</v>
      </c>
      <c r="D1335" s="22" t="str">
        <f t="shared" si="7"/>
        <v>#DIV/0!</v>
      </c>
      <c r="E1335" s="22" t="str">
        <f t="shared" si="3"/>
        <v/>
      </c>
      <c r="F1335" s="22" t="str">
        <f t="shared" si="6"/>
        <v>#DIV/0!</v>
      </c>
      <c r="H1335" s="22" t="str">
        <f t="shared" si="4"/>
        <v/>
      </c>
      <c r="I1335" s="22" t="str">
        <f t="shared" si="1"/>
        <v>#N/A</v>
      </c>
      <c r="J1335" s="22" t="str">
        <f t="shared" si="2"/>
        <v>#N/A</v>
      </c>
      <c r="K1335" s="22" t="str">
        <f t="shared" si="8"/>
        <v>#DIV/0!</v>
      </c>
    </row>
    <row r="1336" ht="15.75" customHeight="1">
      <c r="A1336" s="31" t="str">
        <f>'EQUITY BACKTEST'!A1339</f>
        <v/>
      </c>
      <c r="B1336" s="22" t="str">
        <f>'EQUITY BACKTEST'!B1339</f>
        <v/>
      </c>
      <c r="C1336" s="22" t="str">
        <f>1/'EQUITY BACKTEST'!E1339</f>
        <v>#DIV/0!</v>
      </c>
      <c r="D1336" s="22" t="str">
        <f t="shared" si="7"/>
        <v>#DIV/0!</v>
      </c>
      <c r="E1336" s="22" t="str">
        <f t="shared" si="3"/>
        <v/>
      </c>
      <c r="F1336" s="22" t="str">
        <f t="shared" si="6"/>
        <v>#DIV/0!</v>
      </c>
      <c r="H1336" s="22" t="str">
        <f t="shared" si="4"/>
        <v/>
      </c>
      <c r="I1336" s="22" t="str">
        <f t="shared" si="1"/>
        <v>#N/A</v>
      </c>
      <c r="J1336" s="22" t="str">
        <f t="shared" si="2"/>
        <v>#N/A</v>
      </c>
      <c r="K1336" s="22" t="str">
        <f t="shared" si="8"/>
        <v>#DIV/0!</v>
      </c>
    </row>
    <row r="1337" ht="15.75" customHeight="1">
      <c r="A1337" s="31" t="str">
        <f>'EQUITY BACKTEST'!A1340</f>
        <v/>
      </c>
      <c r="B1337" s="22" t="str">
        <f>'EQUITY BACKTEST'!B1340</f>
        <v/>
      </c>
      <c r="C1337" s="22" t="str">
        <f>1/'EQUITY BACKTEST'!E1340</f>
        <v>#DIV/0!</v>
      </c>
      <c r="D1337" s="22" t="str">
        <f t="shared" si="7"/>
        <v>#DIV/0!</v>
      </c>
      <c r="E1337" s="22" t="str">
        <f t="shared" si="3"/>
        <v/>
      </c>
      <c r="F1337" s="22" t="str">
        <f t="shared" si="6"/>
        <v>#DIV/0!</v>
      </c>
      <c r="H1337" s="22" t="str">
        <f t="shared" si="4"/>
        <v/>
      </c>
      <c r="I1337" s="22" t="str">
        <f t="shared" si="1"/>
        <v>#N/A</v>
      </c>
      <c r="J1337" s="22" t="str">
        <f t="shared" si="2"/>
        <v>#N/A</v>
      </c>
      <c r="K1337" s="22" t="str">
        <f t="shared" si="8"/>
        <v>#DIV/0!</v>
      </c>
    </row>
    <row r="1338" ht="15.75" customHeight="1">
      <c r="A1338" s="31" t="str">
        <f>'EQUITY BACKTEST'!A1341</f>
        <v/>
      </c>
      <c r="B1338" s="22" t="str">
        <f>'EQUITY BACKTEST'!B1341</f>
        <v/>
      </c>
      <c r="C1338" s="22" t="str">
        <f>1/'EQUITY BACKTEST'!E1341</f>
        <v>#DIV/0!</v>
      </c>
      <c r="D1338" s="22" t="str">
        <f t="shared" si="7"/>
        <v>#DIV/0!</v>
      </c>
      <c r="E1338" s="22" t="str">
        <f t="shared" si="3"/>
        <v/>
      </c>
      <c r="F1338" s="22" t="str">
        <f t="shared" si="6"/>
        <v>#DIV/0!</v>
      </c>
      <c r="H1338" s="22" t="str">
        <f t="shared" si="4"/>
        <v/>
      </c>
      <c r="I1338" s="22" t="str">
        <f t="shared" si="1"/>
        <v>#N/A</v>
      </c>
      <c r="J1338" s="22" t="str">
        <f t="shared" si="2"/>
        <v>#N/A</v>
      </c>
      <c r="K1338" s="22" t="str">
        <f t="shared" si="8"/>
        <v>#DIV/0!</v>
      </c>
    </row>
    <row r="1339" ht="15.75" customHeight="1">
      <c r="A1339" s="31" t="str">
        <f>'EQUITY BACKTEST'!A1342</f>
        <v/>
      </c>
      <c r="B1339" s="22" t="str">
        <f>'EQUITY BACKTEST'!B1342</f>
        <v/>
      </c>
      <c r="C1339" s="22" t="str">
        <f>1/'EQUITY BACKTEST'!E1342</f>
        <v>#DIV/0!</v>
      </c>
      <c r="D1339" s="22" t="str">
        <f t="shared" si="7"/>
        <v>#DIV/0!</v>
      </c>
      <c r="E1339" s="22" t="str">
        <f t="shared" si="3"/>
        <v/>
      </c>
      <c r="F1339" s="22" t="str">
        <f t="shared" si="6"/>
        <v>#DIV/0!</v>
      </c>
      <c r="H1339" s="22" t="str">
        <f t="shared" si="4"/>
        <v/>
      </c>
      <c r="I1339" s="22" t="str">
        <f t="shared" si="1"/>
        <v>#N/A</v>
      </c>
      <c r="J1339" s="22" t="str">
        <f t="shared" si="2"/>
        <v>#N/A</v>
      </c>
      <c r="K1339" s="22" t="str">
        <f t="shared" si="8"/>
        <v>#DIV/0!</v>
      </c>
    </row>
    <row r="1340" ht="15.75" customHeight="1">
      <c r="A1340" s="31" t="str">
        <f>'EQUITY BACKTEST'!A1343</f>
        <v/>
      </c>
      <c r="B1340" s="22" t="str">
        <f>'EQUITY BACKTEST'!B1343</f>
        <v/>
      </c>
      <c r="C1340" s="22" t="str">
        <f>1/'EQUITY BACKTEST'!E1343</f>
        <v>#DIV/0!</v>
      </c>
      <c r="D1340" s="22" t="str">
        <f t="shared" si="7"/>
        <v>#DIV/0!</v>
      </c>
      <c r="E1340" s="22" t="str">
        <f t="shared" si="3"/>
        <v/>
      </c>
      <c r="F1340" s="22" t="str">
        <f t="shared" si="6"/>
        <v>#DIV/0!</v>
      </c>
      <c r="H1340" s="22" t="str">
        <f t="shared" si="4"/>
        <v/>
      </c>
      <c r="I1340" s="22" t="str">
        <f t="shared" si="1"/>
        <v>#N/A</v>
      </c>
      <c r="J1340" s="22" t="str">
        <f t="shared" si="2"/>
        <v>#N/A</v>
      </c>
      <c r="K1340" s="22" t="str">
        <f t="shared" si="8"/>
        <v>#DIV/0!</v>
      </c>
    </row>
    <row r="1341" ht="15.75" customHeight="1">
      <c r="A1341" s="31" t="str">
        <f>'EQUITY BACKTEST'!A1344</f>
        <v/>
      </c>
      <c r="B1341" s="22" t="str">
        <f>'EQUITY BACKTEST'!B1344</f>
        <v/>
      </c>
      <c r="C1341" s="22" t="str">
        <f>1/'EQUITY BACKTEST'!E1344</f>
        <v>#DIV/0!</v>
      </c>
      <c r="D1341" s="22" t="str">
        <f t="shared" si="7"/>
        <v>#DIV/0!</v>
      </c>
      <c r="E1341" s="22" t="str">
        <f t="shared" si="3"/>
        <v/>
      </c>
      <c r="F1341" s="22" t="str">
        <f t="shared" si="6"/>
        <v>#DIV/0!</v>
      </c>
      <c r="H1341" s="22" t="str">
        <f t="shared" si="4"/>
        <v/>
      </c>
      <c r="I1341" s="22" t="str">
        <f t="shared" si="1"/>
        <v>#N/A</v>
      </c>
      <c r="J1341" s="22" t="str">
        <f t="shared" si="2"/>
        <v>#N/A</v>
      </c>
      <c r="K1341" s="22" t="str">
        <f t="shared" si="8"/>
        <v>#DIV/0!</v>
      </c>
    </row>
    <row r="1342" ht="15.75" customHeight="1">
      <c r="A1342" s="31" t="str">
        <f>'EQUITY BACKTEST'!A1345</f>
        <v/>
      </c>
      <c r="B1342" s="22" t="str">
        <f>'EQUITY BACKTEST'!B1345</f>
        <v/>
      </c>
      <c r="C1342" s="22" t="str">
        <f>1/'EQUITY BACKTEST'!E1345</f>
        <v>#DIV/0!</v>
      </c>
      <c r="D1342" s="22" t="str">
        <f t="shared" si="7"/>
        <v>#DIV/0!</v>
      </c>
      <c r="E1342" s="22" t="str">
        <f t="shared" si="3"/>
        <v/>
      </c>
      <c r="F1342" s="22" t="str">
        <f t="shared" si="6"/>
        <v>#DIV/0!</v>
      </c>
      <c r="H1342" s="22" t="str">
        <f t="shared" si="4"/>
        <v/>
      </c>
      <c r="I1342" s="22" t="str">
        <f t="shared" si="1"/>
        <v>#N/A</v>
      </c>
      <c r="J1342" s="22" t="str">
        <f t="shared" si="2"/>
        <v>#N/A</v>
      </c>
      <c r="K1342" s="22" t="str">
        <f t="shared" si="8"/>
        <v>#DIV/0!</v>
      </c>
    </row>
    <row r="1343" ht="15.75" customHeight="1">
      <c r="A1343" s="31" t="str">
        <f>'EQUITY BACKTEST'!A1346</f>
        <v/>
      </c>
      <c r="B1343" s="22" t="str">
        <f>'EQUITY BACKTEST'!B1346</f>
        <v/>
      </c>
      <c r="C1343" s="22" t="str">
        <f>1/'EQUITY BACKTEST'!E1346</f>
        <v>#DIV/0!</v>
      </c>
      <c r="D1343" s="22" t="str">
        <f t="shared" si="7"/>
        <v>#DIV/0!</v>
      </c>
      <c r="E1343" s="22" t="str">
        <f t="shared" si="3"/>
        <v/>
      </c>
      <c r="F1343" s="22" t="str">
        <f t="shared" si="6"/>
        <v>#DIV/0!</v>
      </c>
      <c r="H1343" s="22" t="str">
        <f t="shared" si="4"/>
        <v/>
      </c>
      <c r="I1343" s="22" t="str">
        <f t="shared" si="1"/>
        <v>#N/A</v>
      </c>
      <c r="J1343" s="22" t="str">
        <f t="shared" si="2"/>
        <v>#N/A</v>
      </c>
      <c r="K1343" s="22" t="str">
        <f t="shared" si="8"/>
        <v/>
      </c>
    </row>
    <row r="1344" ht="15.75" customHeight="1">
      <c r="A1344" s="31" t="str">
        <f>'EQUITY BACKTEST'!A1347</f>
        <v/>
      </c>
      <c r="B1344" s="22" t="str">
        <f>'EQUITY BACKTEST'!B1347</f>
        <v/>
      </c>
      <c r="C1344" s="22" t="str">
        <f>'EQUITY BACKTEST'!E1347</f>
        <v/>
      </c>
      <c r="I1344" s="22" t="str">
        <f t="shared" si="1"/>
        <v>#N/A</v>
      </c>
      <c r="J1344" s="22" t="str">
        <f t="shared" si="2"/>
        <v>#N/A</v>
      </c>
      <c r="K1344" s="22" t="str">
        <f t="shared" si="8"/>
        <v/>
      </c>
    </row>
    <row r="1345" ht="15.75" customHeight="1">
      <c r="A1345" s="31" t="str">
        <f>'EQUITY BACKTEST'!A1348</f>
        <v/>
      </c>
      <c r="B1345" s="22" t="str">
        <f>'EQUITY BACKTEST'!B1348</f>
        <v/>
      </c>
      <c r="C1345" s="22" t="str">
        <f>'EQUITY BACKTEST'!E1348</f>
        <v/>
      </c>
      <c r="I1345" s="22" t="str">
        <f t="shared" si="1"/>
        <v>#N/A</v>
      </c>
      <c r="J1345" s="22" t="str">
        <f t="shared" si="2"/>
        <v>#N/A</v>
      </c>
      <c r="K1345" s="22" t="str">
        <f t="shared" si="8"/>
        <v/>
      </c>
    </row>
    <row r="1346" ht="15.75" customHeight="1">
      <c r="A1346" s="31" t="str">
        <f>'EQUITY BACKTEST'!A1349</f>
        <v/>
      </c>
      <c r="B1346" s="22" t="str">
        <f>'EQUITY BACKTEST'!B1349</f>
        <v/>
      </c>
      <c r="C1346" s="22" t="str">
        <f>'EQUITY BACKTEST'!E1349</f>
        <v/>
      </c>
      <c r="I1346" s="22" t="str">
        <f t="shared" si="1"/>
        <v>#N/A</v>
      </c>
      <c r="J1346" s="22" t="str">
        <f t="shared" si="2"/>
        <v>#N/A</v>
      </c>
      <c r="K1346" s="22" t="str">
        <f t="shared" si="8"/>
        <v/>
      </c>
    </row>
    <row r="1347" ht="15.75" customHeight="1">
      <c r="A1347" s="31" t="str">
        <f>'EQUITY BACKTEST'!A1350</f>
        <v/>
      </c>
      <c r="B1347" s="22" t="str">
        <f>'EQUITY BACKTEST'!B1350</f>
        <v/>
      </c>
      <c r="C1347" s="22" t="str">
        <f>'EQUITY BACKTEST'!E1350</f>
        <v/>
      </c>
      <c r="I1347" s="22" t="str">
        <f t="shared" si="1"/>
        <v>#N/A</v>
      </c>
      <c r="J1347" s="22" t="str">
        <f t="shared" si="2"/>
        <v>#N/A</v>
      </c>
      <c r="K1347" s="22" t="str">
        <f t="shared" si="8"/>
        <v/>
      </c>
    </row>
    <row r="1348" ht="15.75" customHeight="1">
      <c r="A1348" s="31" t="str">
        <f>'EQUITY BACKTEST'!A1351</f>
        <v/>
      </c>
      <c r="B1348" s="22" t="str">
        <f>'EQUITY BACKTEST'!B1351</f>
        <v/>
      </c>
      <c r="C1348" s="22" t="str">
        <f>'EQUITY BACKTEST'!E1351</f>
        <v/>
      </c>
      <c r="I1348" s="22" t="str">
        <f t="shared" si="1"/>
        <v>#N/A</v>
      </c>
      <c r="J1348" s="22" t="str">
        <f t="shared" si="2"/>
        <v>#N/A</v>
      </c>
      <c r="K1348" s="22" t="str">
        <f t="shared" si="8"/>
        <v/>
      </c>
    </row>
    <row r="1349" ht="15.75" customHeight="1">
      <c r="A1349" s="31" t="str">
        <f>'EQUITY BACKTEST'!A1352</f>
        <v/>
      </c>
      <c r="B1349" s="22" t="str">
        <f>'EQUITY BACKTEST'!B1352</f>
        <v/>
      </c>
      <c r="C1349" s="22" t="str">
        <f>'EQUITY BACKTEST'!E1352</f>
        <v/>
      </c>
      <c r="I1349" s="22" t="str">
        <f t="shared" si="1"/>
        <v>#N/A</v>
      </c>
      <c r="J1349" s="22" t="str">
        <f t="shared" si="2"/>
        <v>#N/A</v>
      </c>
      <c r="K1349" s="22" t="str">
        <f t="shared" si="8"/>
        <v/>
      </c>
    </row>
    <row r="1350" ht="15.75" customHeight="1">
      <c r="A1350" s="31" t="str">
        <f>'EQUITY BACKTEST'!A1353</f>
        <v/>
      </c>
      <c r="B1350" s="22" t="str">
        <f>'EQUITY BACKTEST'!B1353</f>
        <v/>
      </c>
      <c r="C1350" s="22" t="str">
        <f>'EQUITY BACKTEST'!E1353</f>
        <v/>
      </c>
      <c r="I1350" s="22" t="str">
        <f t="shared" si="1"/>
        <v>#N/A</v>
      </c>
      <c r="J1350" s="22" t="str">
        <f t="shared" si="2"/>
        <v>#N/A</v>
      </c>
      <c r="K1350" s="22" t="str">
        <f t="shared" si="8"/>
        <v/>
      </c>
    </row>
    <row r="1351" ht="15.75" customHeight="1">
      <c r="A1351" s="31" t="str">
        <f>'EQUITY BACKTEST'!A1354</f>
        <v/>
      </c>
      <c r="B1351" s="22" t="str">
        <f>'EQUITY BACKTEST'!B1354</f>
        <v/>
      </c>
      <c r="C1351" s="22" t="str">
        <f>'EQUITY BACKTEST'!E1354</f>
        <v/>
      </c>
      <c r="I1351" s="22" t="str">
        <f t="shared" si="1"/>
        <v>#N/A</v>
      </c>
      <c r="J1351" s="22" t="str">
        <f t="shared" si="2"/>
        <v>#N/A</v>
      </c>
      <c r="K1351" s="22" t="str">
        <f t="shared" si="8"/>
        <v/>
      </c>
    </row>
    <row r="1352" ht="15.75" customHeight="1">
      <c r="A1352" s="31" t="str">
        <f>'EQUITY BACKTEST'!A1355</f>
        <v/>
      </c>
      <c r="B1352" s="22" t="str">
        <f>'EQUITY BACKTEST'!B1355</f>
        <v/>
      </c>
      <c r="C1352" s="22" t="str">
        <f>'EQUITY BACKTEST'!E1355</f>
        <v/>
      </c>
      <c r="I1352" s="22" t="str">
        <f t="shared" si="1"/>
        <v>#N/A</v>
      </c>
      <c r="J1352" s="22" t="str">
        <f t="shared" si="2"/>
        <v>#N/A</v>
      </c>
      <c r="K1352" s="22" t="str">
        <f t="shared" si="8"/>
        <v/>
      </c>
    </row>
    <row r="1353" ht="15.75" customHeight="1">
      <c r="A1353" s="31" t="str">
        <f>'EQUITY BACKTEST'!A1356</f>
        <v/>
      </c>
      <c r="B1353" s="22" t="str">
        <f>'EQUITY BACKTEST'!B1356</f>
        <v/>
      </c>
      <c r="C1353" s="22" t="str">
        <f>'EQUITY BACKTEST'!E1356</f>
        <v/>
      </c>
      <c r="I1353" s="22" t="str">
        <f t="shared" si="1"/>
        <v>#N/A</v>
      </c>
      <c r="J1353" s="22" t="str">
        <f t="shared" si="2"/>
        <v>#N/A</v>
      </c>
      <c r="K1353" s="22" t="str">
        <f t="shared" si="8"/>
        <v/>
      </c>
    </row>
    <row r="1354" ht="15.75" customHeight="1">
      <c r="A1354" s="31" t="str">
        <f>'EQUITY BACKTEST'!A1357</f>
        <v/>
      </c>
      <c r="B1354" s="22" t="str">
        <f>'EQUITY BACKTEST'!B1357</f>
        <v/>
      </c>
      <c r="C1354" s="22" t="str">
        <f>'EQUITY BACKTEST'!E1357</f>
        <v/>
      </c>
      <c r="I1354" s="22" t="str">
        <f t="shared" si="1"/>
        <v>#N/A</v>
      </c>
      <c r="J1354" s="22" t="str">
        <f t="shared" si="2"/>
        <v>#N/A</v>
      </c>
      <c r="K1354" s="22" t="str">
        <f t="shared" si="8"/>
        <v/>
      </c>
    </row>
    <row r="1355" ht="15.75" customHeight="1">
      <c r="A1355" s="31" t="str">
        <f>'EQUITY BACKTEST'!A1358</f>
        <v/>
      </c>
      <c r="B1355" s="22" t="str">
        <f>'EQUITY BACKTEST'!B1358</f>
        <v/>
      </c>
      <c r="C1355" s="22" t="str">
        <f>'EQUITY BACKTEST'!E1358</f>
        <v/>
      </c>
      <c r="I1355" s="22" t="str">
        <f t="shared" si="1"/>
        <v>#N/A</v>
      </c>
      <c r="J1355" s="22" t="str">
        <f t="shared" si="2"/>
        <v>#N/A</v>
      </c>
      <c r="K1355" s="22" t="str">
        <f t="shared" si="8"/>
        <v/>
      </c>
    </row>
    <row r="1356" ht="15.75" customHeight="1">
      <c r="A1356" s="31" t="str">
        <f>'EQUITY BACKTEST'!A1359</f>
        <v/>
      </c>
      <c r="B1356" s="22" t="str">
        <f>'EQUITY BACKTEST'!B1359</f>
        <v/>
      </c>
      <c r="C1356" s="22" t="str">
        <f>'EQUITY BACKTEST'!E1359</f>
        <v/>
      </c>
      <c r="I1356" s="22" t="str">
        <f t="shared" si="1"/>
        <v>#N/A</v>
      </c>
      <c r="J1356" s="22" t="str">
        <f t="shared" si="2"/>
        <v>#N/A</v>
      </c>
      <c r="K1356" s="22" t="str">
        <f t="shared" si="8"/>
        <v/>
      </c>
    </row>
    <row r="1357" ht="15.75" customHeight="1">
      <c r="A1357" s="31" t="str">
        <f>'EQUITY BACKTEST'!A1360</f>
        <v/>
      </c>
      <c r="B1357" s="22" t="str">
        <f>'EQUITY BACKTEST'!B1360</f>
        <v/>
      </c>
      <c r="C1357" s="22" t="str">
        <f>'EQUITY BACKTEST'!E1360</f>
        <v/>
      </c>
      <c r="I1357" s="22" t="str">
        <f t="shared" si="1"/>
        <v>#N/A</v>
      </c>
      <c r="J1357" s="22" t="str">
        <f t="shared" si="2"/>
        <v>#N/A</v>
      </c>
      <c r="K1357" s="22" t="str">
        <f t="shared" si="8"/>
        <v/>
      </c>
    </row>
    <row r="1358" ht="15.75" customHeight="1">
      <c r="A1358" s="31" t="str">
        <f>'EQUITY BACKTEST'!A1361</f>
        <v/>
      </c>
      <c r="B1358" s="22" t="str">
        <f>'EQUITY BACKTEST'!B1361</f>
        <v/>
      </c>
      <c r="C1358" s="22" t="str">
        <f>'EQUITY BACKTEST'!E1361</f>
        <v/>
      </c>
      <c r="I1358" s="22" t="str">
        <f t="shared" si="1"/>
        <v>#N/A</v>
      </c>
      <c r="J1358" s="22" t="str">
        <f t="shared" si="2"/>
        <v>#N/A</v>
      </c>
      <c r="K1358" s="22" t="str">
        <f t="shared" si="8"/>
        <v/>
      </c>
    </row>
    <row r="1359" ht="15.75" customHeight="1">
      <c r="A1359" s="31" t="str">
        <f>'EQUITY BACKTEST'!A1362</f>
        <v/>
      </c>
      <c r="B1359" s="22" t="str">
        <f>'EQUITY BACKTEST'!B1362</f>
        <v/>
      </c>
      <c r="C1359" s="22" t="str">
        <f>'EQUITY BACKTEST'!E1362</f>
        <v/>
      </c>
      <c r="I1359" s="22" t="str">
        <f t="shared" si="1"/>
        <v>#N/A</v>
      </c>
      <c r="J1359" s="22" t="str">
        <f t="shared" si="2"/>
        <v>#N/A</v>
      </c>
      <c r="K1359" s="22" t="str">
        <f t="shared" si="8"/>
        <v/>
      </c>
    </row>
    <row r="1360" ht="15.75" customHeight="1">
      <c r="A1360" s="31" t="str">
        <f>'EQUITY BACKTEST'!A1363</f>
        <v/>
      </c>
      <c r="B1360" s="22" t="str">
        <f>'EQUITY BACKTEST'!B1363</f>
        <v/>
      </c>
      <c r="C1360" s="22" t="str">
        <f>'EQUITY BACKTEST'!E1363</f>
        <v/>
      </c>
      <c r="I1360" s="22" t="str">
        <f t="shared" si="1"/>
        <v>#N/A</v>
      </c>
      <c r="J1360" s="22" t="str">
        <f t="shared" si="2"/>
        <v>#N/A</v>
      </c>
      <c r="K1360" s="22" t="str">
        <f t="shared" si="8"/>
        <v/>
      </c>
    </row>
    <row r="1361" ht="15.75" customHeight="1">
      <c r="A1361" s="31" t="str">
        <f>'EQUITY BACKTEST'!A1364</f>
        <v/>
      </c>
      <c r="B1361" s="22" t="str">
        <f>'EQUITY BACKTEST'!B1364</f>
        <v/>
      </c>
      <c r="C1361" s="22" t="str">
        <f>'EQUITY BACKTEST'!E1364</f>
        <v/>
      </c>
      <c r="I1361" s="22" t="str">
        <f t="shared" si="1"/>
        <v>#N/A</v>
      </c>
      <c r="J1361" s="22" t="str">
        <f t="shared" si="2"/>
        <v>#N/A</v>
      </c>
      <c r="K1361" s="22" t="str">
        <f t="shared" si="8"/>
        <v/>
      </c>
    </row>
    <row r="1362" ht="15.75" customHeight="1">
      <c r="A1362" s="31" t="str">
        <f>'EQUITY BACKTEST'!A1365</f>
        <v/>
      </c>
      <c r="B1362" s="22" t="str">
        <f>'EQUITY BACKTEST'!B1365</f>
        <v/>
      </c>
      <c r="C1362" s="22" t="str">
        <f>'EQUITY BACKTEST'!E1365</f>
        <v/>
      </c>
      <c r="I1362" s="22" t="str">
        <f t="shared" si="1"/>
        <v>#N/A</v>
      </c>
      <c r="J1362" s="22" t="str">
        <f t="shared" si="2"/>
        <v>#N/A</v>
      </c>
      <c r="K1362" s="22" t="str">
        <f t="shared" si="8"/>
        <v/>
      </c>
    </row>
    <row r="1363" ht="15.75" customHeight="1">
      <c r="A1363" s="31" t="str">
        <f>'EQUITY BACKTEST'!A1366</f>
        <v/>
      </c>
      <c r="B1363" s="22" t="str">
        <f>'EQUITY BACKTEST'!B1366</f>
        <v/>
      </c>
      <c r="C1363" s="22" t="str">
        <f>'EQUITY BACKTEST'!E1366</f>
        <v/>
      </c>
      <c r="I1363" s="22" t="str">
        <f t="shared" si="1"/>
        <v>#N/A</v>
      </c>
      <c r="J1363" s="22" t="str">
        <f t="shared" si="2"/>
        <v>#N/A</v>
      </c>
      <c r="K1363" s="22" t="str">
        <f t="shared" si="8"/>
        <v/>
      </c>
    </row>
    <row r="1364" ht="15.75" customHeight="1">
      <c r="A1364" s="31" t="str">
        <f>'EQUITY BACKTEST'!A1367</f>
        <v/>
      </c>
      <c r="B1364" s="22" t="str">
        <f>'EQUITY BACKTEST'!B1367</f>
        <v/>
      </c>
      <c r="C1364" s="22" t="str">
        <f>'EQUITY BACKTEST'!E1367</f>
        <v/>
      </c>
      <c r="I1364" s="22" t="str">
        <f t="shared" si="1"/>
        <v>#N/A</v>
      </c>
      <c r="J1364" s="22" t="str">
        <f t="shared" si="2"/>
        <v>#N/A</v>
      </c>
      <c r="K1364" s="22" t="str">
        <f t="shared" si="8"/>
        <v/>
      </c>
    </row>
    <row r="1365" ht="15.75" customHeight="1">
      <c r="A1365" s="31" t="str">
        <f>'EQUITY BACKTEST'!A1368</f>
        <v/>
      </c>
      <c r="B1365" s="22" t="str">
        <f>'EQUITY BACKTEST'!B1368</f>
        <v/>
      </c>
      <c r="C1365" s="22" t="str">
        <f>'EQUITY BACKTEST'!E1368</f>
        <v/>
      </c>
      <c r="I1365" s="22" t="str">
        <f t="shared" si="1"/>
        <v>#N/A</v>
      </c>
      <c r="J1365" s="22" t="str">
        <f t="shared" si="2"/>
        <v>#N/A</v>
      </c>
      <c r="K1365" s="22" t="str">
        <f t="shared" si="8"/>
        <v/>
      </c>
    </row>
    <row r="1366" ht="15.75" customHeight="1">
      <c r="A1366" s="31" t="str">
        <f>'EQUITY BACKTEST'!A1369</f>
        <v/>
      </c>
      <c r="B1366" s="22" t="str">
        <f>'EQUITY BACKTEST'!B1369</f>
        <v/>
      </c>
      <c r="C1366" s="22" t="str">
        <f>'EQUITY BACKTEST'!E1369</f>
        <v/>
      </c>
      <c r="I1366" s="22" t="str">
        <f t="shared" si="1"/>
        <v>#N/A</v>
      </c>
      <c r="J1366" s="22" t="str">
        <f t="shared" si="2"/>
        <v>#N/A</v>
      </c>
      <c r="K1366" s="22" t="str">
        <f t="shared" si="8"/>
        <v/>
      </c>
    </row>
    <row r="1367" ht="15.75" customHeight="1">
      <c r="A1367" s="31" t="str">
        <f>'EQUITY BACKTEST'!A1370</f>
        <v/>
      </c>
      <c r="B1367" s="22" t="str">
        <f>'EQUITY BACKTEST'!B1370</f>
        <v/>
      </c>
      <c r="C1367" s="22" t="str">
        <f>'EQUITY BACKTEST'!E1370</f>
        <v/>
      </c>
      <c r="I1367" s="22" t="str">
        <f t="shared" si="1"/>
        <v>#N/A</v>
      </c>
      <c r="J1367" s="22" t="str">
        <f t="shared" si="2"/>
        <v>#N/A</v>
      </c>
      <c r="K1367" s="22" t="str">
        <f t="shared" si="8"/>
        <v/>
      </c>
    </row>
    <row r="1368" ht="15.75" customHeight="1">
      <c r="A1368" s="31" t="str">
        <f>'EQUITY BACKTEST'!A1371</f>
        <v/>
      </c>
      <c r="B1368" s="22" t="str">
        <f>'EQUITY BACKTEST'!B1371</f>
        <v/>
      </c>
      <c r="C1368" s="22" t="str">
        <f>'EQUITY BACKTEST'!E1371</f>
        <v/>
      </c>
      <c r="I1368" s="22" t="str">
        <f t="shared" si="1"/>
        <v>#N/A</v>
      </c>
      <c r="J1368" s="22" t="str">
        <f t="shared" si="2"/>
        <v>#N/A</v>
      </c>
      <c r="K1368" s="22" t="str">
        <f t="shared" si="8"/>
        <v/>
      </c>
    </row>
    <row r="1369" ht="15.75" customHeight="1">
      <c r="A1369" s="31" t="str">
        <f>'EQUITY BACKTEST'!A1372</f>
        <v/>
      </c>
      <c r="B1369" s="22" t="str">
        <f>'EQUITY BACKTEST'!B1372</f>
        <v/>
      </c>
      <c r="C1369" s="22" t="str">
        <f>'EQUITY BACKTEST'!E1372</f>
        <v/>
      </c>
      <c r="I1369" s="22" t="str">
        <f t="shared" si="1"/>
        <v>#N/A</v>
      </c>
      <c r="J1369" s="22" t="str">
        <f t="shared" si="2"/>
        <v>#N/A</v>
      </c>
      <c r="K1369" s="22" t="str">
        <f t="shared" si="8"/>
        <v/>
      </c>
    </row>
    <row r="1370" ht="15.75" customHeight="1">
      <c r="A1370" s="31" t="str">
        <f>'EQUITY BACKTEST'!A1373</f>
        <v/>
      </c>
      <c r="B1370" s="22" t="str">
        <f>'EQUITY BACKTEST'!B1373</f>
        <v/>
      </c>
      <c r="C1370" s="22" t="str">
        <f>'EQUITY BACKTEST'!E1373</f>
        <v/>
      </c>
      <c r="I1370" s="22" t="str">
        <f t="shared" si="1"/>
        <v>#N/A</v>
      </c>
      <c r="J1370" s="22" t="str">
        <f t="shared" si="2"/>
        <v>#N/A</v>
      </c>
      <c r="K1370" s="22" t="str">
        <f t="shared" si="8"/>
        <v/>
      </c>
    </row>
    <row r="1371" ht="15.75" customHeight="1">
      <c r="A1371" s="31" t="str">
        <f>'EQUITY BACKTEST'!A1374</f>
        <v/>
      </c>
      <c r="B1371" s="22" t="str">
        <f>'EQUITY BACKTEST'!B1374</f>
        <v/>
      </c>
      <c r="C1371" s="22" t="str">
        <f>'EQUITY BACKTEST'!E1374</f>
        <v/>
      </c>
      <c r="I1371" s="22" t="str">
        <f t="shared" si="1"/>
        <v>#N/A</v>
      </c>
      <c r="J1371" s="22" t="str">
        <f t="shared" si="2"/>
        <v>#N/A</v>
      </c>
      <c r="K1371" s="22" t="str">
        <f t="shared" si="8"/>
        <v/>
      </c>
    </row>
    <row r="1372" ht="15.75" customHeight="1">
      <c r="A1372" s="31" t="str">
        <f>'EQUITY BACKTEST'!A1375</f>
        <v/>
      </c>
      <c r="B1372" s="22" t="str">
        <f>'EQUITY BACKTEST'!B1375</f>
        <v/>
      </c>
      <c r="C1372" s="22" t="str">
        <f>'EQUITY BACKTEST'!E1375</f>
        <v/>
      </c>
      <c r="I1372" s="22" t="str">
        <f t="shared" si="1"/>
        <v>#N/A</v>
      </c>
      <c r="J1372" s="22" t="str">
        <f t="shared" si="2"/>
        <v>#N/A</v>
      </c>
      <c r="K1372" s="22" t="str">
        <f t="shared" si="8"/>
        <v/>
      </c>
    </row>
    <row r="1373" ht="15.75" customHeight="1">
      <c r="A1373" s="31" t="str">
        <f>'EQUITY BACKTEST'!A1376</f>
        <v/>
      </c>
      <c r="B1373" s="22" t="str">
        <f>'EQUITY BACKTEST'!B1376</f>
        <v/>
      </c>
      <c r="C1373" s="22" t="str">
        <f>'EQUITY BACKTEST'!E1376</f>
        <v/>
      </c>
      <c r="I1373" s="22" t="str">
        <f t="shared" si="1"/>
        <v>#N/A</v>
      </c>
      <c r="J1373" s="22" t="str">
        <f t="shared" si="2"/>
        <v>#N/A</v>
      </c>
      <c r="K1373" s="22" t="str">
        <f t="shared" si="8"/>
        <v/>
      </c>
    </row>
    <row r="1374" ht="15.75" customHeight="1">
      <c r="A1374" s="31" t="str">
        <f>'EQUITY BACKTEST'!A1377</f>
        <v/>
      </c>
      <c r="B1374" s="22" t="str">
        <f>'EQUITY BACKTEST'!B1377</f>
        <v/>
      </c>
      <c r="C1374" s="22" t="str">
        <f>'EQUITY BACKTEST'!E1377</f>
        <v/>
      </c>
      <c r="I1374" s="22" t="str">
        <f t="shared" si="1"/>
        <v>#N/A</v>
      </c>
      <c r="J1374" s="22" t="str">
        <f t="shared" si="2"/>
        <v>#N/A</v>
      </c>
      <c r="K1374" s="22" t="str">
        <f t="shared" si="8"/>
        <v/>
      </c>
    </row>
    <row r="1375" ht="15.75" customHeight="1">
      <c r="A1375" s="31" t="str">
        <f>'EQUITY BACKTEST'!A1378</f>
        <v/>
      </c>
      <c r="B1375" s="22" t="str">
        <f>'EQUITY BACKTEST'!B1378</f>
        <v/>
      </c>
      <c r="C1375" s="22" t="str">
        <f>'EQUITY BACKTEST'!E1378</f>
        <v/>
      </c>
      <c r="I1375" s="22" t="str">
        <f t="shared" si="1"/>
        <v>#N/A</v>
      </c>
      <c r="J1375" s="22" t="str">
        <f t="shared" si="2"/>
        <v>#N/A</v>
      </c>
      <c r="K1375" s="22" t="str">
        <f t="shared" si="8"/>
        <v/>
      </c>
    </row>
    <row r="1376" ht="15.75" customHeight="1">
      <c r="A1376" s="31" t="str">
        <f>'EQUITY BACKTEST'!A1379</f>
        <v/>
      </c>
      <c r="B1376" s="22" t="str">
        <f>'EQUITY BACKTEST'!B1379</f>
        <v/>
      </c>
      <c r="C1376" s="22" t="str">
        <f>'EQUITY BACKTEST'!E1379</f>
        <v/>
      </c>
      <c r="I1376" s="22" t="str">
        <f t="shared" si="1"/>
        <v>#N/A</v>
      </c>
      <c r="J1376" s="22" t="str">
        <f t="shared" si="2"/>
        <v>#N/A</v>
      </c>
      <c r="K1376" s="22" t="str">
        <f t="shared" si="8"/>
        <v/>
      </c>
    </row>
    <row r="1377" ht="15.75" customHeight="1">
      <c r="A1377" s="31" t="str">
        <f>'EQUITY BACKTEST'!A1380</f>
        <v/>
      </c>
      <c r="B1377" s="22" t="str">
        <f>'EQUITY BACKTEST'!B1380</f>
        <v/>
      </c>
      <c r="C1377" s="22" t="str">
        <f>'EQUITY BACKTEST'!E1380</f>
        <v/>
      </c>
      <c r="I1377" s="22" t="str">
        <f t="shared" si="1"/>
        <v>#N/A</v>
      </c>
      <c r="J1377" s="22" t="str">
        <f t="shared" si="2"/>
        <v>#N/A</v>
      </c>
      <c r="K1377" s="22" t="str">
        <f t="shared" si="8"/>
        <v/>
      </c>
    </row>
    <row r="1378" ht="15.75" customHeight="1">
      <c r="A1378" s="31" t="str">
        <f>'EQUITY BACKTEST'!A1381</f>
        <v/>
      </c>
      <c r="B1378" s="22" t="str">
        <f>'EQUITY BACKTEST'!B1381</f>
        <v/>
      </c>
      <c r="C1378" s="22" t="str">
        <f>'EQUITY BACKTEST'!E1381</f>
        <v/>
      </c>
      <c r="I1378" s="22" t="str">
        <f t="shared" si="1"/>
        <v>#N/A</v>
      </c>
      <c r="J1378" s="22" t="str">
        <f t="shared" si="2"/>
        <v>#N/A</v>
      </c>
      <c r="K1378" s="22" t="str">
        <f t="shared" si="8"/>
        <v/>
      </c>
    </row>
    <row r="1379" ht="15.75" customHeight="1">
      <c r="A1379" s="31" t="str">
        <f>'EQUITY BACKTEST'!A1382</f>
        <v/>
      </c>
      <c r="B1379" s="22" t="str">
        <f>'EQUITY BACKTEST'!B1382</f>
        <v/>
      </c>
      <c r="C1379" s="22" t="str">
        <f>'EQUITY BACKTEST'!E1382</f>
        <v/>
      </c>
      <c r="I1379" s="22" t="str">
        <f t="shared" si="1"/>
        <v>#N/A</v>
      </c>
      <c r="J1379" s="22" t="str">
        <f t="shared" si="2"/>
        <v>#N/A</v>
      </c>
      <c r="K1379" s="22" t="str">
        <f t="shared" si="8"/>
        <v/>
      </c>
    </row>
    <row r="1380" ht="15.75" customHeight="1">
      <c r="A1380" s="31" t="str">
        <f>'EQUITY BACKTEST'!A1383</f>
        <v/>
      </c>
      <c r="B1380" s="22" t="str">
        <f>'EQUITY BACKTEST'!B1383</f>
        <v/>
      </c>
      <c r="C1380" s="22" t="str">
        <f>'EQUITY BACKTEST'!E1383</f>
        <v/>
      </c>
      <c r="I1380" s="22" t="str">
        <f t="shared" si="1"/>
        <v>#N/A</v>
      </c>
      <c r="J1380" s="22" t="str">
        <f t="shared" si="2"/>
        <v>#N/A</v>
      </c>
      <c r="K1380" s="22" t="str">
        <f t="shared" si="8"/>
        <v/>
      </c>
    </row>
    <row r="1381" ht="15.75" customHeight="1">
      <c r="A1381" s="31" t="str">
        <f>'EQUITY BACKTEST'!A1384</f>
        <v/>
      </c>
      <c r="B1381" s="22" t="str">
        <f>'EQUITY BACKTEST'!B1384</f>
        <v/>
      </c>
      <c r="C1381" s="22" t="str">
        <f>'EQUITY BACKTEST'!E1384</f>
        <v/>
      </c>
      <c r="I1381" s="22" t="str">
        <f t="shared" si="1"/>
        <v>#N/A</v>
      </c>
      <c r="J1381" s="22" t="str">
        <f t="shared" si="2"/>
        <v>#N/A</v>
      </c>
      <c r="K1381" s="22" t="str">
        <f t="shared" si="8"/>
        <v/>
      </c>
    </row>
    <row r="1382" ht="15.75" customHeight="1">
      <c r="A1382" s="31" t="str">
        <f>'EQUITY BACKTEST'!A1385</f>
        <v/>
      </c>
      <c r="B1382" s="22" t="str">
        <f>'EQUITY BACKTEST'!B1385</f>
        <v/>
      </c>
      <c r="C1382" s="22" t="str">
        <f>'EQUITY BACKTEST'!E1385</f>
        <v/>
      </c>
      <c r="I1382" s="22" t="str">
        <f t="shared" si="1"/>
        <v>#N/A</v>
      </c>
      <c r="J1382" s="22" t="str">
        <f t="shared" si="2"/>
        <v>#N/A</v>
      </c>
      <c r="K1382" s="22" t="str">
        <f t="shared" si="8"/>
        <v/>
      </c>
    </row>
    <row r="1383" ht="15.75" customHeight="1">
      <c r="A1383" s="31" t="str">
        <f>'EQUITY BACKTEST'!A1386</f>
        <v/>
      </c>
      <c r="B1383" s="22" t="str">
        <f>'EQUITY BACKTEST'!B1386</f>
        <v/>
      </c>
      <c r="C1383" s="22" t="str">
        <f>'EQUITY BACKTEST'!E1386</f>
        <v/>
      </c>
      <c r="I1383" s="22" t="str">
        <f t="shared" si="1"/>
        <v>#N/A</v>
      </c>
      <c r="J1383" s="22" t="str">
        <f t="shared" si="2"/>
        <v>#N/A</v>
      </c>
      <c r="K1383" s="22" t="str">
        <f t="shared" si="8"/>
        <v/>
      </c>
    </row>
    <row r="1384" ht="15.75" customHeight="1">
      <c r="A1384" s="31" t="str">
        <f>'EQUITY BACKTEST'!A1387</f>
        <v/>
      </c>
      <c r="B1384" s="22" t="str">
        <f>'EQUITY BACKTEST'!B1387</f>
        <v/>
      </c>
      <c r="C1384" s="22" t="str">
        <f>'EQUITY BACKTEST'!E1387</f>
        <v/>
      </c>
      <c r="I1384" s="22" t="str">
        <f t="shared" si="1"/>
        <v>#N/A</v>
      </c>
      <c r="J1384" s="22" t="str">
        <f t="shared" si="2"/>
        <v>#N/A</v>
      </c>
      <c r="K1384" s="22" t="str">
        <f t="shared" si="8"/>
        <v/>
      </c>
    </row>
    <row r="1385" ht="15.75" customHeight="1">
      <c r="A1385" s="31" t="str">
        <f>'EQUITY BACKTEST'!A1388</f>
        <v/>
      </c>
      <c r="B1385" s="22" t="str">
        <f>'EQUITY BACKTEST'!B1388</f>
        <v/>
      </c>
      <c r="C1385" s="22" t="str">
        <f>'EQUITY BACKTEST'!E1388</f>
        <v/>
      </c>
      <c r="I1385" s="22" t="str">
        <f t="shared" si="1"/>
        <v>#N/A</v>
      </c>
      <c r="J1385" s="22" t="str">
        <f t="shared" si="2"/>
        <v>#N/A</v>
      </c>
      <c r="K1385" s="22" t="str">
        <f t="shared" si="8"/>
        <v/>
      </c>
    </row>
    <row r="1386" ht="15.75" customHeight="1">
      <c r="A1386" s="31" t="str">
        <f>'EQUITY BACKTEST'!A1389</f>
        <v/>
      </c>
      <c r="B1386" s="22" t="str">
        <f>'EQUITY BACKTEST'!B1389</f>
        <v/>
      </c>
      <c r="C1386" s="22" t="str">
        <f>'EQUITY BACKTEST'!E1389</f>
        <v/>
      </c>
      <c r="I1386" s="22" t="str">
        <f t="shared" si="1"/>
        <v>#N/A</v>
      </c>
      <c r="J1386" s="22" t="str">
        <f t="shared" si="2"/>
        <v>#N/A</v>
      </c>
      <c r="K1386" s="22" t="str">
        <f t="shared" si="8"/>
        <v/>
      </c>
    </row>
    <row r="1387" ht="15.75" customHeight="1">
      <c r="A1387" s="31" t="str">
        <f>'EQUITY BACKTEST'!A1390</f>
        <v/>
      </c>
      <c r="B1387" s="22" t="str">
        <f>'EQUITY BACKTEST'!B1390</f>
        <v/>
      </c>
      <c r="C1387" s="22" t="str">
        <f>'EQUITY BACKTEST'!E1390</f>
        <v/>
      </c>
      <c r="I1387" s="22" t="str">
        <f t="shared" si="1"/>
        <v>#N/A</v>
      </c>
      <c r="J1387" s="22" t="str">
        <f t="shared" si="2"/>
        <v>#N/A</v>
      </c>
      <c r="K1387" s="22" t="str">
        <f t="shared" si="8"/>
        <v/>
      </c>
    </row>
    <row r="1388" ht="15.75" customHeight="1">
      <c r="A1388" s="31" t="str">
        <f>'EQUITY BACKTEST'!A1391</f>
        <v/>
      </c>
      <c r="B1388" s="22" t="str">
        <f>'EQUITY BACKTEST'!B1391</f>
        <v/>
      </c>
      <c r="C1388" s="22" t="str">
        <f>'EQUITY BACKTEST'!E1391</f>
        <v/>
      </c>
      <c r="I1388" s="22" t="str">
        <f t="shared" si="1"/>
        <v>#N/A</v>
      </c>
      <c r="J1388" s="22" t="str">
        <f t="shared" si="2"/>
        <v>#N/A</v>
      </c>
      <c r="K1388" s="22" t="str">
        <f t="shared" si="8"/>
        <v/>
      </c>
    </row>
    <row r="1389" ht="15.75" customHeight="1">
      <c r="A1389" s="31" t="str">
        <f>'EQUITY BACKTEST'!A1392</f>
        <v/>
      </c>
      <c r="B1389" s="22" t="str">
        <f>'EQUITY BACKTEST'!B1392</f>
        <v/>
      </c>
      <c r="C1389" s="22" t="str">
        <f>'EQUITY BACKTEST'!E1392</f>
        <v/>
      </c>
      <c r="I1389" s="22" t="str">
        <f t="shared" si="1"/>
        <v>#N/A</v>
      </c>
      <c r="J1389" s="22" t="str">
        <f t="shared" si="2"/>
        <v>#N/A</v>
      </c>
      <c r="K1389" s="22" t="str">
        <f t="shared" si="8"/>
        <v/>
      </c>
    </row>
    <row r="1390" ht="15.75" customHeight="1">
      <c r="A1390" s="31" t="str">
        <f>'EQUITY BACKTEST'!A1393</f>
        <v/>
      </c>
      <c r="B1390" s="22" t="str">
        <f>'EQUITY BACKTEST'!B1393</f>
        <v/>
      </c>
      <c r="C1390" s="22" t="str">
        <f>'EQUITY BACKTEST'!E1393</f>
        <v/>
      </c>
      <c r="I1390" s="22" t="str">
        <f t="shared" si="1"/>
        <v>#N/A</v>
      </c>
      <c r="J1390" s="22" t="str">
        <f t="shared" si="2"/>
        <v>#N/A</v>
      </c>
      <c r="K1390" s="22" t="str">
        <f t="shared" si="8"/>
        <v/>
      </c>
    </row>
    <row r="1391" ht="15.75" customHeight="1">
      <c r="A1391" s="31" t="str">
        <f>'EQUITY BACKTEST'!A1394</f>
        <v/>
      </c>
      <c r="B1391" s="22" t="str">
        <f>'EQUITY BACKTEST'!B1394</f>
        <v/>
      </c>
      <c r="C1391" s="22" t="str">
        <f>'EQUITY BACKTEST'!E1394</f>
        <v/>
      </c>
      <c r="I1391" s="22" t="str">
        <f t="shared" si="1"/>
        <v>#N/A</v>
      </c>
      <c r="J1391" s="22" t="str">
        <f t="shared" si="2"/>
        <v>#N/A</v>
      </c>
      <c r="K1391" s="22" t="str">
        <f t="shared" si="8"/>
        <v/>
      </c>
    </row>
    <row r="1392" ht="15.75" customHeight="1">
      <c r="A1392" s="31" t="str">
        <f>'EQUITY BACKTEST'!A1395</f>
        <v/>
      </c>
      <c r="B1392" s="22" t="str">
        <f>'EQUITY BACKTEST'!B1395</f>
        <v/>
      </c>
      <c r="C1392" s="22" t="str">
        <f>'EQUITY BACKTEST'!E1395</f>
        <v/>
      </c>
      <c r="I1392" s="22" t="str">
        <f t="shared" si="1"/>
        <v>#N/A</v>
      </c>
      <c r="J1392" s="22" t="str">
        <f t="shared" si="2"/>
        <v>#N/A</v>
      </c>
      <c r="K1392" s="22" t="str">
        <f t="shared" si="8"/>
        <v/>
      </c>
    </row>
    <row r="1393" ht="15.75" customHeight="1">
      <c r="A1393" s="31" t="str">
        <f>'EQUITY BACKTEST'!A1396</f>
        <v/>
      </c>
      <c r="B1393" s="22" t="str">
        <f>'EQUITY BACKTEST'!B1396</f>
        <v/>
      </c>
      <c r="C1393" s="22" t="str">
        <f>'EQUITY BACKTEST'!E1396</f>
        <v/>
      </c>
      <c r="I1393" s="22" t="str">
        <f t="shared" si="1"/>
        <v>#N/A</v>
      </c>
      <c r="J1393" s="22" t="str">
        <f t="shared" si="2"/>
        <v>#N/A</v>
      </c>
      <c r="K1393" s="22" t="str">
        <f t="shared" si="8"/>
        <v/>
      </c>
    </row>
    <row r="1394" ht="15.75" customHeight="1">
      <c r="A1394" s="31" t="str">
        <f>'EQUITY BACKTEST'!A1397</f>
        <v/>
      </c>
      <c r="B1394" s="22" t="str">
        <f>'EQUITY BACKTEST'!B1397</f>
        <v/>
      </c>
      <c r="C1394" s="22" t="str">
        <f>'EQUITY BACKTEST'!E1397</f>
        <v/>
      </c>
      <c r="I1394" s="22" t="str">
        <f t="shared" si="1"/>
        <v>#N/A</v>
      </c>
      <c r="J1394" s="22" t="str">
        <f t="shared" si="2"/>
        <v>#N/A</v>
      </c>
      <c r="K1394" s="22" t="str">
        <f t="shared" si="8"/>
        <v/>
      </c>
    </row>
    <row r="1395" ht="15.75" customHeight="1">
      <c r="A1395" s="31" t="str">
        <f>'EQUITY BACKTEST'!A1398</f>
        <v/>
      </c>
      <c r="B1395" s="22" t="str">
        <f>'EQUITY BACKTEST'!B1398</f>
        <v/>
      </c>
      <c r="C1395" s="22" t="str">
        <f>'EQUITY BACKTEST'!E1398</f>
        <v/>
      </c>
      <c r="I1395" s="22" t="str">
        <f t="shared" si="1"/>
        <v>#N/A</v>
      </c>
      <c r="J1395" s="22" t="str">
        <f t="shared" si="2"/>
        <v>#N/A</v>
      </c>
      <c r="K1395" s="22" t="str">
        <f t="shared" si="8"/>
        <v/>
      </c>
    </row>
    <row r="1396" ht="15.75" customHeight="1">
      <c r="A1396" s="31" t="str">
        <f>'EQUITY BACKTEST'!A1399</f>
        <v/>
      </c>
      <c r="B1396" s="22" t="str">
        <f>'EQUITY BACKTEST'!B1399</f>
        <v/>
      </c>
      <c r="C1396" s="22" t="str">
        <f>'EQUITY BACKTEST'!E1399</f>
        <v/>
      </c>
      <c r="I1396" s="22" t="str">
        <f t="shared" si="1"/>
        <v>#N/A</v>
      </c>
      <c r="J1396" s="22" t="str">
        <f t="shared" si="2"/>
        <v>#N/A</v>
      </c>
      <c r="K1396" s="22" t="str">
        <f t="shared" si="8"/>
        <v/>
      </c>
    </row>
    <row r="1397" ht="15.75" customHeight="1">
      <c r="A1397" s="31" t="str">
        <f>'EQUITY BACKTEST'!A1400</f>
        <v/>
      </c>
      <c r="B1397" s="22" t="str">
        <f>'EQUITY BACKTEST'!B1400</f>
        <v/>
      </c>
      <c r="C1397" s="22" t="str">
        <f>'EQUITY BACKTEST'!E1400</f>
        <v/>
      </c>
      <c r="I1397" s="22" t="str">
        <f t="shared" si="1"/>
        <v>#N/A</v>
      </c>
      <c r="J1397" s="22" t="str">
        <f t="shared" si="2"/>
        <v>#N/A</v>
      </c>
      <c r="K1397" s="22" t="str">
        <f t="shared" si="8"/>
        <v/>
      </c>
    </row>
    <row r="1398" ht="15.75" customHeight="1">
      <c r="A1398" s="31" t="str">
        <f>'EQUITY BACKTEST'!A1401</f>
        <v/>
      </c>
      <c r="B1398" s="22" t="str">
        <f>'EQUITY BACKTEST'!B1401</f>
        <v/>
      </c>
      <c r="C1398" s="22" t="str">
        <f>'EQUITY BACKTEST'!E1401</f>
        <v/>
      </c>
      <c r="I1398" s="22" t="str">
        <f t="shared" si="1"/>
        <v>#N/A</v>
      </c>
      <c r="J1398" s="22" t="str">
        <f t="shared" si="2"/>
        <v>#N/A</v>
      </c>
      <c r="K1398" s="22" t="str">
        <f t="shared" si="8"/>
        <v/>
      </c>
    </row>
    <row r="1399" ht="15.75" customHeight="1">
      <c r="A1399" s="31" t="str">
        <f>'EQUITY BACKTEST'!A1402</f>
        <v/>
      </c>
      <c r="B1399" s="22" t="str">
        <f>'EQUITY BACKTEST'!B1402</f>
        <v/>
      </c>
      <c r="C1399" s="22" t="str">
        <f>'EQUITY BACKTEST'!E1402</f>
        <v/>
      </c>
      <c r="I1399" s="22" t="str">
        <f t="shared" si="1"/>
        <v>#N/A</v>
      </c>
      <c r="J1399" s="22" t="str">
        <f t="shared" si="2"/>
        <v>#N/A</v>
      </c>
      <c r="K1399" s="22" t="str">
        <f t="shared" si="8"/>
        <v/>
      </c>
    </row>
    <row r="1400" ht="15.75" customHeight="1">
      <c r="A1400" s="31" t="str">
        <f>'EQUITY BACKTEST'!A1403</f>
        <v/>
      </c>
      <c r="B1400" s="22" t="str">
        <f>'EQUITY BACKTEST'!B1403</f>
        <v/>
      </c>
      <c r="C1400" s="22" t="str">
        <f>'EQUITY BACKTEST'!E1403</f>
        <v/>
      </c>
      <c r="I1400" s="22" t="str">
        <f t="shared" si="1"/>
        <v>#N/A</v>
      </c>
      <c r="J1400" s="22" t="str">
        <f t="shared" si="2"/>
        <v>#N/A</v>
      </c>
      <c r="K1400" s="22" t="str">
        <f t="shared" si="8"/>
        <v/>
      </c>
    </row>
    <row r="1401" ht="15.75" customHeight="1">
      <c r="A1401" s="31" t="str">
        <f>'EQUITY BACKTEST'!A1404</f>
        <v/>
      </c>
      <c r="B1401" s="22" t="str">
        <f>'EQUITY BACKTEST'!B1404</f>
        <v/>
      </c>
      <c r="C1401" s="22" t="str">
        <f>'EQUITY BACKTEST'!E1404</f>
        <v/>
      </c>
      <c r="I1401" s="22" t="str">
        <f t="shared" si="1"/>
        <v>#N/A</v>
      </c>
      <c r="J1401" s="22" t="str">
        <f t="shared" si="2"/>
        <v>#N/A</v>
      </c>
      <c r="K1401" s="22" t="str">
        <f t="shared" si="8"/>
        <v/>
      </c>
    </row>
    <row r="1402" ht="15.75" customHeight="1">
      <c r="A1402" s="31" t="str">
        <f>'EQUITY BACKTEST'!A1405</f>
        <v/>
      </c>
      <c r="B1402" s="22" t="str">
        <f>'EQUITY BACKTEST'!B1405</f>
        <v/>
      </c>
      <c r="C1402" s="22" t="str">
        <f>'EQUITY BACKTEST'!E1405</f>
        <v/>
      </c>
      <c r="I1402" s="22" t="str">
        <f t="shared" si="1"/>
        <v>#N/A</v>
      </c>
      <c r="J1402" s="22" t="str">
        <f t="shared" si="2"/>
        <v>#N/A</v>
      </c>
      <c r="K1402" s="22" t="str">
        <f t="shared" si="8"/>
        <v/>
      </c>
    </row>
    <row r="1403" ht="15.75" customHeight="1">
      <c r="A1403" s="31" t="str">
        <f>'EQUITY BACKTEST'!A1406</f>
        <v/>
      </c>
      <c r="B1403" s="22" t="str">
        <f>'EQUITY BACKTEST'!B1406</f>
        <v/>
      </c>
      <c r="C1403" s="22" t="str">
        <f>'EQUITY BACKTEST'!E1406</f>
        <v/>
      </c>
      <c r="I1403" s="22" t="str">
        <f t="shared" si="1"/>
        <v>#N/A</v>
      </c>
      <c r="J1403" s="22" t="str">
        <f t="shared" si="2"/>
        <v>#N/A</v>
      </c>
      <c r="K1403" s="22" t="str">
        <f t="shared" si="8"/>
        <v/>
      </c>
    </row>
    <row r="1404" ht="15.75" customHeight="1">
      <c r="A1404" s="31" t="str">
        <f>'EQUITY BACKTEST'!A1407</f>
        <v/>
      </c>
      <c r="B1404" s="22" t="str">
        <f>'EQUITY BACKTEST'!B1407</f>
        <v/>
      </c>
      <c r="C1404" s="22" t="str">
        <f>'EQUITY BACKTEST'!E1407</f>
        <v/>
      </c>
      <c r="I1404" s="22" t="str">
        <f t="shared" si="1"/>
        <v>#N/A</v>
      </c>
      <c r="J1404" s="22" t="str">
        <f t="shared" si="2"/>
        <v>#N/A</v>
      </c>
      <c r="K1404" s="22" t="str">
        <f t="shared" si="8"/>
        <v/>
      </c>
    </row>
    <row r="1405" ht="15.75" customHeight="1">
      <c r="A1405" s="31" t="str">
        <f>'EQUITY BACKTEST'!A1408</f>
        <v/>
      </c>
      <c r="B1405" s="22" t="str">
        <f>'EQUITY BACKTEST'!B1408</f>
        <v/>
      </c>
      <c r="C1405" s="22" t="str">
        <f>'EQUITY BACKTEST'!E1408</f>
        <v/>
      </c>
      <c r="I1405" s="22" t="str">
        <f t="shared" si="1"/>
        <v>#N/A</v>
      </c>
      <c r="J1405" s="22" t="str">
        <f t="shared" si="2"/>
        <v>#N/A</v>
      </c>
      <c r="K1405" s="22" t="str">
        <f t="shared" si="8"/>
        <v/>
      </c>
    </row>
    <row r="1406" ht="15.75" customHeight="1">
      <c r="A1406" s="31" t="str">
        <f>'EQUITY BACKTEST'!A1409</f>
        <v/>
      </c>
      <c r="B1406" s="22" t="str">
        <f>'EQUITY BACKTEST'!B1409</f>
        <v/>
      </c>
      <c r="C1406" s="22" t="str">
        <f>'EQUITY BACKTEST'!E1409</f>
        <v/>
      </c>
      <c r="I1406" s="22" t="str">
        <f t="shared" si="1"/>
        <v>#N/A</v>
      </c>
      <c r="J1406" s="22" t="str">
        <f t="shared" si="2"/>
        <v>#N/A</v>
      </c>
      <c r="K1406" s="22" t="str">
        <f t="shared" si="8"/>
        <v/>
      </c>
    </row>
    <row r="1407" ht="15.75" customHeight="1">
      <c r="A1407" s="31" t="str">
        <f>'EQUITY BACKTEST'!A1410</f>
        <v/>
      </c>
      <c r="B1407" s="22" t="str">
        <f>'EQUITY BACKTEST'!B1410</f>
        <v/>
      </c>
      <c r="C1407" s="22" t="str">
        <f>'EQUITY BACKTEST'!E1410</f>
        <v/>
      </c>
      <c r="I1407" s="22" t="str">
        <f t="shared" si="1"/>
        <v>#N/A</v>
      </c>
      <c r="J1407" s="22" t="str">
        <f t="shared" si="2"/>
        <v>#N/A</v>
      </c>
      <c r="K1407" s="22" t="str">
        <f t="shared" si="8"/>
        <v/>
      </c>
    </row>
    <row r="1408" ht="15.75" customHeight="1">
      <c r="A1408" s="31" t="str">
        <f>'EQUITY BACKTEST'!A1411</f>
        <v/>
      </c>
      <c r="B1408" s="22" t="str">
        <f>'EQUITY BACKTEST'!B1411</f>
        <v/>
      </c>
      <c r="C1408" s="22" t="str">
        <f>'EQUITY BACKTEST'!E1411</f>
        <v/>
      </c>
      <c r="I1408" s="22" t="str">
        <f t="shared" si="1"/>
        <v>#N/A</v>
      </c>
      <c r="J1408" s="22" t="str">
        <f t="shared" si="2"/>
        <v>#N/A</v>
      </c>
      <c r="K1408" s="22" t="str">
        <f t="shared" si="8"/>
        <v/>
      </c>
    </row>
    <row r="1409" ht="15.75" customHeight="1">
      <c r="A1409" s="31" t="str">
        <f>'EQUITY BACKTEST'!A1412</f>
        <v/>
      </c>
      <c r="B1409" s="22" t="str">
        <f>'EQUITY BACKTEST'!B1412</f>
        <v/>
      </c>
      <c r="C1409" s="22" t="str">
        <f>'EQUITY BACKTEST'!E1412</f>
        <v/>
      </c>
      <c r="I1409" s="22" t="str">
        <f t="shared" si="1"/>
        <v>#N/A</v>
      </c>
      <c r="J1409" s="22" t="str">
        <f t="shared" si="2"/>
        <v>#N/A</v>
      </c>
      <c r="K1409" s="22" t="str">
        <f t="shared" si="8"/>
        <v/>
      </c>
    </row>
    <row r="1410" ht="15.75" customHeight="1">
      <c r="A1410" s="31" t="str">
        <f>'EQUITY BACKTEST'!A1413</f>
        <v/>
      </c>
      <c r="B1410" s="22" t="str">
        <f>'EQUITY BACKTEST'!B1413</f>
        <v/>
      </c>
      <c r="C1410" s="22" t="str">
        <f>'EQUITY BACKTEST'!E1413</f>
        <v/>
      </c>
      <c r="I1410" s="22" t="str">
        <f t="shared" si="1"/>
        <v>#N/A</v>
      </c>
      <c r="J1410" s="22" t="str">
        <f t="shared" si="2"/>
        <v>#N/A</v>
      </c>
      <c r="K1410" s="22" t="str">
        <f t="shared" si="8"/>
        <v/>
      </c>
    </row>
    <row r="1411" ht="15.75" customHeight="1">
      <c r="A1411" s="31" t="str">
        <f>'EQUITY BACKTEST'!A1414</f>
        <v/>
      </c>
      <c r="B1411" s="22" t="str">
        <f>'EQUITY BACKTEST'!B1414</f>
        <v/>
      </c>
      <c r="C1411" s="22" t="str">
        <f>'EQUITY BACKTEST'!E1414</f>
        <v/>
      </c>
      <c r="I1411" s="22" t="str">
        <f t="shared" si="1"/>
        <v>#N/A</v>
      </c>
      <c r="J1411" s="22" t="str">
        <f t="shared" si="2"/>
        <v>#N/A</v>
      </c>
      <c r="K1411" s="22" t="str">
        <f t="shared" si="8"/>
        <v/>
      </c>
    </row>
    <row r="1412" ht="15.75" customHeight="1">
      <c r="A1412" s="31" t="str">
        <f>'EQUITY BACKTEST'!A1415</f>
        <v/>
      </c>
      <c r="B1412" s="22" t="str">
        <f>'EQUITY BACKTEST'!B1415</f>
        <v/>
      </c>
      <c r="C1412" s="22" t="str">
        <f>'EQUITY BACKTEST'!E1415</f>
        <v/>
      </c>
      <c r="I1412" s="22" t="str">
        <f t="shared" si="1"/>
        <v>#N/A</v>
      </c>
      <c r="J1412" s="22" t="str">
        <f t="shared" si="2"/>
        <v>#N/A</v>
      </c>
      <c r="K1412" s="22" t="str">
        <f t="shared" si="8"/>
        <v/>
      </c>
    </row>
    <row r="1413" ht="15.75" customHeight="1">
      <c r="A1413" s="31" t="str">
        <f>'EQUITY BACKTEST'!A1416</f>
        <v/>
      </c>
      <c r="B1413" s="22" t="str">
        <f>'EQUITY BACKTEST'!B1416</f>
        <v/>
      </c>
      <c r="C1413" s="22" t="str">
        <f>'EQUITY BACKTEST'!E1416</f>
        <v/>
      </c>
      <c r="I1413" s="22" t="str">
        <f t="shared" si="1"/>
        <v>#N/A</v>
      </c>
      <c r="J1413" s="22" t="str">
        <f t="shared" si="2"/>
        <v>#N/A</v>
      </c>
      <c r="K1413" s="22" t="str">
        <f t="shared" si="8"/>
        <v/>
      </c>
    </row>
    <row r="1414" ht="15.75" customHeight="1">
      <c r="A1414" s="31" t="str">
        <f>'EQUITY BACKTEST'!A1417</f>
        <v/>
      </c>
      <c r="B1414" s="22" t="str">
        <f>'EQUITY BACKTEST'!B1417</f>
        <v/>
      </c>
      <c r="C1414" s="22" t="str">
        <f>'EQUITY BACKTEST'!E1417</f>
        <v/>
      </c>
      <c r="I1414" s="22" t="str">
        <f t="shared" si="1"/>
        <v>#N/A</v>
      </c>
      <c r="J1414" s="22" t="str">
        <f t="shared" si="2"/>
        <v>#N/A</v>
      </c>
      <c r="K1414" s="22" t="str">
        <f t="shared" si="8"/>
        <v/>
      </c>
    </row>
    <row r="1415" ht="15.75" customHeight="1">
      <c r="A1415" s="31" t="str">
        <f>'EQUITY BACKTEST'!A1418</f>
        <v/>
      </c>
      <c r="B1415" s="22" t="str">
        <f>'EQUITY BACKTEST'!B1418</f>
        <v/>
      </c>
      <c r="C1415" s="22" t="str">
        <f>'EQUITY BACKTEST'!E1418</f>
        <v/>
      </c>
      <c r="I1415" s="22" t="str">
        <f t="shared" si="1"/>
        <v>#N/A</v>
      </c>
      <c r="J1415" s="22" t="str">
        <f t="shared" si="2"/>
        <v>#N/A</v>
      </c>
      <c r="K1415" s="22" t="str">
        <f t="shared" si="8"/>
        <v/>
      </c>
    </row>
    <row r="1416" ht="15.75" customHeight="1">
      <c r="A1416" s="31" t="str">
        <f>'EQUITY BACKTEST'!A1419</f>
        <v/>
      </c>
      <c r="B1416" s="22" t="str">
        <f>'EQUITY BACKTEST'!B1419</f>
        <v/>
      </c>
      <c r="C1416" s="22" t="str">
        <f>'EQUITY BACKTEST'!E1419</f>
        <v/>
      </c>
      <c r="I1416" s="22" t="str">
        <f t="shared" si="1"/>
        <v>#N/A</v>
      </c>
      <c r="J1416" s="22" t="str">
        <f t="shared" si="2"/>
        <v>#N/A</v>
      </c>
      <c r="K1416" s="22" t="str">
        <f t="shared" si="8"/>
        <v/>
      </c>
    </row>
    <row r="1417" ht="15.75" customHeight="1">
      <c r="A1417" s="31" t="str">
        <f>'EQUITY BACKTEST'!A1420</f>
        <v/>
      </c>
      <c r="B1417" s="22" t="str">
        <f>'EQUITY BACKTEST'!B1420</f>
        <v/>
      </c>
      <c r="C1417" s="22" t="str">
        <f>'EQUITY BACKTEST'!E1420</f>
        <v/>
      </c>
      <c r="I1417" s="22" t="str">
        <f t="shared" si="1"/>
        <v>#N/A</v>
      </c>
      <c r="J1417" s="22" t="str">
        <f t="shared" si="2"/>
        <v>#N/A</v>
      </c>
      <c r="K1417" s="22" t="str">
        <f t="shared" si="8"/>
        <v/>
      </c>
    </row>
    <row r="1418" ht="15.75" customHeight="1">
      <c r="A1418" s="31" t="str">
        <f>'EQUITY BACKTEST'!A1421</f>
        <v/>
      </c>
      <c r="B1418" s="22" t="str">
        <f>'EQUITY BACKTEST'!B1421</f>
        <v/>
      </c>
      <c r="C1418" s="22" t="str">
        <f>'EQUITY BACKTEST'!E1421</f>
        <v/>
      </c>
      <c r="I1418" s="22" t="str">
        <f t="shared" si="1"/>
        <v>#N/A</v>
      </c>
      <c r="J1418" s="22" t="str">
        <f t="shared" si="2"/>
        <v>#N/A</v>
      </c>
      <c r="K1418" s="22" t="str">
        <f t="shared" si="8"/>
        <v/>
      </c>
    </row>
    <row r="1419" ht="15.75" customHeight="1">
      <c r="A1419" s="31" t="str">
        <f>'EQUITY BACKTEST'!A1422</f>
        <v/>
      </c>
      <c r="B1419" s="22" t="str">
        <f>'EQUITY BACKTEST'!B1422</f>
        <v/>
      </c>
      <c r="C1419" s="22" t="str">
        <f>'EQUITY BACKTEST'!E1422</f>
        <v/>
      </c>
      <c r="I1419" s="22" t="str">
        <f t="shared" si="1"/>
        <v>#N/A</v>
      </c>
      <c r="J1419" s="22" t="str">
        <f t="shared" si="2"/>
        <v>#N/A</v>
      </c>
      <c r="K1419" s="22" t="str">
        <f t="shared" si="8"/>
        <v/>
      </c>
    </row>
    <row r="1420" ht="15.75" customHeight="1">
      <c r="A1420" s="31" t="str">
        <f>'EQUITY BACKTEST'!A1423</f>
        <v/>
      </c>
      <c r="B1420" s="22" t="str">
        <f>'EQUITY BACKTEST'!B1423</f>
        <v/>
      </c>
      <c r="C1420" s="22" t="str">
        <f>'EQUITY BACKTEST'!E1423</f>
        <v/>
      </c>
      <c r="I1420" s="22" t="str">
        <f t="shared" si="1"/>
        <v>#N/A</v>
      </c>
      <c r="J1420" s="22" t="str">
        <f t="shared" si="2"/>
        <v>#N/A</v>
      </c>
      <c r="K1420" s="22" t="str">
        <f t="shared" si="8"/>
        <v/>
      </c>
    </row>
    <row r="1421" ht="15.75" customHeight="1">
      <c r="A1421" s="31" t="str">
        <f>'EQUITY BACKTEST'!A1424</f>
        <v/>
      </c>
      <c r="B1421" s="22" t="str">
        <f>'EQUITY BACKTEST'!B1424</f>
        <v/>
      </c>
      <c r="C1421" s="22" t="str">
        <f>'EQUITY BACKTEST'!E1424</f>
        <v/>
      </c>
      <c r="I1421" s="22" t="str">
        <f t="shared" si="1"/>
        <v>#N/A</v>
      </c>
      <c r="J1421" s="22" t="str">
        <f t="shared" si="2"/>
        <v>#N/A</v>
      </c>
      <c r="K1421" s="22" t="str">
        <f t="shared" si="8"/>
        <v/>
      </c>
    </row>
    <row r="1422" ht="15.75" customHeight="1">
      <c r="A1422" s="31" t="str">
        <f>'EQUITY BACKTEST'!A1425</f>
        <v/>
      </c>
      <c r="B1422" s="22" t="str">
        <f>'EQUITY BACKTEST'!B1425</f>
        <v/>
      </c>
      <c r="C1422" s="22" t="str">
        <f>'EQUITY BACKTEST'!E1425</f>
        <v/>
      </c>
      <c r="I1422" s="22" t="str">
        <f t="shared" si="1"/>
        <v>#N/A</v>
      </c>
      <c r="J1422" s="22" t="str">
        <f t="shared" si="2"/>
        <v>#N/A</v>
      </c>
      <c r="K1422" s="22" t="str">
        <f t="shared" si="8"/>
        <v/>
      </c>
    </row>
    <row r="1423" ht="15.75" customHeight="1">
      <c r="A1423" s="31" t="str">
        <f>'EQUITY BACKTEST'!A1426</f>
        <v/>
      </c>
      <c r="B1423" s="22" t="str">
        <f>'EQUITY BACKTEST'!B1426</f>
        <v/>
      </c>
      <c r="C1423" s="22" t="str">
        <f>'EQUITY BACKTEST'!E1426</f>
        <v/>
      </c>
      <c r="I1423" s="22" t="str">
        <f t="shared" si="1"/>
        <v>#N/A</v>
      </c>
      <c r="J1423" s="22" t="str">
        <f t="shared" si="2"/>
        <v>#N/A</v>
      </c>
      <c r="K1423" s="22" t="str">
        <f t="shared" si="8"/>
        <v/>
      </c>
    </row>
    <row r="1424" ht="15.75" customHeight="1">
      <c r="A1424" s="31" t="str">
        <f>'EQUITY BACKTEST'!A1427</f>
        <v/>
      </c>
      <c r="B1424" s="22" t="str">
        <f>'EQUITY BACKTEST'!B1427</f>
        <v/>
      </c>
      <c r="C1424" s="22" t="str">
        <f>'EQUITY BACKTEST'!E1427</f>
        <v/>
      </c>
      <c r="I1424" s="22" t="str">
        <f t="shared" si="1"/>
        <v>#N/A</v>
      </c>
      <c r="J1424" s="22" t="str">
        <f t="shared" si="2"/>
        <v>#N/A</v>
      </c>
      <c r="K1424" s="22" t="str">
        <f t="shared" si="8"/>
        <v/>
      </c>
    </row>
    <row r="1425" ht="15.75" customHeight="1">
      <c r="A1425" s="31" t="str">
        <f>'EQUITY BACKTEST'!A1428</f>
        <v/>
      </c>
      <c r="B1425" s="22" t="str">
        <f>'EQUITY BACKTEST'!B1428</f>
        <v/>
      </c>
      <c r="C1425" s="22" t="str">
        <f>'EQUITY BACKTEST'!E1428</f>
        <v/>
      </c>
      <c r="I1425" s="22" t="str">
        <f t="shared" si="1"/>
        <v>#N/A</v>
      </c>
      <c r="J1425" s="22" t="str">
        <f t="shared" si="2"/>
        <v>#N/A</v>
      </c>
      <c r="K1425" s="22" t="str">
        <f t="shared" si="8"/>
        <v/>
      </c>
    </row>
    <row r="1426" ht="15.75" customHeight="1">
      <c r="A1426" s="31" t="str">
        <f>'EQUITY BACKTEST'!A1429</f>
        <v/>
      </c>
      <c r="B1426" s="22" t="str">
        <f>'EQUITY BACKTEST'!B1429</f>
        <v/>
      </c>
      <c r="C1426" s="22" t="str">
        <f>'EQUITY BACKTEST'!E1429</f>
        <v/>
      </c>
      <c r="I1426" s="22" t="str">
        <f t="shared" si="1"/>
        <v>#N/A</v>
      </c>
      <c r="J1426" s="22" t="str">
        <f t="shared" si="2"/>
        <v>#N/A</v>
      </c>
      <c r="K1426" s="22" t="str">
        <f t="shared" si="8"/>
        <v/>
      </c>
    </row>
    <row r="1427" ht="15.75" customHeight="1">
      <c r="A1427" s="31" t="str">
        <f>'EQUITY BACKTEST'!A1430</f>
        <v/>
      </c>
      <c r="B1427" s="22" t="str">
        <f>'EQUITY BACKTEST'!B1430</f>
        <v/>
      </c>
      <c r="C1427" s="22" t="str">
        <f>'EQUITY BACKTEST'!E1430</f>
        <v/>
      </c>
      <c r="I1427" s="22" t="str">
        <f t="shared" si="1"/>
        <v>#N/A</v>
      </c>
      <c r="J1427" s="22" t="str">
        <f t="shared" si="2"/>
        <v>#N/A</v>
      </c>
      <c r="K1427" s="22" t="str">
        <f t="shared" si="8"/>
        <v/>
      </c>
    </row>
    <row r="1428" ht="15.75" customHeight="1">
      <c r="A1428" s="31" t="str">
        <f>'EQUITY BACKTEST'!A1431</f>
        <v/>
      </c>
      <c r="B1428" s="22" t="str">
        <f>'EQUITY BACKTEST'!B1431</f>
        <v/>
      </c>
      <c r="C1428" s="22" t="str">
        <f>'EQUITY BACKTEST'!E1431</f>
        <v/>
      </c>
      <c r="I1428" s="22" t="str">
        <f t="shared" si="1"/>
        <v>#N/A</v>
      </c>
      <c r="J1428" s="22" t="str">
        <f t="shared" si="2"/>
        <v>#N/A</v>
      </c>
      <c r="K1428" s="22" t="str">
        <f t="shared" si="8"/>
        <v/>
      </c>
    </row>
    <row r="1429" ht="15.75" customHeight="1">
      <c r="A1429" s="31" t="str">
        <f>'EQUITY BACKTEST'!A1432</f>
        <v/>
      </c>
      <c r="B1429" s="22" t="str">
        <f>'EQUITY BACKTEST'!B1432</f>
        <v/>
      </c>
      <c r="C1429" s="22" t="str">
        <f>'EQUITY BACKTEST'!E1432</f>
        <v/>
      </c>
      <c r="I1429" s="22" t="str">
        <f t="shared" si="1"/>
        <v>#N/A</v>
      </c>
      <c r="J1429" s="22" t="str">
        <f t="shared" si="2"/>
        <v>#N/A</v>
      </c>
      <c r="K1429" s="22" t="str">
        <f t="shared" si="8"/>
        <v/>
      </c>
    </row>
    <row r="1430" ht="15.75" customHeight="1">
      <c r="A1430" s="31" t="str">
        <f>'EQUITY BACKTEST'!A1433</f>
        <v/>
      </c>
      <c r="B1430" s="22" t="str">
        <f>'EQUITY BACKTEST'!B1433</f>
        <v/>
      </c>
      <c r="C1430" s="22" t="str">
        <f>'EQUITY BACKTEST'!E1433</f>
        <v/>
      </c>
      <c r="I1430" s="22" t="str">
        <f t="shared" si="1"/>
        <v>#N/A</v>
      </c>
      <c r="J1430" s="22" t="str">
        <f t="shared" si="2"/>
        <v>#N/A</v>
      </c>
      <c r="K1430" s="22" t="str">
        <f t="shared" si="8"/>
        <v/>
      </c>
    </row>
    <row r="1431" ht="15.75" customHeight="1">
      <c r="A1431" s="31" t="str">
        <f>'EQUITY BACKTEST'!A1434</f>
        <v/>
      </c>
      <c r="B1431" s="22" t="str">
        <f>'EQUITY BACKTEST'!B1434</f>
        <v/>
      </c>
      <c r="C1431" s="22" t="str">
        <f>'EQUITY BACKTEST'!E1434</f>
        <v/>
      </c>
      <c r="I1431" s="22" t="str">
        <f t="shared" si="1"/>
        <v>#N/A</v>
      </c>
      <c r="J1431" s="22" t="str">
        <f t="shared" si="2"/>
        <v>#N/A</v>
      </c>
      <c r="K1431" s="22" t="str">
        <f t="shared" si="8"/>
        <v/>
      </c>
    </row>
    <row r="1432" ht="15.75" customHeight="1">
      <c r="A1432" s="31" t="str">
        <f>'EQUITY BACKTEST'!A1435</f>
        <v/>
      </c>
      <c r="B1432" s="22" t="str">
        <f>'EQUITY BACKTEST'!B1435</f>
        <v/>
      </c>
      <c r="C1432" s="22" t="str">
        <f>'EQUITY BACKTEST'!E1435</f>
        <v/>
      </c>
      <c r="I1432" s="22" t="str">
        <f t="shared" si="1"/>
        <v>#N/A</v>
      </c>
      <c r="J1432" s="22" t="str">
        <f t="shared" si="2"/>
        <v>#N/A</v>
      </c>
      <c r="K1432" s="22" t="str">
        <f t="shared" si="8"/>
        <v/>
      </c>
    </row>
    <row r="1433" ht="15.75" customHeight="1">
      <c r="A1433" s="31" t="str">
        <f>'EQUITY BACKTEST'!A1436</f>
        <v/>
      </c>
      <c r="B1433" s="22" t="str">
        <f>'EQUITY BACKTEST'!B1436</f>
        <v/>
      </c>
      <c r="C1433" s="22" t="str">
        <f>'EQUITY BACKTEST'!E1436</f>
        <v/>
      </c>
      <c r="I1433" s="22" t="str">
        <f t="shared" si="1"/>
        <v>#N/A</v>
      </c>
      <c r="J1433" s="22" t="str">
        <f t="shared" si="2"/>
        <v>#N/A</v>
      </c>
      <c r="K1433" s="22" t="str">
        <f t="shared" si="8"/>
        <v/>
      </c>
    </row>
    <row r="1434" ht="15.75" customHeight="1">
      <c r="A1434" s="31" t="str">
        <f>'EQUITY BACKTEST'!A1437</f>
        <v/>
      </c>
      <c r="B1434" s="22" t="str">
        <f>'EQUITY BACKTEST'!B1437</f>
        <v/>
      </c>
      <c r="C1434" s="22" t="str">
        <f>'EQUITY BACKTEST'!E1437</f>
        <v/>
      </c>
      <c r="I1434" s="22" t="str">
        <f t="shared" si="1"/>
        <v>#N/A</v>
      </c>
      <c r="J1434" s="22" t="str">
        <f t="shared" si="2"/>
        <v>#N/A</v>
      </c>
      <c r="K1434" s="22" t="str">
        <f t="shared" si="8"/>
        <v/>
      </c>
    </row>
    <row r="1435" ht="15.75" customHeight="1">
      <c r="A1435" s="31" t="str">
        <f>'EQUITY BACKTEST'!A1438</f>
        <v/>
      </c>
      <c r="B1435" s="22" t="str">
        <f>'EQUITY BACKTEST'!B1438</f>
        <v/>
      </c>
      <c r="C1435" s="22" t="str">
        <f>'EQUITY BACKTEST'!E1438</f>
        <v/>
      </c>
      <c r="I1435" s="22" t="str">
        <f t="shared" si="1"/>
        <v>#N/A</v>
      </c>
      <c r="J1435" s="22" t="str">
        <f t="shared" si="2"/>
        <v>#N/A</v>
      </c>
      <c r="K1435" s="22" t="str">
        <f t="shared" si="8"/>
        <v/>
      </c>
    </row>
    <row r="1436" ht="15.75" customHeight="1">
      <c r="A1436" s="31" t="str">
        <f>'EQUITY BACKTEST'!A1439</f>
        <v/>
      </c>
      <c r="B1436" s="22" t="str">
        <f>'EQUITY BACKTEST'!B1439</f>
        <v/>
      </c>
      <c r="C1436" s="22" t="str">
        <f>'EQUITY BACKTEST'!E1439</f>
        <v/>
      </c>
      <c r="I1436" s="22" t="str">
        <f t="shared" si="1"/>
        <v>#N/A</v>
      </c>
      <c r="J1436" s="22" t="str">
        <f t="shared" si="2"/>
        <v>#N/A</v>
      </c>
      <c r="K1436" s="22" t="str">
        <f t="shared" si="8"/>
        <v/>
      </c>
    </row>
    <row r="1437" ht="15.75" customHeight="1">
      <c r="A1437" s="31" t="str">
        <f>'EQUITY BACKTEST'!A1440</f>
        <v/>
      </c>
      <c r="B1437" s="22" t="str">
        <f>'EQUITY BACKTEST'!B1440</f>
        <v/>
      </c>
      <c r="C1437" s="22" t="str">
        <f>'EQUITY BACKTEST'!E1440</f>
        <v/>
      </c>
      <c r="I1437" s="22" t="str">
        <f t="shared" si="1"/>
        <v>#N/A</v>
      </c>
      <c r="J1437" s="22" t="str">
        <f t="shared" si="2"/>
        <v>#N/A</v>
      </c>
      <c r="K1437" s="22" t="str">
        <f t="shared" si="8"/>
        <v/>
      </c>
    </row>
    <row r="1438" ht="15.75" customHeight="1">
      <c r="A1438" s="31" t="str">
        <f>'EQUITY BACKTEST'!A1441</f>
        <v/>
      </c>
      <c r="B1438" s="22" t="str">
        <f>'EQUITY BACKTEST'!B1441</f>
        <v/>
      </c>
      <c r="C1438" s="22" t="str">
        <f>'EQUITY BACKTEST'!E1441</f>
        <v/>
      </c>
      <c r="I1438" s="22" t="str">
        <f t="shared" si="1"/>
        <v>#N/A</v>
      </c>
      <c r="J1438" s="22" t="str">
        <f t="shared" si="2"/>
        <v>#N/A</v>
      </c>
      <c r="K1438" s="22" t="str">
        <f t="shared" si="8"/>
        <v/>
      </c>
    </row>
    <row r="1439" ht="15.75" customHeight="1">
      <c r="A1439" s="31" t="str">
        <f>'EQUITY BACKTEST'!A1442</f>
        <v/>
      </c>
      <c r="B1439" s="22" t="str">
        <f>'EQUITY BACKTEST'!B1442</f>
        <v/>
      </c>
      <c r="C1439" s="22" t="str">
        <f>'EQUITY BACKTEST'!E1442</f>
        <v/>
      </c>
      <c r="I1439" s="22" t="str">
        <f t="shared" si="1"/>
        <v>#N/A</v>
      </c>
      <c r="J1439" s="22" t="str">
        <f t="shared" si="2"/>
        <v>#N/A</v>
      </c>
      <c r="K1439" s="22" t="str">
        <f t="shared" si="8"/>
        <v/>
      </c>
    </row>
    <row r="1440" ht="15.75" customHeight="1">
      <c r="A1440" s="31" t="str">
        <f>'EQUITY BACKTEST'!A1443</f>
        <v/>
      </c>
      <c r="B1440" s="22" t="str">
        <f>'EQUITY BACKTEST'!B1443</f>
        <v/>
      </c>
      <c r="C1440" s="22" t="str">
        <f>'EQUITY BACKTEST'!E1443</f>
        <v/>
      </c>
      <c r="I1440" s="22" t="str">
        <f t="shared" si="1"/>
        <v>#N/A</v>
      </c>
      <c r="J1440" s="22" t="str">
        <f t="shared" si="2"/>
        <v>#N/A</v>
      </c>
      <c r="K1440" s="22" t="str">
        <f t="shared" si="8"/>
        <v/>
      </c>
    </row>
    <row r="1441" ht="15.75" customHeight="1">
      <c r="A1441" s="31" t="str">
        <f>'EQUITY BACKTEST'!A1444</f>
        <v/>
      </c>
      <c r="B1441" s="22" t="str">
        <f>'EQUITY BACKTEST'!B1444</f>
        <v/>
      </c>
      <c r="C1441" s="22" t="str">
        <f>'EQUITY BACKTEST'!E1444</f>
        <v/>
      </c>
      <c r="I1441" s="22" t="str">
        <f t="shared" si="1"/>
        <v>#N/A</v>
      </c>
      <c r="J1441" s="22" t="str">
        <f t="shared" si="2"/>
        <v>#N/A</v>
      </c>
      <c r="K1441" s="22" t="str">
        <f t="shared" si="8"/>
        <v/>
      </c>
    </row>
    <row r="1442" ht="15.75" customHeight="1">
      <c r="A1442" s="31" t="str">
        <f>'EQUITY BACKTEST'!A1445</f>
        <v/>
      </c>
      <c r="B1442" s="22" t="str">
        <f>'EQUITY BACKTEST'!B1445</f>
        <v/>
      </c>
      <c r="C1442" s="22" t="str">
        <f>'EQUITY BACKTEST'!E1445</f>
        <v/>
      </c>
      <c r="I1442" s="22" t="str">
        <f t="shared" si="1"/>
        <v>#N/A</v>
      </c>
      <c r="J1442" s="22" t="str">
        <f t="shared" si="2"/>
        <v>#N/A</v>
      </c>
      <c r="K1442" s="22" t="str">
        <f t="shared" si="8"/>
        <v/>
      </c>
    </row>
    <row r="1443" ht="15.75" customHeight="1">
      <c r="A1443" s="31" t="str">
        <f>'EQUITY BACKTEST'!A1446</f>
        <v/>
      </c>
      <c r="B1443" s="22" t="str">
        <f>'EQUITY BACKTEST'!B1446</f>
        <v/>
      </c>
      <c r="C1443" s="22" t="str">
        <f>'EQUITY BACKTEST'!E1446</f>
        <v/>
      </c>
      <c r="I1443" s="22" t="str">
        <f t="shared" si="1"/>
        <v>#N/A</v>
      </c>
      <c r="J1443" s="22" t="str">
        <f t="shared" si="2"/>
        <v>#N/A</v>
      </c>
      <c r="K1443" s="22" t="str">
        <f t="shared" si="8"/>
        <v/>
      </c>
    </row>
    <row r="1444" ht="15.75" customHeight="1">
      <c r="A1444" s="31" t="str">
        <f>'EQUITY BACKTEST'!A1447</f>
        <v/>
      </c>
      <c r="B1444" s="22" t="str">
        <f>'EQUITY BACKTEST'!B1447</f>
        <v/>
      </c>
      <c r="C1444" s="22" t="str">
        <f>'EQUITY BACKTEST'!E1447</f>
        <v/>
      </c>
      <c r="I1444" s="22" t="str">
        <f t="shared" si="1"/>
        <v>#N/A</v>
      </c>
      <c r="J1444" s="22" t="str">
        <f t="shared" si="2"/>
        <v>#N/A</v>
      </c>
      <c r="K1444" s="22" t="str">
        <f t="shared" si="8"/>
        <v/>
      </c>
    </row>
    <row r="1445" ht="15.75" customHeight="1">
      <c r="A1445" s="31" t="str">
        <f>'EQUITY BACKTEST'!A1448</f>
        <v/>
      </c>
      <c r="B1445" s="22" t="str">
        <f>'EQUITY BACKTEST'!B1448</f>
        <v/>
      </c>
      <c r="C1445" s="22" t="str">
        <f>'EQUITY BACKTEST'!E1448</f>
        <v/>
      </c>
      <c r="I1445" s="22" t="str">
        <f t="shared" si="1"/>
        <v>#N/A</v>
      </c>
      <c r="J1445" s="22" t="str">
        <f t="shared" si="2"/>
        <v>#N/A</v>
      </c>
      <c r="K1445" s="22" t="str">
        <f t="shared" si="8"/>
        <v/>
      </c>
    </row>
    <row r="1446" ht="15.75" customHeight="1">
      <c r="A1446" s="31" t="str">
        <f>'EQUITY BACKTEST'!A1449</f>
        <v/>
      </c>
      <c r="B1446" s="22" t="str">
        <f>'EQUITY BACKTEST'!B1449</f>
        <v/>
      </c>
      <c r="C1446" s="22" t="str">
        <f>'EQUITY BACKTEST'!E1449</f>
        <v/>
      </c>
      <c r="I1446" s="22" t="str">
        <f t="shared" si="1"/>
        <v>#N/A</v>
      </c>
      <c r="J1446" s="22" t="str">
        <f t="shared" si="2"/>
        <v>#N/A</v>
      </c>
      <c r="K1446" s="22" t="str">
        <f t="shared" si="8"/>
        <v/>
      </c>
    </row>
    <row r="1447" ht="15.75" customHeight="1">
      <c r="A1447" s="31" t="str">
        <f>'EQUITY BACKTEST'!A1450</f>
        <v/>
      </c>
      <c r="B1447" s="22" t="str">
        <f>'EQUITY BACKTEST'!B1450</f>
        <v/>
      </c>
      <c r="C1447" s="22" t="str">
        <f>'EQUITY BACKTEST'!E1450</f>
        <v/>
      </c>
      <c r="I1447" s="22" t="str">
        <f t="shared" si="1"/>
        <v>#N/A</v>
      </c>
      <c r="J1447" s="22" t="str">
        <f t="shared" si="2"/>
        <v>#N/A</v>
      </c>
      <c r="K1447" s="22" t="str">
        <f t="shared" si="8"/>
        <v/>
      </c>
    </row>
    <row r="1448" ht="15.75" customHeight="1">
      <c r="A1448" s="31" t="str">
        <f>'EQUITY BACKTEST'!A1451</f>
        <v/>
      </c>
      <c r="B1448" s="22" t="str">
        <f>'EQUITY BACKTEST'!B1451</f>
        <v/>
      </c>
      <c r="C1448" s="22" t="str">
        <f>'EQUITY BACKTEST'!E1451</f>
        <v/>
      </c>
      <c r="I1448" s="22" t="str">
        <f t="shared" si="1"/>
        <v>#N/A</v>
      </c>
      <c r="J1448" s="22" t="str">
        <f t="shared" si="2"/>
        <v>#N/A</v>
      </c>
      <c r="K1448" s="22" t="str">
        <f t="shared" si="8"/>
        <v/>
      </c>
    </row>
    <row r="1449" ht="15.75" customHeight="1">
      <c r="A1449" s="31" t="str">
        <f>'EQUITY BACKTEST'!A1452</f>
        <v/>
      </c>
      <c r="B1449" s="22" t="str">
        <f>'EQUITY BACKTEST'!B1452</f>
        <v/>
      </c>
      <c r="C1449" s="22" t="str">
        <f>'EQUITY BACKTEST'!E1452</f>
        <v/>
      </c>
      <c r="I1449" s="22" t="str">
        <f t="shared" si="1"/>
        <v>#N/A</v>
      </c>
      <c r="J1449" s="22" t="str">
        <f t="shared" si="2"/>
        <v>#N/A</v>
      </c>
      <c r="K1449" s="22" t="str">
        <f t="shared" si="8"/>
        <v/>
      </c>
    </row>
    <row r="1450" ht="15.75" customHeight="1">
      <c r="A1450" s="31" t="str">
        <f>'EQUITY BACKTEST'!A1453</f>
        <v/>
      </c>
      <c r="B1450" s="22" t="str">
        <f>'EQUITY BACKTEST'!B1453</f>
        <v/>
      </c>
      <c r="C1450" s="22" t="str">
        <f>'EQUITY BACKTEST'!E1453</f>
        <v/>
      </c>
      <c r="I1450" s="22" t="str">
        <f t="shared" si="1"/>
        <v>#N/A</v>
      </c>
      <c r="J1450" s="22" t="str">
        <f t="shared" si="2"/>
        <v>#N/A</v>
      </c>
      <c r="K1450" s="22" t="str">
        <f t="shared" si="8"/>
        <v/>
      </c>
    </row>
    <row r="1451" ht="15.75" customHeight="1">
      <c r="A1451" s="31" t="str">
        <f>'EQUITY BACKTEST'!A1454</f>
        <v/>
      </c>
      <c r="B1451" s="22" t="str">
        <f>'EQUITY BACKTEST'!B1454</f>
        <v/>
      </c>
      <c r="C1451" s="22" t="str">
        <f>'EQUITY BACKTEST'!E1454</f>
        <v/>
      </c>
      <c r="I1451" s="22" t="str">
        <f t="shared" si="1"/>
        <v>#N/A</v>
      </c>
      <c r="J1451" s="22" t="str">
        <f t="shared" si="2"/>
        <v>#N/A</v>
      </c>
      <c r="K1451" s="22" t="str">
        <f t="shared" si="8"/>
        <v/>
      </c>
    </row>
    <row r="1452" ht="15.75" customHeight="1">
      <c r="A1452" s="31" t="str">
        <f>'EQUITY BACKTEST'!A1455</f>
        <v/>
      </c>
      <c r="B1452" s="22" t="str">
        <f>'EQUITY BACKTEST'!B1455</f>
        <v/>
      </c>
      <c r="C1452" s="22" t="str">
        <f>'EQUITY BACKTEST'!E1455</f>
        <v/>
      </c>
      <c r="I1452" s="22" t="str">
        <f t="shared" si="1"/>
        <v>#N/A</v>
      </c>
      <c r="J1452" s="22" t="str">
        <f t="shared" si="2"/>
        <v>#N/A</v>
      </c>
      <c r="K1452" s="22" t="str">
        <f t="shared" si="8"/>
        <v/>
      </c>
    </row>
    <row r="1453" ht="15.75" customHeight="1">
      <c r="A1453" s="31" t="str">
        <f>'EQUITY BACKTEST'!A1456</f>
        <v/>
      </c>
      <c r="B1453" s="22" t="str">
        <f>'EQUITY BACKTEST'!B1456</f>
        <v/>
      </c>
      <c r="C1453" s="22" t="str">
        <f>'EQUITY BACKTEST'!E1456</f>
        <v/>
      </c>
      <c r="I1453" s="22" t="str">
        <f t="shared" si="1"/>
        <v>#N/A</v>
      </c>
      <c r="J1453" s="22" t="str">
        <f t="shared" si="2"/>
        <v>#N/A</v>
      </c>
      <c r="K1453" s="22" t="str">
        <f t="shared" si="8"/>
        <v/>
      </c>
    </row>
    <row r="1454" ht="15.75" customHeight="1">
      <c r="A1454" s="31" t="str">
        <f>'EQUITY BACKTEST'!A1457</f>
        <v/>
      </c>
      <c r="B1454" s="22" t="str">
        <f>'EQUITY BACKTEST'!B1457</f>
        <v/>
      </c>
      <c r="C1454" s="22" t="str">
        <f>'EQUITY BACKTEST'!E1457</f>
        <v/>
      </c>
      <c r="I1454" s="22" t="str">
        <f t="shared" si="1"/>
        <v>#N/A</v>
      </c>
      <c r="J1454" s="22" t="str">
        <f t="shared" si="2"/>
        <v>#N/A</v>
      </c>
      <c r="K1454" s="22" t="str">
        <f t="shared" si="8"/>
        <v/>
      </c>
    </row>
    <row r="1455" ht="15.75" customHeight="1">
      <c r="A1455" s="31" t="str">
        <f>'EQUITY BACKTEST'!A1458</f>
        <v/>
      </c>
      <c r="B1455" s="22" t="str">
        <f>'EQUITY BACKTEST'!B1458</f>
        <v/>
      </c>
      <c r="C1455" s="22" t="str">
        <f>'EQUITY BACKTEST'!E1458</f>
        <v/>
      </c>
      <c r="I1455" s="22" t="str">
        <f t="shared" si="1"/>
        <v>#N/A</v>
      </c>
      <c r="J1455" s="22" t="str">
        <f t="shared" si="2"/>
        <v>#N/A</v>
      </c>
      <c r="K1455" s="22" t="str">
        <f t="shared" si="8"/>
        <v/>
      </c>
    </row>
    <row r="1456" ht="15.75" customHeight="1">
      <c r="A1456" s="31" t="str">
        <f>'EQUITY BACKTEST'!A1459</f>
        <v/>
      </c>
      <c r="B1456" s="22" t="str">
        <f>'EQUITY BACKTEST'!B1459</f>
        <v/>
      </c>
      <c r="C1456" s="22" t="str">
        <f>'EQUITY BACKTEST'!E1459</f>
        <v/>
      </c>
      <c r="I1456" s="22" t="str">
        <f t="shared" si="1"/>
        <v>#N/A</v>
      </c>
      <c r="J1456" s="22" t="str">
        <f t="shared" si="2"/>
        <v>#N/A</v>
      </c>
      <c r="K1456" s="22" t="str">
        <f t="shared" si="8"/>
        <v/>
      </c>
    </row>
    <row r="1457" ht="15.75" customHeight="1">
      <c r="A1457" s="31" t="str">
        <f>'EQUITY BACKTEST'!A1460</f>
        <v/>
      </c>
      <c r="B1457" s="22" t="str">
        <f>'EQUITY BACKTEST'!B1460</f>
        <v/>
      </c>
      <c r="C1457" s="22" t="str">
        <f>'EQUITY BACKTEST'!E1460</f>
        <v/>
      </c>
      <c r="I1457" s="22" t="str">
        <f t="shared" si="1"/>
        <v>#N/A</v>
      </c>
      <c r="J1457" s="22" t="str">
        <f t="shared" si="2"/>
        <v>#N/A</v>
      </c>
      <c r="K1457" s="22" t="str">
        <f t="shared" si="8"/>
        <v/>
      </c>
    </row>
    <row r="1458" ht="15.75" customHeight="1">
      <c r="A1458" s="31" t="str">
        <f>'EQUITY BACKTEST'!A1461</f>
        <v/>
      </c>
      <c r="B1458" s="22" t="str">
        <f>'EQUITY BACKTEST'!B1461</f>
        <v/>
      </c>
      <c r="C1458" s="22" t="str">
        <f>'EQUITY BACKTEST'!E1461</f>
        <v/>
      </c>
      <c r="I1458" s="22" t="str">
        <f t="shared" si="1"/>
        <v>#N/A</v>
      </c>
      <c r="J1458" s="22" t="str">
        <f t="shared" si="2"/>
        <v>#N/A</v>
      </c>
      <c r="K1458" s="22" t="str">
        <f t="shared" si="8"/>
        <v/>
      </c>
    </row>
    <row r="1459" ht="15.75" customHeight="1">
      <c r="A1459" s="31" t="str">
        <f>'EQUITY BACKTEST'!A1462</f>
        <v/>
      </c>
      <c r="B1459" s="22" t="str">
        <f>'EQUITY BACKTEST'!B1462</f>
        <v/>
      </c>
      <c r="C1459" s="22" t="str">
        <f>'EQUITY BACKTEST'!E1462</f>
        <v/>
      </c>
      <c r="I1459" s="22" t="str">
        <f t="shared" si="1"/>
        <v>#N/A</v>
      </c>
      <c r="J1459" s="22" t="str">
        <f t="shared" si="2"/>
        <v>#N/A</v>
      </c>
      <c r="K1459" s="22" t="str">
        <f t="shared" si="8"/>
        <v/>
      </c>
    </row>
    <row r="1460" ht="15.75" customHeight="1">
      <c r="A1460" s="31" t="str">
        <f>'EQUITY BACKTEST'!A1463</f>
        <v/>
      </c>
      <c r="B1460" s="22" t="str">
        <f>'EQUITY BACKTEST'!B1463</f>
        <v/>
      </c>
      <c r="C1460" s="22" t="str">
        <f>'EQUITY BACKTEST'!E1463</f>
        <v/>
      </c>
      <c r="I1460" s="22" t="str">
        <f t="shared" si="1"/>
        <v>#N/A</v>
      </c>
      <c r="J1460" s="22" t="str">
        <f t="shared" si="2"/>
        <v>#N/A</v>
      </c>
      <c r="K1460" s="22" t="str">
        <f t="shared" si="8"/>
        <v/>
      </c>
    </row>
    <row r="1461" ht="15.75" customHeight="1">
      <c r="A1461" s="31" t="str">
        <f>'EQUITY BACKTEST'!A1464</f>
        <v/>
      </c>
      <c r="B1461" s="22" t="str">
        <f>'EQUITY BACKTEST'!B1464</f>
        <v/>
      </c>
      <c r="C1461" s="22" t="str">
        <f>'EQUITY BACKTEST'!E1464</f>
        <v/>
      </c>
      <c r="I1461" s="22" t="str">
        <f t="shared" si="1"/>
        <v>#N/A</v>
      </c>
      <c r="J1461" s="22" t="str">
        <f t="shared" si="2"/>
        <v>#N/A</v>
      </c>
      <c r="K1461" s="22" t="str">
        <f t="shared" si="8"/>
        <v/>
      </c>
    </row>
    <row r="1462" ht="15.75" customHeight="1">
      <c r="A1462" s="31" t="str">
        <f>'EQUITY BACKTEST'!A1465</f>
        <v/>
      </c>
      <c r="B1462" s="22" t="str">
        <f>'EQUITY BACKTEST'!B1465</f>
        <v/>
      </c>
      <c r="C1462" s="22" t="str">
        <f>'EQUITY BACKTEST'!E1465</f>
        <v/>
      </c>
      <c r="I1462" s="22" t="str">
        <f t="shared" si="1"/>
        <v>#N/A</v>
      </c>
      <c r="J1462" s="22" t="str">
        <f t="shared" si="2"/>
        <v>#N/A</v>
      </c>
      <c r="K1462" s="22" t="str">
        <f t="shared" si="8"/>
        <v/>
      </c>
    </row>
    <row r="1463" ht="15.75" customHeight="1">
      <c r="A1463" s="31" t="str">
        <f>'EQUITY BACKTEST'!A1466</f>
        <v/>
      </c>
      <c r="B1463" s="22" t="str">
        <f>'EQUITY BACKTEST'!B1466</f>
        <v/>
      </c>
      <c r="C1463" s="22" t="str">
        <f>'EQUITY BACKTEST'!E1466</f>
        <v/>
      </c>
      <c r="I1463" s="22" t="str">
        <f t="shared" si="1"/>
        <v>#N/A</v>
      </c>
      <c r="J1463" s="22" t="str">
        <f t="shared" si="2"/>
        <v>#N/A</v>
      </c>
      <c r="K1463" s="22" t="str">
        <f t="shared" si="8"/>
        <v/>
      </c>
    </row>
    <row r="1464" ht="15.75" customHeight="1">
      <c r="A1464" s="31" t="str">
        <f>'EQUITY BACKTEST'!A1467</f>
        <v/>
      </c>
      <c r="B1464" s="22" t="str">
        <f>'EQUITY BACKTEST'!B1467</f>
        <v/>
      </c>
      <c r="C1464" s="22" t="str">
        <f>'EQUITY BACKTEST'!E1467</f>
        <v/>
      </c>
      <c r="I1464" s="22" t="str">
        <f t="shared" si="1"/>
        <v>#N/A</v>
      </c>
      <c r="J1464" s="22" t="str">
        <f t="shared" si="2"/>
        <v>#N/A</v>
      </c>
      <c r="K1464" s="22" t="str">
        <f t="shared" si="8"/>
        <v/>
      </c>
    </row>
    <row r="1465" ht="15.75" customHeight="1">
      <c r="A1465" s="31" t="str">
        <f>'EQUITY BACKTEST'!A1468</f>
        <v/>
      </c>
      <c r="B1465" s="22" t="str">
        <f>'EQUITY BACKTEST'!B1468</f>
        <v/>
      </c>
      <c r="C1465" s="22" t="str">
        <f>'EQUITY BACKTEST'!E1468</f>
        <v/>
      </c>
      <c r="I1465" s="22" t="str">
        <f t="shared" si="1"/>
        <v>#N/A</v>
      </c>
      <c r="J1465" s="22" t="str">
        <f t="shared" si="2"/>
        <v>#N/A</v>
      </c>
      <c r="K1465" s="22" t="str">
        <f t="shared" si="8"/>
        <v/>
      </c>
    </row>
    <row r="1466" ht="15.75" customHeight="1">
      <c r="A1466" s="31" t="str">
        <f>'EQUITY BACKTEST'!A1469</f>
        <v/>
      </c>
      <c r="B1466" s="22" t="str">
        <f>'EQUITY BACKTEST'!B1469</f>
        <v/>
      </c>
      <c r="C1466" s="22" t="str">
        <f>'EQUITY BACKTEST'!E1469</f>
        <v/>
      </c>
      <c r="I1466" s="22" t="str">
        <f t="shared" si="1"/>
        <v>#N/A</v>
      </c>
      <c r="J1466" s="22" t="str">
        <f t="shared" si="2"/>
        <v>#N/A</v>
      </c>
      <c r="K1466" s="22" t="str">
        <f t="shared" si="8"/>
        <v/>
      </c>
    </row>
    <row r="1467" ht="15.75" customHeight="1">
      <c r="A1467" s="31" t="str">
        <f>'EQUITY BACKTEST'!A1470</f>
        <v/>
      </c>
      <c r="B1467" s="22" t="str">
        <f>'EQUITY BACKTEST'!B1470</f>
        <v/>
      </c>
      <c r="C1467" s="22" t="str">
        <f>'EQUITY BACKTEST'!E1470</f>
        <v/>
      </c>
      <c r="I1467" s="22" t="str">
        <f t="shared" si="1"/>
        <v>#N/A</v>
      </c>
      <c r="J1467" s="22" t="str">
        <f t="shared" si="2"/>
        <v>#N/A</v>
      </c>
      <c r="K1467" s="22" t="str">
        <f t="shared" si="8"/>
        <v/>
      </c>
    </row>
    <row r="1468" ht="15.75" customHeight="1">
      <c r="A1468" s="31" t="str">
        <f>'EQUITY BACKTEST'!A1471</f>
        <v/>
      </c>
      <c r="B1468" s="22" t="str">
        <f>'EQUITY BACKTEST'!B1471</f>
        <v/>
      </c>
      <c r="C1468" s="22" t="str">
        <f>'EQUITY BACKTEST'!E1471</f>
        <v/>
      </c>
      <c r="I1468" s="22" t="str">
        <f t="shared" si="1"/>
        <v>#N/A</v>
      </c>
      <c r="J1468" s="22" t="str">
        <f t="shared" si="2"/>
        <v>#N/A</v>
      </c>
      <c r="K1468" s="22" t="str">
        <f t="shared" si="8"/>
        <v/>
      </c>
    </row>
    <row r="1469" ht="15.75" customHeight="1">
      <c r="A1469" s="31" t="str">
        <f>'EQUITY BACKTEST'!A1472</f>
        <v/>
      </c>
      <c r="B1469" s="22" t="str">
        <f>'EQUITY BACKTEST'!B1472</f>
        <v/>
      </c>
      <c r="C1469" s="22" t="str">
        <f>'EQUITY BACKTEST'!E1472</f>
        <v/>
      </c>
      <c r="I1469" s="22" t="str">
        <f t="shared" si="1"/>
        <v>#N/A</v>
      </c>
      <c r="J1469" s="22" t="str">
        <f t="shared" si="2"/>
        <v>#N/A</v>
      </c>
      <c r="K1469" s="22" t="str">
        <f t="shared" si="8"/>
        <v/>
      </c>
    </row>
    <row r="1470" ht="15.75" customHeight="1">
      <c r="A1470" s="31" t="str">
        <f>'EQUITY BACKTEST'!A1473</f>
        <v/>
      </c>
      <c r="B1470" s="22" t="str">
        <f>'EQUITY BACKTEST'!B1473</f>
        <v/>
      </c>
      <c r="C1470" s="22" t="str">
        <f>'EQUITY BACKTEST'!E1473</f>
        <v/>
      </c>
      <c r="I1470" s="22" t="str">
        <f t="shared" si="1"/>
        <v>#N/A</v>
      </c>
      <c r="J1470" s="22" t="str">
        <f t="shared" si="2"/>
        <v>#N/A</v>
      </c>
      <c r="K1470" s="22" t="str">
        <f t="shared" si="8"/>
        <v/>
      </c>
    </row>
    <row r="1471" ht="15.75" customHeight="1">
      <c r="A1471" s="31" t="str">
        <f>'EQUITY BACKTEST'!A1474</f>
        <v/>
      </c>
      <c r="B1471" s="22" t="str">
        <f>'EQUITY BACKTEST'!B1474</f>
        <v/>
      </c>
      <c r="C1471" s="22" t="str">
        <f>'EQUITY BACKTEST'!E1474</f>
        <v/>
      </c>
      <c r="I1471" s="22" t="str">
        <f t="shared" si="1"/>
        <v>#N/A</v>
      </c>
      <c r="J1471" s="22" t="str">
        <f t="shared" si="2"/>
        <v>#N/A</v>
      </c>
      <c r="K1471" s="22" t="str">
        <f t="shared" si="8"/>
        <v/>
      </c>
    </row>
    <row r="1472" ht="15.75" customHeight="1">
      <c r="A1472" s="31" t="str">
        <f>'EQUITY BACKTEST'!A1475</f>
        <v/>
      </c>
      <c r="B1472" s="22" t="str">
        <f>'EQUITY BACKTEST'!B1475</f>
        <v/>
      </c>
      <c r="C1472" s="22" t="str">
        <f>'EQUITY BACKTEST'!E1475</f>
        <v/>
      </c>
      <c r="I1472" s="22" t="str">
        <f t="shared" si="1"/>
        <v>#N/A</v>
      </c>
      <c r="J1472" s="22" t="str">
        <f t="shared" si="2"/>
        <v>#N/A</v>
      </c>
      <c r="K1472" s="22" t="str">
        <f t="shared" si="8"/>
        <v/>
      </c>
    </row>
    <row r="1473" ht="15.75" customHeight="1">
      <c r="A1473" s="31" t="str">
        <f>'EQUITY BACKTEST'!A1476</f>
        <v/>
      </c>
      <c r="B1473" s="22" t="str">
        <f>'EQUITY BACKTEST'!B1476</f>
        <v/>
      </c>
      <c r="C1473" s="22" t="str">
        <f>'EQUITY BACKTEST'!E1476</f>
        <v/>
      </c>
      <c r="I1473" s="22" t="str">
        <f t="shared" si="1"/>
        <v>#N/A</v>
      </c>
      <c r="J1473" s="22" t="str">
        <f t="shared" si="2"/>
        <v>#N/A</v>
      </c>
      <c r="K1473" s="22" t="str">
        <f t="shared" si="8"/>
        <v/>
      </c>
    </row>
    <row r="1474" ht="15.75" customHeight="1">
      <c r="A1474" s="31" t="str">
        <f>'EQUITY BACKTEST'!A1477</f>
        <v/>
      </c>
      <c r="B1474" s="22" t="str">
        <f>'EQUITY BACKTEST'!B1477</f>
        <v/>
      </c>
      <c r="C1474" s="22" t="str">
        <f>'EQUITY BACKTEST'!E1477</f>
        <v/>
      </c>
      <c r="I1474" s="22" t="str">
        <f t="shared" si="1"/>
        <v>#N/A</v>
      </c>
      <c r="J1474" s="22" t="str">
        <f t="shared" si="2"/>
        <v>#N/A</v>
      </c>
      <c r="K1474" s="22" t="str">
        <f t="shared" si="8"/>
        <v/>
      </c>
    </row>
    <row r="1475" ht="15.75" customHeight="1">
      <c r="A1475" s="31" t="str">
        <f>'EQUITY BACKTEST'!A1478</f>
        <v/>
      </c>
      <c r="B1475" s="22" t="str">
        <f>'EQUITY BACKTEST'!B1478</f>
        <v/>
      </c>
      <c r="C1475" s="22" t="str">
        <f>'EQUITY BACKTEST'!E1478</f>
        <v/>
      </c>
      <c r="I1475" s="22" t="str">
        <f t="shared" si="1"/>
        <v>#N/A</v>
      </c>
      <c r="J1475" s="22" t="str">
        <f t="shared" si="2"/>
        <v>#N/A</v>
      </c>
      <c r="K1475" s="22" t="str">
        <f t="shared" si="8"/>
        <v/>
      </c>
    </row>
    <row r="1476" ht="15.75" customHeight="1">
      <c r="A1476" s="31" t="str">
        <f>'EQUITY BACKTEST'!A1479</f>
        <v/>
      </c>
      <c r="B1476" s="22" t="str">
        <f>'EQUITY BACKTEST'!B1479</f>
        <v/>
      </c>
      <c r="C1476" s="22" t="str">
        <f>'EQUITY BACKTEST'!E1479</f>
        <v/>
      </c>
      <c r="I1476" s="22" t="str">
        <f t="shared" si="1"/>
        <v>#N/A</v>
      </c>
      <c r="J1476" s="22" t="str">
        <f t="shared" si="2"/>
        <v>#N/A</v>
      </c>
      <c r="K1476" s="22" t="str">
        <f t="shared" si="8"/>
        <v/>
      </c>
    </row>
    <row r="1477" ht="15.75" customHeight="1">
      <c r="A1477" s="31" t="str">
        <f>'EQUITY BACKTEST'!A1480</f>
        <v/>
      </c>
      <c r="B1477" s="22" t="str">
        <f>'EQUITY BACKTEST'!B1480</f>
        <v/>
      </c>
      <c r="C1477" s="22" t="str">
        <f>'EQUITY BACKTEST'!E1480</f>
        <v/>
      </c>
      <c r="I1477" s="22" t="str">
        <f t="shared" si="1"/>
        <v>#N/A</v>
      </c>
      <c r="J1477" s="22" t="str">
        <f t="shared" si="2"/>
        <v>#N/A</v>
      </c>
      <c r="K1477" s="22" t="str">
        <f t="shared" si="8"/>
        <v/>
      </c>
    </row>
    <row r="1478" ht="15.75" customHeight="1">
      <c r="A1478" s="31" t="str">
        <f>'EQUITY BACKTEST'!A1481</f>
        <v/>
      </c>
      <c r="B1478" s="22" t="str">
        <f>'EQUITY BACKTEST'!B1481</f>
        <v/>
      </c>
      <c r="C1478" s="22" t="str">
        <f>'EQUITY BACKTEST'!E1481</f>
        <v/>
      </c>
      <c r="I1478" s="22" t="str">
        <f t="shared" si="1"/>
        <v>#N/A</v>
      </c>
      <c r="J1478" s="22" t="str">
        <f t="shared" si="2"/>
        <v>#N/A</v>
      </c>
      <c r="K1478" s="22" t="str">
        <f t="shared" si="8"/>
        <v/>
      </c>
    </row>
    <row r="1479" ht="15.75" customHeight="1">
      <c r="A1479" s="31" t="str">
        <f>'EQUITY BACKTEST'!A1482</f>
        <v/>
      </c>
      <c r="B1479" s="22" t="str">
        <f>'EQUITY BACKTEST'!B1482</f>
        <v/>
      </c>
      <c r="C1479" s="22" t="str">
        <f>'EQUITY BACKTEST'!E1482</f>
        <v/>
      </c>
      <c r="I1479" s="22" t="str">
        <f t="shared" si="1"/>
        <v>#N/A</v>
      </c>
      <c r="J1479" s="22" t="str">
        <f t="shared" si="2"/>
        <v>#N/A</v>
      </c>
      <c r="K1479" s="22" t="str">
        <f t="shared" si="8"/>
        <v/>
      </c>
    </row>
    <row r="1480" ht="15.75" customHeight="1">
      <c r="A1480" s="31" t="str">
        <f>'EQUITY BACKTEST'!A1483</f>
        <v/>
      </c>
      <c r="B1480" s="22" t="str">
        <f>'EQUITY BACKTEST'!B1483</f>
        <v/>
      </c>
      <c r="C1480" s="22" t="str">
        <f>'EQUITY BACKTEST'!E1483</f>
        <v/>
      </c>
      <c r="I1480" s="22" t="str">
        <f t="shared" si="1"/>
        <v>#N/A</v>
      </c>
      <c r="J1480" s="22" t="str">
        <f t="shared" si="2"/>
        <v>#N/A</v>
      </c>
      <c r="K1480" s="22" t="str">
        <f t="shared" si="8"/>
        <v/>
      </c>
    </row>
    <row r="1481" ht="15.75" customHeight="1">
      <c r="A1481" s="31" t="str">
        <f>'EQUITY BACKTEST'!A1484</f>
        <v/>
      </c>
      <c r="B1481" s="22" t="str">
        <f>'EQUITY BACKTEST'!B1484</f>
        <v/>
      </c>
      <c r="C1481" s="22" t="str">
        <f>'EQUITY BACKTEST'!E1484</f>
        <v/>
      </c>
      <c r="I1481" s="22" t="str">
        <f t="shared" si="1"/>
        <v>#N/A</v>
      </c>
      <c r="J1481" s="22" t="str">
        <f t="shared" si="2"/>
        <v>#N/A</v>
      </c>
      <c r="K1481" s="22" t="str">
        <f t="shared" si="8"/>
        <v/>
      </c>
    </row>
    <row r="1482" ht="15.75" customHeight="1">
      <c r="A1482" s="31" t="str">
        <f>'EQUITY BACKTEST'!A1485</f>
        <v/>
      </c>
      <c r="B1482" s="22" t="str">
        <f>'EQUITY BACKTEST'!B1485</f>
        <v/>
      </c>
      <c r="C1482" s="22" t="str">
        <f>'EQUITY BACKTEST'!E1485</f>
        <v/>
      </c>
      <c r="I1482" s="22" t="str">
        <f t="shared" si="1"/>
        <v>#N/A</v>
      </c>
      <c r="J1482" s="22" t="str">
        <f t="shared" si="2"/>
        <v>#N/A</v>
      </c>
      <c r="K1482" s="22" t="str">
        <f t="shared" si="8"/>
        <v/>
      </c>
    </row>
    <row r="1483" ht="15.75" customHeight="1">
      <c r="A1483" s="31" t="str">
        <f>'EQUITY BACKTEST'!A1486</f>
        <v/>
      </c>
      <c r="B1483" s="22" t="str">
        <f>'EQUITY BACKTEST'!B1486</f>
        <v/>
      </c>
      <c r="C1483" s="22" t="str">
        <f>'EQUITY BACKTEST'!E1486</f>
        <v/>
      </c>
      <c r="I1483" s="22" t="str">
        <f t="shared" si="1"/>
        <v>#N/A</v>
      </c>
      <c r="J1483" s="22" t="str">
        <f t="shared" si="2"/>
        <v>#N/A</v>
      </c>
      <c r="K1483" s="22" t="str">
        <f t="shared" si="8"/>
        <v/>
      </c>
    </row>
    <row r="1484" ht="15.75" customHeight="1">
      <c r="A1484" s="31" t="str">
        <f>'EQUITY BACKTEST'!A1487</f>
        <v/>
      </c>
      <c r="B1484" s="22" t="str">
        <f>'EQUITY BACKTEST'!B1487</f>
        <v/>
      </c>
      <c r="C1484" s="22" t="str">
        <f>'EQUITY BACKTEST'!E1487</f>
        <v/>
      </c>
      <c r="I1484" s="22" t="str">
        <f t="shared" si="1"/>
        <v>#N/A</v>
      </c>
      <c r="J1484" s="22" t="str">
        <f t="shared" si="2"/>
        <v>#N/A</v>
      </c>
      <c r="K1484" s="22" t="str">
        <f t="shared" si="8"/>
        <v/>
      </c>
    </row>
    <row r="1485" ht="15.75" customHeight="1">
      <c r="A1485" s="31" t="str">
        <f>'EQUITY BACKTEST'!A1488</f>
        <v/>
      </c>
      <c r="B1485" s="22" t="str">
        <f>'EQUITY BACKTEST'!B1488</f>
        <v/>
      </c>
      <c r="C1485" s="22" t="str">
        <f>'EQUITY BACKTEST'!E1488</f>
        <v/>
      </c>
      <c r="I1485" s="22" t="str">
        <f t="shared" si="1"/>
        <v>#N/A</v>
      </c>
      <c r="J1485" s="22" t="str">
        <f t="shared" si="2"/>
        <v>#N/A</v>
      </c>
      <c r="K1485" s="22" t="str">
        <f t="shared" si="8"/>
        <v/>
      </c>
    </row>
    <row r="1486" ht="15.75" customHeight="1">
      <c r="A1486" s="31" t="str">
        <f>'EQUITY BACKTEST'!A1489</f>
        <v/>
      </c>
      <c r="B1486" s="22" t="str">
        <f>'EQUITY BACKTEST'!B1489</f>
        <v/>
      </c>
      <c r="C1486" s="22" t="str">
        <f>'EQUITY BACKTEST'!E1489</f>
        <v/>
      </c>
      <c r="I1486" s="22" t="str">
        <f t="shared" si="1"/>
        <v>#N/A</v>
      </c>
      <c r="J1486" s="22" t="str">
        <f t="shared" si="2"/>
        <v>#N/A</v>
      </c>
      <c r="K1486" s="22" t="str">
        <f t="shared" si="8"/>
        <v/>
      </c>
    </row>
    <row r="1487" ht="15.75" customHeight="1">
      <c r="A1487" s="31" t="str">
        <f>'EQUITY BACKTEST'!A1490</f>
        <v/>
      </c>
      <c r="B1487" s="22" t="str">
        <f>'EQUITY BACKTEST'!B1490</f>
        <v/>
      </c>
      <c r="C1487" s="22" t="str">
        <f>'EQUITY BACKTEST'!E1490</f>
        <v/>
      </c>
      <c r="I1487" s="22" t="str">
        <f t="shared" si="1"/>
        <v>#N/A</v>
      </c>
      <c r="J1487" s="22" t="str">
        <f t="shared" si="2"/>
        <v>#N/A</v>
      </c>
      <c r="K1487" s="22" t="str">
        <f t="shared" si="8"/>
        <v/>
      </c>
    </row>
    <row r="1488" ht="15.75" customHeight="1">
      <c r="A1488" s="31" t="str">
        <f>'EQUITY BACKTEST'!A1491</f>
        <v/>
      </c>
      <c r="B1488" s="22" t="str">
        <f>'EQUITY BACKTEST'!B1491</f>
        <v/>
      </c>
      <c r="C1488" s="22" t="str">
        <f>'EQUITY BACKTEST'!E1491</f>
        <v/>
      </c>
      <c r="I1488" s="22" t="str">
        <f t="shared" si="1"/>
        <v>#N/A</v>
      </c>
      <c r="J1488" s="22" t="str">
        <f t="shared" si="2"/>
        <v>#N/A</v>
      </c>
      <c r="K1488" s="22" t="str">
        <f t="shared" si="8"/>
        <v/>
      </c>
    </row>
    <row r="1489" ht="15.75" customHeight="1">
      <c r="A1489" s="31" t="str">
        <f>'EQUITY BACKTEST'!A1492</f>
        <v/>
      </c>
      <c r="B1489" s="22" t="str">
        <f>'EQUITY BACKTEST'!B1492</f>
        <v/>
      </c>
      <c r="C1489" s="22" t="str">
        <f>'EQUITY BACKTEST'!E1492</f>
        <v/>
      </c>
      <c r="I1489" s="22" t="str">
        <f t="shared" si="1"/>
        <v>#N/A</v>
      </c>
      <c r="J1489" s="22" t="str">
        <f t="shared" si="2"/>
        <v>#N/A</v>
      </c>
      <c r="K1489" s="22" t="str">
        <f t="shared" si="8"/>
        <v/>
      </c>
    </row>
    <row r="1490" ht="15.75" customHeight="1">
      <c r="A1490" s="31" t="str">
        <f>'EQUITY BACKTEST'!A1493</f>
        <v/>
      </c>
      <c r="B1490" s="22" t="str">
        <f>'EQUITY BACKTEST'!B1493</f>
        <v/>
      </c>
      <c r="C1490" s="22" t="str">
        <f>'EQUITY BACKTEST'!E1493</f>
        <v/>
      </c>
      <c r="I1490" s="22" t="str">
        <f t="shared" si="1"/>
        <v>#N/A</v>
      </c>
      <c r="J1490" s="22" t="str">
        <f t="shared" si="2"/>
        <v>#N/A</v>
      </c>
      <c r="K1490" s="22" t="str">
        <f t="shared" si="8"/>
        <v/>
      </c>
    </row>
    <row r="1491" ht="15.75" customHeight="1">
      <c r="A1491" s="31" t="str">
        <f>'EQUITY BACKTEST'!A1494</f>
        <v/>
      </c>
      <c r="B1491" s="22" t="str">
        <f>'EQUITY BACKTEST'!B1494</f>
        <v/>
      </c>
      <c r="C1491" s="22" t="str">
        <f>'EQUITY BACKTEST'!E1494</f>
        <v/>
      </c>
      <c r="I1491" s="22" t="str">
        <f t="shared" si="1"/>
        <v>#N/A</v>
      </c>
      <c r="J1491" s="22" t="str">
        <f t="shared" si="2"/>
        <v>#N/A</v>
      </c>
      <c r="K1491" s="22" t="str">
        <f t="shared" si="8"/>
        <v/>
      </c>
    </row>
    <row r="1492" ht="15.75" customHeight="1">
      <c r="A1492" s="31" t="str">
        <f>'EQUITY BACKTEST'!A1495</f>
        <v/>
      </c>
      <c r="B1492" s="22" t="str">
        <f>'EQUITY BACKTEST'!B1495</f>
        <v/>
      </c>
      <c r="C1492" s="22" t="str">
        <f>'EQUITY BACKTEST'!E1495</f>
        <v/>
      </c>
      <c r="I1492" s="22" t="str">
        <f t="shared" si="1"/>
        <v>#N/A</v>
      </c>
      <c r="J1492" s="22" t="str">
        <f t="shared" si="2"/>
        <v>#N/A</v>
      </c>
      <c r="K1492" s="22" t="str">
        <f t="shared" si="8"/>
        <v/>
      </c>
    </row>
    <row r="1493" ht="15.75" customHeight="1">
      <c r="A1493" s="31" t="str">
        <f>'EQUITY BACKTEST'!A1496</f>
        <v/>
      </c>
      <c r="B1493" s="22" t="str">
        <f>'EQUITY BACKTEST'!B1496</f>
        <v/>
      </c>
      <c r="C1493" s="22" t="str">
        <f>'EQUITY BACKTEST'!E1496</f>
        <v/>
      </c>
      <c r="I1493" s="22" t="str">
        <f t="shared" si="1"/>
        <v>#N/A</v>
      </c>
      <c r="J1493" s="22" t="str">
        <f t="shared" si="2"/>
        <v>#N/A</v>
      </c>
      <c r="K1493" s="22" t="str">
        <f t="shared" si="8"/>
        <v/>
      </c>
    </row>
    <row r="1494" ht="15.75" customHeight="1">
      <c r="A1494" s="31" t="str">
        <f>'EQUITY BACKTEST'!A1497</f>
        <v/>
      </c>
      <c r="B1494" s="22" t="str">
        <f>'EQUITY BACKTEST'!B1497</f>
        <v/>
      </c>
      <c r="C1494" s="22" t="str">
        <f>'EQUITY BACKTEST'!E1497</f>
        <v/>
      </c>
      <c r="I1494" s="22" t="str">
        <f t="shared" si="1"/>
        <v>#N/A</v>
      </c>
      <c r="J1494" s="22" t="str">
        <f t="shared" si="2"/>
        <v>#N/A</v>
      </c>
      <c r="K1494" s="22" t="str">
        <f t="shared" si="8"/>
        <v/>
      </c>
    </row>
    <row r="1495" ht="15.75" customHeight="1">
      <c r="A1495" s="31" t="str">
        <f>'EQUITY BACKTEST'!A1498</f>
        <v/>
      </c>
      <c r="B1495" s="22" t="str">
        <f>'EQUITY BACKTEST'!B1498</f>
        <v/>
      </c>
      <c r="C1495" s="22" t="str">
        <f>'EQUITY BACKTEST'!E1498</f>
        <v/>
      </c>
      <c r="I1495" s="22" t="str">
        <f t="shared" si="1"/>
        <v>#N/A</v>
      </c>
      <c r="J1495" s="22" t="str">
        <f t="shared" si="2"/>
        <v>#N/A</v>
      </c>
      <c r="K1495" s="22" t="str">
        <f t="shared" si="8"/>
        <v/>
      </c>
    </row>
    <row r="1496" ht="15.75" customHeight="1">
      <c r="A1496" s="31" t="str">
        <f>'EQUITY BACKTEST'!A1499</f>
        <v/>
      </c>
      <c r="B1496" s="22" t="str">
        <f>'EQUITY BACKTEST'!B1499</f>
        <v/>
      </c>
      <c r="C1496" s="22" t="str">
        <f>'EQUITY BACKTEST'!E1499</f>
        <v/>
      </c>
      <c r="I1496" s="22" t="str">
        <f t="shared" si="1"/>
        <v>#N/A</v>
      </c>
      <c r="J1496" s="22" t="str">
        <f t="shared" si="2"/>
        <v>#N/A</v>
      </c>
      <c r="K1496" s="22" t="str">
        <f t="shared" si="8"/>
        <v/>
      </c>
    </row>
    <row r="1497" ht="15.75" customHeight="1">
      <c r="A1497" s="31" t="str">
        <f>'EQUITY BACKTEST'!A1500</f>
        <v/>
      </c>
      <c r="B1497" s="22" t="str">
        <f>'EQUITY BACKTEST'!B1500</f>
        <v/>
      </c>
      <c r="C1497" s="22" t="str">
        <f>'EQUITY BACKTEST'!E1500</f>
        <v/>
      </c>
      <c r="I1497" s="22" t="str">
        <f t="shared" si="1"/>
        <v>#N/A</v>
      </c>
      <c r="J1497" s="22" t="str">
        <f t="shared" si="2"/>
        <v>#N/A</v>
      </c>
      <c r="K1497" s="22" t="str">
        <f t="shared" si="8"/>
        <v/>
      </c>
    </row>
    <row r="1498" ht="15.75" customHeight="1">
      <c r="A1498" s="31" t="str">
        <f>'EQUITY BACKTEST'!A1501</f>
        <v/>
      </c>
      <c r="B1498" s="22" t="str">
        <f>'EQUITY BACKTEST'!B1501</f>
        <v/>
      </c>
      <c r="C1498" s="22" t="str">
        <f>'EQUITY BACKTEST'!E1501</f>
        <v/>
      </c>
      <c r="I1498" s="22" t="str">
        <f t="shared" si="1"/>
        <v>#N/A</v>
      </c>
      <c r="J1498" s="22" t="str">
        <f t="shared" si="2"/>
        <v>#N/A</v>
      </c>
      <c r="K1498" s="22" t="str">
        <f t="shared" si="8"/>
        <v/>
      </c>
    </row>
    <row r="1499" ht="15.75" customHeight="1">
      <c r="A1499" s="31" t="str">
        <f>'EQUITY BACKTEST'!A1502</f>
        <v/>
      </c>
      <c r="B1499" s="22" t="str">
        <f>'EQUITY BACKTEST'!B1502</f>
        <v/>
      </c>
      <c r="C1499" s="22" t="str">
        <f>'EQUITY BACKTEST'!E1502</f>
        <v/>
      </c>
      <c r="I1499" s="22" t="str">
        <f t="shared" si="1"/>
        <v>#N/A</v>
      </c>
      <c r="J1499" s="22" t="str">
        <f t="shared" si="2"/>
        <v>#N/A</v>
      </c>
      <c r="K1499" s="22" t="str">
        <f t="shared" si="8"/>
        <v/>
      </c>
    </row>
    <row r="1500" ht="15.75" customHeight="1">
      <c r="A1500" s="31" t="str">
        <f>'EQUITY BACKTEST'!A1503</f>
        <v/>
      </c>
      <c r="B1500" s="22" t="str">
        <f>'EQUITY BACKTEST'!B1503</f>
        <v/>
      </c>
      <c r="C1500" s="22" t="str">
        <f>'EQUITY BACKTEST'!E1503</f>
        <v/>
      </c>
      <c r="I1500" s="22" t="str">
        <f t="shared" si="1"/>
        <v>#N/A</v>
      </c>
      <c r="J1500" s="22" t="str">
        <f t="shared" si="2"/>
        <v>#N/A</v>
      </c>
      <c r="K1500" s="22" t="str">
        <f t="shared" si="8"/>
        <v/>
      </c>
    </row>
    <row r="1501" ht="15.75" customHeight="1">
      <c r="A1501" s="31" t="str">
        <f>'EQUITY BACKTEST'!A1504</f>
        <v/>
      </c>
      <c r="B1501" s="22" t="str">
        <f>'EQUITY BACKTEST'!B1504</f>
        <v/>
      </c>
      <c r="C1501" s="22" t="str">
        <f>'EQUITY BACKTEST'!E1504</f>
        <v/>
      </c>
      <c r="I1501" s="22" t="str">
        <f t="shared" si="1"/>
        <v>#N/A</v>
      </c>
      <c r="J1501" s="22" t="str">
        <f t="shared" si="2"/>
        <v>#N/A</v>
      </c>
      <c r="K1501" s="22" t="str">
        <f t="shared" si="8"/>
        <v/>
      </c>
    </row>
    <row r="1502" ht="15.75" customHeight="1">
      <c r="A1502" s="31" t="str">
        <f>'EQUITY BACKTEST'!A1505</f>
        <v/>
      </c>
      <c r="B1502" s="22" t="str">
        <f>'EQUITY BACKTEST'!B1505</f>
        <v/>
      </c>
      <c r="C1502" s="22" t="str">
        <f>'EQUITY BACKTEST'!E1505</f>
        <v/>
      </c>
      <c r="I1502" s="22" t="str">
        <f t="shared" si="1"/>
        <v>#N/A</v>
      </c>
      <c r="J1502" s="22" t="str">
        <f t="shared" si="2"/>
        <v>#N/A</v>
      </c>
      <c r="K1502" s="22" t="str">
        <f t="shared" si="8"/>
        <v/>
      </c>
    </row>
    <row r="1503" ht="15.75" customHeight="1">
      <c r="A1503" s="31" t="str">
        <f>'EQUITY BACKTEST'!A1506</f>
        <v/>
      </c>
      <c r="B1503" s="22" t="str">
        <f>'EQUITY BACKTEST'!B1506</f>
        <v/>
      </c>
      <c r="C1503" s="22" t="str">
        <f>'EQUITY BACKTEST'!E1506</f>
        <v/>
      </c>
      <c r="I1503" s="22" t="str">
        <f t="shared" si="1"/>
        <v>#N/A</v>
      </c>
      <c r="J1503" s="22" t="str">
        <f t="shared" si="2"/>
        <v>#N/A</v>
      </c>
      <c r="K1503" s="22" t="str">
        <f t="shared" si="8"/>
        <v/>
      </c>
    </row>
    <row r="1504" ht="15.75" customHeight="1">
      <c r="A1504" s="31" t="str">
        <f>'EQUITY BACKTEST'!A1507</f>
        <v/>
      </c>
      <c r="B1504" s="22" t="str">
        <f>'EQUITY BACKTEST'!B1507</f>
        <v/>
      </c>
      <c r="C1504" s="22" t="str">
        <f>'EQUITY BACKTEST'!E1507</f>
        <v/>
      </c>
      <c r="I1504" s="22" t="str">
        <f t="shared" si="1"/>
        <v>#N/A</v>
      </c>
      <c r="J1504" s="22" t="str">
        <f t="shared" si="2"/>
        <v>#N/A</v>
      </c>
      <c r="K1504" s="22" t="str">
        <f t="shared" si="8"/>
        <v/>
      </c>
    </row>
    <row r="1505" ht="15.75" customHeight="1">
      <c r="A1505" s="31" t="str">
        <f>'EQUITY BACKTEST'!A1508</f>
        <v/>
      </c>
      <c r="B1505" s="22" t="str">
        <f>'EQUITY BACKTEST'!B1508</f>
        <v/>
      </c>
      <c r="C1505" s="22" t="str">
        <f>'EQUITY BACKTEST'!E1508</f>
        <v/>
      </c>
      <c r="I1505" s="22" t="str">
        <f t="shared" si="1"/>
        <v>#N/A</v>
      </c>
      <c r="J1505" s="22" t="str">
        <f t="shared" si="2"/>
        <v>#N/A</v>
      </c>
      <c r="K1505" s="22" t="str">
        <f t="shared" si="8"/>
        <v/>
      </c>
    </row>
    <row r="1506" ht="15.75" customHeight="1">
      <c r="A1506" s="31" t="str">
        <f>'EQUITY BACKTEST'!A1509</f>
        <v/>
      </c>
      <c r="B1506" s="22" t="str">
        <f>'EQUITY BACKTEST'!B1509</f>
        <v/>
      </c>
      <c r="C1506" s="22" t="str">
        <f>'EQUITY BACKTEST'!E1509</f>
        <v/>
      </c>
      <c r="I1506" s="22" t="str">
        <f t="shared" si="1"/>
        <v>#N/A</v>
      </c>
      <c r="J1506" s="22" t="str">
        <f t="shared" si="2"/>
        <v>#N/A</v>
      </c>
      <c r="K1506" s="22" t="str">
        <f t="shared" si="8"/>
        <v/>
      </c>
    </row>
    <row r="1507" ht="15.75" customHeight="1">
      <c r="A1507" s="31" t="str">
        <f>'EQUITY BACKTEST'!A1510</f>
        <v/>
      </c>
      <c r="B1507" s="22" t="str">
        <f>'EQUITY BACKTEST'!B1510</f>
        <v/>
      </c>
      <c r="C1507" s="22" t="str">
        <f>'EQUITY BACKTEST'!E1510</f>
        <v/>
      </c>
      <c r="I1507" s="22" t="str">
        <f t="shared" si="1"/>
        <v>#N/A</v>
      </c>
      <c r="J1507" s="22" t="str">
        <f t="shared" si="2"/>
        <v>#N/A</v>
      </c>
      <c r="K1507" s="22" t="str">
        <f t="shared" si="8"/>
        <v/>
      </c>
    </row>
    <row r="1508" ht="15.75" customHeight="1">
      <c r="A1508" s="31" t="str">
        <f>'EQUITY BACKTEST'!A1511</f>
        <v/>
      </c>
      <c r="B1508" s="22" t="str">
        <f>'EQUITY BACKTEST'!B1511</f>
        <v/>
      </c>
      <c r="C1508" s="22" t="str">
        <f>'EQUITY BACKTEST'!E1511</f>
        <v/>
      </c>
      <c r="I1508" s="22" t="str">
        <f t="shared" si="1"/>
        <v>#N/A</v>
      </c>
      <c r="J1508" s="22" t="str">
        <f t="shared" si="2"/>
        <v>#N/A</v>
      </c>
      <c r="K1508" s="22" t="str">
        <f t="shared" si="8"/>
        <v/>
      </c>
    </row>
    <row r="1509" ht="15.75" customHeight="1">
      <c r="A1509" s="31" t="str">
        <f>'EQUITY BACKTEST'!A1512</f>
        <v/>
      </c>
      <c r="B1509" s="22" t="str">
        <f>'EQUITY BACKTEST'!B1512</f>
        <v/>
      </c>
      <c r="C1509" s="22" t="str">
        <f>'EQUITY BACKTEST'!E1512</f>
        <v/>
      </c>
      <c r="I1509" s="22" t="str">
        <f t="shared" si="1"/>
        <v>#N/A</v>
      </c>
      <c r="J1509" s="22" t="str">
        <f t="shared" si="2"/>
        <v>#N/A</v>
      </c>
      <c r="K1509" s="22" t="str">
        <f t="shared" si="8"/>
        <v/>
      </c>
    </row>
    <row r="1510" ht="15.75" customHeight="1">
      <c r="A1510" s="31" t="str">
        <f>'EQUITY BACKTEST'!A1513</f>
        <v/>
      </c>
      <c r="B1510" s="22" t="str">
        <f>'EQUITY BACKTEST'!B1513</f>
        <v/>
      </c>
      <c r="C1510" s="22" t="str">
        <f>'EQUITY BACKTEST'!E1513</f>
        <v/>
      </c>
      <c r="I1510" s="22" t="str">
        <f t="shared" si="1"/>
        <v>#N/A</v>
      </c>
      <c r="J1510" s="22" t="str">
        <f t="shared" si="2"/>
        <v>#N/A</v>
      </c>
      <c r="K1510" s="22" t="str">
        <f t="shared" si="8"/>
        <v/>
      </c>
    </row>
    <row r="1511" ht="15.75" customHeight="1">
      <c r="A1511" s="31" t="str">
        <f>'EQUITY BACKTEST'!A1514</f>
        <v/>
      </c>
      <c r="B1511" s="22" t="str">
        <f>'EQUITY BACKTEST'!B1514</f>
        <v/>
      </c>
      <c r="C1511" s="22" t="str">
        <f>'EQUITY BACKTEST'!E1514</f>
        <v/>
      </c>
      <c r="I1511" s="22" t="str">
        <f t="shared" si="1"/>
        <v>#N/A</v>
      </c>
      <c r="J1511" s="22" t="str">
        <f t="shared" si="2"/>
        <v>#N/A</v>
      </c>
      <c r="K1511" s="22" t="str">
        <f t="shared" si="8"/>
        <v/>
      </c>
    </row>
    <row r="1512" ht="15.75" customHeight="1">
      <c r="A1512" s="31" t="str">
        <f>'EQUITY BACKTEST'!A1515</f>
        <v/>
      </c>
      <c r="B1512" s="22" t="str">
        <f>'EQUITY BACKTEST'!B1515</f>
        <v/>
      </c>
      <c r="C1512" s="22" t="str">
        <f>'EQUITY BACKTEST'!E1515</f>
        <v/>
      </c>
      <c r="I1512" s="22" t="str">
        <f t="shared" si="1"/>
        <v>#N/A</v>
      </c>
      <c r="J1512" s="22" t="str">
        <f t="shared" si="2"/>
        <v>#N/A</v>
      </c>
      <c r="K1512" s="22" t="str">
        <f t="shared" si="8"/>
        <v/>
      </c>
    </row>
    <row r="1513" ht="15.75" customHeight="1">
      <c r="A1513" s="31" t="str">
        <f>'EQUITY BACKTEST'!A1516</f>
        <v/>
      </c>
      <c r="B1513" s="22" t="str">
        <f>'EQUITY BACKTEST'!B1516</f>
        <v/>
      </c>
      <c r="C1513" s="22" t="str">
        <f>'EQUITY BACKTEST'!E1516</f>
        <v/>
      </c>
      <c r="I1513" s="22" t="str">
        <f t="shared" si="1"/>
        <v>#N/A</v>
      </c>
      <c r="J1513" s="22" t="str">
        <f t="shared" si="2"/>
        <v>#N/A</v>
      </c>
      <c r="K1513" s="22" t="str">
        <f t="shared" si="8"/>
        <v/>
      </c>
    </row>
    <row r="1514" ht="15.75" customHeight="1">
      <c r="A1514" s="31" t="str">
        <f>'EQUITY BACKTEST'!A1517</f>
        <v/>
      </c>
      <c r="B1514" s="22" t="str">
        <f>'EQUITY BACKTEST'!B1517</f>
        <v/>
      </c>
      <c r="C1514" s="22" t="str">
        <f>'EQUITY BACKTEST'!E1517</f>
        <v/>
      </c>
      <c r="I1514" s="22" t="str">
        <f t="shared" si="1"/>
        <v>#N/A</v>
      </c>
      <c r="J1514" s="22" t="str">
        <f t="shared" si="2"/>
        <v>#N/A</v>
      </c>
      <c r="K1514" s="22" t="str">
        <f t="shared" si="8"/>
        <v/>
      </c>
    </row>
    <row r="1515" ht="15.75" customHeight="1">
      <c r="A1515" s="31" t="str">
        <f>'EQUITY BACKTEST'!A1518</f>
        <v/>
      </c>
      <c r="B1515" s="22" t="str">
        <f>'EQUITY BACKTEST'!B1518</f>
        <v/>
      </c>
      <c r="C1515" s="22" t="str">
        <f>'EQUITY BACKTEST'!E1518</f>
        <v/>
      </c>
      <c r="I1515" s="22" t="str">
        <f t="shared" si="1"/>
        <v>#N/A</v>
      </c>
      <c r="J1515" s="22" t="str">
        <f t="shared" si="2"/>
        <v>#N/A</v>
      </c>
      <c r="K1515" s="22" t="str">
        <f t="shared" si="8"/>
        <v/>
      </c>
    </row>
    <row r="1516" ht="15.75" customHeight="1">
      <c r="A1516" s="31" t="str">
        <f>'EQUITY BACKTEST'!A1519</f>
        <v/>
      </c>
      <c r="B1516" s="22" t="str">
        <f>'EQUITY BACKTEST'!B1519</f>
        <v/>
      </c>
      <c r="C1516" s="22" t="str">
        <f>'EQUITY BACKTEST'!E1519</f>
        <v/>
      </c>
      <c r="I1516" s="22" t="str">
        <f t="shared" si="1"/>
        <v>#N/A</v>
      </c>
      <c r="J1516" s="22" t="str">
        <f t="shared" si="2"/>
        <v>#N/A</v>
      </c>
      <c r="K1516" s="22" t="str">
        <f t="shared" si="8"/>
        <v/>
      </c>
    </row>
    <row r="1517" ht="15.75" customHeight="1">
      <c r="A1517" s="31" t="str">
        <f>'EQUITY BACKTEST'!A1520</f>
        <v/>
      </c>
      <c r="B1517" s="22" t="str">
        <f>'EQUITY BACKTEST'!B1520</f>
        <v/>
      </c>
      <c r="C1517" s="22" t="str">
        <f>'EQUITY BACKTEST'!E1520</f>
        <v/>
      </c>
      <c r="I1517" s="22" t="str">
        <f t="shared" si="1"/>
        <v>#N/A</v>
      </c>
      <c r="J1517" s="22" t="str">
        <f t="shared" si="2"/>
        <v>#N/A</v>
      </c>
      <c r="K1517" s="22" t="str">
        <f t="shared" si="8"/>
        <v/>
      </c>
    </row>
    <row r="1518" ht="15.75" customHeight="1">
      <c r="A1518" s="31" t="str">
        <f>'EQUITY BACKTEST'!A1521</f>
        <v/>
      </c>
      <c r="B1518" s="22" t="str">
        <f>'EQUITY BACKTEST'!B1521</f>
        <v/>
      </c>
      <c r="C1518" s="22" t="str">
        <f>'EQUITY BACKTEST'!E1521</f>
        <v/>
      </c>
      <c r="I1518" s="22" t="str">
        <f t="shared" si="1"/>
        <v>#N/A</v>
      </c>
      <c r="J1518" s="22" t="str">
        <f t="shared" si="2"/>
        <v>#N/A</v>
      </c>
      <c r="K1518" s="22" t="str">
        <f t="shared" si="8"/>
        <v/>
      </c>
    </row>
    <row r="1519" ht="15.75" customHeight="1">
      <c r="A1519" s="31" t="str">
        <f>'EQUITY BACKTEST'!A1522</f>
        <v/>
      </c>
      <c r="B1519" s="22" t="str">
        <f>'EQUITY BACKTEST'!B1522</f>
        <v/>
      </c>
      <c r="C1519" s="22" t="str">
        <f>'EQUITY BACKTEST'!E1522</f>
        <v/>
      </c>
      <c r="I1519" s="22" t="str">
        <f t="shared" si="1"/>
        <v>#N/A</v>
      </c>
      <c r="J1519" s="22" t="str">
        <f t="shared" si="2"/>
        <v>#N/A</v>
      </c>
      <c r="K1519" s="22" t="str">
        <f t="shared" si="8"/>
        <v/>
      </c>
    </row>
    <row r="1520" ht="15.75" customHeight="1">
      <c r="A1520" s="31" t="str">
        <f>'EQUITY BACKTEST'!A1523</f>
        <v/>
      </c>
      <c r="B1520" s="22" t="str">
        <f>'EQUITY BACKTEST'!B1523</f>
        <v/>
      </c>
      <c r="C1520" s="22" t="str">
        <f>'EQUITY BACKTEST'!E1523</f>
        <v/>
      </c>
      <c r="I1520" s="22" t="str">
        <f t="shared" si="1"/>
        <v>#N/A</v>
      </c>
      <c r="J1520" s="22" t="str">
        <f t="shared" si="2"/>
        <v>#N/A</v>
      </c>
      <c r="K1520" s="22" t="str">
        <f t="shared" si="8"/>
        <v/>
      </c>
    </row>
    <row r="1521" ht="15.75" customHeight="1">
      <c r="A1521" s="31" t="str">
        <f>'EQUITY BACKTEST'!A1524</f>
        <v/>
      </c>
      <c r="B1521" s="22" t="str">
        <f>'EQUITY BACKTEST'!B1524</f>
        <v/>
      </c>
      <c r="C1521" s="22" t="str">
        <f>'EQUITY BACKTEST'!E1524</f>
        <v/>
      </c>
      <c r="I1521" s="22" t="str">
        <f t="shared" si="1"/>
        <v>#N/A</v>
      </c>
      <c r="J1521" s="22" t="str">
        <f t="shared" si="2"/>
        <v>#N/A</v>
      </c>
      <c r="K1521" s="22" t="str">
        <f t="shared" si="8"/>
        <v/>
      </c>
    </row>
    <row r="1522" ht="15.75" customHeight="1">
      <c r="A1522" s="31" t="str">
        <f>'EQUITY BACKTEST'!A1525</f>
        <v/>
      </c>
      <c r="B1522" s="22" t="str">
        <f>'EQUITY BACKTEST'!B1525</f>
        <v/>
      </c>
      <c r="C1522" s="22" t="str">
        <f>'EQUITY BACKTEST'!E1525</f>
        <v/>
      </c>
      <c r="I1522" s="22" t="str">
        <f t="shared" si="1"/>
        <v>#N/A</v>
      </c>
      <c r="J1522" s="22" t="str">
        <f t="shared" si="2"/>
        <v>#N/A</v>
      </c>
      <c r="K1522" s="22" t="str">
        <f t="shared" si="8"/>
        <v/>
      </c>
    </row>
    <row r="1523" ht="15.75" customHeight="1">
      <c r="A1523" s="31" t="str">
        <f>'EQUITY BACKTEST'!A1526</f>
        <v/>
      </c>
      <c r="B1523" s="22" t="str">
        <f>'EQUITY BACKTEST'!B1526</f>
        <v/>
      </c>
      <c r="C1523" s="22" t="str">
        <f>'EQUITY BACKTEST'!E1526</f>
        <v/>
      </c>
      <c r="I1523" s="22" t="str">
        <f t="shared" si="1"/>
        <v>#N/A</v>
      </c>
      <c r="J1523" s="22" t="str">
        <f t="shared" si="2"/>
        <v>#N/A</v>
      </c>
      <c r="K1523" s="22" t="str">
        <f t="shared" si="8"/>
        <v/>
      </c>
    </row>
    <row r="1524" ht="15.75" customHeight="1">
      <c r="A1524" s="31" t="str">
        <f>'EQUITY BACKTEST'!A1527</f>
        <v/>
      </c>
      <c r="B1524" s="22" t="str">
        <f>'EQUITY BACKTEST'!B1527</f>
        <v/>
      </c>
      <c r="C1524" s="22" t="str">
        <f>'EQUITY BACKTEST'!E1527</f>
        <v/>
      </c>
      <c r="I1524" s="22" t="str">
        <f t="shared" si="1"/>
        <v>#N/A</v>
      </c>
      <c r="J1524" s="22" t="str">
        <f t="shared" si="2"/>
        <v>#N/A</v>
      </c>
      <c r="K1524" s="22" t="str">
        <f t="shared" si="8"/>
        <v/>
      </c>
    </row>
    <row r="1525" ht="15.75" customHeight="1">
      <c r="A1525" s="31" t="str">
        <f>'EQUITY BACKTEST'!A1528</f>
        <v/>
      </c>
      <c r="B1525" s="22" t="str">
        <f>'EQUITY BACKTEST'!B1528</f>
        <v/>
      </c>
      <c r="C1525" s="22" t="str">
        <f>'EQUITY BACKTEST'!E1528</f>
        <v/>
      </c>
      <c r="I1525" s="22" t="str">
        <f t="shared" si="1"/>
        <v>#N/A</v>
      </c>
      <c r="J1525" s="22" t="str">
        <f t="shared" si="2"/>
        <v>#N/A</v>
      </c>
      <c r="K1525" s="22" t="str">
        <f t="shared" si="8"/>
        <v/>
      </c>
    </row>
    <row r="1526" ht="15.75" customHeight="1">
      <c r="A1526" s="31" t="str">
        <f>'EQUITY BACKTEST'!A1529</f>
        <v/>
      </c>
      <c r="B1526" s="22" t="str">
        <f>'EQUITY BACKTEST'!B1529</f>
        <v/>
      </c>
      <c r="C1526" s="22" t="str">
        <f>'EQUITY BACKTEST'!E1529</f>
        <v/>
      </c>
      <c r="I1526" s="22" t="str">
        <f t="shared" si="1"/>
        <v>#N/A</v>
      </c>
      <c r="J1526" s="22" t="str">
        <f t="shared" si="2"/>
        <v>#N/A</v>
      </c>
      <c r="K1526" s="22" t="str">
        <f t="shared" si="8"/>
        <v/>
      </c>
    </row>
    <row r="1527" ht="15.75" customHeight="1">
      <c r="A1527" s="31" t="str">
        <f>'EQUITY BACKTEST'!A1530</f>
        <v/>
      </c>
      <c r="B1527" s="22" t="str">
        <f>'EQUITY BACKTEST'!B1530</f>
        <v/>
      </c>
      <c r="C1527" s="22" t="str">
        <f>'EQUITY BACKTEST'!E1530</f>
        <v/>
      </c>
      <c r="I1527" s="22" t="str">
        <f t="shared" si="1"/>
        <v>#N/A</v>
      </c>
      <c r="J1527" s="22" t="str">
        <f t="shared" si="2"/>
        <v>#N/A</v>
      </c>
      <c r="K1527" s="22" t="str">
        <f t="shared" si="8"/>
        <v/>
      </c>
    </row>
    <row r="1528" ht="15.75" customHeight="1">
      <c r="A1528" s="31" t="str">
        <f>'EQUITY BACKTEST'!A1531</f>
        <v/>
      </c>
      <c r="B1528" s="22" t="str">
        <f>'EQUITY BACKTEST'!B1531</f>
        <v/>
      </c>
      <c r="C1528" s="22" t="str">
        <f>'EQUITY BACKTEST'!E1531</f>
        <v/>
      </c>
      <c r="I1528" s="22" t="str">
        <f t="shared" si="1"/>
        <v>#N/A</v>
      </c>
      <c r="J1528" s="22" t="str">
        <f t="shared" si="2"/>
        <v>#N/A</v>
      </c>
      <c r="K1528" s="22" t="str">
        <f t="shared" si="8"/>
        <v/>
      </c>
    </row>
    <row r="1529" ht="15.75" customHeight="1">
      <c r="A1529" s="31" t="str">
        <f>'EQUITY BACKTEST'!A1532</f>
        <v/>
      </c>
      <c r="B1529" s="22" t="str">
        <f>'EQUITY BACKTEST'!B1532</f>
        <v/>
      </c>
      <c r="C1529" s="22" t="str">
        <f>'EQUITY BACKTEST'!E1532</f>
        <v/>
      </c>
      <c r="I1529" s="22" t="str">
        <f t="shared" si="1"/>
        <v>#N/A</v>
      </c>
      <c r="J1529" s="22" t="str">
        <f t="shared" si="2"/>
        <v>#N/A</v>
      </c>
      <c r="K1529" s="22" t="str">
        <f t="shared" si="8"/>
        <v/>
      </c>
    </row>
    <row r="1530" ht="15.75" customHeight="1">
      <c r="A1530" s="31" t="str">
        <f>'EQUITY BACKTEST'!A1533</f>
        <v/>
      </c>
      <c r="B1530" s="22" t="str">
        <f>'EQUITY BACKTEST'!B1533</f>
        <v/>
      </c>
      <c r="C1530" s="22" t="str">
        <f>'EQUITY BACKTEST'!E1533</f>
        <v/>
      </c>
      <c r="I1530" s="22" t="str">
        <f t="shared" si="1"/>
        <v>#N/A</v>
      </c>
      <c r="J1530" s="22" t="str">
        <f t="shared" si="2"/>
        <v>#N/A</v>
      </c>
      <c r="K1530" s="22" t="str">
        <f t="shared" si="8"/>
        <v/>
      </c>
    </row>
    <row r="1531" ht="15.75" customHeight="1">
      <c r="A1531" s="31" t="str">
        <f>'EQUITY BACKTEST'!A1534</f>
        <v/>
      </c>
      <c r="B1531" s="22" t="str">
        <f>'EQUITY BACKTEST'!B1534</f>
        <v/>
      </c>
      <c r="C1531" s="22" t="str">
        <f>'EQUITY BACKTEST'!E1534</f>
        <v/>
      </c>
      <c r="I1531" s="22" t="str">
        <f t="shared" si="1"/>
        <v>#N/A</v>
      </c>
      <c r="J1531" s="22" t="str">
        <f t="shared" si="2"/>
        <v>#N/A</v>
      </c>
      <c r="K1531" s="22" t="str">
        <f t="shared" si="8"/>
        <v/>
      </c>
    </row>
    <row r="1532" ht="15.75" customHeight="1">
      <c r="A1532" s="31" t="str">
        <f>'EQUITY BACKTEST'!A1535</f>
        <v/>
      </c>
      <c r="B1532" s="22" t="str">
        <f>'EQUITY BACKTEST'!B1535</f>
        <v/>
      </c>
      <c r="C1532" s="22" t="str">
        <f>'EQUITY BACKTEST'!E1535</f>
        <v/>
      </c>
      <c r="I1532" s="22" t="str">
        <f t="shared" si="1"/>
        <v>#N/A</v>
      </c>
      <c r="J1532" s="22" t="str">
        <f t="shared" si="2"/>
        <v>#N/A</v>
      </c>
      <c r="K1532" s="22" t="str">
        <f t="shared" si="8"/>
        <v/>
      </c>
    </row>
    <row r="1533" ht="15.75" customHeight="1">
      <c r="A1533" s="31" t="str">
        <f>'EQUITY BACKTEST'!A1536</f>
        <v/>
      </c>
      <c r="B1533" s="22" t="str">
        <f>'EQUITY BACKTEST'!B1536</f>
        <v/>
      </c>
      <c r="C1533" s="22" t="str">
        <f>'EQUITY BACKTEST'!E1536</f>
        <v/>
      </c>
      <c r="I1533" s="22" t="str">
        <f t="shared" si="1"/>
        <v>#N/A</v>
      </c>
      <c r="J1533" s="22" t="str">
        <f t="shared" si="2"/>
        <v>#N/A</v>
      </c>
      <c r="K1533" s="22" t="str">
        <f t="shared" si="8"/>
        <v/>
      </c>
    </row>
    <row r="1534" ht="15.75" customHeight="1">
      <c r="A1534" s="31" t="str">
        <f>'EQUITY BACKTEST'!A1537</f>
        <v/>
      </c>
      <c r="B1534" s="22" t="str">
        <f>'EQUITY BACKTEST'!B1537</f>
        <v/>
      </c>
      <c r="C1534" s="22" t="str">
        <f>'EQUITY BACKTEST'!E1537</f>
        <v/>
      </c>
      <c r="I1534" s="22" t="str">
        <f t="shared" si="1"/>
        <v>#N/A</v>
      </c>
      <c r="J1534" s="22" t="str">
        <f t="shared" si="2"/>
        <v>#N/A</v>
      </c>
      <c r="K1534" s="22" t="str">
        <f t="shared" si="8"/>
        <v/>
      </c>
    </row>
    <row r="1535" ht="15.75" customHeight="1">
      <c r="A1535" s="31" t="str">
        <f>'EQUITY BACKTEST'!A1538</f>
        <v/>
      </c>
      <c r="B1535" s="22" t="str">
        <f>'EQUITY BACKTEST'!B1538</f>
        <v/>
      </c>
      <c r="C1535" s="22" t="str">
        <f>'EQUITY BACKTEST'!E1538</f>
        <v/>
      </c>
      <c r="I1535" s="22" t="str">
        <f t="shared" si="1"/>
        <v>#N/A</v>
      </c>
      <c r="J1535" s="22" t="str">
        <f t="shared" si="2"/>
        <v>#N/A</v>
      </c>
      <c r="K1535" s="22" t="str">
        <f t="shared" si="8"/>
        <v/>
      </c>
    </row>
    <row r="1536" ht="15.75" customHeight="1">
      <c r="A1536" s="31" t="str">
        <f>'EQUITY BACKTEST'!A1539</f>
        <v/>
      </c>
      <c r="B1536" s="22" t="str">
        <f>'EQUITY BACKTEST'!B1539</f>
        <v/>
      </c>
      <c r="C1536" s="22" t="str">
        <f>'EQUITY BACKTEST'!E1539</f>
        <v/>
      </c>
      <c r="I1536" s="22" t="str">
        <f t="shared" si="1"/>
        <v>#N/A</v>
      </c>
      <c r="J1536" s="22" t="str">
        <f t="shared" si="2"/>
        <v>#N/A</v>
      </c>
      <c r="K1536" s="22" t="str">
        <f t="shared" si="8"/>
        <v/>
      </c>
    </row>
    <row r="1537" ht="15.75" customHeight="1">
      <c r="A1537" s="31" t="str">
        <f>'EQUITY BACKTEST'!A1540</f>
        <v/>
      </c>
      <c r="B1537" s="22" t="str">
        <f>'EQUITY BACKTEST'!B1540</f>
        <v/>
      </c>
      <c r="C1537" s="22" t="str">
        <f>'EQUITY BACKTEST'!E1540</f>
        <v/>
      </c>
      <c r="I1537" s="22" t="str">
        <f t="shared" si="1"/>
        <v>#N/A</v>
      </c>
      <c r="J1537" s="22" t="str">
        <f t="shared" si="2"/>
        <v>#N/A</v>
      </c>
      <c r="K1537" s="22" t="str">
        <f t="shared" si="8"/>
        <v/>
      </c>
    </row>
    <row r="1538" ht="15.75" customHeight="1">
      <c r="A1538" s="31" t="str">
        <f>'EQUITY BACKTEST'!A1541</f>
        <v/>
      </c>
      <c r="B1538" s="22" t="str">
        <f>'EQUITY BACKTEST'!B1541</f>
        <v/>
      </c>
      <c r="C1538" s="22" t="str">
        <f>'EQUITY BACKTEST'!E1541</f>
        <v/>
      </c>
      <c r="I1538" s="22" t="str">
        <f t="shared" si="1"/>
        <v>#N/A</v>
      </c>
      <c r="J1538" s="22" t="str">
        <f t="shared" si="2"/>
        <v>#N/A</v>
      </c>
      <c r="K1538" s="22" t="str">
        <f t="shared" si="8"/>
        <v/>
      </c>
    </row>
    <row r="1539" ht="15.75" customHeight="1">
      <c r="A1539" s="31" t="str">
        <f>'EQUITY BACKTEST'!A1542</f>
        <v/>
      </c>
      <c r="B1539" s="22" t="str">
        <f>'EQUITY BACKTEST'!B1542</f>
        <v/>
      </c>
      <c r="C1539" s="22" t="str">
        <f>'EQUITY BACKTEST'!E1542</f>
        <v/>
      </c>
      <c r="I1539" s="22" t="str">
        <f t="shared" si="1"/>
        <v>#N/A</v>
      </c>
      <c r="J1539" s="22" t="str">
        <f t="shared" si="2"/>
        <v>#N/A</v>
      </c>
      <c r="K1539" s="22" t="str">
        <f t="shared" si="8"/>
        <v/>
      </c>
    </row>
    <row r="1540" ht="15.75" customHeight="1">
      <c r="A1540" s="31" t="str">
        <f>'EQUITY BACKTEST'!A1543</f>
        <v/>
      </c>
      <c r="B1540" s="22" t="str">
        <f>'EQUITY BACKTEST'!B1543</f>
        <v/>
      </c>
      <c r="C1540" s="22" t="str">
        <f>'EQUITY BACKTEST'!E1543</f>
        <v/>
      </c>
      <c r="I1540" s="22" t="str">
        <f t="shared" si="1"/>
        <v>#N/A</v>
      </c>
      <c r="J1540" s="22" t="str">
        <f t="shared" si="2"/>
        <v>#N/A</v>
      </c>
      <c r="K1540" s="22" t="str">
        <f t="shared" si="8"/>
        <v/>
      </c>
    </row>
    <row r="1541" ht="15.75" customHeight="1">
      <c r="A1541" s="31" t="str">
        <f>'EQUITY BACKTEST'!A1544</f>
        <v/>
      </c>
      <c r="B1541" s="22" t="str">
        <f>'EQUITY BACKTEST'!B1544</f>
        <v/>
      </c>
      <c r="C1541" s="22" t="str">
        <f>'EQUITY BACKTEST'!E1544</f>
        <v/>
      </c>
      <c r="I1541" s="22" t="str">
        <f t="shared" si="1"/>
        <v>#N/A</v>
      </c>
      <c r="J1541" s="22" t="str">
        <f t="shared" si="2"/>
        <v>#N/A</v>
      </c>
      <c r="K1541" s="22" t="str">
        <f t="shared" si="8"/>
        <v/>
      </c>
    </row>
    <row r="1542" ht="15.75" customHeight="1">
      <c r="A1542" s="31" t="str">
        <f>'EQUITY BACKTEST'!A1545</f>
        <v/>
      </c>
      <c r="B1542" s="22" t="str">
        <f>'EQUITY BACKTEST'!B1545</f>
        <v/>
      </c>
      <c r="C1542" s="22" t="str">
        <f>'EQUITY BACKTEST'!E1545</f>
        <v/>
      </c>
      <c r="I1542" s="22" t="str">
        <f t="shared" si="1"/>
        <v>#N/A</v>
      </c>
      <c r="J1542" s="22" t="str">
        <f t="shared" si="2"/>
        <v>#N/A</v>
      </c>
      <c r="K1542" s="22" t="str">
        <f t="shared" si="8"/>
        <v/>
      </c>
    </row>
    <row r="1543" ht="15.75" customHeight="1">
      <c r="A1543" s="31" t="str">
        <f>'EQUITY BACKTEST'!A1546</f>
        <v/>
      </c>
      <c r="B1543" s="22" t="str">
        <f>'EQUITY BACKTEST'!B1546</f>
        <v/>
      </c>
      <c r="C1543" s="22" t="str">
        <f>'EQUITY BACKTEST'!E1546</f>
        <v/>
      </c>
      <c r="I1543" s="22" t="str">
        <f t="shared" si="1"/>
        <v>#N/A</v>
      </c>
      <c r="J1543" s="22" t="str">
        <f t="shared" si="2"/>
        <v>#N/A</v>
      </c>
      <c r="K1543" s="22" t="str">
        <f t="shared" si="8"/>
        <v/>
      </c>
    </row>
    <row r="1544" ht="15.75" customHeight="1">
      <c r="A1544" s="31" t="str">
        <f>'EQUITY BACKTEST'!A1547</f>
        <v/>
      </c>
      <c r="B1544" s="22" t="str">
        <f>'EQUITY BACKTEST'!B1547</f>
        <v/>
      </c>
      <c r="C1544" s="22" t="str">
        <f>'EQUITY BACKTEST'!E1547</f>
        <v/>
      </c>
      <c r="I1544" s="22" t="str">
        <f t="shared" si="1"/>
        <v>#N/A</v>
      </c>
      <c r="J1544" s="22" t="str">
        <f t="shared" si="2"/>
        <v>#N/A</v>
      </c>
      <c r="K1544" s="22" t="str">
        <f t="shared" si="8"/>
        <v/>
      </c>
    </row>
    <row r="1545" ht="15.75" customHeight="1">
      <c r="A1545" s="31" t="str">
        <f>'EQUITY BACKTEST'!A1548</f>
        <v/>
      </c>
      <c r="B1545" s="22" t="str">
        <f>'EQUITY BACKTEST'!B1548</f>
        <v/>
      </c>
      <c r="C1545" s="22" t="str">
        <f>'EQUITY BACKTEST'!E1548</f>
        <v/>
      </c>
      <c r="I1545" s="22" t="str">
        <f t="shared" si="1"/>
        <v>#N/A</v>
      </c>
      <c r="J1545" s="22" t="str">
        <f t="shared" si="2"/>
        <v>#N/A</v>
      </c>
      <c r="K1545" s="22" t="str">
        <f t="shared" si="8"/>
        <v/>
      </c>
    </row>
    <row r="1546" ht="15.75" customHeight="1">
      <c r="A1546" s="31" t="str">
        <f>'EQUITY BACKTEST'!A1549</f>
        <v/>
      </c>
      <c r="B1546" s="22" t="str">
        <f>'EQUITY BACKTEST'!B1549</f>
        <v/>
      </c>
      <c r="C1546" s="22" t="str">
        <f>'EQUITY BACKTEST'!E1549</f>
        <v/>
      </c>
      <c r="I1546" s="22" t="str">
        <f t="shared" si="1"/>
        <v>#N/A</v>
      </c>
      <c r="J1546" s="22" t="str">
        <f t="shared" si="2"/>
        <v>#N/A</v>
      </c>
      <c r="K1546" s="22" t="str">
        <f t="shared" si="8"/>
        <v/>
      </c>
    </row>
    <row r="1547" ht="15.75" customHeight="1">
      <c r="A1547" s="31" t="str">
        <f>'EQUITY BACKTEST'!A1550</f>
        <v/>
      </c>
      <c r="B1547" s="22" t="str">
        <f>'EQUITY BACKTEST'!B1550</f>
        <v/>
      </c>
      <c r="C1547" s="22" t="str">
        <f>'EQUITY BACKTEST'!E1550</f>
        <v/>
      </c>
      <c r="I1547" s="22" t="str">
        <f t="shared" si="1"/>
        <v>#N/A</v>
      </c>
      <c r="J1547" s="22" t="str">
        <f t="shared" si="2"/>
        <v>#N/A</v>
      </c>
      <c r="K1547" s="22" t="str">
        <f t="shared" si="8"/>
        <v/>
      </c>
    </row>
    <row r="1548" ht="15.75" customHeight="1">
      <c r="A1548" s="31" t="str">
        <f>'EQUITY BACKTEST'!A1551</f>
        <v/>
      </c>
      <c r="B1548" s="22" t="str">
        <f>'EQUITY BACKTEST'!B1551</f>
        <v/>
      </c>
      <c r="C1548" s="22" t="str">
        <f>'EQUITY BACKTEST'!E1551</f>
        <v/>
      </c>
      <c r="I1548" s="22" t="str">
        <f t="shared" si="1"/>
        <v>#N/A</v>
      </c>
      <c r="J1548" s="22" t="str">
        <f t="shared" si="2"/>
        <v>#N/A</v>
      </c>
      <c r="K1548" s="22" t="str">
        <f t="shared" si="8"/>
        <v/>
      </c>
    </row>
    <row r="1549" ht="15.75" customHeight="1">
      <c r="A1549" s="31" t="str">
        <f>'EQUITY BACKTEST'!A1552</f>
        <v/>
      </c>
      <c r="B1549" s="22" t="str">
        <f>'EQUITY BACKTEST'!B1552</f>
        <v/>
      </c>
      <c r="C1549" s="22" t="str">
        <f>'EQUITY BACKTEST'!E1552</f>
        <v/>
      </c>
      <c r="I1549" s="22" t="str">
        <f t="shared" si="1"/>
        <v>#N/A</v>
      </c>
      <c r="J1549" s="22" t="str">
        <f t="shared" si="2"/>
        <v>#N/A</v>
      </c>
      <c r="K1549" s="22" t="str">
        <f t="shared" si="8"/>
        <v/>
      </c>
    </row>
    <row r="1550" ht="15.75" customHeight="1">
      <c r="A1550" s="31" t="str">
        <f>'EQUITY BACKTEST'!A1553</f>
        <v/>
      </c>
      <c r="B1550" s="22" t="str">
        <f>'EQUITY BACKTEST'!B1553</f>
        <v/>
      </c>
      <c r="C1550" s="22" t="str">
        <f>'EQUITY BACKTEST'!E1553</f>
        <v/>
      </c>
      <c r="I1550" s="22" t="str">
        <f t="shared" si="1"/>
        <v>#N/A</v>
      </c>
      <c r="J1550" s="22" t="str">
        <f t="shared" si="2"/>
        <v>#N/A</v>
      </c>
      <c r="K1550" s="22" t="str">
        <f t="shared" si="8"/>
        <v/>
      </c>
    </row>
    <row r="1551" ht="15.75" customHeight="1">
      <c r="A1551" s="31" t="str">
        <f>'EQUITY BACKTEST'!A1554</f>
        <v/>
      </c>
      <c r="B1551" s="22" t="str">
        <f>'EQUITY BACKTEST'!B1554</f>
        <v/>
      </c>
      <c r="C1551" s="22" t="str">
        <f>'EQUITY BACKTEST'!E1554</f>
        <v/>
      </c>
      <c r="I1551" s="22" t="str">
        <f t="shared" si="1"/>
        <v>#N/A</v>
      </c>
      <c r="J1551" s="22" t="str">
        <f t="shared" si="2"/>
        <v>#N/A</v>
      </c>
      <c r="K1551" s="22" t="str">
        <f t="shared" si="8"/>
        <v/>
      </c>
    </row>
    <row r="1552" ht="15.75" customHeight="1">
      <c r="A1552" s="31" t="str">
        <f>'EQUITY BACKTEST'!A1555</f>
        <v/>
      </c>
      <c r="B1552" s="22" t="str">
        <f>'EQUITY BACKTEST'!B1555</f>
        <v/>
      </c>
      <c r="C1552" s="22" t="str">
        <f>'EQUITY BACKTEST'!E1555</f>
        <v/>
      </c>
      <c r="I1552" s="22" t="str">
        <f t="shared" si="1"/>
        <v>#N/A</v>
      </c>
      <c r="J1552" s="22" t="str">
        <f t="shared" si="2"/>
        <v>#N/A</v>
      </c>
      <c r="K1552" s="22" t="str">
        <f t="shared" si="8"/>
        <v/>
      </c>
    </row>
    <row r="1553" ht="15.75" customHeight="1">
      <c r="A1553" s="31" t="str">
        <f>'EQUITY BACKTEST'!A1556</f>
        <v/>
      </c>
      <c r="B1553" s="22" t="str">
        <f>'EQUITY BACKTEST'!B1556</f>
        <v/>
      </c>
      <c r="C1553" s="22" t="str">
        <f>'EQUITY BACKTEST'!E1556</f>
        <v/>
      </c>
      <c r="I1553" s="22" t="str">
        <f t="shared" si="1"/>
        <v>#N/A</v>
      </c>
      <c r="J1553" s="22" t="str">
        <f t="shared" si="2"/>
        <v>#N/A</v>
      </c>
      <c r="K1553" s="22" t="str">
        <f t="shared" si="8"/>
        <v/>
      </c>
    </row>
    <row r="1554" ht="15.75" customHeight="1">
      <c r="A1554" s="31" t="str">
        <f>'EQUITY BACKTEST'!A1557</f>
        <v/>
      </c>
      <c r="B1554" s="22" t="str">
        <f>'EQUITY BACKTEST'!B1557</f>
        <v/>
      </c>
      <c r="C1554" s="22" t="str">
        <f>'EQUITY BACKTEST'!E1557</f>
        <v/>
      </c>
      <c r="I1554" s="22" t="str">
        <f t="shared" si="1"/>
        <v>#N/A</v>
      </c>
      <c r="J1554" s="22" t="str">
        <f t="shared" si="2"/>
        <v>#N/A</v>
      </c>
      <c r="K1554" s="22" t="str">
        <f t="shared" si="8"/>
        <v/>
      </c>
    </row>
    <row r="1555" ht="15.75" customHeight="1">
      <c r="A1555" s="31" t="str">
        <f>'EQUITY BACKTEST'!A1558</f>
        <v/>
      </c>
      <c r="B1555" s="22" t="str">
        <f>'EQUITY BACKTEST'!B1558</f>
        <v/>
      </c>
      <c r="C1555" s="22" t="str">
        <f>'EQUITY BACKTEST'!E1558</f>
        <v/>
      </c>
      <c r="I1555" s="22" t="str">
        <f t="shared" si="1"/>
        <v>#N/A</v>
      </c>
      <c r="J1555" s="22" t="str">
        <f t="shared" si="2"/>
        <v>#N/A</v>
      </c>
      <c r="K1555" s="22" t="str">
        <f t="shared" si="8"/>
        <v/>
      </c>
    </row>
    <row r="1556" ht="15.75" customHeight="1">
      <c r="A1556" s="31" t="str">
        <f>'EQUITY BACKTEST'!A1559</f>
        <v/>
      </c>
      <c r="B1556" s="22" t="str">
        <f>'EQUITY BACKTEST'!B1559</f>
        <v/>
      </c>
      <c r="C1556" s="22" t="str">
        <f>'EQUITY BACKTEST'!E1559</f>
        <v/>
      </c>
      <c r="I1556" s="22" t="str">
        <f t="shared" si="1"/>
        <v>#N/A</v>
      </c>
      <c r="J1556" s="22" t="str">
        <f t="shared" si="2"/>
        <v>#N/A</v>
      </c>
      <c r="K1556" s="22" t="str">
        <f t="shared" si="8"/>
        <v/>
      </c>
    </row>
    <row r="1557" ht="15.75" customHeight="1">
      <c r="A1557" s="31" t="str">
        <f>'EQUITY BACKTEST'!A1560</f>
        <v/>
      </c>
      <c r="B1557" s="22" t="str">
        <f>'EQUITY BACKTEST'!B1560</f>
        <v/>
      </c>
      <c r="C1557" s="22" t="str">
        <f>'EQUITY BACKTEST'!E1560</f>
        <v/>
      </c>
      <c r="I1557" s="22" t="str">
        <f t="shared" si="1"/>
        <v>#N/A</v>
      </c>
      <c r="J1557" s="22" t="str">
        <f t="shared" si="2"/>
        <v>#N/A</v>
      </c>
      <c r="K1557" s="22" t="str">
        <f t="shared" si="8"/>
        <v/>
      </c>
    </row>
    <row r="1558" ht="15.75" customHeight="1">
      <c r="A1558" s="31" t="str">
        <f>'EQUITY BACKTEST'!A1561</f>
        <v/>
      </c>
      <c r="B1558" s="22" t="str">
        <f>'EQUITY BACKTEST'!B1561</f>
        <v/>
      </c>
      <c r="C1558" s="22" t="str">
        <f>'EQUITY BACKTEST'!E1561</f>
        <v/>
      </c>
      <c r="I1558" s="22" t="str">
        <f t="shared" si="1"/>
        <v>#N/A</v>
      </c>
      <c r="J1558" s="22" t="str">
        <f t="shared" si="2"/>
        <v>#N/A</v>
      </c>
      <c r="K1558" s="22" t="str">
        <f t="shared" si="8"/>
        <v/>
      </c>
    </row>
    <row r="1559" ht="15.75" customHeight="1">
      <c r="A1559" s="31" t="str">
        <f>'EQUITY BACKTEST'!A1562</f>
        <v/>
      </c>
      <c r="B1559" s="22" t="str">
        <f>'EQUITY BACKTEST'!B1562</f>
        <v/>
      </c>
      <c r="C1559" s="22" t="str">
        <f>'EQUITY BACKTEST'!E1562</f>
        <v/>
      </c>
      <c r="I1559" s="22" t="str">
        <f t="shared" si="1"/>
        <v>#N/A</v>
      </c>
      <c r="J1559" s="22" t="str">
        <f t="shared" si="2"/>
        <v>#N/A</v>
      </c>
      <c r="K1559" s="22" t="str">
        <f t="shared" si="8"/>
        <v/>
      </c>
    </row>
    <row r="1560" ht="15.75" customHeight="1">
      <c r="A1560" s="31" t="str">
        <f>'EQUITY BACKTEST'!A1563</f>
        <v/>
      </c>
      <c r="B1560" s="22" t="str">
        <f>'EQUITY BACKTEST'!B1563</f>
        <v/>
      </c>
      <c r="C1560" s="22" t="str">
        <f>'EQUITY BACKTEST'!E1563</f>
        <v/>
      </c>
      <c r="I1560" s="22" t="str">
        <f t="shared" si="1"/>
        <v>#N/A</v>
      </c>
      <c r="J1560" s="22" t="str">
        <f t="shared" si="2"/>
        <v>#N/A</v>
      </c>
      <c r="K1560" s="22" t="str">
        <f t="shared" si="8"/>
        <v/>
      </c>
    </row>
    <row r="1561" ht="15.75" customHeight="1">
      <c r="A1561" s="31" t="str">
        <f>'EQUITY BACKTEST'!A1564</f>
        <v/>
      </c>
      <c r="B1561" s="22" t="str">
        <f>'EQUITY BACKTEST'!B1564</f>
        <v/>
      </c>
      <c r="C1561" s="22" t="str">
        <f>'EQUITY BACKTEST'!E1564</f>
        <v/>
      </c>
      <c r="I1561" s="22" t="str">
        <f t="shared" si="1"/>
        <v>#N/A</v>
      </c>
      <c r="J1561" s="22" t="str">
        <f t="shared" si="2"/>
        <v>#N/A</v>
      </c>
      <c r="K1561" s="22" t="str">
        <f t="shared" si="8"/>
        <v/>
      </c>
    </row>
    <row r="1562" ht="15.75" customHeight="1">
      <c r="A1562" s="31" t="str">
        <f>'EQUITY BACKTEST'!A1565</f>
        <v/>
      </c>
      <c r="B1562" s="22" t="str">
        <f>'EQUITY BACKTEST'!B1565</f>
        <v/>
      </c>
      <c r="C1562" s="22" t="str">
        <f>'EQUITY BACKTEST'!E1565</f>
        <v/>
      </c>
      <c r="I1562" s="22" t="str">
        <f t="shared" si="1"/>
        <v>#N/A</v>
      </c>
      <c r="J1562" s="22" t="str">
        <f t="shared" si="2"/>
        <v>#N/A</v>
      </c>
      <c r="K1562" s="22" t="str">
        <f t="shared" si="8"/>
        <v/>
      </c>
    </row>
    <row r="1563" ht="15.75" customHeight="1">
      <c r="A1563" s="31" t="str">
        <f>'EQUITY BACKTEST'!A1566</f>
        <v/>
      </c>
      <c r="B1563" s="22" t="str">
        <f>'EQUITY BACKTEST'!B1566</f>
        <v/>
      </c>
      <c r="C1563" s="22" t="str">
        <f>'EQUITY BACKTEST'!E1566</f>
        <v/>
      </c>
      <c r="I1563" s="22" t="str">
        <f t="shared" si="1"/>
        <v>#N/A</v>
      </c>
      <c r="J1563" s="22" t="str">
        <f t="shared" si="2"/>
        <v>#N/A</v>
      </c>
      <c r="K1563" s="22" t="str">
        <f t="shared" si="8"/>
        <v/>
      </c>
    </row>
    <row r="1564" ht="15.75" customHeight="1">
      <c r="A1564" s="31" t="str">
        <f>'EQUITY BACKTEST'!A1567</f>
        <v/>
      </c>
      <c r="B1564" s="22" t="str">
        <f>'EQUITY BACKTEST'!B1567</f>
        <v/>
      </c>
      <c r="C1564" s="22" t="str">
        <f>'EQUITY BACKTEST'!E1567</f>
        <v/>
      </c>
      <c r="I1564" s="22" t="str">
        <f t="shared" si="1"/>
        <v>#N/A</v>
      </c>
      <c r="J1564" s="22" t="str">
        <f t="shared" si="2"/>
        <v>#N/A</v>
      </c>
      <c r="K1564" s="22" t="str">
        <f t="shared" si="8"/>
        <v/>
      </c>
    </row>
    <row r="1565" ht="15.75" customHeight="1">
      <c r="A1565" s="31" t="str">
        <f>'EQUITY BACKTEST'!A1568</f>
        <v/>
      </c>
      <c r="B1565" s="22" t="str">
        <f>'EQUITY BACKTEST'!B1568</f>
        <v/>
      </c>
      <c r="C1565" s="22" t="str">
        <f>'EQUITY BACKTEST'!E1568</f>
        <v/>
      </c>
      <c r="I1565" s="22" t="str">
        <f t="shared" si="1"/>
        <v>#N/A</v>
      </c>
      <c r="J1565" s="22" t="str">
        <f t="shared" si="2"/>
        <v>#N/A</v>
      </c>
      <c r="K1565" s="22" t="str">
        <f t="shared" si="8"/>
        <v/>
      </c>
    </row>
    <row r="1566" ht="15.75" customHeight="1">
      <c r="A1566" s="31" t="str">
        <f>'EQUITY BACKTEST'!A1569</f>
        <v/>
      </c>
      <c r="B1566" s="22" t="str">
        <f>'EQUITY BACKTEST'!B1569</f>
        <v/>
      </c>
      <c r="C1566" s="22" t="str">
        <f>'EQUITY BACKTEST'!E1569</f>
        <v/>
      </c>
      <c r="I1566" s="22" t="str">
        <f t="shared" si="1"/>
        <v>#N/A</v>
      </c>
      <c r="J1566" s="22" t="str">
        <f t="shared" si="2"/>
        <v>#N/A</v>
      </c>
      <c r="K1566" s="22" t="str">
        <f t="shared" si="8"/>
        <v/>
      </c>
    </row>
    <row r="1567" ht="15.75" customHeight="1">
      <c r="A1567" s="31" t="str">
        <f>'EQUITY BACKTEST'!A1570</f>
        <v/>
      </c>
      <c r="B1567" s="22" t="str">
        <f>'EQUITY BACKTEST'!B1570</f>
        <v/>
      </c>
      <c r="C1567" s="22" t="str">
        <f>'EQUITY BACKTEST'!E1570</f>
        <v/>
      </c>
      <c r="I1567" s="22" t="str">
        <f t="shared" si="1"/>
        <v>#N/A</v>
      </c>
      <c r="J1567" s="22" t="str">
        <f t="shared" si="2"/>
        <v>#N/A</v>
      </c>
      <c r="K1567" s="22" t="str">
        <f t="shared" si="8"/>
        <v/>
      </c>
    </row>
    <row r="1568" ht="15.75" customHeight="1">
      <c r="A1568" s="31" t="str">
        <f>'EQUITY BACKTEST'!A1571</f>
        <v/>
      </c>
      <c r="B1568" s="22" t="str">
        <f>'EQUITY BACKTEST'!B1571</f>
        <v/>
      </c>
      <c r="C1568" s="22" t="str">
        <f>'EQUITY BACKTEST'!E1571</f>
        <v/>
      </c>
      <c r="I1568" s="22" t="str">
        <f t="shared" si="1"/>
        <v>#N/A</v>
      </c>
      <c r="J1568" s="22" t="str">
        <f t="shared" si="2"/>
        <v>#N/A</v>
      </c>
      <c r="K1568" s="22" t="str">
        <f t="shared" si="8"/>
        <v/>
      </c>
    </row>
    <row r="1569" ht="15.75" customHeight="1">
      <c r="A1569" s="31" t="str">
        <f>'EQUITY BACKTEST'!A1572</f>
        <v/>
      </c>
      <c r="B1569" s="22" t="str">
        <f>'EQUITY BACKTEST'!B1572</f>
        <v/>
      </c>
      <c r="C1569" s="22" t="str">
        <f>'EQUITY BACKTEST'!E1572</f>
        <v/>
      </c>
      <c r="I1569" s="22" t="str">
        <f t="shared" si="1"/>
        <v>#N/A</v>
      </c>
      <c r="J1569" s="22" t="str">
        <f t="shared" si="2"/>
        <v>#N/A</v>
      </c>
      <c r="K1569" s="22" t="str">
        <f t="shared" si="8"/>
        <v/>
      </c>
    </row>
    <row r="1570" ht="15.75" customHeight="1">
      <c r="A1570" s="31" t="str">
        <f>'EQUITY BACKTEST'!A1573</f>
        <v/>
      </c>
      <c r="B1570" s="22" t="str">
        <f>'EQUITY BACKTEST'!B1573</f>
        <v/>
      </c>
      <c r="C1570" s="22" t="str">
        <f>'EQUITY BACKTEST'!E1573</f>
        <v/>
      </c>
      <c r="I1570" s="22" t="str">
        <f t="shared" si="1"/>
        <v>#N/A</v>
      </c>
      <c r="J1570" s="22" t="str">
        <f t="shared" si="2"/>
        <v>#N/A</v>
      </c>
      <c r="K1570" s="22" t="str">
        <f t="shared" si="8"/>
        <v/>
      </c>
    </row>
    <row r="1571" ht="15.75" customHeight="1">
      <c r="A1571" s="31" t="str">
        <f>'EQUITY BACKTEST'!A1574</f>
        <v/>
      </c>
      <c r="B1571" s="22" t="str">
        <f>'EQUITY BACKTEST'!B1574</f>
        <v/>
      </c>
      <c r="C1571" s="22" t="str">
        <f>'EQUITY BACKTEST'!E1574</f>
        <v/>
      </c>
      <c r="I1571" s="22" t="str">
        <f t="shared" si="1"/>
        <v>#N/A</v>
      </c>
      <c r="J1571" s="22" t="str">
        <f t="shared" si="2"/>
        <v>#N/A</v>
      </c>
      <c r="K1571" s="22" t="str">
        <f t="shared" si="8"/>
        <v/>
      </c>
    </row>
    <row r="1572" ht="15.75" customHeight="1">
      <c r="A1572" s="31" t="str">
        <f>'EQUITY BACKTEST'!A1575</f>
        <v/>
      </c>
      <c r="B1572" s="22" t="str">
        <f>'EQUITY BACKTEST'!B1575</f>
        <v/>
      </c>
      <c r="C1572" s="22" t="str">
        <f>'EQUITY BACKTEST'!E1575</f>
        <v/>
      </c>
      <c r="I1572" s="22" t="str">
        <f t="shared" si="1"/>
        <v>#N/A</v>
      </c>
      <c r="J1572" s="22" t="str">
        <f t="shared" si="2"/>
        <v>#N/A</v>
      </c>
      <c r="K1572" s="22" t="str">
        <f t="shared" si="8"/>
        <v/>
      </c>
    </row>
    <row r="1573" ht="15.75" customHeight="1">
      <c r="A1573" s="31" t="str">
        <f>'EQUITY BACKTEST'!A1576</f>
        <v/>
      </c>
      <c r="B1573" s="22" t="str">
        <f>'EQUITY BACKTEST'!B1576</f>
        <v/>
      </c>
      <c r="C1573" s="22" t="str">
        <f>'EQUITY BACKTEST'!E1576</f>
        <v/>
      </c>
      <c r="I1573" s="22" t="str">
        <f t="shared" si="1"/>
        <v>#N/A</v>
      </c>
      <c r="J1573" s="22" t="str">
        <f t="shared" si="2"/>
        <v>#N/A</v>
      </c>
      <c r="K1573" s="22" t="str">
        <f t="shared" si="8"/>
        <v/>
      </c>
    </row>
    <row r="1574" ht="15.75" customHeight="1">
      <c r="A1574" s="31" t="str">
        <f>'EQUITY BACKTEST'!A1577</f>
        <v/>
      </c>
      <c r="B1574" s="22" t="str">
        <f>'EQUITY BACKTEST'!B1577</f>
        <v/>
      </c>
      <c r="C1574" s="22" t="str">
        <f>'EQUITY BACKTEST'!E1577</f>
        <v/>
      </c>
      <c r="I1574" s="22" t="str">
        <f t="shared" si="1"/>
        <v>#N/A</v>
      </c>
      <c r="J1574" s="22" t="str">
        <f t="shared" si="2"/>
        <v>#N/A</v>
      </c>
      <c r="K1574" s="22" t="str">
        <f t="shared" si="8"/>
        <v/>
      </c>
    </row>
    <row r="1575" ht="15.75" customHeight="1">
      <c r="A1575" s="31" t="str">
        <f>'EQUITY BACKTEST'!A1578</f>
        <v/>
      </c>
      <c r="B1575" s="22" t="str">
        <f>'EQUITY BACKTEST'!B1578</f>
        <v/>
      </c>
      <c r="C1575" s="22" t="str">
        <f>'EQUITY BACKTEST'!E1578</f>
        <v/>
      </c>
      <c r="I1575" s="22" t="str">
        <f t="shared" si="1"/>
        <v>#N/A</v>
      </c>
      <c r="J1575" s="22" t="str">
        <f t="shared" si="2"/>
        <v>#N/A</v>
      </c>
      <c r="K1575" s="22" t="str">
        <f t="shared" si="8"/>
        <v/>
      </c>
    </row>
    <row r="1576" ht="15.75" customHeight="1">
      <c r="A1576" s="31" t="str">
        <f>'EQUITY BACKTEST'!A1579</f>
        <v/>
      </c>
      <c r="B1576" s="22" t="str">
        <f>'EQUITY BACKTEST'!B1579</f>
        <v/>
      </c>
      <c r="C1576" s="22" t="str">
        <f>'EQUITY BACKTEST'!E1579</f>
        <v/>
      </c>
      <c r="I1576" s="22" t="str">
        <f t="shared" si="1"/>
        <v>#N/A</v>
      </c>
      <c r="J1576" s="22" t="str">
        <f t="shared" si="2"/>
        <v>#N/A</v>
      </c>
      <c r="K1576" s="22" t="str">
        <f t="shared" si="8"/>
        <v/>
      </c>
    </row>
    <row r="1577" ht="15.75" customHeight="1">
      <c r="A1577" s="31" t="str">
        <f>'EQUITY BACKTEST'!A1580</f>
        <v/>
      </c>
      <c r="B1577" s="22" t="str">
        <f>'EQUITY BACKTEST'!B1580</f>
        <v/>
      </c>
      <c r="C1577" s="22" t="str">
        <f>'EQUITY BACKTEST'!E1580</f>
        <v/>
      </c>
      <c r="I1577" s="22" t="str">
        <f t="shared" si="1"/>
        <v>#N/A</v>
      </c>
      <c r="J1577" s="22" t="str">
        <f t="shared" si="2"/>
        <v>#N/A</v>
      </c>
      <c r="K1577" s="22" t="str">
        <f t="shared" si="8"/>
        <v/>
      </c>
    </row>
    <row r="1578" ht="15.75" customHeight="1">
      <c r="A1578" s="31" t="str">
        <f>'EQUITY BACKTEST'!A1581</f>
        <v/>
      </c>
      <c r="B1578" s="22" t="str">
        <f>'EQUITY BACKTEST'!B1581</f>
        <v/>
      </c>
      <c r="C1578" s="22" t="str">
        <f>'EQUITY BACKTEST'!E1581</f>
        <v/>
      </c>
      <c r="I1578" s="22" t="str">
        <f t="shared" si="1"/>
        <v>#N/A</v>
      </c>
      <c r="J1578" s="22" t="str">
        <f t="shared" si="2"/>
        <v>#N/A</v>
      </c>
      <c r="K1578" s="22" t="str">
        <f t="shared" si="8"/>
        <v/>
      </c>
    </row>
    <row r="1579" ht="15.75" customHeight="1">
      <c r="A1579" s="31" t="str">
        <f>'EQUITY BACKTEST'!A1582</f>
        <v/>
      </c>
      <c r="B1579" s="22" t="str">
        <f>'EQUITY BACKTEST'!B1582</f>
        <v/>
      </c>
      <c r="C1579" s="22" t="str">
        <f>'EQUITY BACKTEST'!E1582</f>
        <v/>
      </c>
      <c r="I1579" s="22" t="str">
        <f t="shared" si="1"/>
        <v>#N/A</v>
      </c>
      <c r="J1579" s="22" t="str">
        <f t="shared" si="2"/>
        <v>#N/A</v>
      </c>
      <c r="K1579" s="22" t="str">
        <f t="shared" si="8"/>
        <v/>
      </c>
    </row>
    <row r="1580" ht="15.75" customHeight="1">
      <c r="A1580" s="31" t="str">
        <f>'EQUITY BACKTEST'!A1583</f>
        <v/>
      </c>
      <c r="B1580" s="22" t="str">
        <f>'EQUITY BACKTEST'!B1583</f>
        <v/>
      </c>
      <c r="C1580" s="22" t="str">
        <f>'EQUITY BACKTEST'!E1583</f>
        <v/>
      </c>
      <c r="I1580" s="22" t="str">
        <f t="shared" si="1"/>
        <v>#N/A</v>
      </c>
      <c r="J1580" s="22" t="str">
        <f t="shared" si="2"/>
        <v>#N/A</v>
      </c>
      <c r="K1580" s="22" t="str">
        <f t="shared" si="8"/>
        <v/>
      </c>
    </row>
    <row r="1581" ht="15.75" customHeight="1">
      <c r="A1581" s="31" t="str">
        <f>'EQUITY BACKTEST'!A1584</f>
        <v/>
      </c>
      <c r="B1581" s="22" t="str">
        <f>'EQUITY BACKTEST'!B1584</f>
        <v/>
      </c>
      <c r="C1581" s="22" t="str">
        <f>'EQUITY BACKTEST'!E1584</f>
        <v/>
      </c>
      <c r="I1581" s="22" t="str">
        <f t="shared" si="1"/>
        <v>#N/A</v>
      </c>
      <c r="J1581" s="22" t="str">
        <f t="shared" si="2"/>
        <v>#N/A</v>
      </c>
      <c r="K1581" s="22" t="str">
        <f t="shared" si="8"/>
        <v/>
      </c>
    </row>
    <row r="1582" ht="15.75" customHeight="1">
      <c r="A1582" s="31" t="str">
        <f>'EQUITY BACKTEST'!A1585</f>
        <v/>
      </c>
      <c r="B1582" s="22" t="str">
        <f>'EQUITY BACKTEST'!B1585</f>
        <v/>
      </c>
      <c r="C1582" s="22" t="str">
        <f>'EQUITY BACKTEST'!E1585</f>
        <v/>
      </c>
      <c r="I1582" s="22" t="str">
        <f t="shared" si="1"/>
        <v>#N/A</v>
      </c>
      <c r="J1582" s="22" t="str">
        <f t="shared" si="2"/>
        <v>#N/A</v>
      </c>
      <c r="K1582" s="22" t="str">
        <f t="shared" si="8"/>
        <v/>
      </c>
    </row>
    <row r="1583" ht="15.75" customHeight="1">
      <c r="A1583" s="31" t="str">
        <f>'EQUITY BACKTEST'!A1586</f>
        <v/>
      </c>
      <c r="B1583" s="22" t="str">
        <f>'EQUITY BACKTEST'!B1586</f>
        <v/>
      </c>
      <c r="C1583" s="22" t="str">
        <f>'EQUITY BACKTEST'!E1586</f>
        <v/>
      </c>
      <c r="I1583" s="22" t="str">
        <f t="shared" si="1"/>
        <v>#N/A</v>
      </c>
      <c r="J1583" s="22" t="str">
        <f t="shared" si="2"/>
        <v>#N/A</v>
      </c>
      <c r="K1583" s="22" t="str">
        <f t="shared" si="8"/>
        <v/>
      </c>
    </row>
    <row r="1584" ht="15.75" customHeight="1">
      <c r="A1584" s="31" t="str">
        <f>'EQUITY BACKTEST'!A1587</f>
        <v/>
      </c>
      <c r="B1584" s="22" t="str">
        <f>'EQUITY BACKTEST'!B1587</f>
        <v/>
      </c>
      <c r="C1584" s="22" t="str">
        <f>'EQUITY BACKTEST'!E1587</f>
        <v/>
      </c>
      <c r="I1584" s="22" t="str">
        <f t="shared" si="1"/>
        <v>#N/A</v>
      </c>
      <c r="J1584" s="22" t="str">
        <f t="shared" si="2"/>
        <v>#N/A</v>
      </c>
      <c r="K1584" s="22" t="str">
        <f t="shared" si="8"/>
        <v/>
      </c>
    </row>
    <row r="1585" ht="15.75" customHeight="1">
      <c r="A1585" s="31" t="str">
        <f>'EQUITY BACKTEST'!A1588</f>
        <v/>
      </c>
      <c r="B1585" s="22" t="str">
        <f>'EQUITY BACKTEST'!B1588</f>
        <v/>
      </c>
      <c r="C1585" s="22" t="str">
        <f>'EQUITY BACKTEST'!E1588</f>
        <v/>
      </c>
      <c r="I1585" s="22" t="str">
        <f t="shared" si="1"/>
        <v>#N/A</v>
      </c>
      <c r="J1585" s="22" t="str">
        <f t="shared" si="2"/>
        <v>#N/A</v>
      </c>
      <c r="K1585" s="22" t="str">
        <f t="shared" si="8"/>
        <v/>
      </c>
    </row>
    <row r="1586" ht="15.75" customHeight="1">
      <c r="A1586" s="31" t="str">
        <f>'EQUITY BACKTEST'!A1589</f>
        <v/>
      </c>
      <c r="B1586" s="22" t="str">
        <f>'EQUITY BACKTEST'!B1589</f>
        <v/>
      </c>
      <c r="C1586" s="22" t="str">
        <f>'EQUITY BACKTEST'!E1589</f>
        <v/>
      </c>
      <c r="I1586" s="22" t="str">
        <f t="shared" si="1"/>
        <v>#N/A</v>
      </c>
      <c r="J1586" s="22" t="str">
        <f t="shared" si="2"/>
        <v>#N/A</v>
      </c>
      <c r="K1586" s="22" t="str">
        <f t="shared" si="8"/>
        <v/>
      </c>
    </row>
    <row r="1587" ht="15.75" customHeight="1">
      <c r="A1587" s="31" t="str">
        <f>'EQUITY BACKTEST'!A1590</f>
        <v/>
      </c>
      <c r="B1587" s="22" t="str">
        <f>'EQUITY BACKTEST'!B1590</f>
        <v/>
      </c>
      <c r="C1587" s="22" t="str">
        <f>'EQUITY BACKTEST'!E1590</f>
        <v/>
      </c>
      <c r="I1587" s="22" t="str">
        <f t="shared" si="1"/>
        <v>#N/A</v>
      </c>
      <c r="J1587" s="22" t="str">
        <f t="shared" si="2"/>
        <v>#N/A</v>
      </c>
      <c r="K1587" s="22" t="str">
        <f t="shared" si="8"/>
        <v/>
      </c>
    </row>
    <row r="1588" ht="15.75" customHeight="1">
      <c r="A1588" s="31" t="str">
        <f>'EQUITY BACKTEST'!A1591</f>
        <v/>
      </c>
      <c r="B1588" s="22" t="str">
        <f>'EQUITY BACKTEST'!B1591</f>
        <v/>
      </c>
      <c r="C1588" s="22" t="str">
        <f>'EQUITY BACKTEST'!E1591</f>
        <v/>
      </c>
      <c r="I1588" s="22" t="str">
        <f t="shared" si="1"/>
        <v>#N/A</v>
      </c>
      <c r="J1588" s="22" t="str">
        <f t="shared" si="2"/>
        <v>#N/A</v>
      </c>
      <c r="K1588" s="22" t="str">
        <f t="shared" si="8"/>
        <v/>
      </c>
    </row>
    <row r="1589" ht="15.75" customHeight="1">
      <c r="A1589" s="31" t="str">
        <f>'EQUITY BACKTEST'!A1592</f>
        <v/>
      </c>
      <c r="B1589" s="22" t="str">
        <f>'EQUITY BACKTEST'!B1592</f>
        <v/>
      </c>
      <c r="C1589" s="22" t="str">
        <f>'EQUITY BACKTEST'!E1592</f>
        <v/>
      </c>
      <c r="I1589" s="22" t="str">
        <f t="shared" si="1"/>
        <v>#N/A</v>
      </c>
      <c r="J1589" s="22" t="str">
        <f t="shared" si="2"/>
        <v>#N/A</v>
      </c>
      <c r="K1589" s="22" t="str">
        <f t="shared" si="8"/>
        <v/>
      </c>
    </row>
    <row r="1590" ht="15.75" customHeight="1">
      <c r="A1590" s="31" t="str">
        <f>'EQUITY BACKTEST'!A1593</f>
        <v/>
      </c>
      <c r="B1590" s="22" t="str">
        <f>'EQUITY BACKTEST'!B1593</f>
        <v/>
      </c>
      <c r="C1590" s="22" t="str">
        <f>'EQUITY BACKTEST'!E1593</f>
        <v/>
      </c>
      <c r="I1590" s="22" t="str">
        <f t="shared" si="1"/>
        <v>#N/A</v>
      </c>
      <c r="J1590" s="22" t="str">
        <f t="shared" si="2"/>
        <v>#N/A</v>
      </c>
      <c r="K1590" s="22" t="str">
        <f t="shared" si="8"/>
        <v/>
      </c>
    </row>
    <row r="1591" ht="15.75" customHeight="1">
      <c r="A1591" s="31" t="str">
        <f>'EQUITY BACKTEST'!A1594</f>
        <v/>
      </c>
      <c r="B1591" s="22" t="str">
        <f>'EQUITY BACKTEST'!B1594</f>
        <v/>
      </c>
      <c r="C1591" s="22" t="str">
        <f>'EQUITY BACKTEST'!E1594</f>
        <v/>
      </c>
      <c r="I1591" s="22" t="str">
        <f t="shared" si="1"/>
        <v>#N/A</v>
      </c>
      <c r="J1591" s="22" t="str">
        <f t="shared" si="2"/>
        <v>#N/A</v>
      </c>
      <c r="K1591" s="22" t="str">
        <f t="shared" si="8"/>
        <v/>
      </c>
    </row>
    <row r="1592" ht="15.75" customHeight="1">
      <c r="A1592" s="31" t="str">
        <f>'EQUITY BACKTEST'!A1595</f>
        <v/>
      </c>
      <c r="B1592" s="22" t="str">
        <f>'EQUITY BACKTEST'!B1595</f>
        <v/>
      </c>
      <c r="C1592" s="22" t="str">
        <f>'EQUITY BACKTEST'!E1595</f>
        <v/>
      </c>
      <c r="I1592" s="22" t="str">
        <f t="shared" si="1"/>
        <v>#N/A</v>
      </c>
      <c r="J1592" s="22" t="str">
        <f t="shared" si="2"/>
        <v>#N/A</v>
      </c>
      <c r="K1592" s="22" t="str">
        <f t="shared" si="8"/>
        <v/>
      </c>
    </row>
    <row r="1593" ht="15.75" customHeight="1">
      <c r="A1593" s="31" t="str">
        <f>'EQUITY BACKTEST'!A1596</f>
        <v/>
      </c>
      <c r="B1593" s="22" t="str">
        <f>'EQUITY BACKTEST'!B1596</f>
        <v/>
      </c>
      <c r="C1593" s="22" t="str">
        <f>'EQUITY BACKTEST'!E1596</f>
        <v/>
      </c>
      <c r="I1593" s="22" t="str">
        <f t="shared" si="1"/>
        <v>#N/A</v>
      </c>
      <c r="J1593" s="22" t="str">
        <f t="shared" si="2"/>
        <v>#N/A</v>
      </c>
      <c r="K1593" s="22" t="str">
        <f t="shared" si="8"/>
        <v/>
      </c>
    </row>
    <row r="1594" ht="15.75" customHeight="1">
      <c r="A1594" s="31" t="str">
        <f>'EQUITY BACKTEST'!A1597</f>
        <v/>
      </c>
      <c r="B1594" s="22" t="str">
        <f>'EQUITY BACKTEST'!B1597</f>
        <v/>
      </c>
      <c r="C1594" s="22" t="str">
        <f>'EQUITY BACKTEST'!E1597</f>
        <v/>
      </c>
      <c r="I1594" s="22" t="str">
        <f t="shared" si="1"/>
        <v>#N/A</v>
      </c>
      <c r="J1594" s="22" t="str">
        <f t="shared" si="2"/>
        <v>#N/A</v>
      </c>
      <c r="K1594" s="22" t="str">
        <f t="shared" si="8"/>
        <v/>
      </c>
    </row>
    <row r="1595" ht="15.75" customHeight="1">
      <c r="A1595" s="31" t="str">
        <f>'EQUITY BACKTEST'!A1598</f>
        <v/>
      </c>
      <c r="B1595" s="22" t="str">
        <f>'EQUITY BACKTEST'!B1598</f>
        <v/>
      </c>
      <c r="C1595" s="22" t="str">
        <f>'EQUITY BACKTEST'!E1598</f>
        <v/>
      </c>
      <c r="I1595" s="22" t="str">
        <f t="shared" si="1"/>
        <v>#N/A</v>
      </c>
      <c r="J1595" s="22" t="str">
        <f t="shared" si="2"/>
        <v>#N/A</v>
      </c>
      <c r="K1595" s="22" t="str">
        <f t="shared" si="8"/>
        <v/>
      </c>
    </row>
    <row r="1596" ht="15.75" customHeight="1">
      <c r="A1596" s="31" t="str">
        <f>'EQUITY BACKTEST'!A1599</f>
        <v/>
      </c>
      <c r="B1596" s="22" t="str">
        <f>'EQUITY BACKTEST'!B1599</f>
        <v/>
      </c>
      <c r="C1596" s="22" t="str">
        <f>'EQUITY BACKTEST'!E1599</f>
        <v/>
      </c>
      <c r="I1596" s="22" t="str">
        <f t="shared" si="1"/>
        <v>#N/A</v>
      </c>
      <c r="J1596" s="22" t="str">
        <f t="shared" si="2"/>
        <v>#N/A</v>
      </c>
      <c r="K1596" s="22" t="str">
        <f t="shared" si="8"/>
        <v/>
      </c>
    </row>
    <row r="1597" ht="15.75" customHeight="1">
      <c r="A1597" s="31" t="str">
        <f>'EQUITY BACKTEST'!A1600</f>
        <v/>
      </c>
      <c r="B1597" s="22" t="str">
        <f>'EQUITY BACKTEST'!B1600</f>
        <v/>
      </c>
      <c r="C1597" s="22" t="str">
        <f>'EQUITY BACKTEST'!E1600</f>
        <v/>
      </c>
      <c r="I1597" s="22" t="str">
        <f t="shared" si="1"/>
        <v>#N/A</v>
      </c>
      <c r="J1597" s="22" t="str">
        <f t="shared" si="2"/>
        <v>#N/A</v>
      </c>
      <c r="K1597" s="22" t="str">
        <f t="shared" si="8"/>
        <v/>
      </c>
    </row>
    <row r="1598" ht="15.75" customHeight="1">
      <c r="A1598" s="31" t="str">
        <f>'EQUITY BACKTEST'!A1601</f>
        <v/>
      </c>
      <c r="B1598" s="22" t="str">
        <f>'EQUITY BACKTEST'!B1601</f>
        <v/>
      </c>
      <c r="C1598" s="22" t="str">
        <f>'EQUITY BACKTEST'!E1601</f>
        <v/>
      </c>
      <c r="I1598" s="22" t="str">
        <f t="shared" si="1"/>
        <v>#N/A</v>
      </c>
      <c r="J1598" s="22" t="str">
        <f t="shared" si="2"/>
        <v>#N/A</v>
      </c>
      <c r="K1598" s="22" t="str">
        <f t="shared" si="8"/>
        <v/>
      </c>
    </row>
    <row r="1599" ht="15.75" customHeight="1">
      <c r="A1599" s="31" t="str">
        <f>'EQUITY BACKTEST'!A1602</f>
        <v/>
      </c>
      <c r="B1599" s="22" t="str">
        <f>'EQUITY BACKTEST'!B1602</f>
        <v/>
      </c>
      <c r="C1599" s="22" t="str">
        <f>'EQUITY BACKTEST'!E1602</f>
        <v/>
      </c>
      <c r="I1599" s="22" t="str">
        <f t="shared" si="1"/>
        <v>#N/A</v>
      </c>
      <c r="J1599" s="22" t="str">
        <f t="shared" si="2"/>
        <v>#N/A</v>
      </c>
      <c r="K1599" s="22" t="str">
        <f t="shared" si="8"/>
        <v/>
      </c>
    </row>
    <row r="1600" ht="15.75" customHeight="1">
      <c r="A1600" s="31" t="str">
        <f>'EQUITY BACKTEST'!A1603</f>
        <v/>
      </c>
      <c r="B1600" s="22" t="str">
        <f>'EQUITY BACKTEST'!B1603</f>
        <v/>
      </c>
      <c r="C1600" s="22" t="str">
        <f>'EQUITY BACKTEST'!E1603</f>
        <v/>
      </c>
      <c r="I1600" s="22" t="str">
        <f t="shared" si="1"/>
        <v>#N/A</v>
      </c>
      <c r="J1600" s="22" t="str">
        <f t="shared" si="2"/>
        <v>#N/A</v>
      </c>
      <c r="K1600" s="22" t="str">
        <f t="shared" si="8"/>
        <v/>
      </c>
    </row>
    <row r="1601" ht="15.75" customHeight="1">
      <c r="A1601" s="31" t="str">
        <f>'EQUITY BACKTEST'!A1604</f>
        <v/>
      </c>
      <c r="B1601" s="22" t="str">
        <f>'EQUITY BACKTEST'!B1604</f>
        <v/>
      </c>
      <c r="C1601" s="22" t="str">
        <f>'EQUITY BACKTEST'!E1604</f>
        <v/>
      </c>
      <c r="I1601" s="22" t="str">
        <f t="shared" si="1"/>
        <v>#N/A</v>
      </c>
      <c r="J1601" s="22" t="str">
        <f t="shared" si="2"/>
        <v>#N/A</v>
      </c>
      <c r="K1601" s="22" t="str">
        <f t="shared" si="8"/>
        <v/>
      </c>
    </row>
    <row r="1602" ht="15.75" customHeight="1">
      <c r="A1602" s="31" t="str">
        <f>'EQUITY BACKTEST'!A1605</f>
        <v/>
      </c>
      <c r="B1602" s="22" t="str">
        <f>'EQUITY BACKTEST'!B1605</f>
        <v/>
      </c>
      <c r="C1602" s="22" t="str">
        <f>'EQUITY BACKTEST'!E1605</f>
        <v/>
      </c>
      <c r="I1602" s="22" t="str">
        <f t="shared" si="1"/>
        <v>#N/A</v>
      </c>
      <c r="J1602" s="22" t="str">
        <f t="shared" si="2"/>
        <v>#N/A</v>
      </c>
      <c r="K1602" s="22" t="str">
        <f t="shared" si="8"/>
        <v/>
      </c>
    </row>
    <row r="1603" ht="15.75" customHeight="1">
      <c r="A1603" s="31" t="str">
        <f>'EQUITY BACKTEST'!A1606</f>
        <v/>
      </c>
      <c r="B1603" s="22" t="str">
        <f>'EQUITY BACKTEST'!B1606</f>
        <v/>
      </c>
      <c r="C1603" s="22" t="str">
        <f>'EQUITY BACKTEST'!E1606</f>
        <v/>
      </c>
      <c r="I1603" s="22" t="str">
        <f t="shared" si="1"/>
        <v>#N/A</v>
      </c>
      <c r="J1603" s="22" t="str">
        <f t="shared" si="2"/>
        <v>#N/A</v>
      </c>
      <c r="K1603" s="22" t="str">
        <f t="shared" si="8"/>
        <v/>
      </c>
    </row>
    <row r="1604" ht="15.75" customHeight="1">
      <c r="A1604" s="31" t="str">
        <f>'EQUITY BACKTEST'!A1607</f>
        <v/>
      </c>
      <c r="B1604" s="22" t="str">
        <f>'EQUITY BACKTEST'!B1607</f>
        <v/>
      </c>
      <c r="C1604" s="22" t="str">
        <f>'EQUITY BACKTEST'!E1607</f>
        <v/>
      </c>
      <c r="I1604" s="22" t="str">
        <f t="shared" si="1"/>
        <v>#N/A</v>
      </c>
      <c r="J1604" s="22" t="str">
        <f t="shared" si="2"/>
        <v>#N/A</v>
      </c>
      <c r="K1604" s="22" t="str">
        <f t="shared" si="8"/>
        <v/>
      </c>
    </row>
    <row r="1605" ht="15.75" customHeight="1">
      <c r="A1605" s="31" t="str">
        <f>'EQUITY BACKTEST'!A1608</f>
        <v/>
      </c>
      <c r="B1605" s="22" t="str">
        <f>'EQUITY BACKTEST'!B1608</f>
        <v/>
      </c>
      <c r="C1605" s="22" t="str">
        <f>'EQUITY BACKTEST'!E1608</f>
        <v/>
      </c>
      <c r="I1605" s="22" t="str">
        <f t="shared" si="1"/>
        <v>#N/A</v>
      </c>
      <c r="J1605" s="22" t="str">
        <f t="shared" si="2"/>
        <v>#N/A</v>
      </c>
      <c r="K1605" s="22" t="str">
        <f t="shared" si="8"/>
        <v/>
      </c>
    </row>
    <row r="1606" ht="15.75" customHeight="1">
      <c r="A1606" s="31" t="str">
        <f>'EQUITY BACKTEST'!A1609</f>
        <v/>
      </c>
      <c r="B1606" s="22" t="str">
        <f>'EQUITY BACKTEST'!B1609</f>
        <v/>
      </c>
      <c r="C1606" s="22" t="str">
        <f>'EQUITY BACKTEST'!E1609</f>
        <v/>
      </c>
      <c r="I1606" s="22" t="str">
        <f t="shared" si="1"/>
        <v>#N/A</v>
      </c>
      <c r="J1606" s="22" t="str">
        <f t="shared" si="2"/>
        <v>#N/A</v>
      </c>
      <c r="K1606" s="22" t="str">
        <f t="shared" si="8"/>
        <v/>
      </c>
    </row>
    <row r="1607" ht="15.75" customHeight="1">
      <c r="A1607" s="31" t="str">
        <f>'EQUITY BACKTEST'!A1610</f>
        <v/>
      </c>
      <c r="B1607" s="22" t="str">
        <f>'EQUITY BACKTEST'!B1610</f>
        <v/>
      </c>
      <c r="C1607" s="22" t="str">
        <f>'EQUITY BACKTEST'!E1610</f>
        <v/>
      </c>
      <c r="I1607" s="22" t="str">
        <f t="shared" si="1"/>
        <v>#N/A</v>
      </c>
      <c r="J1607" s="22" t="str">
        <f t="shared" si="2"/>
        <v>#N/A</v>
      </c>
      <c r="K1607" s="22" t="str">
        <f t="shared" si="8"/>
        <v/>
      </c>
    </row>
    <row r="1608" ht="15.75" customHeight="1">
      <c r="A1608" s="31" t="str">
        <f>'EQUITY BACKTEST'!A1611</f>
        <v/>
      </c>
      <c r="B1608" s="22" t="str">
        <f>'EQUITY BACKTEST'!B1611</f>
        <v/>
      </c>
      <c r="C1608" s="22" t="str">
        <f>'EQUITY BACKTEST'!E1611</f>
        <v/>
      </c>
      <c r="I1608" s="22" t="str">
        <f t="shared" si="1"/>
        <v>#N/A</v>
      </c>
      <c r="J1608" s="22" t="str">
        <f t="shared" si="2"/>
        <v>#N/A</v>
      </c>
      <c r="K1608" s="22" t="str">
        <f t="shared" si="8"/>
        <v/>
      </c>
    </row>
    <row r="1609" ht="15.75" customHeight="1">
      <c r="A1609" s="31" t="str">
        <f>'EQUITY BACKTEST'!A1612</f>
        <v/>
      </c>
      <c r="B1609" s="22" t="str">
        <f>'EQUITY BACKTEST'!B1612</f>
        <v/>
      </c>
      <c r="C1609" s="22" t="str">
        <f>'EQUITY BACKTEST'!E1612</f>
        <v/>
      </c>
      <c r="I1609" s="22" t="str">
        <f t="shared" si="1"/>
        <v>#N/A</v>
      </c>
      <c r="J1609" s="22" t="str">
        <f t="shared" si="2"/>
        <v>#N/A</v>
      </c>
      <c r="K1609" s="22" t="str">
        <f t="shared" si="8"/>
        <v/>
      </c>
    </row>
    <row r="1610" ht="15.75" customHeight="1">
      <c r="A1610" s="31" t="str">
        <f>'EQUITY BACKTEST'!A1613</f>
        <v/>
      </c>
      <c r="B1610" s="22" t="str">
        <f>'EQUITY BACKTEST'!B1613</f>
        <v/>
      </c>
      <c r="C1610" s="22" t="str">
        <f>'EQUITY BACKTEST'!E1613</f>
        <v/>
      </c>
      <c r="I1610" s="22" t="str">
        <f t="shared" si="1"/>
        <v>#N/A</v>
      </c>
      <c r="J1610" s="22" t="str">
        <f t="shared" si="2"/>
        <v>#N/A</v>
      </c>
      <c r="K1610" s="22" t="str">
        <f t="shared" si="8"/>
        <v/>
      </c>
    </row>
    <row r="1611" ht="15.75" customHeight="1">
      <c r="A1611" s="31" t="str">
        <f>'EQUITY BACKTEST'!A1614</f>
        <v/>
      </c>
      <c r="B1611" s="22" t="str">
        <f>'EQUITY BACKTEST'!B1614</f>
        <v/>
      </c>
      <c r="C1611" s="22" t="str">
        <f>'EQUITY BACKTEST'!E1614</f>
        <v/>
      </c>
      <c r="I1611" s="22" t="str">
        <f t="shared" si="1"/>
        <v>#N/A</v>
      </c>
      <c r="J1611" s="22" t="str">
        <f t="shared" si="2"/>
        <v>#N/A</v>
      </c>
      <c r="K1611" s="22" t="str">
        <f t="shared" si="8"/>
        <v/>
      </c>
    </row>
    <row r="1612" ht="15.75" customHeight="1">
      <c r="A1612" s="31" t="str">
        <f>'EQUITY BACKTEST'!A1615</f>
        <v/>
      </c>
      <c r="B1612" s="22" t="str">
        <f>'EQUITY BACKTEST'!B1615</f>
        <v/>
      </c>
      <c r="C1612" s="22" t="str">
        <f>'EQUITY BACKTEST'!E1615</f>
        <v/>
      </c>
      <c r="I1612" s="22" t="str">
        <f t="shared" si="1"/>
        <v>#N/A</v>
      </c>
      <c r="J1612" s="22" t="str">
        <f t="shared" si="2"/>
        <v>#N/A</v>
      </c>
      <c r="K1612" s="22" t="str">
        <f t="shared" si="8"/>
        <v/>
      </c>
    </row>
    <row r="1613" ht="15.75" customHeight="1">
      <c r="A1613" s="31" t="str">
        <f>'EQUITY BACKTEST'!A1616</f>
        <v/>
      </c>
      <c r="B1613" s="22" t="str">
        <f>'EQUITY BACKTEST'!B1616</f>
        <v/>
      </c>
      <c r="C1613" s="22" t="str">
        <f>'EQUITY BACKTEST'!E1616</f>
        <v/>
      </c>
      <c r="I1613" s="22" t="str">
        <f t="shared" si="1"/>
        <v>#N/A</v>
      </c>
      <c r="J1613" s="22" t="str">
        <f t="shared" si="2"/>
        <v>#N/A</v>
      </c>
      <c r="K1613" s="22" t="str">
        <f t="shared" si="8"/>
        <v/>
      </c>
    </row>
    <row r="1614" ht="15.75" customHeight="1">
      <c r="A1614" s="31" t="str">
        <f>'EQUITY BACKTEST'!A1617</f>
        <v/>
      </c>
      <c r="B1614" s="22" t="str">
        <f>'EQUITY BACKTEST'!B1617</f>
        <v/>
      </c>
      <c r="C1614" s="22" t="str">
        <f>'EQUITY BACKTEST'!E1617</f>
        <v/>
      </c>
      <c r="I1614" s="22" t="str">
        <f t="shared" si="1"/>
        <v>#N/A</v>
      </c>
      <c r="J1614" s="22" t="str">
        <f t="shared" si="2"/>
        <v>#N/A</v>
      </c>
      <c r="K1614" s="22" t="str">
        <f t="shared" si="8"/>
        <v/>
      </c>
    </row>
    <row r="1615" ht="15.75" customHeight="1">
      <c r="A1615" s="31" t="str">
        <f>'EQUITY BACKTEST'!A1618</f>
        <v/>
      </c>
      <c r="B1615" s="22" t="str">
        <f>'EQUITY BACKTEST'!B1618</f>
        <v/>
      </c>
      <c r="C1615" s="22" t="str">
        <f>'EQUITY BACKTEST'!E1618</f>
        <v/>
      </c>
      <c r="I1615" s="22" t="str">
        <f t="shared" si="1"/>
        <v>#N/A</v>
      </c>
      <c r="J1615" s="22" t="str">
        <f t="shared" si="2"/>
        <v>#N/A</v>
      </c>
      <c r="K1615" s="22" t="str">
        <f t="shared" si="8"/>
        <v/>
      </c>
    </row>
    <row r="1616" ht="15.75" customHeight="1">
      <c r="A1616" s="31" t="str">
        <f>'EQUITY BACKTEST'!A1619</f>
        <v/>
      </c>
      <c r="B1616" s="22" t="str">
        <f>'EQUITY BACKTEST'!B1619</f>
        <v/>
      </c>
      <c r="C1616" s="22" t="str">
        <f>'EQUITY BACKTEST'!E1619</f>
        <v/>
      </c>
      <c r="I1616" s="22" t="str">
        <f t="shared" si="1"/>
        <v>#N/A</v>
      </c>
      <c r="J1616" s="22" t="str">
        <f t="shared" si="2"/>
        <v>#N/A</v>
      </c>
      <c r="K1616" s="22" t="str">
        <f t="shared" si="8"/>
        <v/>
      </c>
    </row>
    <row r="1617" ht="15.75" customHeight="1">
      <c r="A1617" s="31" t="str">
        <f>'EQUITY BACKTEST'!A1620</f>
        <v/>
      </c>
      <c r="B1617" s="22" t="str">
        <f>'EQUITY BACKTEST'!B1620</f>
        <v/>
      </c>
      <c r="C1617" s="22" t="str">
        <f>'EQUITY BACKTEST'!E1620</f>
        <v/>
      </c>
      <c r="I1617" s="22" t="str">
        <f t="shared" si="1"/>
        <v>#N/A</v>
      </c>
      <c r="J1617" s="22" t="str">
        <f t="shared" si="2"/>
        <v>#N/A</v>
      </c>
      <c r="K1617" s="22" t="str">
        <f t="shared" si="8"/>
        <v/>
      </c>
    </row>
    <row r="1618" ht="15.75" customHeight="1">
      <c r="A1618" s="31" t="str">
        <f>'EQUITY BACKTEST'!A1621</f>
        <v/>
      </c>
      <c r="B1618" s="22" t="str">
        <f>'EQUITY BACKTEST'!B1621</f>
        <v/>
      </c>
      <c r="C1618" s="22" t="str">
        <f>'EQUITY BACKTEST'!E1621</f>
        <v/>
      </c>
      <c r="I1618" s="22" t="str">
        <f t="shared" si="1"/>
        <v>#N/A</v>
      </c>
      <c r="J1618" s="22" t="str">
        <f t="shared" si="2"/>
        <v>#N/A</v>
      </c>
      <c r="K1618" s="22" t="str">
        <f t="shared" si="8"/>
        <v/>
      </c>
    </row>
    <row r="1619" ht="15.75" customHeight="1">
      <c r="A1619" s="31" t="str">
        <f>'EQUITY BACKTEST'!A1622</f>
        <v/>
      </c>
      <c r="B1619" s="22" t="str">
        <f>'EQUITY BACKTEST'!B1622</f>
        <v/>
      </c>
      <c r="C1619" s="22" t="str">
        <f>'EQUITY BACKTEST'!E1622</f>
        <v/>
      </c>
      <c r="I1619" s="22" t="str">
        <f t="shared" si="1"/>
        <v>#N/A</v>
      </c>
      <c r="J1619" s="22" t="str">
        <f t="shared" si="2"/>
        <v>#N/A</v>
      </c>
      <c r="K1619" s="22" t="str">
        <f t="shared" si="8"/>
        <v/>
      </c>
    </row>
    <row r="1620" ht="15.75" customHeight="1">
      <c r="A1620" s="31" t="str">
        <f>'EQUITY BACKTEST'!A1623</f>
        <v/>
      </c>
      <c r="B1620" s="22" t="str">
        <f>'EQUITY BACKTEST'!B1623</f>
        <v/>
      </c>
      <c r="C1620" s="22" t="str">
        <f>'EQUITY BACKTEST'!E1623</f>
        <v/>
      </c>
      <c r="I1620" s="22" t="str">
        <f t="shared" si="1"/>
        <v>#N/A</v>
      </c>
      <c r="J1620" s="22" t="str">
        <f t="shared" si="2"/>
        <v>#N/A</v>
      </c>
      <c r="K1620" s="22" t="str">
        <f t="shared" si="8"/>
        <v/>
      </c>
    </row>
    <row r="1621" ht="15.75" customHeight="1">
      <c r="A1621" s="31" t="str">
        <f>'EQUITY BACKTEST'!A1624</f>
        <v/>
      </c>
      <c r="B1621" s="22" t="str">
        <f>'EQUITY BACKTEST'!B1624</f>
        <v/>
      </c>
      <c r="C1621" s="22" t="str">
        <f>'EQUITY BACKTEST'!E1624</f>
        <v/>
      </c>
      <c r="I1621" s="22" t="str">
        <f t="shared" si="1"/>
        <v>#N/A</v>
      </c>
      <c r="J1621" s="22" t="str">
        <f t="shared" si="2"/>
        <v>#N/A</v>
      </c>
      <c r="K1621" s="22" t="str">
        <f t="shared" si="8"/>
        <v/>
      </c>
    </row>
    <row r="1622" ht="15.75" customHeight="1">
      <c r="A1622" s="31" t="str">
        <f>'EQUITY BACKTEST'!A1625</f>
        <v/>
      </c>
      <c r="B1622" s="22" t="str">
        <f>'EQUITY BACKTEST'!B1625</f>
        <v/>
      </c>
      <c r="C1622" s="22" t="str">
        <f>'EQUITY BACKTEST'!E1625</f>
        <v/>
      </c>
      <c r="I1622" s="22" t="str">
        <f t="shared" si="1"/>
        <v>#N/A</v>
      </c>
      <c r="J1622" s="22" t="str">
        <f t="shared" si="2"/>
        <v>#N/A</v>
      </c>
      <c r="K1622" s="22" t="str">
        <f t="shared" si="8"/>
        <v/>
      </c>
    </row>
    <row r="1623" ht="15.75" customHeight="1">
      <c r="A1623" s="31" t="str">
        <f>'EQUITY BACKTEST'!A1626</f>
        <v/>
      </c>
      <c r="B1623" s="22" t="str">
        <f>'EQUITY BACKTEST'!B1626</f>
        <v/>
      </c>
      <c r="C1623" s="22" t="str">
        <f>'EQUITY BACKTEST'!E1626</f>
        <v/>
      </c>
      <c r="I1623" s="22" t="str">
        <f t="shared" si="1"/>
        <v>#N/A</v>
      </c>
      <c r="J1623" s="22" t="str">
        <f t="shared" si="2"/>
        <v>#N/A</v>
      </c>
      <c r="K1623" s="22" t="str">
        <f t="shared" si="8"/>
        <v/>
      </c>
    </row>
    <row r="1624" ht="15.75" customHeight="1">
      <c r="A1624" s="31" t="str">
        <f>'EQUITY BACKTEST'!A1627</f>
        <v/>
      </c>
      <c r="B1624" s="22" t="str">
        <f>'EQUITY BACKTEST'!B1627</f>
        <v/>
      </c>
      <c r="C1624" s="22" t="str">
        <f>'EQUITY BACKTEST'!E1627</f>
        <v/>
      </c>
      <c r="I1624" s="22" t="str">
        <f t="shared" si="1"/>
        <v>#N/A</v>
      </c>
      <c r="J1624" s="22" t="str">
        <f t="shared" si="2"/>
        <v>#N/A</v>
      </c>
      <c r="K1624" s="22" t="str">
        <f t="shared" si="8"/>
        <v/>
      </c>
    </row>
    <row r="1625" ht="15.75" customHeight="1">
      <c r="A1625" s="31" t="str">
        <f>'EQUITY BACKTEST'!A1628</f>
        <v/>
      </c>
      <c r="B1625" s="22" t="str">
        <f>'EQUITY BACKTEST'!B1628</f>
        <v/>
      </c>
      <c r="C1625" s="22" t="str">
        <f>'EQUITY BACKTEST'!E1628</f>
        <v/>
      </c>
      <c r="I1625" s="22" t="str">
        <f t="shared" si="1"/>
        <v>#N/A</v>
      </c>
      <c r="J1625" s="22" t="str">
        <f t="shared" si="2"/>
        <v>#N/A</v>
      </c>
      <c r="K1625" s="22" t="str">
        <f t="shared" si="8"/>
        <v/>
      </c>
    </row>
    <row r="1626" ht="15.75" customHeight="1">
      <c r="A1626" s="31" t="str">
        <f>'EQUITY BACKTEST'!A1629</f>
        <v/>
      </c>
      <c r="B1626" s="22" t="str">
        <f>'EQUITY BACKTEST'!B1629</f>
        <v/>
      </c>
      <c r="C1626" s="22" t="str">
        <f>'EQUITY BACKTEST'!E1629</f>
        <v/>
      </c>
      <c r="I1626" s="22" t="str">
        <f t="shared" si="1"/>
        <v>#N/A</v>
      </c>
      <c r="J1626" s="22" t="str">
        <f t="shared" si="2"/>
        <v>#N/A</v>
      </c>
      <c r="K1626" s="22" t="str">
        <f t="shared" si="8"/>
        <v/>
      </c>
    </row>
    <row r="1627" ht="15.75" customHeight="1">
      <c r="A1627" s="31" t="str">
        <f>'EQUITY BACKTEST'!A1630</f>
        <v/>
      </c>
      <c r="B1627" s="22" t="str">
        <f>'EQUITY BACKTEST'!B1630</f>
        <v/>
      </c>
      <c r="C1627" s="22" t="str">
        <f>'EQUITY BACKTEST'!E1630</f>
        <v/>
      </c>
      <c r="I1627" s="22" t="str">
        <f t="shared" si="1"/>
        <v>#N/A</v>
      </c>
      <c r="J1627" s="22" t="str">
        <f t="shared" si="2"/>
        <v>#N/A</v>
      </c>
      <c r="K1627" s="22" t="str">
        <f t="shared" si="8"/>
        <v/>
      </c>
    </row>
    <row r="1628" ht="15.75" customHeight="1">
      <c r="A1628" s="31" t="str">
        <f>'EQUITY BACKTEST'!A1631</f>
        <v/>
      </c>
      <c r="B1628" s="22" t="str">
        <f>'EQUITY BACKTEST'!B1631</f>
        <v/>
      </c>
      <c r="C1628" s="22" t="str">
        <f>'EQUITY BACKTEST'!E1631</f>
        <v/>
      </c>
      <c r="I1628" s="22" t="str">
        <f t="shared" si="1"/>
        <v>#N/A</v>
      </c>
      <c r="J1628" s="22" t="str">
        <f t="shared" si="2"/>
        <v>#N/A</v>
      </c>
      <c r="K1628" s="22" t="str">
        <f t="shared" si="8"/>
        <v/>
      </c>
    </row>
    <row r="1629" ht="15.75" customHeight="1">
      <c r="A1629" s="31" t="str">
        <f>'EQUITY BACKTEST'!A1632</f>
        <v/>
      </c>
      <c r="B1629" s="22" t="str">
        <f>'EQUITY BACKTEST'!B1632</f>
        <v/>
      </c>
      <c r="C1629" s="22" t="str">
        <f>'EQUITY BACKTEST'!E1632</f>
        <v/>
      </c>
      <c r="I1629" s="22" t="str">
        <f t="shared" si="1"/>
        <v>#N/A</v>
      </c>
      <c r="J1629" s="22" t="str">
        <f t="shared" si="2"/>
        <v>#N/A</v>
      </c>
      <c r="K1629" s="22" t="str">
        <f t="shared" si="8"/>
        <v/>
      </c>
    </row>
    <row r="1630" ht="15.75" customHeight="1">
      <c r="A1630" s="31" t="str">
        <f>'EQUITY BACKTEST'!A1633</f>
        <v/>
      </c>
      <c r="B1630" s="22" t="str">
        <f>'EQUITY BACKTEST'!B1633</f>
        <v/>
      </c>
      <c r="C1630" s="22" t="str">
        <f>'EQUITY BACKTEST'!E1633</f>
        <v/>
      </c>
      <c r="I1630" s="22" t="str">
        <f t="shared" si="1"/>
        <v>#N/A</v>
      </c>
      <c r="J1630" s="22" t="str">
        <f t="shared" si="2"/>
        <v>#N/A</v>
      </c>
      <c r="K1630" s="22" t="str">
        <f t="shared" si="8"/>
        <v/>
      </c>
    </row>
    <row r="1631" ht="15.75" customHeight="1">
      <c r="A1631" s="31" t="str">
        <f>'EQUITY BACKTEST'!A1634</f>
        <v/>
      </c>
      <c r="B1631" s="22" t="str">
        <f>'EQUITY BACKTEST'!B1634</f>
        <v/>
      </c>
      <c r="C1631" s="22" t="str">
        <f>'EQUITY BACKTEST'!E1634</f>
        <v/>
      </c>
      <c r="I1631" s="22" t="str">
        <f t="shared" si="1"/>
        <v>#N/A</v>
      </c>
      <c r="J1631" s="22" t="str">
        <f t="shared" si="2"/>
        <v>#N/A</v>
      </c>
      <c r="K1631" s="22" t="str">
        <f t="shared" si="8"/>
        <v/>
      </c>
    </row>
    <row r="1632" ht="15.75" customHeight="1">
      <c r="A1632" s="31" t="str">
        <f>'EQUITY BACKTEST'!A1635</f>
        <v/>
      </c>
      <c r="B1632" s="22" t="str">
        <f>'EQUITY BACKTEST'!B1635</f>
        <v/>
      </c>
      <c r="C1632" s="22" t="str">
        <f>'EQUITY BACKTEST'!E1635</f>
        <v/>
      </c>
      <c r="I1632" s="22" t="str">
        <f t="shared" si="1"/>
        <v>#N/A</v>
      </c>
      <c r="J1632" s="22" t="str">
        <f t="shared" si="2"/>
        <v>#N/A</v>
      </c>
      <c r="K1632" s="22" t="str">
        <f t="shared" si="8"/>
        <v/>
      </c>
    </row>
    <row r="1633" ht="15.75" customHeight="1">
      <c r="A1633" s="31" t="str">
        <f>'EQUITY BACKTEST'!A1636</f>
        <v/>
      </c>
      <c r="B1633" s="22" t="str">
        <f>'EQUITY BACKTEST'!B1636</f>
        <v/>
      </c>
      <c r="C1633" s="22" t="str">
        <f>'EQUITY BACKTEST'!E1636</f>
        <v/>
      </c>
      <c r="I1633" s="22" t="str">
        <f t="shared" si="1"/>
        <v>#N/A</v>
      </c>
      <c r="J1633" s="22" t="str">
        <f t="shared" si="2"/>
        <v>#N/A</v>
      </c>
      <c r="K1633" s="22" t="str">
        <f t="shared" si="8"/>
        <v/>
      </c>
    </row>
    <row r="1634" ht="15.75" customHeight="1">
      <c r="A1634" s="31" t="str">
        <f>'EQUITY BACKTEST'!A1637</f>
        <v/>
      </c>
      <c r="B1634" s="22" t="str">
        <f>'EQUITY BACKTEST'!B1637</f>
        <v/>
      </c>
      <c r="C1634" s="22" t="str">
        <f>'EQUITY BACKTEST'!E1637</f>
        <v/>
      </c>
      <c r="I1634" s="22" t="str">
        <f t="shared" si="1"/>
        <v>#N/A</v>
      </c>
      <c r="J1634" s="22" t="str">
        <f t="shared" si="2"/>
        <v>#N/A</v>
      </c>
      <c r="K1634" s="22" t="str">
        <f t="shared" si="8"/>
        <v/>
      </c>
    </row>
    <row r="1635" ht="15.75" customHeight="1">
      <c r="A1635" s="31" t="str">
        <f>'EQUITY BACKTEST'!A1638</f>
        <v/>
      </c>
      <c r="B1635" s="22" t="str">
        <f>'EQUITY BACKTEST'!B1638</f>
        <v/>
      </c>
      <c r="C1635" s="22" t="str">
        <f>'EQUITY BACKTEST'!E1638</f>
        <v/>
      </c>
      <c r="I1635" s="22" t="str">
        <f t="shared" si="1"/>
        <v>#N/A</v>
      </c>
      <c r="J1635" s="22" t="str">
        <f t="shared" si="2"/>
        <v>#N/A</v>
      </c>
      <c r="K1635" s="22" t="str">
        <f t="shared" si="8"/>
        <v/>
      </c>
    </row>
    <row r="1636" ht="15.75" customHeight="1">
      <c r="A1636" s="31" t="str">
        <f>'EQUITY BACKTEST'!A1639</f>
        <v/>
      </c>
      <c r="B1636" s="22" t="str">
        <f>'EQUITY BACKTEST'!B1639</f>
        <v/>
      </c>
      <c r="C1636" s="22" t="str">
        <f>'EQUITY BACKTEST'!E1639</f>
        <v/>
      </c>
      <c r="I1636" s="22" t="str">
        <f t="shared" si="1"/>
        <v>#N/A</v>
      </c>
      <c r="J1636" s="22" t="str">
        <f t="shared" si="2"/>
        <v>#N/A</v>
      </c>
      <c r="K1636" s="22" t="str">
        <f t="shared" si="8"/>
        <v/>
      </c>
    </row>
    <row r="1637" ht="15.75" customHeight="1">
      <c r="A1637" s="31" t="str">
        <f>'EQUITY BACKTEST'!A1640</f>
        <v/>
      </c>
      <c r="B1637" s="22" t="str">
        <f>'EQUITY BACKTEST'!B1640</f>
        <v/>
      </c>
      <c r="C1637" s="22" t="str">
        <f>'EQUITY BACKTEST'!E1640</f>
        <v/>
      </c>
      <c r="I1637" s="22" t="str">
        <f t="shared" si="1"/>
        <v>#N/A</v>
      </c>
      <c r="J1637" s="22" t="str">
        <f t="shared" si="2"/>
        <v>#N/A</v>
      </c>
      <c r="K1637" s="22" t="str">
        <f t="shared" si="8"/>
        <v/>
      </c>
    </row>
    <row r="1638" ht="15.75" customHeight="1">
      <c r="A1638" s="31" t="str">
        <f>'EQUITY BACKTEST'!A1641</f>
        <v/>
      </c>
      <c r="B1638" s="22" t="str">
        <f>'EQUITY BACKTEST'!B1641</f>
        <v/>
      </c>
      <c r="C1638" s="22" t="str">
        <f>'EQUITY BACKTEST'!E1641</f>
        <v/>
      </c>
      <c r="I1638" s="22" t="str">
        <f t="shared" si="1"/>
        <v>#N/A</v>
      </c>
      <c r="J1638" s="22" t="str">
        <f t="shared" si="2"/>
        <v>#N/A</v>
      </c>
      <c r="K1638" s="22" t="str">
        <f t="shared" si="8"/>
        <v/>
      </c>
    </row>
    <row r="1639" ht="15.75" customHeight="1">
      <c r="A1639" s="31" t="str">
        <f>'EQUITY BACKTEST'!A1642</f>
        <v/>
      </c>
      <c r="B1639" s="22" t="str">
        <f>'EQUITY BACKTEST'!B1642</f>
        <v/>
      </c>
      <c r="C1639" s="22" t="str">
        <f>'EQUITY BACKTEST'!E1642</f>
        <v/>
      </c>
      <c r="I1639" s="22" t="str">
        <f t="shared" si="1"/>
        <v>#N/A</v>
      </c>
      <c r="J1639" s="22" t="str">
        <f t="shared" si="2"/>
        <v>#N/A</v>
      </c>
      <c r="K1639" s="22" t="str">
        <f t="shared" si="8"/>
        <v/>
      </c>
    </row>
    <row r="1640" ht="15.75" customHeight="1">
      <c r="A1640" s="31" t="str">
        <f>'EQUITY BACKTEST'!A1643</f>
        <v/>
      </c>
      <c r="B1640" s="22" t="str">
        <f>'EQUITY BACKTEST'!B1643</f>
        <v/>
      </c>
      <c r="C1640" s="22" t="str">
        <f>'EQUITY BACKTEST'!E1643</f>
        <v/>
      </c>
      <c r="I1640" s="22" t="str">
        <f t="shared" si="1"/>
        <v>#N/A</v>
      </c>
      <c r="J1640" s="22" t="str">
        <f t="shared" si="2"/>
        <v>#N/A</v>
      </c>
      <c r="K1640" s="22" t="str">
        <f t="shared" si="8"/>
        <v/>
      </c>
    </row>
    <row r="1641" ht="15.75" customHeight="1">
      <c r="A1641" s="31" t="str">
        <f>'EQUITY BACKTEST'!A1644</f>
        <v/>
      </c>
      <c r="B1641" s="22" t="str">
        <f>'EQUITY BACKTEST'!B1644</f>
        <v/>
      </c>
      <c r="C1641" s="22" t="str">
        <f>'EQUITY BACKTEST'!E1644</f>
        <v/>
      </c>
      <c r="I1641" s="22" t="str">
        <f t="shared" si="1"/>
        <v>#N/A</v>
      </c>
      <c r="J1641" s="22" t="str">
        <f t="shared" si="2"/>
        <v>#N/A</v>
      </c>
      <c r="K1641" s="22" t="str">
        <f t="shared" si="8"/>
        <v/>
      </c>
    </row>
    <row r="1642" ht="15.75" customHeight="1">
      <c r="A1642" s="31" t="str">
        <f>'EQUITY BACKTEST'!A1645</f>
        <v/>
      </c>
      <c r="B1642" s="22" t="str">
        <f>'EQUITY BACKTEST'!B1645</f>
        <v/>
      </c>
      <c r="C1642" s="22" t="str">
        <f>'EQUITY BACKTEST'!E1645</f>
        <v/>
      </c>
      <c r="I1642" s="22" t="str">
        <f t="shared" si="1"/>
        <v>#N/A</v>
      </c>
      <c r="J1642" s="22" t="str">
        <f t="shared" si="2"/>
        <v>#N/A</v>
      </c>
      <c r="K1642" s="22" t="str">
        <f t="shared" si="8"/>
        <v/>
      </c>
    </row>
    <row r="1643" ht="15.75" customHeight="1">
      <c r="A1643" s="31" t="str">
        <f>'EQUITY BACKTEST'!A1646</f>
        <v/>
      </c>
      <c r="B1643" s="22" t="str">
        <f>'EQUITY BACKTEST'!B1646</f>
        <v/>
      </c>
      <c r="C1643" s="22" t="str">
        <f>'EQUITY BACKTEST'!E1646</f>
        <v/>
      </c>
      <c r="I1643" s="22" t="str">
        <f t="shared" si="1"/>
        <v>#N/A</v>
      </c>
      <c r="J1643" s="22" t="str">
        <f t="shared" si="2"/>
        <v>#N/A</v>
      </c>
      <c r="K1643" s="22" t="str">
        <f t="shared" si="8"/>
        <v/>
      </c>
    </row>
    <row r="1644" ht="15.75" customHeight="1">
      <c r="A1644" s="31" t="str">
        <f>'EQUITY BACKTEST'!A1647</f>
        <v/>
      </c>
      <c r="B1644" s="22" t="str">
        <f>'EQUITY BACKTEST'!B1647</f>
        <v/>
      </c>
      <c r="C1644" s="22" t="str">
        <f>'EQUITY BACKTEST'!E1647</f>
        <v/>
      </c>
      <c r="I1644" s="22" t="str">
        <f t="shared" si="1"/>
        <v>#N/A</v>
      </c>
      <c r="J1644" s="22" t="str">
        <f t="shared" si="2"/>
        <v>#N/A</v>
      </c>
      <c r="K1644" s="22" t="str">
        <f t="shared" si="8"/>
        <v/>
      </c>
    </row>
    <row r="1645" ht="15.75" customHeight="1">
      <c r="A1645" s="31" t="str">
        <f>'EQUITY BACKTEST'!A1648</f>
        <v/>
      </c>
      <c r="B1645" s="22" t="str">
        <f>'EQUITY BACKTEST'!B1648</f>
        <v/>
      </c>
      <c r="C1645" s="22" t="str">
        <f>'EQUITY BACKTEST'!E1648</f>
        <v/>
      </c>
      <c r="I1645" s="22" t="str">
        <f t="shared" si="1"/>
        <v>#N/A</v>
      </c>
      <c r="J1645" s="22" t="str">
        <f t="shared" si="2"/>
        <v>#N/A</v>
      </c>
      <c r="K1645" s="22" t="str">
        <f t="shared" si="8"/>
        <v/>
      </c>
    </row>
    <row r="1646" ht="15.75" customHeight="1">
      <c r="A1646" s="31" t="str">
        <f>'EQUITY BACKTEST'!A1649</f>
        <v/>
      </c>
      <c r="B1646" s="22" t="str">
        <f>'EQUITY BACKTEST'!B1649</f>
        <v/>
      </c>
      <c r="C1646" s="22" t="str">
        <f>'EQUITY BACKTEST'!E1649</f>
        <v/>
      </c>
      <c r="I1646" s="22" t="str">
        <f t="shared" si="1"/>
        <v>#N/A</v>
      </c>
      <c r="J1646" s="22" t="str">
        <f t="shared" si="2"/>
        <v>#N/A</v>
      </c>
      <c r="K1646" s="22" t="str">
        <f t="shared" si="8"/>
        <v/>
      </c>
    </row>
    <row r="1647" ht="15.75" customHeight="1">
      <c r="A1647" s="31" t="str">
        <f>'EQUITY BACKTEST'!A1650</f>
        <v/>
      </c>
      <c r="B1647" s="22" t="str">
        <f>'EQUITY BACKTEST'!B1650</f>
        <v/>
      </c>
      <c r="C1647" s="22" t="str">
        <f>'EQUITY BACKTEST'!E1650</f>
        <v/>
      </c>
      <c r="I1647" s="22" t="str">
        <f t="shared" si="1"/>
        <v>#N/A</v>
      </c>
      <c r="J1647" s="22" t="str">
        <f t="shared" si="2"/>
        <v>#N/A</v>
      </c>
      <c r="K1647" s="22" t="str">
        <f t="shared" si="8"/>
        <v/>
      </c>
    </row>
    <row r="1648" ht="15.75" customHeight="1">
      <c r="A1648" s="31" t="str">
        <f>'EQUITY BACKTEST'!A1651</f>
        <v/>
      </c>
      <c r="B1648" s="22" t="str">
        <f>'EQUITY BACKTEST'!B1651</f>
        <v/>
      </c>
      <c r="C1648" s="22" t="str">
        <f>'EQUITY BACKTEST'!E1651</f>
        <v/>
      </c>
      <c r="I1648" s="22" t="str">
        <f t="shared" si="1"/>
        <v>#N/A</v>
      </c>
      <c r="J1648" s="22" t="str">
        <f t="shared" si="2"/>
        <v>#N/A</v>
      </c>
      <c r="K1648" s="22" t="str">
        <f t="shared" si="8"/>
        <v/>
      </c>
    </row>
    <row r="1649" ht="15.75" customHeight="1">
      <c r="A1649" s="31" t="str">
        <f>'EQUITY BACKTEST'!A1652</f>
        <v/>
      </c>
      <c r="B1649" s="22" t="str">
        <f>'EQUITY BACKTEST'!B1652</f>
        <v/>
      </c>
      <c r="C1649" s="22" t="str">
        <f>'EQUITY BACKTEST'!E1652</f>
        <v/>
      </c>
      <c r="I1649" s="22" t="str">
        <f t="shared" si="1"/>
        <v>#N/A</v>
      </c>
      <c r="J1649" s="22" t="str">
        <f t="shared" si="2"/>
        <v>#N/A</v>
      </c>
      <c r="K1649" s="22" t="str">
        <f t="shared" si="8"/>
        <v/>
      </c>
    </row>
    <row r="1650" ht="15.75" customHeight="1">
      <c r="A1650" s="31" t="str">
        <f>'EQUITY BACKTEST'!A1653</f>
        <v/>
      </c>
      <c r="B1650" s="22" t="str">
        <f>'EQUITY BACKTEST'!B1653</f>
        <v/>
      </c>
      <c r="C1650" s="22" t="str">
        <f>'EQUITY BACKTEST'!E1653</f>
        <v/>
      </c>
      <c r="I1650" s="22" t="str">
        <f t="shared" si="1"/>
        <v>#N/A</v>
      </c>
      <c r="J1650" s="22" t="str">
        <f t="shared" si="2"/>
        <v>#N/A</v>
      </c>
      <c r="K1650" s="22" t="str">
        <f t="shared" si="8"/>
        <v/>
      </c>
    </row>
    <row r="1651" ht="15.75" customHeight="1">
      <c r="A1651" s="31" t="str">
        <f>'EQUITY BACKTEST'!A1654</f>
        <v/>
      </c>
      <c r="B1651" s="22" t="str">
        <f>'EQUITY BACKTEST'!B1654</f>
        <v/>
      </c>
      <c r="C1651" s="22" t="str">
        <f>'EQUITY BACKTEST'!E1654</f>
        <v/>
      </c>
      <c r="I1651" s="22" t="str">
        <f t="shared" si="1"/>
        <v>#N/A</v>
      </c>
      <c r="J1651" s="22" t="str">
        <f t="shared" si="2"/>
        <v>#N/A</v>
      </c>
      <c r="K1651" s="22" t="str">
        <f t="shared" si="8"/>
        <v/>
      </c>
    </row>
    <row r="1652" ht="15.75" customHeight="1">
      <c r="A1652" s="31" t="str">
        <f>'EQUITY BACKTEST'!A1655</f>
        <v/>
      </c>
      <c r="B1652" s="22" t="str">
        <f>'EQUITY BACKTEST'!B1655</f>
        <v/>
      </c>
      <c r="C1652" s="22" t="str">
        <f>'EQUITY BACKTEST'!E1655</f>
        <v/>
      </c>
      <c r="I1652" s="22" t="str">
        <f t="shared" si="1"/>
        <v>#N/A</v>
      </c>
      <c r="J1652" s="22" t="str">
        <f t="shared" si="2"/>
        <v>#N/A</v>
      </c>
      <c r="K1652" s="22" t="str">
        <f t="shared" si="8"/>
        <v/>
      </c>
    </row>
    <row r="1653" ht="15.75" customHeight="1">
      <c r="A1653" s="31" t="str">
        <f>'EQUITY BACKTEST'!A1656</f>
        <v/>
      </c>
      <c r="B1653" s="22" t="str">
        <f>'EQUITY BACKTEST'!B1656</f>
        <v/>
      </c>
      <c r="C1653" s="22" t="str">
        <f>'EQUITY BACKTEST'!E1656</f>
        <v/>
      </c>
      <c r="I1653" s="22" t="str">
        <f t="shared" si="1"/>
        <v>#N/A</v>
      </c>
      <c r="J1653" s="22" t="str">
        <f t="shared" si="2"/>
        <v>#N/A</v>
      </c>
      <c r="K1653" s="22" t="str">
        <f t="shared" si="8"/>
        <v/>
      </c>
    </row>
    <row r="1654" ht="15.75" customHeight="1">
      <c r="A1654" s="31" t="str">
        <f>'EQUITY BACKTEST'!A1657</f>
        <v/>
      </c>
      <c r="B1654" s="22" t="str">
        <f>'EQUITY BACKTEST'!B1657</f>
        <v/>
      </c>
      <c r="C1654" s="22" t="str">
        <f>'EQUITY BACKTEST'!E1657</f>
        <v/>
      </c>
      <c r="I1654" s="22" t="str">
        <f t="shared" si="1"/>
        <v>#N/A</v>
      </c>
      <c r="J1654" s="22" t="str">
        <f t="shared" si="2"/>
        <v>#N/A</v>
      </c>
      <c r="K1654" s="22" t="str">
        <f t="shared" si="8"/>
        <v/>
      </c>
    </row>
    <row r="1655" ht="15.75" customHeight="1">
      <c r="A1655" s="31" t="str">
        <f>'EQUITY BACKTEST'!A1658</f>
        <v/>
      </c>
      <c r="B1655" s="22" t="str">
        <f>'EQUITY BACKTEST'!B1658</f>
        <v/>
      </c>
      <c r="C1655" s="22" t="str">
        <f>'EQUITY BACKTEST'!E1658</f>
        <v/>
      </c>
      <c r="I1655" s="22" t="str">
        <f t="shared" si="1"/>
        <v>#N/A</v>
      </c>
      <c r="J1655" s="22" t="str">
        <f t="shared" si="2"/>
        <v>#N/A</v>
      </c>
      <c r="K1655" s="22" t="str">
        <f t="shared" si="8"/>
        <v/>
      </c>
    </row>
    <row r="1656" ht="15.75" customHeight="1">
      <c r="A1656" s="31" t="str">
        <f>'EQUITY BACKTEST'!A1659</f>
        <v/>
      </c>
      <c r="B1656" s="22" t="str">
        <f>'EQUITY BACKTEST'!B1659</f>
        <v/>
      </c>
      <c r="C1656" s="22" t="str">
        <f>'EQUITY BACKTEST'!E1659</f>
        <v/>
      </c>
      <c r="I1656" s="22" t="str">
        <f t="shared" si="1"/>
        <v>#N/A</v>
      </c>
      <c r="J1656" s="22" t="str">
        <f t="shared" si="2"/>
        <v>#N/A</v>
      </c>
      <c r="K1656" s="22" t="str">
        <f t="shared" si="8"/>
        <v/>
      </c>
    </row>
    <row r="1657" ht="15.75" customHeight="1">
      <c r="A1657" s="31" t="str">
        <f>'EQUITY BACKTEST'!A1660</f>
        <v/>
      </c>
      <c r="B1657" s="22" t="str">
        <f>'EQUITY BACKTEST'!B1660</f>
        <v/>
      </c>
      <c r="C1657" s="22" t="str">
        <f>'EQUITY BACKTEST'!E1660</f>
        <v/>
      </c>
      <c r="I1657" s="22" t="str">
        <f t="shared" si="1"/>
        <v>#N/A</v>
      </c>
      <c r="J1657" s="22" t="str">
        <f t="shared" si="2"/>
        <v>#N/A</v>
      </c>
      <c r="K1657" s="22" t="str">
        <f t="shared" si="8"/>
        <v/>
      </c>
    </row>
    <row r="1658" ht="15.75" customHeight="1">
      <c r="A1658" s="31" t="str">
        <f>'EQUITY BACKTEST'!A1661</f>
        <v/>
      </c>
      <c r="B1658" s="22" t="str">
        <f>'EQUITY BACKTEST'!B1661</f>
        <v/>
      </c>
      <c r="C1658" s="22" t="str">
        <f>'EQUITY BACKTEST'!E1661</f>
        <v/>
      </c>
      <c r="I1658" s="22" t="str">
        <f t="shared" si="1"/>
        <v>#N/A</v>
      </c>
      <c r="J1658" s="22" t="str">
        <f t="shared" si="2"/>
        <v>#N/A</v>
      </c>
      <c r="K1658" s="22" t="str">
        <f t="shared" si="8"/>
        <v/>
      </c>
    </row>
    <row r="1659" ht="15.75" customHeight="1">
      <c r="A1659" s="31" t="str">
        <f>'EQUITY BACKTEST'!A1662</f>
        <v/>
      </c>
      <c r="B1659" s="22" t="str">
        <f>'EQUITY BACKTEST'!B1662</f>
        <v/>
      </c>
      <c r="C1659" s="22" t="str">
        <f>'EQUITY BACKTEST'!E1662</f>
        <v/>
      </c>
      <c r="I1659" s="22" t="str">
        <f t="shared" si="1"/>
        <v>#N/A</v>
      </c>
      <c r="J1659" s="22" t="str">
        <f t="shared" si="2"/>
        <v>#N/A</v>
      </c>
      <c r="K1659" s="22" t="str">
        <f t="shared" si="8"/>
        <v/>
      </c>
    </row>
    <row r="1660" ht="15.75" customHeight="1">
      <c r="A1660" s="31" t="str">
        <f>'EQUITY BACKTEST'!A1663</f>
        <v/>
      </c>
      <c r="B1660" s="22" t="str">
        <f>'EQUITY BACKTEST'!B1663</f>
        <v/>
      </c>
      <c r="C1660" s="22" t="str">
        <f>'EQUITY BACKTEST'!E1663</f>
        <v/>
      </c>
      <c r="I1660" s="22" t="str">
        <f t="shared" si="1"/>
        <v>#N/A</v>
      </c>
      <c r="J1660" s="22" t="str">
        <f t="shared" si="2"/>
        <v>#N/A</v>
      </c>
      <c r="K1660" s="22" t="str">
        <f t="shared" si="8"/>
        <v/>
      </c>
    </row>
    <row r="1661" ht="15.75" customHeight="1">
      <c r="A1661" s="31" t="str">
        <f>'EQUITY BACKTEST'!A1664</f>
        <v/>
      </c>
      <c r="B1661" s="22" t="str">
        <f>'EQUITY BACKTEST'!B1664</f>
        <v/>
      </c>
      <c r="C1661" s="22" t="str">
        <f>'EQUITY BACKTEST'!E1664</f>
        <v/>
      </c>
      <c r="I1661" s="22" t="str">
        <f t="shared" si="1"/>
        <v>#N/A</v>
      </c>
      <c r="J1661" s="22" t="str">
        <f t="shared" si="2"/>
        <v>#N/A</v>
      </c>
      <c r="K1661" s="22" t="str">
        <f t="shared" si="8"/>
        <v/>
      </c>
    </row>
    <row r="1662" ht="15.75" customHeight="1">
      <c r="A1662" s="31" t="str">
        <f>'EQUITY BACKTEST'!A1665</f>
        <v/>
      </c>
      <c r="B1662" s="22" t="str">
        <f>'EQUITY BACKTEST'!B1665</f>
        <v/>
      </c>
      <c r="C1662" s="22" t="str">
        <f>'EQUITY BACKTEST'!E1665</f>
        <v/>
      </c>
      <c r="I1662" s="22" t="str">
        <f t="shared" si="1"/>
        <v>#N/A</v>
      </c>
      <c r="J1662" s="22" t="str">
        <f t="shared" si="2"/>
        <v>#N/A</v>
      </c>
      <c r="K1662" s="22" t="str">
        <f t="shared" si="8"/>
        <v/>
      </c>
    </row>
    <row r="1663" ht="15.75" customHeight="1">
      <c r="A1663" s="31" t="str">
        <f>'EQUITY BACKTEST'!A1666</f>
        <v/>
      </c>
      <c r="B1663" s="22" t="str">
        <f>'EQUITY BACKTEST'!B1666</f>
        <v/>
      </c>
      <c r="C1663" s="22" t="str">
        <f>'EQUITY BACKTEST'!E1666</f>
        <v/>
      </c>
      <c r="I1663" s="22" t="str">
        <f t="shared" si="1"/>
        <v>#N/A</v>
      </c>
      <c r="J1663" s="22" t="str">
        <f t="shared" si="2"/>
        <v>#N/A</v>
      </c>
      <c r="K1663" s="22" t="str">
        <f t="shared" si="8"/>
        <v/>
      </c>
    </row>
    <row r="1664" ht="15.75" customHeight="1">
      <c r="A1664" s="31" t="str">
        <f>'EQUITY BACKTEST'!A1667</f>
        <v/>
      </c>
      <c r="B1664" s="22" t="str">
        <f>'EQUITY BACKTEST'!B1667</f>
        <v/>
      </c>
      <c r="C1664" s="22" t="str">
        <f>'EQUITY BACKTEST'!E1667</f>
        <v/>
      </c>
      <c r="I1664" s="22" t="str">
        <f t="shared" si="1"/>
        <v>#N/A</v>
      </c>
      <c r="J1664" s="22" t="str">
        <f t="shared" si="2"/>
        <v>#N/A</v>
      </c>
      <c r="K1664" s="22" t="str">
        <f t="shared" si="8"/>
        <v/>
      </c>
    </row>
    <row r="1665" ht="15.75" customHeight="1">
      <c r="A1665" s="31" t="str">
        <f>'EQUITY BACKTEST'!A1668</f>
        <v/>
      </c>
      <c r="B1665" s="22" t="str">
        <f>'EQUITY BACKTEST'!B1668</f>
        <v/>
      </c>
      <c r="C1665" s="22" t="str">
        <f>'EQUITY BACKTEST'!E1668</f>
        <v/>
      </c>
      <c r="I1665" s="22" t="str">
        <f t="shared" si="1"/>
        <v>#N/A</v>
      </c>
      <c r="J1665" s="22" t="str">
        <f t="shared" si="2"/>
        <v>#N/A</v>
      </c>
      <c r="K1665" s="22" t="str">
        <f t="shared" si="8"/>
        <v/>
      </c>
    </row>
    <row r="1666" ht="15.75" customHeight="1">
      <c r="A1666" s="31" t="str">
        <f>'EQUITY BACKTEST'!A1669</f>
        <v/>
      </c>
      <c r="B1666" s="22" t="str">
        <f>'EQUITY BACKTEST'!B1669</f>
        <v/>
      </c>
      <c r="C1666" s="22" t="str">
        <f>'EQUITY BACKTEST'!E1669</f>
        <v/>
      </c>
      <c r="I1666" s="22" t="str">
        <f t="shared" si="1"/>
        <v>#N/A</v>
      </c>
      <c r="J1666" s="22" t="str">
        <f t="shared" si="2"/>
        <v>#N/A</v>
      </c>
      <c r="K1666" s="22" t="str">
        <f t="shared" si="8"/>
        <v/>
      </c>
    </row>
    <row r="1667" ht="15.75" customHeight="1">
      <c r="A1667" s="31" t="str">
        <f>'EQUITY BACKTEST'!A1670</f>
        <v/>
      </c>
      <c r="B1667" s="22" t="str">
        <f>'EQUITY BACKTEST'!B1670</f>
        <v/>
      </c>
      <c r="C1667" s="22" t="str">
        <f>'EQUITY BACKTEST'!E1670</f>
        <v/>
      </c>
      <c r="I1667" s="22" t="str">
        <f t="shared" si="1"/>
        <v>#N/A</v>
      </c>
      <c r="J1667" s="22" t="str">
        <f t="shared" si="2"/>
        <v>#N/A</v>
      </c>
      <c r="K1667" s="22" t="str">
        <f t="shared" si="8"/>
        <v/>
      </c>
    </row>
    <row r="1668" ht="15.75" customHeight="1">
      <c r="A1668" s="31" t="str">
        <f>'EQUITY BACKTEST'!A1671</f>
        <v/>
      </c>
      <c r="B1668" s="22" t="str">
        <f>'EQUITY BACKTEST'!B1671</f>
        <v/>
      </c>
      <c r="C1668" s="22" t="str">
        <f>'EQUITY BACKTEST'!E1671</f>
        <v/>
      </c>
      <c r="I1668" s="22" t="str">
        <f t="shared" si="1"/>
        <v>#N/A</v>
      </c>
      <c r="J1668" s="22" t="str">
        <f t="shared" si="2"/>
        <v>#N/A</v>
      </c>
      <c r="K1668" s="22" t="str">
        <f t="shared" si="8"/>
        <v/>
      </c>
    </row>
    <row r="1669" ht="15.75" customHeight="1">
      <c r="A1669" s="31" t="str">
        <f>'EQUITY BACKTEST'!A1672</f>
        <v/>
      </c>
      <c r="B1669" s="22" t="str">
        <f>'EQUITY BACKTEST'!B1672</f>
        <v/>
      </c>
      <c r="C1669" s="22" t="str">
        <f>'EQUITY BACKTEST'!E1672</f>
        <v/>
      </c>
      <c r="I1669" s="22" t="str">
        <f t="shared" si="1"/>
        <v>#N/A</v>
      </c>
      <c r="J1669" s="22" t="str">
        <f t="shared" si="2"/>
        <v>#N/A</v>
      </c>
      <c r="K1669" s="22" t="str">
        <f t="shared" si="8"/>
        <v/>
      </c>
    </row>
    <row r="1670" ht="15.75" customHeight="1">
      <c r="A1670" s="31" t="str">
        <f>'EQUITY BACKTEST'!A1673</f>
        <v/>
      </c>
      <c r="B1670" s="22" t="str">
        <f>'EQUITY BACKTEST'!B1673</f>
        <v/>
      </c>
      <c r="C1670" s="22" t="str">
        <f>'EQUITY BACKTEST'!E1673</f>
        <v/>
      </c>
      <c r="I1670" s="22" t="str">
        <f t="shared" si="1"/>
        <v>#N/A</v>
      </c>
      <c r="J1670" s="22" t="str">
        <f t="shared" si="2"/>
        <v>#N/A</v>
      </c>
      <c r="K1670" s="22" t="str">
        <f t="shared" si="8"/>
        <v/>
      </c>
    </row>
    <row r="1671" ht="15.75" customHeight="1">
      <c r="A1671" s="31" t="str">
        <f>'EQUITY BACKTEST'!A1674</f>
        <v/>
      </c>
      <c r="B1671" s="22" t="str">
        <f>'EQUITY BACKTEST'!B1674</f>
        <v/>
      </c>
      <c r="C1671" s="22" t="str">
        <f>'EQUITY BACKTEST'!E1674</f>
        <v/>
      </c>
      <c r="I1671" s="22" t="str">
        <f t="shared" si="1"/>
        <v>#N/A</v>
      </c>
      <c r="J1671" s="22" t="str">
        <f t="shared" si="2"/>
        <v>#N/A</v>
      </c>
      <c r="K1671" s="22" t="str">
        <f t="shared" si="8"/>
        <v/>
      </c>
    </row>
    <row r="1672" ht="15.75" customHeight="1">
      <c r="A1672" s="31" t="str">
        <f>'EQUITY BACKTEST'!A1675</f>
        <v/>
      </c>
      <c r="B1672" s="22" t="str">
        <f>'EQUITY BACKTEST'!B1675</f>
        <v/>
      </c>
      <c r="C1672" s="22" t="str">
        <f>'EQUITY BACKTEST'!E1675</f>
        <v/>
      </c>
      <c r="I1672" s="22" t="str">
        <f t="shared" si="1"/>
        <v>#N/A</v>
      </c>
      <c r="J1672" s="22" t="str">
        <f t="shared" si="2"/>
        <v>#N/A</v>
      </c>
      <c r="K1672" s="22" t="str">
        <f t="shared" si="8"/>
        <v/>
      </c>
    </row>
    <row r="1673" ht="15.75" customHeight="1">
      <c r="A1673" s="31" t="str">
        <f>'EQUITY BACKTEST'!A1676</f>
        <v/>
      </c>
      <c r="B1673" s="22" t="str">
        <f>'EQUITY BACKTEST'!B1676</f>
        <v/>
      </c>
      <c r="C1673" s="22" t="str">
        <f>'EQUITY BACKTEST'!E1676</f>
        <v/>
      </c>
      <c r="I1673" s="22" t="str">
        <f t="shared" si="1"/>
        <v>#N/A</v>
      </c>
      <c r="J1673" s="22" t="str">
        <f t="shared" si="2"/>
        <v>#N/A</v>
      </c>
      <c r="K1673" s="22" t="str">
        <f t="shared" si="8"/>
        <v/>
      </c>
    </row>
    <row r="1674" ht="15.75" customHeight="1">
      <c r="A1674" s="31" t="str">
        <f>'EQUITY BACKTEST'!A1677</f>
        <v/>
      </c>
      <c r="B1674" s="22" t="str">
        <f>'EQUITY BACKTEST'!B1677</f>
        <v/>
      </c>
      <c r="C1674" s="22" t="str">
        <f>'EQUITY BACKTEST'!E1677</f>
        <v/>
      </c>
      <c r="I1674" s="22" t="str">
        <f t="shared" si="1"/>
        <v>#N/A</v>
      </c>
      <c r="J1674" s="22" t="str">
        <f t="shared" si="2"/>
        <v>#N/A</v>
      </c>
      <c r="K1674" s="22" t="str">
        <f t="shared" si="8"/>
        <v/>
      </c>
    </row>
    <row r="1675" ht="15.75" customHeight="1">
      <c r="A1675" s="31" t="str">
        <f>'EQUITY BACKTEST'!A1678</f>
        <v/>
      </c>
      <c r="B1675" s="22" t="str">
        <f>'EQUITY BACKTEST'!B1678</f>
        <v/>
      </c>
      <c r="C1675" s="22" t="str">
        <f>'EQUITY BACKTEST'!E1678</f>
        <v/>
      </c>
      <c r="I1675" s="22" t="str">
        <f t="shared" si="1"/>
        <v>#N/A</v>
      </c>
      <c r="J1675" s="22" t="str">
        <f t="shared" si="2"/>
        <v>#N/A</v>
      </c>
      <c r="K1675" s="22" t="str">
        <f t="shared" si="8"/>
        <v/>
      </c>
    </row>
    <row r="1676" ht="15.75" customHeight="1">
      <c r="A1676" s="31" t="str">
        <f>'EQUITY BACKTEST'!A1679</f>
        <v/>
      </c>
      <c r="B1676" s="22" t="str">
        <f>'EQUITY BACKTEST'!B1679</f>
        <v/>
      </c>
      <c r="C1676" s="22" t="str">
        <f>'EQUITY BACKTEST'!E1679</f>
        <v/>
      </c>
      <c r="I1676" s="22" t="str">
        <f t="shared" si="1"/>
        <v>#N/A</v>
      </c>
      <c r="J1676" s="22" t="str">
        <f t="shared" si="2"/>
        <v>#N/A</v>
      </c>
      <c r="K1676" s="22" t="str">
        <f t="shared" si="8"/>
        <v/>
      </c>
    </row>
    <row r="1677" ht="15.75" customHeight="1">
      <c r="A1677" s="31" t="str">
        <f>'EQUITY BACKTEST'!A1680</f>
        <v/>
      </c>
      <c r="B1677" s="22" t="str">
        <f>'EQUITY BACKTEST'!B1680</f>
        <v/>
      </c>
      <c r="C1677" s="22" t="str">
        <f>'EQUITY BACKTEST'!E1680</f>
        <v/>
      </c>
      <c r="I1677" s="22" t="str">
        <f t="shared" si="1"/>
        <v>#N/A</v>
      </c>
      <c r="J1677" s="22" t="str">
        <f t="shared" si="2"/>
        <v>#N/A</v>
      </c>
      <c r="K1677" s="22" t="str">
        <f t="shared" si="8"/>
        <v/>
      </c>
    </row>
    <row r="1678" ht="15.75" customHeight="1">
      <c r="A1678" s="31" t="str">
        <f>'EQUITY BACKTEST'!A1681</f>
        <v/>
      </c>
      <c r="B1678" s="22" t="str">
        <f>'EQUITY BACKTEST'!B1681</f>
        <v/>
      </c>
      <c r="C1678" s="22" t="str">
        <f>'EQUITY BACKTEST'!E1681</f>
        <v/>
      </c>
      <c r="I1678" s="22" t="str">
        <f t="shared" si="1"/>
        <v>#N/A</v>
      </c>
      <c r="J1678" s="22" t="str">
        <f t="shared" si="2"/>
        <v>#N/A</v>
      </c>
      <c r="K1678" s="22" t="str">
        <f t="shared" si="8"/>
        <v/>
      </c>
    </row>
    <row r="1679" ht="15.75" customHeight="1">
      <c r="A1679" s="31" t="str">
        <f>'EQUITY BACKTEST'!A1682</f>
        <v/>
      </c>
      <c r="B1679" s="22" t="str">
        <f>'EQUITY BACKTEST'!B1682</f>
        <v/>
      </c>
      <c r="C1679" s="22" t="str">
        <f>'EQUITY BACKTEST'!E1682</f>
        <v/>
      </c>
      <c r="I1679" s="22" t="str">
        <f t="shared" si="1"/>
        <v>#N/A</v>
      </c>
      <c r="J1679" s="22" t="str">
        <f t="shared" si="2"/>
        <v>#N/A</v>
      </c>
      <c r="K1679" s="22" t="str">
        <f t="shared" si="8"/>
        <v/>
      </c>
    </row>
    <row r="1680" ht="15.75" customHeight="1">
      <c r="A1680" s="31" t="str">
        <f>'EQUITY BACKTEST'!A1683</f>
        <v/>
      </c>
      <c r="B1680" s="22" t="str">
        <f>'EQUITY BACKTEST'!B1683</f>
        <v/>
      </c>
      <c r="C1680" s="22" t="str">
        <f>'EQUITY BACKTEST'!E1683</f>
        <v/>
      </c>
      <c r="I1680" s="22" t="str">
        <f t="shared" si="1"/>
        <v>#N/A</v>
      </c>
      <c r="J1680" s="22" t="str">
        <f t="shared" si="2"/>
        <v>#N/A</v>
      </c>
      <c r="K1680" s="22" t="str">
        <f t="shared" si="8"/>
        <v/>
      </c>
    </row>
    <row r="1681" ht="15.75" customHeight="1">
      <c r="A1681" s="31" t="str">
        <f>'EQUITY BACKTEST'!A1684</f>
        <v/>
      </c>
      <c r="B1681" s="22" t="str">
        <f>'EQUITY BACKTEST'!B1684</f>
        <v/>
      </c>
      <c r="C1681" s="22" t="str">
        <f>'EQUITY BACKTEST'!E1684</f>
        <v/>
      </c>
      <c r="I1681" s="22" t="str">
        <f t="shared" si="1"/>
        <v>#N/A</v>
      </c>
      <c r="J1681" s="22" t="str">
        <f t="shared" si="2"/>
        <v>#N/A</v>
      </c>
      <c r="K1681" s="22" t="str">
        <f t="shared" si="8"/>
        <v/>
      </c>
    </row>
    <row r="1682" ht="15.75" customHeight="1">
      <c r="A1682" s="31" t="str">
        <f>'EQUITY BACKTEST'!A1685</f>
        <v/>
      </c>
      <c r="B1682" s="22" t="str">
        <f>'EQUITY BACKTEST'!B1685</f>
        <v/>
      </c>
      <c r="C1682" s="22" t="str">
        <f>'EQUITY BACKTEST'!E1685</f>
        <v/>
      </c>
      <c r="I1682" s="22" t="str">
        <f t="shared" si="1"/>
        <v>#N/A</v>
      </c>
      <c r="J1682" s="22" t="str">
        <f t="shared" si="2"/>
        <v>#N/A</v>
      </c>
      <c r="K1682" s="22" t="str">
        <f t="shared" si="8"/>
        <v/>
      </c>
    </row>
    <row r="1683" ht="15.75" customHeight="1">
      <c r="A1683" s="31" t="str">
        <f>'EQUITY BACKTEST'!A1686</f>
        <v/>
      </c>
      <c r="B1683" s="22" t="str">
        <f>'EQUITY BACKTEST'!B1686</f>
        <v/>
      </c>
      <c r="C1683" s="22" t="str">
        <f>'EQUITY BACKTEST'!E1686</f>
        <v/>
      </c>
      <c r="I1683" s="22" t="str">
        <f t="shared" si="1"/>
        <v>#N/A</v>
      </c>
      <c r="J1683" s="22" t="str">
        <f t="shared" si="2"/>
        <v>#N/A</v>
      </c>
      <c r="K1683" s="22" t="str">
        <f t="shared" si="8"/>
        <v/>
      </c>
    </row>
    <row r="1684" ht="15.75" customHeight="1">
      <c r="A1684" s="31" t="str">
        <f>'EQUITY BACKTEST'!A1687</f>
        <v/>
      </c>
      <c r="B1684" s="22" t="str">
        <f>'EQUITY BACKTEST'!B1687</f>
        <v/>
      </c>
      <c r="C1684" s="22" t="str">
        <f>'EQUITY BACKTEST'!E1687</f>
        <v/>
      </c>
      <c r="I1684" s="22" t="str">
        <f t="shared" si="1"/>
        <v>#N/A</v>
      </c>
      <c r="J1684" s="22" t="str">
        <f t="shared" si="2"/>
        <v>#N/A</v>
      </c>
      <c r="K1684" s="22" t="str">
        <f t="shared" si="8"/>
        <v/>
      </c>
    </row>
    <row r="1685" ht="15.75" customHeight="1">
      <c r="A1685" s="31" t="str">
        <f>'EQUITY BACKTEST'!A1688</f>
        <v/>
      </c>
      <c r="B1685" s="22" t="str">
        <f>'EQUITY BACKTEST'!B1688</f>
        <v/>
      </c>
      <c r="C1685" s="22" t="str">
        <f>'EQUITY BACKTEST'!E1688</f>
        <v/>
      </c>
      <c r="I1685" s="22" t="str">
        <f t="shared" si="1"/>
        <v>#N/A</v>
      </c>
      <c r="J1685" s="22" t="str">
        <f t="shared" si="2"/>
        <v>#N/A</v>
      </c>
      <c r="K1685" s="22" t="str">
        <f t="shared" si="8"/>
        <v/>
      </c>
    </row>
    <row r="1686" ht="15.75" customHeight="1">
      <c r="A1686" s="31" t="str">
        <f>'EQUITY BACKTEST'!A1689</f>
        <v/>
      </c>
      <c r="B1686" s="22" t="str">
        <f>'EQUITY BACKTEST'!B1689</f>
        <v/>
      </c>
      <c r="C1686" s="22" t="str">
        <f>'EQUITY BACKTEST'!E1689</f>
        <v/>
      </c>
      <c r="I1686" s="22" t="str">
        <f t="shared" si="1"/>
        <v>#N/A</v>
      </c>
      <c r="J1686" s="22" t="str">
        <f t="shared" si="2"/>
        <v>#N/A</v>
      </c>
      <c r="K1686" s="22" t="str">
        <f t="shared" si="8"/>
        <v/>
      </c>
    </row>
    <row r="1687" ht="15.75" customHeight="1">
      <c r="A1687" s="31" t="str">
        <f>'EQUITY BACKTEST'!A1690</f>
        <v/>
      </c>
      <c r="B1687" s="22" t="str">
        <f>'EQUITY BACKTEST'!B1690</f>
        <v/>
      </c>
      <c r="C1687" s="22" t="str">
        <f>'EQUITY BACKTEST'!E1690</f>
        <v/>
      </c>
      <c r="I1687" s="22" t="str">
        <f t="shared" si="1"/>
        <v>#N/A</v>
      </c>
      <c r="J1687" s="22" t="str">
        <f t="shared" si="2"/>
        <v>#N/A</v>
      </c>
      <c r="K1687" s="22" t="str">
        <f t="shared" si="8"/>
        <v/>
      </c>
    </row>
    <row r="1688" ht="15.75" customHeight="1">
      <c r="A1688" s="31" t="str">
        <f>'EQUITY BACKTEST'!A1691</f>
        <v/>
      </c>
      <c r="B1688" s="22" t="str">
        <f>'EQUITY BACKTEST'!B1691</f>
        <v/>
      </c>
      <c r="C1688" s="22" t="str">
        <f>'EQUITY BACKTEST'!E1691</f>
        <v/>
      </c>
      <c r="I1688" s="22" t="str">
        <f t="shared" si="1"/>
        <v>#N/A</v>
      </c>
      <c r="J1688" s="22" t="str">
        <f t="shared" si="2"/>
        <v>#N/A</v>
      </c>
      <c r="K1688" s="22" t="str">
        <f t="shared" si="8"/>
        <v/>
      </c>
    </row>
    <row r="1689" ht="15.75" customHeight="1">
      <c r="A1689" s="31" t="str">
        <f>'EQUITY BACKTEST'!A1692</f>
        <v/>
      </c>
      <c r="B1689" s="22" t="str">
        <f>'EQUITY BACKTEST'!B1692</f>
        <v/>
      </c>
      <c r="C1689" s="22" t="str">
        <f>'EQUITY BACKTEST'!E1692</f>
        <v/>
      </c>
      <c r="I1689" s="22" t="str">
        <f t="shared" si="1"/>
        <v>#N/A</v>
      </c>
      <c r="J1689" s="22" t="str">
        <f t="shared" si="2"/>
        <v>#N/A</v>
      </c>
      <c r="K1689" s="22" t="str">
        <f t="shared" si="8"/>
        <v/>
      </c>
    </row>
    <row r="1690" ht="15.75" customHeight="1">
      <c r="A1690" s="31" t="str">
        <f>'EQUITY BACKTEST'!A1693</f>
        <v/>
      </c>
      <c r="B1690" s="22" t="str">
        <f>'EQUITY BACKTEST'!B1693</f>
        <v/>
      </c>
      <c r="C1690" s="22" t="str">
        <f>'EQUITY BACKTEST'!E1693</f>
        <v/>
      </c>
      <c r="I1690" s="22" t="str">
        <f t="shared" si="1"/>
        <v>#N/A</v>
      </c>
      <c r="J1690" s="22" t="str">
        <f t="shared" si="2"/>
        <v>#N/A</v>
      </c>
      <c r="K1690" s="22" t="str">
        <f t="shared" si="8"/>
        <v/>
      </c>
    </row>
    <row r="1691" ht="15.75" customHeight="1">
      <c r="A1691" s="31" t="str">
        <f>'EQUITY BACKTEST'!A1694</f>
        <v/>
      </c>
      <c r="B1691" s="22" t="str">
        <f>'EQUITY BACKTEST'!B1694</f>
        <v/>
      </c>
      <c r="C1691" s="22" t="str">
        <f>'EQUITY BACKTEST'!E1694</f>
        <v/>
      </c>
      <c r="I1691" s="22" t="str">
        <f t="shared" si="1"/>
        <v>#N/A</v>
      </c>
      <c r="J1691" s="22" t="str">
        <f t="shared" si="2"/>
        <v>#N/A</v>
      </c>
      <c r="K1691" s="22" t="str">
        <f t="shared" si="8"/>
        <v/>
      </c>
    </row>
    <row r="1692" ht="15.75" customHeight="1">
      <c r="A1692" s="31" t="str">
        <f>'EQUITY BACKTEST'!A1695</f>
        <v/>
      </c>
      <c r="B1692" s="22" t="str">
        <f>'EQUITY BACKTEST'!B1695</f>
        <v/>
      </c>
      <c r="C1692" s="22" t="str">
        <f>'EQUITY BACKTEST'!E1695</f>
        <v/>
      </c>
      <c r="I1692" s="22" t="str">
        <f t="shared" si="1"/>
        <v>#N/A</v>
      </c>
      <c r="J1692" s="22" t="str">
        <f t="shared" si="2"/>
        <v>#N/A</v>
      </c>
      <c r="K1692" s="22" t="str">
        <f t="shared" si="8"/>
        <v/>
      </c>
    </row>
    <row r="1693" ht="15.75" customHeight="1">
      <c r="A1693" s="31" t="str">
        <f>'EQUITY BACKTEST'!A1696</f>
        <v/>
      </c>
      <c r="B1693" s="22" t="str">
        <f>'EQUITY BACKTEST'!B1696</f>
        <v/>
      </c>
      <c r="C1693" s="22" t="str">
        <f>'EQUITY BACKTEST'!E1696</f>
        <v/>
      </c>
      <c r="I1693" s="22" t="str">
        <f t="shared" si="1"/>
        <v>#N/A</v>
      </c>
      <c r="J1693" s="22" t="str">
        <f t="shared" si="2"/>
        <v>#N/A</v>
      </c>
      <c r="K1693" s="22" t="str">
        <f t="shared" si="8"/>
        <v/>
      </c>
    </row>
    <row r="1694" ht="15.75" customHeight="1">
      <c r="A1694" s="31" t="str">
        <f>'EQUITY BACKTEST'!A1697</f>
        <v/>
      </c>
      <c r="B1694" s="22" t="str">
        <f>'EQUITY BACKTEST'!B1697</f>
        <v/>
      </c>
      <c r="C1694" s="22" t="str">
        <f>'EQUITY BACKTEST'!E1697</f>
        <v/>
      </c>
      <c r="I1694" s="22" t="str">
        <f t="shared" si="1"/>
        <v>#N/A</v>
      </c>
      <c r="J1694" s="22" t="str">
        <f t="shared" si="2"/>
        <v>#N/A</v>
      </c>
      <c r="K1694" s="22" t="str">
        <f t="shared" si="8"/>
        <v/>
      </c>
    </row>
    <row r="1695" ht="15.75" customHeight="1">
      <c r="A1695" s="31" t="str">
        <f>'EQUITY BACKTEST'!A1698</f>
        <v/>
      </c>
      <c r="B1695" s="22" t="str">
        <f>'EQUITY BACKTEST'!B1698</f>
        <v/>
      </c>
      <c r="C1695" s="22" t="str">
        <f>'EQUITY BACKTEST'!E1698</f>
        <v/>
      </c>
      <c r="I1695" s="22" t="str">
        <f t="shared" si="1"/>
        <v>#N/A</v>
      </c>
      <c r="J1695" s="22" t="str">
        <f t="shared" si="2"/>
        <v>#N/A</v>
      </c>
      <c r="K1695" s="22" t="str">
        <f t="shared" si="8"/>
        <v/>
      </c>
    </row>
    <row r="1696" ht="15.75" customHeight="1">
      <c r="A1696" s="31" t="str">
        <f>'EQUITY BACKTEST'!A1699</f>
        <v/>
      </c>
      <c r="B1696" s="22" t="str">
        <f>'EQUITY BACKTEST'!B1699</f>
        <v/>
      </c>
      <c r="C1696" s="22" t="str">
        <f>'EQUITY BACKTEST'!E1699</f>
        <v/>
      </c>
      <c r="I1696" s="22" t="str">
        <f t="shared" si="1"/>
        <v>#N/A</v>
      </c>
      <c r="J1696" s="22" t="str">
        <f t="shared" si="2"/>
        <v>#N/A</v>
      </c>
      <c r="K1696" s="22" t="str">
        <f t="shared" si="8"/>
        <v/>
      </c>
    </row>
    <row r="1697" ht="15.75" customHeight="1">
      <c r="A1697" s="31" t="str">
        <f>'EQUITY BACKTEST'!A1700</f>
        <v/>
      </c>
      <c r="B1697" s="22" t="str">
        <f>'EQUITY BACKTEST'!B1700</f>
        <v/>
      </c>
      <c r="C1697" s="22" t="str">
        <f>'EQUITY BACKTEST'!E1700</f>
        <v/>
      </c>
      <c r="I1697" s="22" t="str">
        <f t="shared" si="1"/>
        <v>#N/A</v>
      </c>
      <c r="J1697" s="22" t="str">
        <f t="shared" si="2"/>
        <v>#N/A</v>
      </c>
      <c r="K1697" s="22" t="str">
        <f t="shared" si="8"/>
        <v/>
      </c>
    </row>
    <row r="1698" ht="15.75" customHeight="1">
      <c r="A1698" s="31" t="str">
        <f>'EQUITY BACKTEST'!A1701</f>
        <v/>
      </c>
      <c r="B1698" s="22" t="str">
        <f>'EQUITY BACKTEST'!B1701</f>
        <v/>
      </c>
      <c r="C1698" s="22" t="str">
        <f>'EQUITY BACKTEST'!E1701</f>
        <v/>
      </c>
      <c r="I1698" s="22" t="str">
        <f t="shared" si="1"/>
        <v>#N/A</v>
      </c>
      <c r="J1698" s="22" t="str">
        <f t="shared" si="2"/>
        <v>#N/A</v>
      </c>
      <c r="K1698" s="22" t="str">
        <f t="shared" si="8"/>
        <v/>
      </c>
    </row>
    <row r="1699" ht="15.75" customHeight="1">
      <c r="A1699" s="31" t="str">
        <f>'EQUITY BACKTEST'!A1702</f>
        <v/>
      </c>
      <c r="B1699" s="22" t="str">
        <f>'EQUITY BACKTEST'!B1702</f>
        <v/>
      </c>
      <c r="C1699" s="22" t="str">
        <f>'EQUITY BACKTEST'!E1702</f>
        <v/>
      </c>
      <c r="I1699" s="22" t="str">
        <f t="shared" si="1"/>
        <v>#N/A</v>
      </c>
      <c r="J1699" s="22" t="str">
        <f t="shared" si="2"/>
        <v>#N/A</v>
      </c>
      <c r="K1699" s="22" t="str">
        <f t="shared" si="8"/>
        <v/>
      </c>
    </row>
    <row r="1700" ht="15.75" customHeight="1">
      <c r="A1700" s="31" t="str">
        <f>'EQUITY BACKTEST'!A1703</f>
        <v/>
      </c>
      <c r="B1700" s="22" t="str">
        <f>'EQUITY BACKTEST'!B1703</f>
        <v/>
      </c>
      <c r="C1700" s="22" t="str">
        <f>'EQUITY BACKTEST'!E1703</f>
        <v/>
      </c>
      <c r="I1700" s="22" t="str">
        <f t="shared" si="1"/>
        <v>#N/A</v>
      </c>
      <c r="J1700" s="22" t="str">
        <f t="shared" si="2"/>
        <v>#N/A</v>
      </c>
      <c r="K1700" s="22" t="str">
        <f t="shared" si="8"/>
        <v/>
      </c>
    </row>
    <row r="1701" ht="15.75" customHeight="1">
      <c r="A1701" s="31" t="str">
        <f>'EQUITY BACKTEST'!A1704</f>
        <v/>
      </c>
      <c r="B1701" s="22" t="str">
        <f>'EQUITY BACKTEST'!B1704</f>
        <v/>
      </c>
      <c r="C1701" s="22" t="str">
        <f>'EQUITY BACKTEST'!E1704</f>
        <v/>
      </c>
      <c r="I1701" s="22" t="str">
        <f t="shared" si="1"/>
        <v>#N/A</v>
      </c>
      <c r="J1701" s="22" t="str">
        <f t="shared" si="2"/>
        <v>#N/A</v>
      </c>
      <c r="K1701" s="22" t="str">
        <f t="shared" si="8"/>
        <v/>
      </c>
    </row>
    <row r="1702" ht="15.75" customHeight="1">
      <c r="A1702" s="31" t="str">
        <f>'EQUITY BACKTEST'!A1705</f>
        <v/>
      </c>
      <c r="B1702" s="22" t="str">
        <f>'EQUITY BACKTEST'!B1705</f>
        <v/>
      </c>
      <c r="C1702" s="22" t="str">
        <f>'EQUITY BACKTEST'!E1705</f>
        <v/>
      </c>
      <c r="I1702" s="22" t="str">
        <f t="shared" si="1"/>
        <v>#N/A</v>
      </c>
      <c r="J1702" s="22" t="str">
        <f t="shared" si="2"/>
        <v>#N/A</v>
      </c>
      <c r="K1702" s="22" t="str">
        <f t="shared" si="8"/>
        <v/>
      </c>
    </row>
    <row r="1703" ht="15.75" customHeight="1">
      <c r="A1703" s="31" t="str">
        <f>'EQUITY BACKTEST'!A1706</f>
        <v/>
      </c>
      <c r="B1703" s="22" t="str">
        <f>'EQUITY BACKTEST'!B1706</f>
        <v/>
      </c>
      <c r="C1703" s="22" t="str">
        <f>'EQUITY BACKTEST'!E1706</f>
        <v/>
      </c>
      <c r="I1703" s="22" t="str">
        <f t="shared" si="1"/>
        <v>#N/A</v>
      </c>
      <c r="J1703" s="22" t="str">
        <f t="shared" si="2"/>
        <v>#N/A</v>
      </c>
      <c r="K1703" s="22" t="str">
        <f t="shared" si="8"/>
        <v/>
      </c>
    </row>
    <row r="1704" ht="15.75" customHeight="1">
      <c r="A1704" s="31" t="str">
        <f>'EQUITY BACKTEST'!A1707</f>
        <v/>
      </c>
      <c r="B1704" s="22" t="str">
        <f>'EQUITY BACKTEST'!B1707</f>
        <v/>
      </c>
      <c r="C1704" s="22" t="str">
        <f>'EQUITY BACKTEST'!E1707</f>
        <v/>
      </c>
      <c r="I1704" s="22" t="str">
        <f t="shared" si="1"/>
        <v>#N/A</v>
      </c>
      <c r="J1704" s="22" t="str">
        <f t="shared" si="2"/>
        <v>#N/A</v>
      </c>
      <c r="K1704" s="22" t="str">
        <f t="shared" si="8"/>
        <v/>
      </c>
    </row>
    <row r="1705" ht="15.75" customHeight="1">
      <c r="A1705" s="31" t="str">
        <f>'EQUITY BACKTEST'!A1708</f>
        <v/>
      </c>
      <c r="B1705" s="22" t="str">
        <f>'EQUITY BACKTEST'!B1708</f>
        <v/>
      </c>
      <c r="C1705" s="22" t="str">
        <f>'EQUITY BACKTEST'!E1708</f>
        <v/>
      </c>
      <c r="I1705" s="22" t="str">
        <f t="shared" si="1"/>
        <v>#N/A</v>
      </c>
      <c r="J1705" s="22" t="str">
        <f t="shared" si="2"/>
        <v>#N/A</v>
      </c>
      <c r="K1705" s="22" t="str">
        <f t="shared" si="8"/>
        <v/>
      </c>
    </row>
    <row r="1706" ht="15.75" customHeight="1">
      <c r="A1706" s="31" t="str">
        <f>'EQUITY BACKTEST'!A1709</f>
        <v/>
      </c>
      <c r="B1706" s="22" t="str">
        <f>'EQUITY BACKTEST'!B1709</f>
        <v/>
      </c>
      <c r="C1706" s="22" t="str">
        <f>'EQUITY BACKTEST'!E1709</f>
        <v/>
      </c>
      <c r="I1706" s="22" t="str">
        <f t="shared" si="1"/>
        <v>#N/A</v>
      </c>
      <c r="J1706" s="22" t="str">
        <f t="shared" si="2"/>
        <v>#N/A</v>
      </c>
      <c r="K1706" s="22" t="str">
        <f t="shared" si="8"/>
        <v/>
      </c>
    </row>
    <row r="1707" ht="15.75" customHeight="1">
      <c r="A1707" s="31" t="str">
        <f>'EQUITY BACKTEST'!A1710</f>
        <v/>
      </c>
      <c r="B1707" s="22" t="str">
        <f>'EQUITY BACKTEST'!B1710</f>
        <v/>
      </c>
      <c r="C1707" s="22" t="str">
        <f>'EQUITY BACKTEST'!E1710</f>
        <v/>
      </c>
      <c r="I1707" s="22" t="str">
        <f t="shared" si="1"/>
        <v>#N/A</v>
      </c>
      <c r="J1707" s="22" t="str">
        <f t="shared" si="2"/>
        <v>#N/A</v>
      </c>
      <c r="K1707" s="22" t="str">
        <f t="shared" si="8"/>
        <v/>
      </c>
    </row>
    <row r="1708" ht="15.75" customHeight="1">
      <c r="A1708" s="31" t="str">
        <f>'EQUITY BACKTEST'!A1711</f>
        <v/>
      </c>
      <c r="B1708" s="22" t="str">
        <f>'EQUITY BACKTEST'!B1711</f>
        <v/>
      </c>
      <c r="C1708" s="22" t="str">
        <f>'EQUITY BACKTEST'!E1711</f>
        <v/>
      </c>
      <c r="I1708" s="22" t="str">
        <f t="shared" si="1"/>
        <v>#N/A</v>
      </c>
      <c r="J1708" s="22" t="str">
        <f t="shared" si="2"/>
        <v>#N/A</v>
      </c>
      <c r="K1708" s="22" t="str">
        <f t="shared" si="8"/>
        <v/>
      </c>
    </row>
    <row r="1709" ht="15.75" customHeight="1">
      <c r="A1709" s="31" t="str">
        <f>'EQUITY BACKTEST'!A1712</f>
        <v/>
      </c>
      <c r="B1709" s="22" t="str">
        <f>'EQUITY BACKTEST'!B1712</f>
        <v/>
      </c>
      <c r="C1709" s="22" t="str">
        <f>'EQUITY BACKTEST'!E1712</f>
        <v/>
      </c>
      <c r="I1709" s="22" t="str">
        <f t="shared" si="1"/>
        <v>#N/A</v>
      </c>
      <c r="J1709" s="22" t="str">
        <f t="shared" si="2"/>
        <v>#N/A</v>
      </c>
      <c r="K1709" s="22" t="str">
        <f t="shared" si="8"/>
        <v/>
      </c>
    </row>
    <row r="1710" ht="15.75" customHeight="1">
      <c r="A1710" s="31" t="str">
        <f>'EQUITY BACKTEST'!A1713</f>
        <v/>
      </c>
      <c r="B1710" s="22" t="str">
        <f>'EQUITY BACKTEST'!B1713</f>
        <v/>
      </c>
      <c r="C1710" s="22" t="str">
        <f>'EQUITY BACKTEST'!E1713</f>
        <v/>
      </c>
      <c r="I1710" s="22" t="str">
        <f t="shared" si="1"/>
        <v>#N/A</v>
      </c>
      <c r="J1710" s="22" t="str">
        <f t="shared" si="2"/>
        <v>#N/A</v>
      </c>
      <c r="K1710" s="22" t="str">
        <f t="shared" si="8"/>
        <v/>
      </c>
    </row>
    <row r="1711" ht="15.75" customHeight="1">
      <c r="A1711" s="31" t="str">
        <f>'EQUITY BACKTEST'!A1714</f>
        <v/>
      </c>
      <c r="B1711" s="22" t="str">
        <f>'EQUITY BACKTEST'!B1714</f>
        <v/>
      </c>
      <c r="C1711" s="22" t="str">
        <f>'EQUITY BACKTEST'!E1714</f>
        <v/>
      </c>
      <c r="I1711" s="22" t="str">
        <f t="shared" si="1"/>
        <v>#N/A</v>
      </c>
      <c r="J1711" s="22" t="str">
        <f t="shared" si="2"/>
        <v>#N/A</v>
      </c>
      <c r="K1711" s="22" t="str">
        <f t="shared" si="8"/>
        <v/>
      </c>
    </row>
    <row r="1712" ht="15.75" customHeight="1">
      <c r="A1712" s="31" t="str">
        <f>'EQUITY BACKTEST'!A1715</f>
        <v/>
      </c>
      <c r="B1712" s="22" t="str">
        <f>'EQUITY BACKTEST'!B1715</f>
        <v/>
      </c>
      <c r="C1712" s="22" t="str">
        <f>'EQUITY BACKTEST'!E1715</f>
        <v/>
      </c>
      <c r="I1712" s="22" t="str">
        <f t="shared" si="1"/>
        <v>#N/A</v>
      </c>
      <c r="J1712" s="22" t="str">
        <f t="shared" si="2"/>
        <v>#N/A</v>
      </c>
      <c r="K1712" s="22" t="str">
        <f t="shared" si="8"/>
        <v/>
      </c>
    </row>
    <row r="1713" ht="15.75" customHeight="1">
      <c r="A1713" s="31" t="str">
        <f>'EQUITY BACKTEST'!A1716</f>
        <v/>
      </c>
      <c r="B1713" s="22" t="str">
        <f>'EQUITY BACKTEST'!B1716</f>
        <v/>
      </c>
      <c r="C1713" s="22" t="str">
        <f>'EQUITY BACKTEST'!E1716</f>
        <v/>
      </c>
      <c r="I1713" s="22" t="str">
        <f t="shared" si="1"/>
        <v>#N/A</v>
      </c>
      <c r="J1713" s="22" t="str">
        <f t="shared" si="2"/>
        <v>#N/A</v>
      </c>
      <c r="K1713" s="22" t="str">
        <f t="shared" si="8"/>
        <v/>
      </c>
    </row>
    <row r="1714" ht="15.75" customHeight="1">
      <c r="A1714" s="31" t="str">
        <f>'EQUITY BACKTEST'!A1717</f>
        <v/>
      </c>
      <c r="B1714" s="22" t="str">
        <f>'EQUITY BACKTEST'!B1717</f>
        <v/>
      </c>
      <c r="C1714" s="22" t="str">
        <f>'EQUITY BACKTEST'!E1717</f>
        <v/>
      </c>
      <c r="I1714" s="22" t="str">
        <f t="shared" si="1"/>
        <v>#N/A</v>
      </c>
      <c r="J1714" s="22" t="str">
        <f t="shared" si="2"/>
        <v>#N/A</v>
      </c>
      <c r="K1714" s="22" t="str">
        <f t="shared" si="8"/>
        <v/>
      </c>
    </row>
    <row r="1715" ht="15.75" customHeight="1">
      <c r="A1715" s="31" t="str">
        <f>'EQUITY BACKTEST'!A1718</f>
        <v/>
      </c>
      <c r="B1715" s="22" t="str">
        <f>'EQUITY BACKTEST'!B1718</f>
        <v/>
      </c>
      <c r="C1715" s="22" t="str">
        <f>'EQUITY BACKTEST'!E1718</f>
        <v/>
      </c>
      <c r="I1715" s="22" t="str">
        <f t="shared" si="1"/>
        <v>#N/A</v>
      </c>
      <c r="J1715" s="22" t="str">
        <f t="shared" si="2"/>
        <v>#N/A</v>
      </c>
      <c r="K1715" s="22" t="str">
        <f t="shared" si="8"/>
        <v/>
      </c>
    </row>
    <row r="1716" ht="15.75" customHeight="1">
      <c r="A1716" s="31" t="str">
        <f>'EQUITY BACKTEST'!A1719</f>
        <v/>
      </c>
      <c r="B1716" s="22" t="str">
        <f>'EQUITY BACKTEST'!B1719</f>
        <v/>
      </c>
      <c r="C1716" s="22" t="str">
        <f>'EQUITY BACKTEST'!E1719</f>
        <v/>
      </c>
      <c r="I1716" s="22" t="str">
        <f t="shared" si="1"/>
        <v>#N/A</v>
      </c>
      <c r="J1716" s="22" t="str">
        <f t="shared" si="2"/>
        <v>#N/A</v>
      </c>
      <c r="K1716" s="22" t="str">
        <f t="shared" si="8"/>
        <v/>
      </c>
    </row>
    <row r="1717" ht="15.75" customHeight="1">
      <c r="A1717" s="31" t="str">
        <f>'EQUITY BACKTEST'!A1720</f>
        <v/>
      </c>
      <c r="B1717" s="22" t="str">
        <f>'EQUITY BACKTEST'!B1720</f>
        <v/>
      </c>
      <c r="C1717" s="22" t="str">
        <f>'EQUITY BACKTEST'!E1720</f>
        <v/>
      </c>
      <c r="I1717" s="22" t="str">
        <f t="shared" si="1"/>
        <v>#N/A</v>
      </c>
      <c r="J1717" s="22" t="str">
        <f t="shared" si="2"/>
        <v>#N/A</v>
      </c>
      <c r="K1717" s="22" t="str">
        <f t="shared" si="8"/>
        <v/>
      </c>
    </row>
    <row r="1718" ht="15.75" customHeight="1">
      <c r="A1718" s="31" t="str">
        <f>'EQUITY BACKTEST'!A1721</f>
        <v/>
      </c>
      <c r="B1718" s="22" t="str">
        <f>'EQUITY BACKTEST'!B1721</f>
        <v/>
      </c>
      <c r="C1718" s="22" t="str">
        <f>'EQUITY BACKTEST'!E1721</f>
        <v/>
      </c>
      <c r="I1718" s="22" t="str">
        <f t="shared" si="1"/>
        <v>#N/A</v>
      </c>
      <c r="J1718" s="22" t="str">
        <f t="shared" si="2"/>
        <v>#N/A</v>
      </c>
      <c r="K1718" s="22" t="str">
        <f t="shared" si="8"/>
        <v/>
      </c>
    </row>
    <row r="1719" ht="15.75" customHeight="1">
      <c r="A1719" s="31" t="str">
        <f>'EQUITY BACKTEST'!A1722</f>
        <v/>
      </c>
      <c r="B1719" s="22" t="str">
        <f>'EQUITY BACKTEST'!B1722</f>
        <v/>
      </c>
      <c r="C1719" s="22" t="str">
        <f>'EQUITY BACKTEST'!E1722</f>
        <v/>
      </c>
      <c r="I1719" s="22" t="str">
        <f t="shared" si="1"/>
        <v>#N/A</v>
      </c>
      <c r="J1719" s="22" t="str">
        <f t="shared" si="2"/>
        <v>#N/A</v>
      </c>
      <c r="K1719" s="22" t="str">
        <f t="shared" si="8"/>
        <v/>
      </c>
    </row>
    <row r="1720" ht="15.75" customHeight="1">
      <c r="A1720" s="31" t="str">
        <f>'EQUITY BACKTEST'!A1723</f>
        <v/>
      </c>
      <c r="B1720" s="22" t="str">
        <f>'EQUITY BACKTEST'!B1723</f>
        <v/>
      </c>
      <c r="C1720" s="22" t="str">
        <f>'EQUITY BACKTEST'!E1723</f>
        <v/>
      </c>
      <c r="I1720" s="22" t="str">
        <f t="shared" si="1"/>
        <v>#N/A</v>
      </c>
      <c r="J1720" s="22" t="str">
        <f t="shared" si="2"/>
        <v>#N/A</v>
      </c>
      <c r="K1720" s="22" t="str">
        <f t="shared" si="8"/>
        <v/>
      </c>
    </row>
    <row r="1721" ht="15.75" customHeight="1">
      <c r="A1721" s="31" t="str">
        <f>'EQUITY BACKTEST'!A1724</f>
        <v/>
      </c>
      <c r="B1721" s="22" t="str">
        <f>'EQUITY BACKTEST'!B1724</f>
        <v/>
      </c>
      <c r="C1721" s="22" t="str">
        <f>'EQUITY BACKTEST'!E1724</f>
        <v/>
      </c>
      <c r="I1721" s="22" t="str">
        <f t="shared" si="1"/>
        <v>#N/A</v>
      </c>
      <c r="J1721" s="22" t="str">
        <f t="shared" si="2"/>
        <v>#N/A</v>
      </c>
      <c r="K1721" s="22" t="str">
        <f t="shared" si="8"/>
        <v/>
      </c>
    </row>
    <row r="1722" ht="15.75" customHeight="1">
      <c r="A1722" s="31" t="str">
        <f>'EQUITY BACKTEST'!A1725</f>
        <v/>
      </c>
      <c r="B1722" s="22" t="str">
        <f>'EQUITY BACKTEST'!B1725</f>
        <v/>
      </c>
      <c r="C1722" s="22" t="str">
        <f>'EQUITY BACKTEST'!E1725</f>
        <v/>
      </c>
      <c r="I1722" s="22" t="str">
        <f t="shared" si="1"/>
        <v>#N/A</v>
      </c>
      <c r="J1722" s="22" t="str">
        <f t="shared" si="2"/>
        <v>#N/A</v>
      </c>
      <c r="K1722" s="22" t="str">
        <f t="shared" si="8"/>
        <v/>
      </c>
    </row>
    <row r="1723" ht="15.75" customHeight="1">
      <c r="A1723" s="31" t="str">
        <f>'EQUITY BACKTEST'!A1726</f>
        <v/>
      </c>
      <c r="B1723" s="22" t="str">
        <f>'EQUITY BACKTEST'!B1726</f>
        <v/>
      </c>
      <c r="C1723" s="22" t="str">
        <f>'EQUITY BACKTEST'!E1726</f>
        <v/>
      </c>
      <c r="I1723" s="22" t="str">
        <f t="shared" si="1"/>
        <v>#N/A</v>
      </c>
      <c r="J1723" s="22" t="str">
        <f t="shared" si="2"/>
        <v>#N/A</v>
      </c>
      <c r="K1723" s="22" t="str">
        <f t="shared" si="8"/>
        <v/>
      </c>
    </row>
    <row r="1724" ht="15.75" customHeight="1">
      <c r="A1724" s="31" t="str">
        <f>'EQUITY BACKTEST'!A1727</f>
        <v/>
      </c>
      <c r="B1724" s="22" t="str">
        <f>'EQUITY BACKTEST'!B1727</f>
        <v/>
      </c>
      <c r="C1724" s="22" t="str">
        <f>'EQUITY BACKTEST'!E1727</f>
        <v/>
      </c>
      <c r="I1724" s="22" t="str">
        <f t="shared" si="1"/>
        <v>#N/A</v>
      </c>
      <c r="J1724" s="22" t="str">
        <f t="shared" si="2"/>
        <v>#N/A</v>
      </c>
      <c r="K1724" s="22" t="str">
        <f t="shared" si="8"/>
        <v/>
      </c>
    </row>
    <row r="1725" ht="15.75" customHeight="1">
      <c r="A1725" s="31" t="str">
        <f>'EQUITY BACKTEST'!A1728</f>
        <v/>
      </c>
      <c r="B1725" s="22" t="str">
        <f>'EQUITY BACKTEST'!B1728</f>
        <v/>
      </c>
      <c r="C1725" s="22" t="str">
        <f>'EQUITY BACKTEST'!E1728</f>
        <v/>
      </c>
      <c r="I1725" s="22" t="str">
        <f t="shared" si="1"/>
        <v>#N/A</v>
      </c>
      <c r="J1725" s="22" t="str">
        <f t="shared" si="2"/>
        <v>#N/A</v>
      </c>
      <c r="K1725" s="22" t="str">
        <f t="shared" si="8"/>
        <v/>
      </c>
    </row>
    <row r="1726" ht="15.75" customHeight="1">
      <c r="A1726" s="31" t="str">
        <f>'EQUITY BACKTEST'!A1729</f>
        <v/>
      </c>
      <c r="B1726" s="22" t="str">
        <f>'EQUITY BACKTEST'!B1729</f>
        <v/>
      </c>
      <c r="C1726" s="22" t="str">
        <f>'EQUITY BACKTEST'!E1729</f>
        <v/>
      </c>
      <c r="I1726" s="22" t="str">
        <f t="shared" si="1"/>
        <v>#N/A</v>
      </c>
      <c r="J1726" s="22" t="str">
        <f t="shared" si="2"/>
        <v>#N/A</v>
      </c>
      <c r="K1726" s="22" t="str">
        <f t="shared" si="8"/>
        <v/>
      </c>
    </row>
    <row r="1727" ht="15.75" customHeight="1">
      <c r="A1727" s="31" t="str">
        <f>'EQUITY BACKTEST'!A1730</f>
        <v/>
      </c>
      <c r="B1727" s="22" t="str">
        <f>'EQUITY BACKTEST'!B1730</f>
        <v/>
      </c>
      <c r="C1727" s="22" t="str">
        <f>'EQUITY BACKTEST'!E1730</f>
        <v/>
      </c>
      <c r="I1727" s="22" t="str">
        <f t="shared" si="1"/>
        <v>#N/A</v>
      </c>
      <c r="J1727" s="22" t="str">
        <f t="shared" si="2"/>
        <v>#N/A</v>
      </c>
      <c r="K1727" s="22" t="str">
        <f t="shared" si="8"/>
        <v/>
      </c>
    </row>
    <row r="1728" ht="15.75" customHeight="1">
      <c r="A1728" s="31" t="str">
        <f>'EQUITY BACKTEST'!A1731</f>
        <v/>
      </c>
      <c r="B1728" s="22" t="str">
        <f>'EQUITY BACKTEST'!B1731</f>
        <v/>
      </c>
      <c r="C1728" s="22" t="str">
        <f>'EQUITY BACKTEST'!E1731</f>
        <v/>
      </c>
      <c r="I1728" s="22" t="str">
        <f t="shared" si="1"/>
        <v>#N/A</v>
      </c>
      <c r="J1728" s="22" t="str">
        <f t="shared" si="2"/>
        <v>#N/A</v>
      </c>
      <c r="K1728" s="22" t="str">
        <f t="shared" si="8"/>
        <v/>
      </c>
    </row>
    <row r="1729" ht="15.75" customHeight="1">
      <c r="A1729" s="31" t="str">
        <f>'EQUITY BACKTEST'!A1732</f>
        <v/>
      </c>
      <c r="B1729" s="22" t="str">
        <f>'EQUITY BACKTEST'!B1732</f>
        <v/>
      </c>
      <c r="C1729" s="22" t="str">
        <f>'EQUITY BACKTEST'!E1732</f>
        <v/>
      </c>
      <c r="I1729" s="22" t="str">
        <f t="shared" si="1"/>
        <v>#N/A</v>
      </c>
      <c r="J1729" s="22" t="str">
        <f t="shared" si="2"/>
        <v>#N/A</v>
      </c>
      <c r="K1729" s="22" t="str">
        <f t="shared" si="8"/>
        <v/>
      </c>
    </row>
    <row r="1730" ht="15.75" customHeight="1">
      <c r="A1730" s="31" t="str">
        <f>'EQUITY BACKTEST'!A1733</f>
        <v/>
      </c>
      <c r="B1730" s="22" t="str">
        <f>'EQUITY BACKTEST'!B1733</f>
        <v/>
      </c>
      <c r="C1730" s="22" t="str">
        <f>'EQUITY BACKTEST'!E1733</f>
        <v/>
      </c>
      <c r="I1730" s="22" t="str">
        <f t="shared" si="1"/>
        <v>#N/A</v>
      </c>
      <c r="J1730" s="22" t="str">
        <f t="shared" si="2"/>
        <v>#N/A</v>
      </c>
      <c r="K1730" s="22" t="str">
        <f t="shared" si="8"/>
        <v/>
      </c>
    </row>
    <row r="1731" ht="15.75" customHeight="1">
      <c r="A1731" s="31" t="str">
        <f>'EQUITY BACKTEST'!A1734</f>
        <v/>
      </c>
      <c r="B1731" s="22" t="str">
        <f>'EQUITY BACKTEST'!B1734</f>
        <v/>
      </c>
      <c r="C1731" s="22" t="str">
        <f>'EQUITY BACKTEST'!E1734</f>
        <v/>
      </c>
      <c r="I1731" s="22" t="str">
        <f t="shared" si="1"/>
        <v>#N/A</v>
      </c>
      <c r="J1731" s="22" t="str">
        <f t="shared" si="2"/>
        <v>#N/A</v>
      </c>
      <c r="K1731" s="22" t="str">
        <f t="shared" si="8"/>
        <v/>
      </c>
    </row>
    <row r="1732" ht="15.75" customHeight="1">
      <c r="A1732" s="31" t="str">
        <f>'EQUITY BACKTEST'!A1735</f>
        <v/>
      </c>
      <c r="B1732" s="22" t="str">
        <f>'EQUITY BACKTEST'!B1735</f>
        <v/>
      </c>
      <c r="C1732" s="22" t="str">
        <f>'EQUITY BACKTEST'!E1735</f>
        <v/>
      </c>
      <c r="I1732" s="22" t="str">
        <f t="shared" si="1"/>
        <v>#N/A</v>
      </c>
      <c r="J1732" s="22" t="str">
        <f t="shared" si="2"/>
        <v>#N/A</v>
      </c>
      <c r="K1732" s="22" t="str">
        <f t="shared" si="8"/>
        <v/>
      </c>
    </row>
    <row r="1733" ht="15.75" customHeight="1">
      <c r="A1733" s="31" t="str">
        <f>'EQUITY BACKTEST'!A1736</f>
        <v/>
      </c>
      <c r="B1733" s="22" t="str">
        <f>'EQUITY BACKTEST'!B1736</f>
        <v/>
      </c>
      <c r="C1733" s="22" t="str">
        <f>'EQUITY BACKTEST'!E1736</f>
        <v/>
      </c>
      <c r="I1733" s="22" t="str">
        <f t="shared" si="1"/>
        <v>#N/A</v>
      </c>
      <c r="J1733" s="22" t="str">
        <f t="shared" si="2"/>
        <v>#N/A</v>
      </c>
      <c r="K1733" s="22" t="str">
        <f t="shared" si="8"/>
        <v/>
      </c>
    </row>
    <row r="1734" ht="15.75" customHeight="1">
      <c r="A1734" s="31" t="str">
        <f>'EQUITY BACKTEST'!A1737</f>
        <v/>
      </c>
      <c r="B1734" s="22" t="str">
        <f>'EQUITY BACKTEST'!B1737</f>
        <v/>
      </c>
      <c r="C1734" s="22" t="str">
        <f>'EQUITY BACKTEST'!E1737</f>
        <v/>
      </c>
      <c r="I1734" s="22" t="str">
        <f t="shared" si="1"/>
        <v>#N/A</v>
      </c>
      <c r="J1734" s="22" t="str">
        <f t="shared" si="2"/>
        <v>#N/A</v>
      </c>
      <c r="K1734" s="22" t="str">
        <f t="shared" si="8"/>
        <v/>
      </c>
    </row>
    <row r="1735" ht="15.75" customHeight="1">
      <c r="A1735" s="31" t="str">
        <f>'EQUITY BACKTEST'!A1738</f>
        <v/>
      </c>
      <c r="B1735" s="22" t="str">
        <f>'EQUITY BACKTEST'!B1738</f>
        <v/>
      </c>
      <c r="C1735" s="22" t="str">
        <f>'EQUITY BACKTEST'!E1738</f>
        <v/>
      </c>
      <c r="I1735" s="22" t="str">
        <f t="shared" si="1"/>
        <v>#N/A</v>
      </c>
      <c r="J1735" s="22" t="str">
        <f t="shared" si="2"/>
        <v>#N/A</v>
      </c>
      <c r="K1735" s="22" t="str">
        <f t="shared" si="8"/>
        <v/>
      </c>
    </row>
    <row r="1736" ht="15.75" customHeight="1">
      <c r="A1736" s="31" t="str">
        <f>'EQUITY BACKTEST'!A1739</f>
        <v/>
      </c>
      <c r="B1736" s="22" t="str">
        <f>'EQUITY BACKTEST'!B1739</f>
        <v/>
      </c>
      <c r="C1736" s="22" t="str">
        <f>'EQUITY BACKTEST'!E1739</f>
        <v/>
      </c>
      <c r="I1736" s="22" t="str">
        <f t="shared" si="1"/>
        <v>#N/A</v>
      </c>
      <c r="J1736" s="22" t="str">
        <f t="shared" si="2"/>
        <v>#N/A</v>
      </c>
      <c r="K1736" s="22" t="str">
        <f t="shared" si="8"/>
        <v/>
      </c>
    </row>
    <row r="1737" ht="15.75" customHeight="1">
      <c r="A1737" s="31" t="str">
        <f>'EQUITY BACKTEST'!A1740</f>
        <v/>
      </c>
      <c r="B1737" s="22" t="str">
        <f>'EQUITY BACKTEST'!B1740</f>
        <v/>
      </c>
      <c r="C1737" s="22" t="str">
        <f>'EQUITY BACKTEST'!E1740</f>
        <v/>
      </c>
      <c r="I1737" s="22" t="str">
        <f t="shared" si="1"/>
        <v>#N/A</v>
      </c>
      <c r="J1737" s="22" t="str">
        <f t="shared" si="2"/>
        <v>#N/A</v>
      </c>
      <c r="K1737" s="22" t="str">
        <f t="shared" si="8"/>
        <v/>
      </c>
    </row>
    <row r="1738" ht="15.75" customHeight="1">
      <c r="A1738" s="31" t="str">
        <f>'EQUITY BACKTEST'!A1741</f>
        <v/>
      </c>
      <c r="B1738" s="22" t="str">
        <f>'EQUITY BACKTEST'!B1741</f>
        <v/>
      </c>
      <c r="C1738" s="22" t="str">
        <f>'EQUITY BACKTEST'!E1741</f>
        <v/>
      </c>
      <c r="I1738" s="22" t="str">
        <f t="shared" si="1"/>
        <v>#N/A</v>
      </c>
      <c r="J1738" s="22" t="str">
        <f t="shared" si="2"/>
        <v>#N/A</v>
      </c>
      <c r="K1738" s="22" t="str">
        <f t="shared" si="8"/>
        <v/>
      </c>
    </row>
    <row r="1739" ht="15.75" customHeight="1">
      <c r="A1739" s="31" t="str">
        <f>'EQUITY BACKTEST'!A1742</f>
        <v/>
      </c>
      <c r="B1739" s="22" t="str">
        <f>'EQUITY BACKTEST'!B1742</f>
        <v/>
      </c>
      <c r="C1739" s="22" t="str">
        <f>'EQUITY BACKTEST'!E1742</f>
        <v/>
      </c>
      <c r="I1739" s="22" t="str">
        <f t="shared" si="1"/>
        <v>#N/A</v>
      </c>
      <c r="J1739" s="22" t="str">
        <f t="shared" si="2"/>
        <v>#N/A</v>
      </c>
      <c r="K1739" s="22" t="str">
        <f t="shared" si="8"/>
        <v/>
      </c>
    </row>
    <row r="1740" ht="15.75" customHeight="1">
      <c r="A1740" s="31" t="str">
        <f>'EQUITY BACKTEST'!A1743</f>
        <v/>
      </c>
      <c r="B1740" s="22" t="str">
        <f>'EQUITY BACKTEST'!B1743</f>
        <v/>
      </c>
      <c r="C1740" s="22" t="str">
        <f>'EQUITY BACKTEST'!E1743</f>
        <v/>
      </c>
      <c r="I1740" s="22" t="str">
        <f t="shared" si="1"/>
        <v>#N/A</v>
      </c>
      <c r="J1740" s="22" t="str">
        <f t="shared" si="2"/>
        <v>#N/A</v>
      </c>
      <c r="K1740" s="22" t="str">
        <f t="shared" si="8"/>
        <v/>
      </c>
    </row>
    <row r="1741" ht="15.75" customHeight="1">
      <c r="A1741" s="31" t="str">
        <f>'EQUITY BACKTEST'!A1744</f>
        <v/>
      </c>
      <c r="B1741" s="22" t="str">
        <f>'EQUITY BACKTEST'!B1744</f>
        <v/>
      </c>
      <c r="C1741" s="22" t="str">
        <f>'EQUITY BACKTEST'!E1744</f>
        <v/>
      </c>
      <c r="I1741" s="22" t="str">
        <f t="shared" si="1"/>
        <v>#N/A</v>
      </c>
      <c r="J1741" s="22" t="str">
        <f t="shared" si="2"/>
        <v>#N/A</v>
      </c>
      <c r="K1741" s="22" t="str">
        <f t="shared" si="8"/>
        <v/>
      </c>
    </row>
    <row r="1742" ht="15.75" customHeight="1">
      <c r="A1742" s="31" t="str">
        <f>'EQUITY BACKTEST'!A1745</f>
        <v/>
      </c>
      <c r="B1742" s="22" t="str">
        <f>'EQUITY BACKTEST'!B1745</f>
        <v/>
      </c>
      <c r="C1742" s="22" t="str">
        <f>'EQUITY BACKTEST'!E1745</f>
        <v/>
      </c>
      <c r="I1742" s="22" t="str">
        <f t="shared" si="1"/>
        <v>#N/A</v>
      </c>
      <c r="J1742" s="22" t="str">
        <f t="shared" si="2"/>
        <v>#N/A</v>
      </c>
      <c r="K1742" s="22" t="str">
        <f t="shared" si="8"/>
        <v/>
      </c>
    </row>
    <row r="1743" ht="15.75" customHeight="1">
      <c r="A1743" s="31" t="str">
        <f>'EQUITY BACKTEST'!A1746</f>
        <v/>
      </c>
      <c r="B1743" s="22" t="str">
        <f>'EQUITY BACKTEST'!B1746</f>
        <v/>
      </c>
      <c r="C1743" s="22" t="str">
        <f>'EQUITY BACKTEST'!E1746</f>
        <v/>
      </c>
      <c r="I1743" s="22" t="str">
        <f t="shared" si="1"/>
        <v>#N/A</v>
      </c>
      <c r="J1743" s="22" t="str">
        <f t="shared" si="2"/>
        <v>#N/A</v>
      </c>
      <c r="K1743" s="22" t="str">
        <f t="shared" si="8"/>
        <v/>
      </c>
    </row>
    <row r="1744" ht="15.75" customHeight="1">
      <c r="A1744" s="31" t="str">
        <f>'EQUITY BACKTEST'!A1747</f>
        <v/>
      </c>
      <c r="B1744" s="22" t="str">
        <f>'EQUITY BACKTEST'!B1747</f>
        <v/>
      </c>
      <c r="C1744" s="22" t="str">
        <f>'EQUITY BACKTEST'!E1747</f>
        <v/>
      </c>
      <c r="I1744" s="22" t="str">
        <f t="shared" si="1"/>
        <v>#N/A</v>
      </c>
      <c r="J1744" s="22" t="str">
        <f t="shared" si="2"/>
        <v>#N/A</v>
      </c>
      <c r="K1744" s="22" t="str">
        <f t="shared" si="8"/>
        <v/>
      </c>
    </row>
    <row r="1745" ht="15.75" customHeight="1">
      <c r="A1745" s="31" t="str">
        <f>'EQUITY BACKTEST'!A1748</f>
        <v/>
      </c>
      <c r="B1745" s="22" t="str">
        <f>'EQUITY BACKTEST'!B1748</f>
        <v/>
      </c>
      <c r="C1745" s="22" t="str">
        <f>'EQUITY BACKTEST'!E1748</f>
        <v/>
      </c>
      <c r="I1745" s="22" t="str">
        <f t="shared" si="1"/>
        <v>#N/A</v>
      </c>
      <c r="J1745" s="22" t="str">
        <f t="shared" si="2"/>
        <v>#N/A</v>
      </c>
      <c r="K1745" s="22" t="str">
        <f t="shared" si="8"/>
        <v/>
      </c>
    </row>
    <row r="1746" ht="15.75" customHeight="1">
      <c r="A1746" s="31" t="str">
        <f>'EQUITY BACKTEST'!A1749</f>
        <v/>
      </c>
      <c r="B1746" s="22" t="str">
        <f>'EQUITY BACKTEST'!B1749</f>
        <v/>
      </c>
      <c r="C1746" s="22" t="str">
        <f>'EQUITY BACKTEST'!E1749</f>
        <v/>
      </c>
      <c r="I1746" s="22" t="str">
        <f t="shared" si="1"/>
        <v>#N/A</v>
      </c>
      <c r="J1746" s="22" t="str">
        <f t="shared" si="2"/>
        <v>#N/A</v>
      </c>
      <c r="K1746" s="22" t="str">
        <f t="shared" si="8"/>
        <v/>
      </c>
    </row>
    <row r="1747" ht="15.75" customHeight="1">
      <c r="A1747" s="31" t="str">
        <f>'EQUITY BACKTEST'!A1750</f>
        <v/>
      </c>
      <c r="B1747" s="22" t="str">
        <f>'EQUITY BACKTEST'!B1750</f>
        <v/>
      </c>
      <c r="C1747" s="22" t="str">
        <f>'EQUITY BACKTEST'!E1750</f>
        <v/>
      </c>
      <c r="I1747" s="22" t="str">
        <f t="shared" si="1"/>
        <v>#N/A</v>
      </c>
      <c r="J1747" s="22" t="str">
        <f t="shared" si="2"/>
        <v>#N/A</v>
      </c>
      <c r="K1747" s="22" t="str">
        <f t="shared" si="8"/>
        <v/>
      </c>
    </row>
    <row r="1748" ht="15.75" customHeight="1">
      <c r="A1748" s="31" t="str">
        <f>'EQUITY BACKTEST'!A1751</f>
        <v/>
      </c>
      <c r="B1748" s="22" t="str">
        <f>'EQUITY BACKTEST'!B1751</f>
        <v/>
      </c>
      <c r="C1748" s="22" t="str">
        <f>'EQUITY BACKTEST'!E1751</f>
        <v/>
      </c>
      <c r="I1748" s="22" t="str">
        <f t="shared" si="1"/>
        <v>#N/A</v>
      </c>
      <c r="J1748" s="22" t="str">
        <f t="shared" si="2"/>
        <v>#N/A</v>
      </c>
      <c r="K1748" s="22" t="str">
        <f t="shared" si="8"/>
        <v/>
      </c>
    </row>
    <row r="1749" ht="15.75" customHeight="1">
      <c r="A1749" s="31" t="str">
        <f>'EQUITY BACKTEST'!A1752</f>
        <v/>
      </c>
      <c r="B1749" s="22" t="str">
        <f>'EQUITY BACKTEST'!B1752</f>
        <v/>
      </c>
      <c r="C1749" s="22" t="str">
        <f>'EQUITY BACKTEST'!E1752</f>
        <v/>
      </c>
      <c r="I1749" s="22" t="str">
        <f t="shared" si="1"/>
        <v>#N/A</v>
      </c>
      <c r="J1749" s="22" t="str">
        <f t="shared" si="2"/>
        <v>#N/A</v>
      </c>
      <c r="K1749" s="22" t="str">
        <f t="shared" si="8"/>
        <v/>
      </c>
    </row>
    <row r="1750" ht="15.75" customHeight="1">
      <c r="A1750" s="31" t="str">
        <f>'EQUITY BACKTEST'!A1753</f>
        <v/>
      </c>
      <c r="B1750" s="22" t="str">
        <f>'EQUITY BACKTEST'!B1753</f>
        <v/>
      </c>
      <c r="C1750" s="22" t="str">
        <f>'EQUITY BACKTEST'!E1753</f>
        <v/>
      </c>
      <c r="I1750" s="22" t="str">
        <f t="shared" si="1"/>
        <v>#N/A</v>
      </c>
      <c r="J1750" s="22" t="str">
        <f t="shared" si="2"/>
        <v>#N/A</v>
      </c>
      <c r="K1750" s="22" t="str">
        <f t="shared" si="8"/>
        <v/>
      </c>
    </row>
    <row r="1751" ht="15.75" customHeight="1">
      <c r="A1751" s="31" t="str">
        <f>'EQUITY BACKTEST'!A1754</f>
        <v/>
      </c>
      <c r="B1751" s="22" t="str">
        <f>'EQUITY BACKTEST'!B1754</f>
        <v/>
      </c>
      <c r="C1751" s="22" t="str">
        <f>'EQUITY BACKTEST'!E1754</f>
        <v/>
      </c>
      <c r="I1751" s="22" t="str">
        <f t="shared" si="1"/>
        <v>#N/A</v>
      </c>
      <c r="J1751" s="22" t="str">
        <f t="shared" si="2"/>
        <v>#N/A</v>
      </c>
      <c r="K1751" s="22" t="str">
        <f t="shared" si="8"/>
        <v/>
      </c>
    </row>
    <row r="1752" ht="15.75" customHeight="1">
      <c r="A1752" s="31" t="str">
        <f>'EQUITY BACKTEST'!A1755</f>
        <v/>
      </c>
      <c r="B1752" s="22" t="str">
        <f>'EQUITY BACKTEST'!B1755</f>
        <v/>
      </c>
      <c r="C1752" s="22" t="str">
        <f>'EQUITY BACKTEST'!E1755</f>
        <v/>
      </c>
      <c r="I1752" s="22" t="str">
        <f t="shared" si="1"/>
        <v>#N/A</v>
      </c>
      <c r="J1752" s="22" t="str">
        <f t="shared" si="2"/>
        <v>#N/A</v>
      </c>
      <c r="K1752" s="22" t="str">
        <f t="shared" si="8"/>
        <v/>
      </c>
    </row>
    <row r="1753" ht="15.75" customHeight="1">
      <c r="A1753" s="31" t="str">
        <f>'EQUITY BACKTEST'!A1756</f>
        <v/>
      </c>
      <c r="B1753" s="22" t="str">
        <f>'EQUITY BACKTEST'!B1756</f>
        <v/>
      </c>
      <c r="C1753" s="22" t="str">
        <f>'EQUITY BACKTEST'!E1756</f>
        <v/>
      </c>
      <c r="I1753" s="22" t="str">
        <f t="shared" si="1"/>
        <v>#N/A</v>
      </c>
      <c r="J1753" s="22" t="str">
        <f t="shared" si="2"/>
        <v>#N/A</v>
      </c>
      <c r="K1753" s="22" t="str">
        <f t="shared" si="8"/>
        <v/>
      </c>
    </row>
    <row r="1754" ht="15.75" customHeight="1">
      <c r="A1754" s="31" t="str">
        <f>'EQUITY BACKTEST'!A1757</f>
        <v/>
      </c>
      <c r="B1754" s="22" t="str">
        <f>'EQUITY BACKTEST'!B1757</f>
        <v/>
      </c>
      <c r="C1754" s="22" t="str">
        <f>'EQUITY BACKTEST'!E1757</f>
        <v/>
      </c>
      <c r="I1754" s="22" t="str">
        <f t="shared" si="1"/>
        <v>#N/A</v>
      </c>
      <c r="J1754" s="22" t="str">
        <f t="shared" si="2"/>
        <v>#N/A</v>
      </c>
      <c r="K1754" s="22" t="str">
        <f t="shared" si="8"/>
        <v/>
      </c>
    </row>
    <row r="1755" ht="15.75" customHeight="1">
      <c r="A1755" s="31" t="str">
        <f>'EQUITY BACKTEST'!A1758</f>
        <v/>
      </c>
      <c r="B1755" s="22" t="str">
        <f>'EQUITY BACKTEST'!B1758</f>
        <v/>
      </c>
      <c r="C1755" s="22" t="str">
        <f>'EQUITY BACKTEST'!E1758</f>
        <v/>
      </c>
      <c r="I1755" s="22" t="str">
        <f t="shared" si="1"/>
        <v>#N/A</v>
      </c>
      <c r="J1755" s="22" t="str">
        <f t="shared" si="2"/>
        <v>#N/A</v>
      </c>
      <c r="K1755" s="22" t="str">
        <f t="shared" si="8"/>
        <v/>
      </c>
    </row>
    <row r="1756" ht="15.75" customHeight="1">
      <c r="A1756" s="31" t="str">
        <f>'EQUITY BACKTEST'!A1759</f>
        <v/>
      </c>
      <c r="B1756" s="22" t="str">
        <f>'EQUITY BACKTEST'!B1759</f>
        <v/>
      </c>
      <c r="C1756" s="22" t="str">
        <f>'EQUITY BACKTEST'!E1759</f>
        <v/>
      </c>
      <c r="I1756" s="22" t="str">
        <f t="shared" si="1"/>
        <v>#N/A</v>
      </c>
      <c r="J1756" s="22" t="str">
        <f t="shared" si="2"/>
        <v>#N/A</v>
      </c>
      <c r="K1756" s="22" t="str">
        <f t="shared" si="8"/>
        <v/>
      </c>
    </row>
    <row r="1757" ht="15.75" customHeight="1">
      <c r="A1757" s="31" t="str">
        <f>'EQUITY BACKTEST'!A1760</f>
        <v/>
      </c>
      <c r="B1757" s="22" t="str">
        <f>'EQUITY BACKTEST'!B1760</f>
        <v/>
      </c>
      <c r="C1757" s="22" t="str">
        <f>'EQUITY BACKTEST'!E1760</f>
        <v/>
      </c>
      <c r="I1757" s="22" t="str">
        <f t="shared" si="1"/>
        <v>#N/A</v>
      </c>
      <c r="J1757" s="22" t="str">
        <f t="shared" si="2"/>
        <v>#N/A</v>
      </c>
      <c r="K1757" s="22" t="str">
        <f t="shared" si="8"/>
        <v/>
      </c>
    </row>
    <row r="1758" ht="15.75" customHeight="1">
      <c r="A1758" s="31" t="str">
        <f>'EQUITY BACKTEST'!A1761</f>
        <v/>
      </c>
      <c r="B1758" s="22" t="str">
        <f>'EQUITY BACKTEST'!B1761</f>
        <v/>
      </c>
      <c r="C1758" s="22" t="str">
        <f>'EQUITY BACKTEST'!E1761</f>
        <v/>
      </c>
      <c r="I1758" s="22" t="str">
        <f t="shared" si="1"/>
        <v>#N/A</v>
      </c>
      <c r="J1758" s="22" t="str">
        <f t="shared" si="2"/>
        <v>#N/A</v>
      </c>
      <c r="K1758" s="22" t="str">
        <f t="shared" si="8"/>
        <v/>
      </c>
    </row>
    <row r="1759" ht="15.75" customHeight="1">
      <c r="A1759" s="31" t="str">
        <f>'EQUITY BACKTEST'!A1762</f>
        <v/>
      </c>
      <c r="B1759" s="22" t="str">
        <f>'EQUITY BACKTEST'!B1762</f>
        <v/>
      </c>
      <c r="C1759" s="22" t="str">
        <f>'EQUITY BACKTEST'!E1762</f>
        <v/>
      </c>
      <c r="I1759" s="22" t="str">
        <f t="shared" si="1"/>
        <v>#N/A</v>
      </c>
      <c r="J1759" s="22" t="str">
        <f t="shared" si="2"/>
        <v>#N/A</v>
      </c>
      <c r="K1759" s="22" t="str">
        <f t="shared" si="8"/>
        <v/>
      </c>
    </row>
    <row r="1760" ht="15.75" customHeight="1">
      <c r="A1760" s="31" t="str">
        <f>'EQUITY BACKTEST'!A1763</f>
        <v/>
      </c>
      <c r="B1760" s="22" t="str">
        <f>'EQUITY BACKTEST'!B1763</f>
        <v/>
      </c>
      <c r="C1760" s="22" t="str">
        <f>'EQUITY BACKTEST'!E1763</f>
        <v/>
      </c>
      <c r="I1760" s="22" t="str">
        <f t="shared" si="1"/>
        <v>#N/A</v>
      </c>
      <c r="J1760" s="22" t="str">
        <f t="shared" si="2"/>
        <v>#N/A</v>
      </c>
      <c r="K1760" s="22" t="str">
        <f t="shared" si="8"/>
        <v/>
      </c>
    </row>
    <row r="1761" ht="15.75" customHeight="1">
      <c r="A1761" s="31" t="str">
        <f>'EQUITY BACKTEST'!A1764</f>
        <v/>
      </c>
      <c r="B1761" s="22" t="str">
        <f>'EQUITY BACKTEST'!B1764</f>
        <v/>
      </c>
      <c r="C1761" s="22" t="str">
        <f>'EQUITY BACKTEST'!E1764</f>
        <v/>
      </c>
      <c r="I1761" s="22" t="str">
        <f t="shared" si="1"/>
        <v>#N/A</v>
      </c>
      <c r="J1761" s="22" t="str">
        <f t="shared" si="2"/>
        <v>#N/A</v>
      </c>
      <c r="K1761" s="22" t="str">
        <f t="shared" si="8"/>
        <v/>
      </c>
    </row>
    <row r="1762" ht="15.75" customHeight="1">
      <c r="A1762" s="31" t="str">
        <f>'EQUITY BACKTEST'!A1765</f>
        <v/>
      </c>
      <c r="B1762" s="22" t="str">
        <f>'EQUITY BACKTEST'!B1765</f>
        <v/>
      </c>
      <c r="C1762" s="22" t="str">
        <f>'EQUITY BACKTEST'!E1765</f>
        <v/>
      </c>
      <c r="I1762" s="22" t="str">
        <f t="shared" si="1"/>
        <v>#N/A</v>
      </c>
      <c r="J1762" s="22" t="str">
        <f t="shared" si="2"/>
        <v>#N/A</v>
      </c>
      <c r="K1762" s="22" t="str">
        <f t="shared" si="8"/>
        <v/>
      </c>
    </row>
    <row r="1763" ht="15.75" customHeight="1">
      <c r="A1763" s="31" t="str">
        <f>'EQUITY BACKTEST'!A1766</f>
        <v/>
      </c>
      <c r="B1763" s="22" t="str">
        <f>'EQUITY BACKTEST'!B1766</f>
        <v/>
      </c>
      <c r="C1763" s="22" t="str">
        <f>'EQUITY BACKTEST'!E1766</f>
        <v/>
      </c>
      <c r="I1763" s="22" t="str">
        <f t="shared" si="1"/>
        <v>#N/A</v>
      </c>
      <c r="J1763" s="22" t="str">
        <f t="shared" si="2"/>
        <v>#N/A</v>
      </c>
      <c r="K1763" s="22" t="str">
        <f t="shared" si="8"/>
        <v/>
      </c>
    </row>
    <row r="1764" ht="15.75" customHeight="1">
      <c r="A1764" s="31" t="str">
        <f>'EQUITY BACKTEST'!A1767</f>
        <v/>
      </c>
      <c r="B1764" s="22" t="str">
        <f>'EQUITY BACKTEST'!B1767</f>
        <v/>
      </c>
      <c r="C1764" s="22" t="str">
        <f>'EQUITY BACKTEST'!E1767</f>
        <v/>
      </c>
      <c r="I1764" s="22" t="str">
        <f t="shared" si="1"/>
        <v>#N/A</v>
      </c>
      <c r="J1764" s="22" t="str">
        <f t="shared" si="2"/>
        <v>#N/A</v>
      </c>
      <c r="K1764" s="22" t="str">
        <f t="shared" si="8"/>
        <v/>
      </c>
    </row>
    <row r="1765" ht="15.75" customHeight="1">
      <c r="A1765" s="31" t="str">
        <f>'EQUITY BACKTEST'!A1768</f>
        <v/>
      </c>
      <c r="B1765" s="22" t="str">
        <f>'EQUITY BACKTEST'!B1768</f>
        <v/>
      </c>
      <c r="C1765" s="22" t="str">
        <f>'EQUITY BACKTEST'!E1768</f>
        <v/>
      </c>
      <c r="I1765" s="22" t="str">
        <f t="shared" si="1"/>
        <v>#N/A</v>
      </c>
      <c r="J1765" s="22" t="str">
        <f t="shared" si="2"/>
        <v>#N/A</v>
      </c>
      <c r="K1765" s="22" t="str">
        <f t="shared" si="8"/>
        <v/>
      </c>
    </row>
    <row r="1766" ht="15.75" customHeight="1">
      <c r="A1766" s="31" t="str">
        <f>'EQUITY BACKTEST'!A1769</f>
        <v/>
      </c>
      <c r="B1766" s="22" t="str">
        <f>'EQUITY BACKTEST'!B1769</f>
        <v/>
      </c>
      <c r="C1766" s="22" t="str">
        <f>'EQUITY BACKTEST'!E1769</f>
        <v/>
      </c>
      <c r="I1766" s="22" t="str">
        <f t="shared" si="1"/>
        <v>#N/A</v>
      </c>
      <c r="J1766" s="22" t="str">
        <f t="shared" si="2"/>
        <v>#N/A</v>
      </c>
      <c r="K1766" s="22" t="str">
        <f t="shared" si="8"/>
        <v/>
      </c>
    </row>
    <row r="1767" ht="15.75" customHeight="1">
      <c r="A1767" s="31" t="str">
        <f>'EQUITY BACKTEST'!A1770</f>
        <v/>
      </c>
      <c r="B1767" s="22" t="str">
        <f>'EQUITY BACKTEST'!B1770</f>
        <v/>
      </c>
      <c r="C1767" s="22" t="str">
        <f>'EQUITY BACKTEST'!E1770</f>
        <v/>
      </c>
      <c r="I1767" s="22" t="str">
        <f t="shared" si="1"/>
        <v>#N/A</v>
      </c>
      <c r="J1767" s="22" t="str">
        <f t="shared" si="2"/>
        <v>#N/A</v>
      </c>
      <c r="K1767" s="22" t="str">
        <f t="shared" si="8"/>
        <v/>
      </c>
    </row>
    <row r="1768" ht="15.75" customHeight="1">
      <c r="A1768" s="31" t="str">
        <f>'EQUITY BACKTEST'!A1771</f>
        <v/>
      </c>
      <c r="B1768" s="22" t="str">
        <f>'EQUITY BACKTEST'!B1771</f>
        <v/>
      </c>
      <c r="C1768" s="22" t="str">
        <f>'EQUITY BACKTEST'!E1771</f>
        <v/>
      </c>
      <c r="I1768" s="22" t="str">
        <f t="shared" si="1"/>
        <v>#N/A</v>
      </c>
      <c r="J1768" s="22" t="str">
        <f t="shared" si="2"/>
        <v>#N/A</v>
      </c>
      <c r="K1768" s="22" t="str">
        <f t="shared" si="8"/>
        <v/>
      </c>
    </row>
    <row r="1769" ht="15.75" customHeight="1">
      <c r="A1769" s="31" t="str">
        <f>'EQUITY BACKTEST'!A1772</f>
        <v/>
      </c>
      <c r="B1769" s="22" t="str">
        <f>'EQUITY BACKTEST'!B1772</f>
        <v/>
      </c>
      <c r="C1769" s="22" t="str">
        <f>'EQUITY BACKTEST'!E1772</f>
        <v/>
      </c>
      <c r="I1769" s="22" t="str">
        <f t="shared" si="1"/>
        <v>#N/A</v>
      </c>
      <c r="J1769" s="22" t="str">
        <f t="shared" si="2"/>
        <v>#N/A</v>
      </c>
      <c r="K1769" s="22" t="str">
        <f t="shared" si="8"/>
        <v/>
      </c>
    </row>
    <row r="1770" ht="15.75" customHeight="1">
      <c r="A1770" s="31" t="str">
        <f>'EQUITY BACKTEST'!A1773</f>
        <v/>
      </c>
      <c r="B1770" s="22" t="str">
        <f>'EQUITY BACKTEST'!B1773</f>
        <v/>
      </c>
      <c r="C1770" s="22" t="str">
        <f>'EQUITY BACKTEST'!E1773</f>
        <v/>
      </c>
      <c r="I1770" s="22" t="str">
        <f t="shared" si="1"/>
        <v>#N/A</v>
      </c>
      <c r="J1770" s="22" t="str">
        <f t="shared" si="2"/>
        <v>#N/A</v>
      </c>
      <c r="K1770" s="22" t="str">
        <f t="shared" si="8"/>
        <v/>
      </c>
    </row>
    <row r="1771" ht="15.75" customHeight="1">
      <c r="A1771" s="31" t="str">
        <f>'EQUITY BACKTEST'!A1774</f>
        <v/>
      </c>
      <c r="B1771" s="22" t="str">
        <f>'EQUITY BACKTEST'!B1774</f>
        <v/>
      </c>
      <c r="C1771" s="22" t="str">
        <f>'EQUITY BACKTEST'!E1774</f>
        <v/>
      </c>
      <c r="I1771" s="22" t="str">
        <f t="shared" si="1"/>
        <v>#N/A</v>
      </c>
      <c r="J1771" s="22" t="str">
        <f t="shared" si="2"/>
        <v>#N/A</v>
      </c>
      <c r="K1771" s="22" t="str">
        <f t="shared" si="8"/>
        <v/>
      </c>
    </row>
    <row r="1772" ht="15.75" customHeight="1">
      <c r="A1772" s="31" t="str">
        <f>'EQUITY BACKTEST'!A1775</f>
        <v/>
      </c>
      <c r="B1772" s="22" t="str">
        <f>'EQUITY BACKTEST'!B1775</f>
        <v/>
      </c>
      <c r="C1772" s="22" t="str">
        <f>'EQUITY BACKTEST'!E1775</f>
        <v/>
      </c>
      <c r="I1772" s="22" t="str">
        <f t="shared" si="1"/>
        <v>#N/A</v>
      </c>
      <c r="J1772" s="22" t="str">
        <f t="shared" si="2"/>
        <v>#N/A</v>
      </c>
      <c r="K1772" s="22" t="str">
        <f t="shared" si="8"/>
        <v/>
      </c>
    </row>
    <row r="1773" ht="15.75" customHeight="1">
      <c r="A1773" s="31" t="str">
        <f>'EQUITY BACKTEST'!A1776</f>
        <v/>
      </c>
      <c r="B1773" s="22" t="str">
        <f>'EQUITY BACKTEST'!B1776</f>
        <v/>
      </c>
      <c r="C1773" s="22" t="str">
        <f>'EQUITY BACKTEST'!E1776</f>
        <v/>
      </c>
      <c r="I1773" s="22" t="str">
        <f t="shared" si="1"/>
        <v>#N/A</v>
      </c>
      <c r="J1773" s="22" t="str">
        <f t="shared" si="2"/>
        <v>#N/A</v>
      </c>
      <c r="K1773" s="22" t="str">
        <f t="shared" si="8"/>
        <v/>
      </c>
    </row>
    <row r="1774" ht="15.75" customHeight="1">
      <c r="A1774" s="31" t="str">
        <f>'EQUITY BACKTEST'!A1777</f>
        <v/>
      </c>
      <c r="B1774" s="22" t="str">
        <f>'EQUITY BACKTEST'!B1777</f>
        <v/>
      </c>
      <c r="C1774" s="22" t="str">
        <f>'EQUITY BACKTEST'!E1777</f>
        <v/>
      </c>
      <c r="I1774" s="22" t="str">
        <f t="shared" si="1"/>
        <v>#N/A</v>
      </c>
      <c r="J1774" s="22" t="str">
        <f t="shared" si="2"/>
        <v>#N/A</v>
      </c>
      <c r="K1774" s="22" t="str">
        <f t="shared" si="8"/>
        <v/>
      </c>
    </row>
    <row r="1775" ht="15.75" customHeight="1">
      <c r="A1775" s="31" t="str">
        <f>'EQUITY BACKTEST'!A1778</f>
        <v/>
      </c>
      <c r="B1775" s="22" t="str">
        <f>'EQUITY BACKTEST'!B1778</f>
        <v/>
      </c>
      <c r="C1775" s="22" t="str">
        <f>'EQUITY BACKTEST'!E1778</f>
        <v/>
      </c>
      <c r="I1775" s="22" t="str">
        <f t="shared" si="1"/>
        <v>#N/A</v>
      </c>
      <c r="J1775" s="22" t="str">
        <f t="shared" si="2"/>
        <v>#N/A</v>
      </c>
      <c r="K1775" s="22" t="str">
        <f t="shared" si="8"/>
        <v/>
      </c>
    </row>
    <row r="1776" ht="15.75" customHeight="1">
      <c r="A1776" s="31" t="str">
        <f>'EQUITY BACKTEST'!A1779</f>
        <v/>
      </c>
      <c r="B1776" s="22" t="str">
        <f>'EQUITY BACKTEST'!B1779</f>
        <v/>
      </c>
      <c r="C1776" s="22" t="str">
        <f>'EQUITY BACKTEST'!E1779</f>
        <v/>
      </c>
    </row>
    <row r="1777" ht="15.75" customHeight="1">
      <c r="A1777" s="31" t="str">
        <f>'EQUITY BACKTEST'!A1780</f>
        <v/>
      </c>
      <c r="B1777" s="22" t="str">
        <f>'EQUITY BACKTEST'!B1780</f>
        <v/>
      </c>
      <c r="C1777" s="22" t="str">
        <f>'EQUITY BACKTEST'!E1780</f>
        <v/>
      </c>
    </row>
    <row r="1778" ht="15.75" customHeight="1">
      <c r="A1778" s="31" t="str">
        <f>'EQUITY BACKTEST'!A1781</f>
        <v/>
      </c>
      <c r="B1778" s="22" t="str">
        <f>'EQUITY BACKTEST'!B1781</f>
        <v/>
      </c>
      <c r="C1778" s="22" t="str">
        <f>'EQUITY BACKTEST'!E1781</f>
        <v/>
      </c>
    </row>
    <row r="1779" ht="15.75" customHeight="1">
      <c r="A1779" s="31" t="str">
        <f>'EQUITY BACKTEST'!A1782</f>
        <v/>
      </c>
      <c r="B1779" s="22" t="str">
        <f>'EQUITY BACKTEST'!B1782</f>
        <v/>
      </c>
      <c r="C1779" s="22" t="str">
        <f>'EQUITY BACKTEST'!E1782</f>
        <v/>
      </c>
    </row>
    <row r="1780" ht="15.75" customHeight="1">
      <c r="A1780" s="31" t="str">
        <f>'EQUITY BACKTEST'!A1783</f>
        <v/>
      </c>
      <c r="B1780" s="22" t="str">
        <f>'EQUITY BACKTEST'!B1783</f>
        <v/>
      </c>
      <c r="C1780" s="22" t="str">
        <f>'EQUITY BACKTEST'!E1783</f>
        <v/>
      </c>
    </row>
    <row r="1781" ht="15.75" customHeight="1">
      <c r="A1781" s="31" t="str">
        <f>'EQUITY BACKTEST'!A1784</f>
        <v/>
      </c>
      <c r="B1781" s="22" t="str">
        <f>'EQUITY BACKTEST'!B1784</f>
        <v/>
      </c>
      <c r="C1781" s="22" t="str">
        <f>'EQUITY BACKTEST'!E1784</f>
        <v/>
      </c>
    </row>
    <row r="1782" ht="15.75" customHeight="1">
      <c r="A1782" s="31" t="str">
        <f>'EQUITY BACKTEST'!A1785</f>
        <v/>
      </c>
      <c r="B1782" s="22" t="str">
        <f>'EQUITY BACKTEST'!B1785</f>
        <v/>
      </c>
      <c r="C1782" s="22" t="str">
        <f>'EQUITY BACKTEST'!E1785</f>
        <v/>
      </c>
    </row>
    <row r="1783" ht="15.75" customHeight="1">
      <c r="A1783" s="31" t="str">
        <f>'EQUITY BACKTEST'!A1786</f>
        <v/>
      </c>
      <c r="B1783" s="22" t="str">
        <f>'EQUITY BACKTEST'!B1786</f>
        <v/>
      </c>
      <c r="C1783" s="22" t="str">
        <f>'EQUITY BACKTEST'!E1786</f>
        <v/>
      </c>
    </row>
    <row r="1784" ht="15.75" customHeight="1">
      <c r="A1784" s="31" t="str">
        <f>'EQUITY BACKTEST'!A1787</f>
        <v/>
      </c>
      <c r="B1784" s="22" t="str">
        <f>'EQUITY BACKTEST'!B1787</f>
        <v/>
      </c>
      <c r="C1784" s="22" t="str">
        <f>'EQUITY BACKTEST'!E1787</f>
        <v/>
      </c>
    </row>
    <row r="1785" ht="15.75" customHeight="1">
      <c r="A1785" s="31" t="str">
        <f>'EQUITY BACKTEST'!A1788</f>
        <v/>
      </c>
      <c r="B1785" s="22" t="str">
        <f>'EQUITY BACKTEST'!B1788</f>
        <v/>
      </c>
      <c r="C1785" s="22" t="str">
        <f>'EQUITY BACKTEST'!E1788</f>
        <v/>
      </c>
    </row>
    <row r="1786" ht="15.75" customHeight="1">
      <c r="A1786" s="31" t="str">
        <f>'EQUITY BACKTEST'!A1789</f>
        <v/>
      </c>
      <c r="B1786" s="22" t="str">
        <f>'EQUITY BACKTEST'!B1789</f>
        <v/>
      </c>
      <c r="C1786" s="22" t="str">
        <f>'EQUITY BACKTEST'!E1789</f>
        <v/>
      </c>
    </row>
    <row r="1787" ht="15.75" customHeight="1">
      <c r="A1787" s="31" t="str">
        <f>'EQUITY BACKTEST'!A1790</f>
        <v/>
      </c>
      <c r="B1787" s="22" t="str">
        <f>'EQUITY BACKTEST'!B1790</f>
        <v/>
      </c>
      <c r="C1787" s="22" t="str">
        <f>'EQUITY BACKTEST'!E1790</f>
        <v/>
      </c>
    </row>
    <row r="1788" ht="15.75" customHeight="1">
      <c r="A1788" s="31" t="str">
        <f>'EQUITY BACKTEST'!A1791</f>
        <v/>
      </c>
      <c r="B1788" s="22" t="str">
        <f>'EQUITY BACKTEST'!B1791</f>
        <v/>
      </c>
      <c r="C1788" s="22" t="str">
        <f>'EQUITY BACKTEST'!E1791</f>
        <v/>
      </c>
    </row>
    <row r="1789" ht="15.75" customHeight="1">
      <c r="A1789" s="31" t="str">
        <f>'EQUITY BACKTEST'!A1792</f>
        <v/>
      </c>
      <c r="B1789" s="22" t="str">
        <f>'EQUITY BACKTEST'!B1792</f>
        <v/>
      </c>
      <c r="C1789" s="22" t="str">
        <f>'EQUITY BACKTEST'!E1792</f>
        <v/>
      </c>
    </row>
    <row r="1790" ht="15.75" customHeight="1">
      <c r="A1790" s="31" t="str">
        <f>'EQUITY BACKTEST'!A1793</f>
        <v/>
      </c>
      <c r="B1790" s="22" t="str">
        <f>'EQUITY BACKTEST'!B1793</f>
        <v/>
      </c>
      <c r="C1790" s="22" t="str">
        <f>'EQUITY BACKTEST'!E1793</f>
        <v/>
      </c>
    </row>
    <row r="1791" ht="15.75" customHeight="1">
      <c r="A1791" s="31" t="str">
        <f>'EQUITY BACKTEST'!A1794</f>
        <v/>
      </c>
      <c r="B1791" s="22" t="str">
        <f>'EQUITY BACKTEST'!B1794</f>
        <v/>
      </c>
      <c r="C1791" s="22" t="str">
        <f>'EQUITY BACKTEST'!E1794</f>
        <v/>
      </c>
    </row>
    <row r="1792" ht="15.75" customHeight="1">
      <c r="A1792" s="31" t="str">
        <f>'EQUITY BACKTEST'!A1795</f>
        <v/>
      </c>
      <c r="B1792" s="22" t="str">
        <f>'EQUITY BACKTEST'!B1795</f>
        <v/>
      </c>
      <c r="C1792" s="22" t="str">
        <f>'EQUITY BACKTEST'!E1795</f>
        <v/>
      </c>
    </row>
    <row r="1793" ht="15.75" customHeight="1">
      <c r="A1793" s="31" t="str">
        <f>'EQUITY BACKTEST'!A1796</f>
        <v/>
      </c>
      <c r="B1793" s="22" t="str">
        <f>'EQUITY BACKTEST'!B1796</f>
        <v/>
      </c>
      <c r="C1793" s="22" t="str">
        <f>'EQUITY BACKTEST'!E1796</f>
        <v/>
      </c>
    </row>
    <row r="1794" ht="15.75" customHeight="1">
      <c r="A1794" s="31" t="str">
        <f>'EQUITY BACKTEST'!A1797</f>
        <v/>
      </c>
      <c r="B1794" s="22" t="str">
        <f>'EQUITY BACKTEST'!B1797</f>
        <v/>
      </c>
      <c r="C1794" s="22" t="str">
        <f>'EQUITY BACKTEST'!E1797</f>
        <v/>
      </c>
    </row>
    <row r="1795" ht="15.75" customHeight="1">
      <c r="A1795" s="31" t="str">
        <f>'EQUITY BACKTEST'!A1798</f>
        <v/>
      </c>
      <c r="B1795" s="22" t="str">
        <f>'EQUITY BACKTEST'!B1798</f>
        <v/>
      </c>
      <c r="C1795" s="22" t="str">
        <f>'EQUITY BACKTEST'!E1798</f>
        <v/>
      </c>
    </row>
    <row r="1796" ht="15.75" customHeight="1">
      <c r="A1796" s="31" t="str">
        <f>'EQUITY BACKTEST'!A1799</f>
        <v/>
      </c>
      <c r="B1796" s="22" t="str">
        <f>'EQUITY BACKTEST'!B1799</f>
        <v/>
      </c>
      <c r="C1796" s="22" t="str">
        <f>'EQUITY BACKTEST'!E1799</f>
        <v/>
      </c>
    </row>
    <row r="1797" ht="15.75" customHeight="1">
      <c r="A1797" s="31" t="str">
        <f>'EQUITY BACKTEST'!A1800</f>
        <v/>
      </c>
      <c r="B1797" s="22" t="str">
        <f>'EQUITY BACKTEST'!B1800</f>
        <v/>
      </c>
      <c r="C1797" s="22" t="str">
        <f>'EQUITY BACKTEST'!E1800</f>
        <v/>
      </c>
    </row>
    <row r="1798" ht="15.75" customHeight="1">
      <c r="A1798" s="31" t="str">
        <f>'EQUITY BACKTEST'!A1801</f>
        <v/>
      </c>
      <c r="B1798" s="22" t="str">
        <f>'EQUITY BACKTEST'!B1801</f>
        <v/>
      </c>
      <c r="C1798" s="22" t="str">
        <f>'EQUITY BACKTEST'!E1801</f>
        <v/>
      </c>
    </row>
    <row r="1799" ht="15.75" customHeight="1">
      <c r="A1799" s="31" t="str">
        <f>'EQUITY BACKTEST'!A1802</f>
        <v/>
      </c>
      <c r="B1799" s="22" t="str">
        <f>'EQUITY BACKTEST'!B1802</f>
        <v/>
      </c>
      <c r="C1799" s="22" t="str">
        <f>'EQUITY BACKTEST'!E1802</f>
        <v/>
      </c>
    </row>
    <row r="1800" ht="15.75" customHeight="1">
      <c r="A1800" s="31" t="str">
        <f>'EQUITY BACKTEST'!A1803</f>
        <v/>
      </c>
      <c r="B1800" s="22" t="str">
        <f>'EQUITY BACKTEST'!B1803</f>
        <v/>
      </c>
      <c r="C1800" s="22" t="str">
        <f>'EQUITY BACKTEST'!E1803</f>
        <v/>
      </c>
    </row>
    <row r="1801" ht="15.75" customHeight="1">
      <c r="A1801" s="31" t="str">
        <f>'EQUITY BACKTEST'!A1804</f>
        <v/>
      </c>
      <c r="B1801" s="22" t="str">
        <f>'EQUITY BACKTEST'!B1804</f>
        <v/>
      </c>
      <c r="C1801" s="22" t="str">
        <f>'EQUITY BACKTEST'!E1804</f>
        <v/>
      </c>
    </row>
    <row r="1802" ht="15.75" customHeight="1">
      <c r="A1802" s="31" t="str">
        <f>'EQUITY BACKTEST'!A1805</f>
        <v/>
      </c>
      <c r="B1802" s="22" t="str">
        <f>'EQUITY BACKTEST'!B1805</f>
        <v/>
      </c>
      <c r="C1802" s="22" t="str">
        <f>'EQUITY BACKTEST'!E1805</f>
        <v/>
      </c>
    </row>
    <row r="1803" ht="15.75" customHeight="1">
      <c r="A1803" s="31" t="str">
        <f>'EQUITY BACKTEST'!A1806</f>
        <v/>
      </c>
      <c r="B1803" s="22" t="str">
        <f>'EQUITY BACKTEST'!B1806</f>
        <v/>
      </c>
      <c r="C1803" s="22" t="str">
        <f>'EQUITY BACKTEST'!E1806</f>
        <v/>
      </c>
    </row>
    <row r="1804" ht="15.75" customHeight="1">
      <c r="A1804" s="31" t="str">
        <f>'EQUITY BACKTEST'!A1807</f>
        <v/>
      </c>
      <c r="B1804" s="22" t="str">
        <f>'EQUITY BACKTEST'!B1807</f>
        <v/>
      </c>
      <c r="C1804" s="22" t="str">
        <f>'EQUITY BACKTEST'!E1807</f>
        <v/>
      </c>
    </row>
    <row r="1805" ht="15.75" customHeight="1">
      <c r="A1805" s="31" t="str">
        <f>'EQUITY BACKTEST'!A1808</f>
        <v/>
      </c>
      <c r="B1805" s="22" t="str">
        <f>'EQUITY BACKTEST'!B1808</f>
        <v/>
      </c>
      <c r="C1805" s="22" t="str">
        <f>'EQUITY BACKTEST'!E1808</f>
        <v/>
      </c>
    </row>
    <row r="1806" ht="15.75" customHeight="1">
      <c r="A1806" s="31" t="str">
        <f>'EQUITY BACKTEST'!A1809</f>
        <v/>
      </c>
      <c r="B1806" s="22" t="str">
        <f>'EQUITY BACKTEST'!B1809</f>
        <v/>
      </c>
      <c r="C1806" s="22" t="str">
        <f>'EQUITY BACKTEST'!E1809</f>
        <v/>
      </c>
    </row>
    <row r="1807" ht="15.75" customHeight="1">
      <c r="A1807" s="31" t="str">
        <f>'EQUITY BACKTEST'!A1810</f>
        <v/>
      </c>
      <c r="B1807" s="22" t="str">
        <f>'EQUITY BACKTEST'!B1810</f>
        <v/>
      </c>
      <c r="C1807" s="22" t="str">
        <f>'EQUITY BACKTEST'!E1810</f>
        <v/>
      </c>
    </row>
    <row r="1808" ht="15.75" customHeight="1">
      <c r="A1808" s="31" t="str">
        <f>'EQUITY BACKTEST'!A1811</f>
        <v/>
      </c>
      <c r="B1808" s="22" t="str">
        <f>'EQUITY BACKTEST'!B1811</f>
        <v/>
      </c>
      <c r="C1808" s="22" t="str">
        <f>'EQUITY BACKTEST'!E1811</f>
        <v/>
      </c>
    </row>
    <row r="1809" ht="15.75" customHeight="1">
      <c r="A1809" s="31" t="str">
        <f>'EQUITY BACKTEST'!A1812</f>
        <v/>
      </c>
      <c r="B1809" s="22" t="str">
        <f>'EQUITY BACKTEST'!B1812</f>
        <v/>
      </c>
      <c r="C1809" s="22" t="str">
        <f>'EQUITY BACKTEST'!E1812</f>
        <v/>
      </c>
    </row>
    <row r="1810" ht="15.75" customHeight="1">
      <c r="A1810" s="31" t="str">
        <f>'EQUITY BACKTEST'!A1813</f>
        <v/>
      </c>
      <c r="B1810" s="22" t="str">
        <f>'EQUITY BACKTEST'!B1813</f>
        <v/>
      </c>
      <c r="C1810" s="22" t="str">
        <f>'EQUITY BACKTEST'!E1813</f>
        <v/>
      </c>
    </row>
    <row r="1811" ht="15.75" customHeight="1">
      <c r="A1811" s="31" t="str">
        <f>'EQUITY BACKTEST'!A1814</f>
        <v/>
      </c>
      <c r="B1811" s="22" t="str">
        <f>'EQUITY BACKTEST'!B1814</f>
        <v/>
      </c>
      <c r="C1811" s="22" t="str">
        <f>'EQUITY BACKTEST'!E1814</f>
        <v/>
      </c>
    </row>
    <row r="1812" ht="15.75" customHeight="1">
      <c r="A1812" s="31" t="str">
        <f>'EQUITY BACKTEST'!A1815</f>
        <v/>
      </c>
      <c r="B1812" s="22" t="str">
        <f>'EQUITY BACKTEST'!B1815</f>
        <v/>
      </c>
      <c r="C1812" s="22" t="str">
        <f>'EQUITY BACKTEST'!E1815</f>
        <v/>
      </c>
    </row>
    <row r="1813" ht="15.75" customHeight="1">
      <c r="A1813" s="31" t="str">
        <f>'EQUITY BACKTEST'!A1816</f>
        <v/>
      </c>
      <c r="B1813" s="22" t="str">
        <f>'EQUITY BACKTEST'!B1816</f>
        <v/>
      </c>
      <c r="C1813" s="22" t="str">
        <f>'EQUITY BACKTEST'!E1816</f>
        <v/>
      </c>
    </row>
    <row r="1814" ht="15.75" customHeight="1">
      <c r="A1814" s="31" t="str">
        <f>'EQUITY BACKTEST'!A1817</f>
        <v/>
      </c>
      <c r="B1814" s="22" t="str">
        <f>'EQUITY BACKTEST'!B1817</f>
        <v/>
      </c>
      <c r="C1814" s="22" t="str">
        <f>'EQUITY BACKTEST'!E1817</f>
        <v/>
      </c>
    </row>
    <row r="1815" ht="15.75" customHeight="1">
      <c r="A1815" s="31" t="str">
        <f>'EQUITY BACKTEST'!A1818</f>
        <v/>
      </c>
      <c r="B1815" s="22" t="str">
        <f>'EQUITY BACKTEST'!B1818</f>
        <v/>
      </c>
      <c r="C1815" s="22" t="str">
        <f>'EQUITY BACKTEST'!E1818</f>
        <v/>
      </c>
    </row>
    <row r="1816" ht="15.75" customHeight="1">
      <c r="A1816" s="31" t="str">
        <f>'EQUITY BACKTEST'!A1819</f>
        <v/>
      </c>
      <c r="B1816" s="22" t="str">
        <f>'EQUITY BACKTEST'!B1819</f>
        <v/>
      </c>
      <c r="C1816" s="22" t="str">
        <f>'EQUITY BACKTEST'!E1819</f>
        <v/>
      </c>
    </row>
    <row r="1817" ht="15.75" customHeight="1">
      <c r="A1817" s="31" t="str">
        <f>'EQUITY BACKTEST'!A1820</f>
        <v/>
      </c>
      <c r="B1817" s="22" t="str">
        <f>'EQUITY BACKTEST'!B1820</f>
        <v/>
      </c>
      <c r="C1817" s="22" t="str">
        <f>'EQUITY BACKTEST'!E1820</f>
        <v/>
      </c>
    </row>
    <row r="1818" ht="15.75" customHeight="1">
      <c r="A1818" s="31" t="str">
        <f>'EQUITY BACKTEST'!A1821</f>
        <v/>
      </c>
      <c r="B1818" s="22" t="str">
        <f>'EQUITY BACKTEST'!B1821</f>
        <v/>
      </c>
      <c r="C1818" s="22" t="str">
        <f>'EQUITY BACKTEST'!E1821</f>
        <v/>
      </c>
    </row>
    <row r="1819" ht="15.75" customHeight="1">
      <c r="A1819" s="31" t="str">
        <f>'EQUITY BACKTEST'!A1822</f>
        <v/>
      </c>
      <c r="B1819" s="22" t="str">
        <f>'EQUITY BACKTEST'!B1822</f>
        <v/>
      </c>
      <c r="C1819" s="22" t="str">
        <f>'EQUITY BACKTEST'!E1822</f>
        <v/>
      </c>
    </row>
    <row r="1820" ht="15.75" customHeight="1">
      <c r="A1820" s="31" t="str">
        <f>'EQUITY BACKTEST'!A1823</f>
        <v/>
      </c>
      <c r="B1820" s="22" t="str">
        <f>'EQUITY BACKTEST'!B1823</f>
        <v/>
      </c>
      <c r="C1820" s="22" t="str">
        <f>'EQUITY BACKTEST'!E1823</f>
        <v/>
      </c>
    </row>
    <row r="1821" ht="15.75" customHeight="1">
      <c r="A1821" s="31" t="str">
        <f>'EQUITY BACKTEST'!A1824</f>
        <v/>
      </c>
      <c r="B1821" s="22" t="str">
        <f>'EQUITY BACKTEST'!B1824</f>
        <v/>
      </c>
      <c r="C1821" s="22" t="str">
        <f>'EQUITY BACKTEST'!E1824</f>
        <v/>
      </c>
    </row>
    <row r="1822" ht="15.75" customHeight="1">
      <c r="A1822" s="22" t="str">
        <f>'EQUITY BACKTEST'!A1825</f>
        <v/>
      </c>
      <c r="B1822" s="22" t="str">
        <f>'EQUITY BACKTEST'!B1825</f>
        <v/>
      </c>
      <c r="C1822" s="22" t="str">
        <f>'EQUITY BACKTEST'!E1825</f>
        <v/>
      </c>
    </row>
    <row r="1823" ht="15.75" customHeight="1">
      <c r="A1823" s="22" t="str">
        <f>'EQUITY BACKTEST'!A1826</f>
        <v/>
      </c>
      <c r="B1823" s="22" t="str">
        <f>'EQUITY BACKTEST'!B1826</f>
        <v/>
      </c>
      <c r="C1823" s="22" t="str">
        <f>'EQUITY BACKTEST'!E1826</f>
        <v/>
      </c>
    </row>
    <row r="1824" ht="15.75" customHeight="1">
      <c r="A1824" s="22" t="str">
        <f>'EQUITY BACKTEST'!A1827</f>
        <v/>
      </c>
      <c r="B1824" s="22" t="str">
        <f>'EQUITY BACKTEST'!B1827</f>
        <v/>
      </c>
      <c r="C1824" s="22" t="str">
        <f>'EQUITY BACKTEST'!E1827</f>
        <v/>
      </c>
    </row>
    <row r="1825" ht="15.75" customHeight="1">
      <c r="A1825" s="22" t="str">
        <f>'EQUITY BACKTEST'!A1828</f>
        <v/>
      </c>
      <c r="B1825" s="22" t="str">
        <f>'EQUITY BACKTEST'!B1828</f>
        <v/>
      </c>
      <c r="C1825" s="22" t="str">
        <f>'EQUITY BACKTEST'!E1828</f>
        <v/>
      </c>
    </row>
    <row r="1826" ht="15.75" customHeight="1">
      <c r="A1826" s="22" t="str">
        <f>'EQUITY BACKTEST'!A1829</f>
        <v/>
      </c>
      <c r="B1826" s="22" t="str">
        <f>'EQUITY BACKTEST'!B1829</f>
        <v/>
      </c>
      <c r="C1826" s="22" t="str">
        <f>'EQUITY BACKTEST'!E1829</f>
        <v/>
      </c>
    </row>
    <row r="1827" ht="15.75" customHeight="1">
      <c r="A1827" s="22" t="str">
        <f>'EQUITY BACKTEST'!A1830</f>
        <v/>
      </c>
      <c r="B1827" s="22" t="str">
        <f>'EQUITY BACKTEST'!B1830</f>
        <v/>
      </c>
      <c r="C1827" s="22" t="str">
        <f>'EQUITY BACKTEST'!E1830</f>
        <v/>
      </c>
    </row>
    <row r="1828" ht="15.75" customHeight="1">
      <c r="A1828" s="22" t="str">
        <f>'EQUITY BACKTEST'!A1831</f>
        <v/>
      </c>
      <c r="B1828" s="22" t="str">
        <f>'EQUITY BACKTEST'!B1831</f>
        <v/>
      </c>
      <c r="C1828" s="22" t="str">
        <f>'EQUITY BACKTEST'!E1831</f>
        <v/>
      </c>
    </row>
    <row r="1829" ht="15.75" customHeight="1">
      <c r="A1829" s="22" t="str">
        <f>'EQUITY BACKTEST'!A1832</f>
        <v/>
      </c>
      <c r="B1829" s="22" t="str">
        <f>'EQUITY BACKTEST'!B1832</f>
        <v/>
      </c>
      <c r="C1829" s="22" t="str">
        <f>'EQUITY BACKTEST'!E1832</f>
        <v/>
      </c>
    </row>
    <row r="1830" ht="15.75" customHeight="1">
      <c r="A1830" s="22" t="str">
        <f>'EQUITY BACKTEST'!A1833</f>
        <v/>
      </c>
      <c r="B1830" s="22" t="str">
        <f>'EQUITY BACKTEST'!B1833</f>
        <v/>
      </c>
      <c r="C1830" s="22" t="str">
        <f>'EQUITY BACKTEST'!E1833</f>
        <v/>
      </c>
    </row>
    <row r="1831" ht="15.75" customHeight="1">
      <c r="A1831" s="22" t="str">
        <f>'EQUITY BACKTEST'!A1834</f>
        <v/>
      </c>
      <c r="B1831" s="22" t="str">
        <f>'EQUITY BACKTEST'!B1834</f>
        <v/>
      </c>
      <c r="C1831" s="22" t="str">
        <f>'EQUITY BACKTEST'!E1834</f>
        <v/>
      </c>
    </row>
    <row r="1832" ht="15.75" customHeight="1">
      <c r="A1832" s="22" t="str">
        <f>'EQUITY BACKTEST'!A1835</f>
        <v/>
      </c>
      <c r="B1832" s="22" t="str">
        <f>'EQUITY BACKTEST'!B1835</f>
        <v/>
      </c>
      <c r="C1832" s="22" t="str">
        <f>'EQUITY BACKTEST'!E1835</f>
        <v/>
      </c>
    </row>
    <row r="1833" ht="15.75" customHeight="1">
      <c r="A1833" s="22" t="str">
        <f>'EQUITY BACKTEST'!A1836</f>
        <v/>
      </c>
      <c r="B1833" s="22" t="str">
        <f>'EQUITY BACKTEST'!B1836</f>
        <v/>
      </c>
      <c r="C1833" s="22" t="str">
        <f>'EQUITY BACKTEST'!E1836</f>
        <v/>
      </c>
    </row>
    <row r="1834" ht="15.75" customHeight="1">
      <c r="A1834" s="22" t="str">
        <f>'EQUITY BACKTEST'!A1837</f>
        <v/>
      </c>
      <c r="B1834" s="22" t="str">
        <f>'EQUITY BACKTEST'!B1837</f>
        <v/>
      </c>
      <c r="C1834" s="22" t="str">
        <f>'EQUITY BACKTEST'!E1837</f>
        <v/>
      </c>
    </row>
    <row r="1835" ht="15.75" customHeight="1">
      <c r="A1835" s="22" t="str">
        <f>'EQUITY BACKTEST'!A1838</f>
        <v/>
      </c>
      <c r="B1835" s="22" t="str">
        <f>'EQUITY BACKTEST'!B1838</f>
        <v/>
      </c>
      <c r="C1835" s="22" t="str">
        <f>'EQUITY BACKTEST'!E1838</f>
        <v/>
      </c>
    </row>
    <row r="1836" ht="15.75" customHeight="1">
      <c r="A1836" s="22" t="str">
        <f>'EQUITY BACKTEST'!A1839</f>
        <v/>
      </c>
      <c r="B1836" s="22" t="str">
        <f>'EQUITY BACKTEST'!B1839</f>
        <v/>
      </c>
      <c r="C1836" s="22" t="str">
        <f>'EQUITY BACKTEST'!E1839</f>
        <v/>
      </c>
    </row>
    <row r="1837" ht="15.75" customHeight="1">
      <c r="A1837" s="22" t="str">
        <f>'EQUITY BACKTEST'!A1840</f>
        <v/>
      </c>
      <c r="B1837" s="22" t="str">
        <f>'EQUITY BACKTEST'!B1840</f>
        <v/>
      </c>
      <c r="C1837" s="22" t="str">
        <f>'EQUITY BACKTEST'!E1840</f>
        <v/>
      </c>
    </row>
    <row r="1838" ht="15.75" customHeight="1">
      <c r="A1838" s="22" t="str">
        <f>'EQUITY BACKTEST'!A1841</f>
        <v/>
      </c>
      <c r="B1838" s="22" t="str">
        <f>'EQUITY BACKTEST'!B1841</f>
        <v/>
      </c>
      <c r="C1838" s="22" t="str">
        <f>'EQUITY BACKTEST'!E1841</f>
        <v/>
      </c>
    </row>
    <row r="1839" ht="15.75" customHeight="1">
      <c r="A1839" s="22" t="str">
        <f>'EQUITY BACKTEST'!A1842</f>
        <v/>
      </c>
      <c r="B1839" s="22" t="str">
        <f>'EQUITY BACKTEST'!B1842</f>
        <v/>
      </c>
      <c r="C1839" s="22" t="str">
        <f>'EQUITY BACKTEST'!E1842</f>
        <v/>
      </c>
    </row>
    <row r="1840" ht="15.75" customHeight="1">
      <c r="A1840" s="22" t="str">
        <f>'EQUITY BACKTEST'!A1843</f>
        <v/>
      </c>
      <c r="B1840" s="22" t="str">
        <f>'EQUITY BACKTEST'!B1843</f>
        <v/>
      </c>
      <c r="C1840" s="22" t="str">
        <f>'EQUITY BACKTEST'!E1843</f>
        <v/>
      </c>
    </row>
    <row r="1841" ht="15.75" customHeight="1">
      <c r="A1841" s="22" t="str">
        <f>'EQUITY BACKTEST'!A1844</f>
        <v/>
      </c>
      <c r="B1841" s="22" t="str">
        <f>'EQUITY BACKTEST'!B1844</f>
        <v/>
      </c>
      <c r="C1841" s="22" t="str">
        <f>'EQUITY BACKTEST'!E1844</f>
        <v/>
      </c>
    </row>
    <row r="1842" ht="15.75" customHeight="1">
      <c r="A1842" s="22" t="str">
        <f>'EQUITY BACKTEST'!A1845</f>
        <v/>
      </c>
      <c r="B1842" s="22" t="str">
        <f>'EQUITY BACKTEST'!B1845</f>
        <v/>
      </c>
      <c r="C1842" s="22" t="str">
        <f>'EQUITY BACKTEST'!E1845</f>
        <v/>
      </c>
    </row>
    <row r="1843" ht="15.75" customHeight="1">
      <c r="A1843" s="22" t="str">
        <f>'EQUITY BACKTEST'!A1846</f>
        <v/>
      </c>
      <c r="B1843" s="22" t="str">
        <f>'EQUITY BACKTEST'!B1846</f>
        <v/>
      </c>
      <c r="C1843" s="22" t="str">
        <f>'EQUITY BACKTEST'!E1846</f>
        <v/>
      </c>
    </row>
    <row r="1844" ht="15.75" customHeight="1">
      <c r="A1844" s="22" t="str">
        <f>'EQUITY BACKTEST'!A1847</f>
        <v/>
      </c>
      <c r="B1844" s="22" t="str">
        <f>'EQUITY BACKTEST'!B1847</f>
        <v/>
      </c>
      <c r="C1844" s="22" t="str">
        <f>'EQUITY BACKTEST'!E1847</f>
        <v/>
      </c>
    </row>
    <row r="1845" ht="15.75" customHeight="1">
      <c r="A1845" s="22" t="str">
        <f>'EQUITY BACKTEST'!A1848</f>
        <v/>
      </c>
      <c r="B1845" s="22" t="str">
        <f>'EQUITY BACKTEST'!B1848</f>
        <v/>
      </c>
      <c r="C1845" s="22" t="str">
        <f>'EQUITY BACKTEST'!E1848</f>
        <v/>
      </c>
    </row>
    <row r="1846" ht="15.75" customHeight="1">
      <c r="A1846" s="22" t="str">
        <f>'EQUITY BACKTEST'!A1849</f>
        <v/>
      </c>
      <c r="B1846" s="22" t="str">
        <f>'EQUITY BACKTEST'!B1849</f>
        <v/>
      </c>
      <c r="C1846" s="22" t="str">
        <f>'EQUITY BACKTEST'!E1849</f>
        <v/>
      </c>
    </row>
    <row r="1847" ht="15.75" customHeight="1">
      <c r="A1847" s="22" t="str">
        <f>'EQUITY BACKTEST'!A1850</f>
        <v/>
      </c>
      <c r="B1847" s="22" t="str">
        <f>'EQUITY BACKTEST'!B1850</f>
        <v/>
      </c>
      <c r="C1847" s="22" t="str">
        <f>'EQUITY BACKTEST'!E1850</f>
        <v/>
      </c>
    </row>
    <row r="1848" ht="15.75" customHeight="1">
      <c r="A1848" s="22" t="str">
        <f>'EQUITY BACKTEST'!A1851</f>
        <v/>
      </c>
      <c r="B1848" s="22" t="str">
        <f>'EQUITY BACKTEST'!B1851</f>
        <v/>
      </c>
      <c r="C1848" s="22" t="str">
        <f>'EQUITY BACKTEST'!E1851</f>
        <v/>
      </c>
    </row>
    <row r="1849" ht="15.75" customHeight="1">
      <c r="A1849" s="22" t="str">
        <f>'EQUITY BACKTEST'!A1852</f>
        <v/>
      </c>
      <c r="B1849" s="22" t="str">
        <f>'EQUITY BACKTEST'!B1852</f>
        <v/>
      </c>
      <c r="C1849" s="22" t="str">
        <f>'EQUITY BACKTEST'!E1852</f>
        <v/>
      </c>
    </row>
    <row r="1850" ht="15.75" customHeight="1">
      <c r="A1850" s="22" t="str">
        <f>'EQUITY BACKTEST'!A1853</f>
        <v/>
      </c>
      <c r="B1850" s="22" t="str">
        <f>'EQUITY BACKTEST'!B1853</f>
        <v/>
      </c>
      <c r="C1850" s="22" t="str">
        <f>'EQUITY BACKTEST'!E1853</f>
        <v/>
      </c>
    </row>
    <row r="1851" ht="15.75" customHeight="1">
      <c r="A1851" s="22" t="str">
        <f>'EQUITY BACKTEST'!A1854</f>
        <v/>
      </c>
      <c r="B1851" s="22" t="str">
        <f>'EQUITY BACKTEST'!B1854</f>
        <v/>
      </c>
      <c r="C1851" s="22" t="str">
        <f>'EQUITY BACKTEST'!E1854</f>
        <v/>
      </c>
    </row>
    <row r="1852" ht="15.75" customHeight="1">
      <c r="A1852" s="22" t="str">
        <f>'EQUITY BACKTEST'!A1855</f>
        <v/>
      </c>
      <c r="B1852" s="22" t="str">
        <f>'EQUITY BACKTEST'!B1855</f>
        <v/>
      </c>
      <c r="C1852" s="22" t="str">
        <f>'EQUITY BACKTEST'!E1855</f>
        <v/>
      </c>
    </row>
    <row r="1853" ht="15.75" customHeight="1">
      <c r="A1853" s="22" t="str">
        <f>'EQUITY BACKTEST'!A1856</f>
        <v/>
      </c>
      <c r="B1853" s="22" t="str">
        <f>'EQUITY BACKTEST'!B1856</f>
        <v/>
      </c>
      <c r="C1853" s="22" t="str">
        <f>'EQUITY BACKTEST'!E1856</f>
        <v/>
      </c>
    </row>
    <row r="1854" ht="15.75" customHeight="1">
      <c r="A1854" s="22" t="str">
        <f>'EQUITY BACKTEST'!A1857</f>
        <v/>
      </c>
      <c r="B1854" s="22" t="str">
        <f>'EQUITY BACKTEST'!B1857</f>
        <v/>
      </c>
      <c r="C1854" s="22" t="str">
        <f>'EQUITY BACKTEST'!E1857</f>
        <v/>
      </c>
    </row>
    <row r="1855" ht="15.75" customHeight="1">
      <c r="A1855" s="22" t="str">
        <f>'EQUITY BACKTEST'!A1858</f>
        <v/>
      </c>
      <c r="B1855" s="22" t="str">
        <f>'EQUITY BACKTEST'!B1858</f>
        <v/>
      </c>
      <c r="C1855" s="22" t="str">
        <f>'EQUITY BACKTEST'!E1858</f>
        <v/>
      </c>
    </row>
    <row r="1856" ht="15.75" customHeight="1">
      <c r="A1856" s="22" t="str">
        <f>'EQUITY BACKTEST'!A1859</f>
        <v/>
      </c>
      <c r="B1856" s="22" t="str">
        <f>'EQUITY BACKTEST'!B1859</f>
        <v/>
      </c>
      <c r="C1856" s="22" t="str">
        <f>'EQUITY BACKTEST'!E1859</f>
        <v/>
      </c>
    </row>
    <row r="1857" ht="15.75" customHeight="1">
      <c r="A1857" s="22" t="str">
        <f>'EQUITY BACKTEST'!A1860</f>
        <v/>
      </c>
      <c r="B1857" s="22" t="str">
        <f>'EQUITY BACKTEST'!B1860</f>
        <v/>
      </c>
      <c r="C1857" s="22" t="str">
        <f>'EQUITY BACKTEST'!E1860</f>
        <v/>
      </c>
    </row>
    <row r="1858" ht="15.75" customHeight="1">
      <c r="A1858" s="22" t="str">
        <f>'EQUITY BACKTEST'!A1861</f>
        <v/>
      </c>
      <c r="B1858" s="22" t="str">
        <f>'EQUITY BACKTEST'!B1861</f>
        <v/>
      </c>
      <c r="C1858" s="22" t="str">
        <f>'EQUITY BACKTEST'!E1861</f>
        <v/>
      </c>
    </row>
    <row r="1859" ht="15.75" customHeight="1">
      <c r="A1859" s="22" t="str">
        <f>'EQUITY BACKTEST'!A1862</f>
        <v/>
      </c>
      <c r="B1859" s="22" t="str">
        <f>'EQUITY BACKTEST'!B1862</f>
        <v/>
      </c>
      <c r="C1859" s="22" t="str">
        <f>'EQUITY BACKTEST'!E1862</f>
        <v/>
      </c>
    </row>
    <row r="1860" ht="15.75" customHeight="1">
      <c r="A1860" s="22" t="str">
        <f>'EQUITY BACKTEST'!A1863</f>
        <v/>
      </c>
      <c r="B1860" s="22" t="str">
        <f>'EQUITY BACKTEST'!B1863</f>
        <v/>
      </c>
      <c r="C1860" s="22" t="str">
        <f>'EQUITY BACKTEST'!E1863</f>
        <v/>
      </c>
    </row>
    <row r="1861" ht="15.75" customHeight="1">
      <c r="A1861" s="22" t="str">
        <f>'EQUITY BACKTEST'!A1864</f>
        <v/>
      </c>
      <c r="B1861" s="22" t="str">
        <f>'EQUITY BACKTEST'!B1864</f>
        <v/>
      </c>
      <c r="C1861" s="22" t="str">
        <f>'EQUITY BACKTEST'!E1864</f>
        <v/>
      </c>
    </row>
    <row r="1862" ht="15.75" customHeight="1">
      <c r="A1862" s="22" t="str">
        <f>'EQUITY BACKTEST'!A1865</f>
        <v/>
      </c>
      <c r="B1862" s="22" t="str">
        <f>'EQUITY BACKTEST'!B1865</f>
        <v/>
      </c>
      <c r="C1862" s="22" t="str">
        <f>'EQUITY BACKTEST'!E1865</f>
        <v/>
      </c>
    </row>
    <row r="1863" ht="15.75" customHeight="1">
      <c r="A1863" s="22" t="str">
        <f>'EQUITY BACKTEST'!A1866</f>
        <v/>
      </c>
      <c r="B1863" s="22" t="str">
        <f>'EQUITY BACKTEST'!B1866</f>
        <v/>
      </c>
      <c r="C1863" s="22" t="str">
        <f>'EQUITY BACKTEST'!E1866</f>
        <v/>
      </c>
    </row>
    <row r="1864" ht="15.75" customHeight="1">
      <c r="A1864" s="22" t="str">
        <f>'EQUITY BACKTEST'!A1867</f>
        <v/>
      </c>
      <c r="B1864" s="22" t="str">
        <f>'EQUITY BACKTEST'!B1867</f>
        <v/>
      </c>
      <c r="C1864" s="22" t="str">
        <f>'EQUITY BACKTEST'!E1867</f>
        <v/>
      </c>
    </row>
    <row r="1865" ht="15.75" customHeight="1">
      <c r="A1865" s="22" t="str">
        <f>'EQUITY BACKTEST'!A1868</f>
        <v/>
      </c>
      <c r="B1865" s="22" t="str">
        <f>'EQUITY BACKTEST'!B1868</f>
        <v/>
      </c>
      <c r="C1865" s="22" t="str">
        <f>'EQUITY BACKTEST'!E1868</f>
        <v/>
      </c>
    </row>
    <row r="1866" ht="15.75" customHeight="1">
      <c r="A1866" s="22" t="str">
        <f>'EQUITY BACKTEST'!A1869</f>
        <v/>
      </c>
      <c r="B1866" s="22" t="str">
        <f>'EQUITY BACKTEST'!B1869</f>
        <v/>
      </c>
      <c r="C1866" s="22" t="str">
        <f>'EQUITY BACKTEST'!E1869</f>
        <v/>
      </c>
    </row>
    <row r="1867" ht="15.75" customHeight="1">
      <c r="A1867" s="22" t="str">
        <f>'EQUITY BACKTEST'!A1870</f>
        <v/>
      </c>
      <c r="B1867" s="22" t="str">
        <f>'EQUITY BACKTEST'!B1870</f>
        <v/>
      </c>
      <c r="C1867" s="22" t="str">
        <f>'EQUITY BACKTEST'!E1870</f>
        <v/>
      </c>
    </row>
    <row r="1868" ht="15.75" customHeight="1">
      <c r="A1868" s="22" t="str">
        <f>'EQUITY BACKTEST'!A1871</f>
        <v/>
      </c>
      <c r="B1868" s="22" t="str">
        <f>'EQUITY BACKTEST'!B1871</f>
        <v/>
      </c>
      <c r="C1868" s="22" t="str">
        <f>'EQUITY BACKTEST'!E1871</f>
        <v/>
      </c>
    </row>
    <row r="1869" ht="15.75" customHeight="1">
      <c r="A1869" s="22" t="str">
        <f>'EQUITY BACKTEST'!A1872</f>
        <v/>
      </c>
      <c r="B1869" s="22" t="str">
        <f>'EQUITY BACKTEST'!B1872</f>
        <v/>
      </c>
      <c r="C1869" s="22" t="str">
        <f>'EQUITY BACKTEST'!E1872</f>
        <v/>
      </c>
    </row>
    <row r="1870" ht="15.75" customHeight="1">
      <c r="A1870" s="22" t="str">
        <f>'EQUITY BACKTEST'!A1873</f>
        <v/>
      </c>
      <c r="B1870" s="22" t="str">
        <f>'EQUITY BACKTEST'!B1873</f>
        <v/>
      </c>
      <c r="C1870" s="22" t="str">
        <f>'EQUITY BACKTEST'!E1873</f>
        <v/>
      </c>
    </row>
    <row r="1871" ht="15.75" customHeight="1">
      <c r="A1871" s="22" t="str">
        <f>'EQUITY BACKTEST'!A1874</f>
        <v/>
      </c>
      <c r="B1871" s="22" t="str">
        <f>'EQUITY BACKTEST'!B1874</f>
        <v/>
      </c>
      <c r="C1871" s="22" t="str">
        <f>'EQUITY BACKTEST'!E1874</f>
        <v/>
      </c>
    </row>
    <row r="1872" ht="15.75" customHeight="1">
      <c r="A1872" s="22" t="str">
        <f>'EQUITY BACKTEST'!A1875</f>
        <v/>
      </c>
      <c r="B1872" s="22" t="str">
        <f>'EQUITY BACKTEST'!B1875</f>
        <v/>
      </c>
      <c r="C1872" s="22" t="str">
        <f>'EQUITY BACKTEST'!E1875</f>
        <v/>
      </c>
    </row>
    <row r="1873" ht="15.75" customHeight="1">
      <c r="A1873" s="22" t="str">
        <f>'EQUITY BACKTEST'!A1876</f>
        <v/>
      </c>
      <c r="B1873" s="22" t="str">
        <f>'EQUITY BACKTEST'!B1876</f>
        <v/>
      </c>
      <c r="C1873" s="22" t="str">
        <f>'EQUITY BACKTEST'!E1876</f>
        <v/>
      </c>
    </row>
    <row r="1874" ht="15.75" customHeight="1">
      <c r="A1874" s="22" t="str">
        <f>'EQUITY BACKTEST'!A1877</f>
        <v/>
      </c>
      <c r="B1874" s="22" t="str">
        <f>'EQUITY BACKTEST'!B1877</f>
        <v/>
      </c>
      <c r="C1874" s="22" t="str">
        <f>'EQUITY BACKTEST'!E1877</f>
        <v/>
      </c>
    </row>
    <row r="1875" ht="15.75" customHeight="1">
      <c r="A1875" s="22" t="str">
        <f>'EQUITY BACKTEST'!A1878</f>
        <v/>
      </c>
      <c r="B1875" s="22" t="str">
        <f>'EQUITY BACKTEST'!B1878</f>
        <v/>
      </c>
      <c r="C1875" s="22" t="str">
        <f>'EQUITY BACKTEST'!E1878</f>
        <v/>
      </c>
    </row>
    <row r="1876" ht="15.75" customHeight="1">
      <c r="A1876" s="22" t="str">
        <f>'EQUITY BACKTEST'!A1879</f>
        <v/>
      </c>
      <c r="B1876" s="22" t="str">
        <f>'EQUITY BACKTEST'!B1879</f>
        <v/>
      </c>
      <c r="C1876" s="22" t="str">
        <f>'EQUITY BACKTEST'!E1879</f>
        <v/>
      </c>
    </row>
    <row r="1877" ht="15.75" customHeight="1">
      <c r="A1877" s="22" t="str">
        <f>'EQUITY BACKTEST'!A1880</f>
        <v/>
      </c>
      <c r="B1877" s="22" t="str">
        <f>'EQUITY BACKTEST'!B1880</f>
        <v/>
      </c>
      <c r="C1877" s="22" t="str">
        <f>'EQUITY BACKTEST'!E1880</f>
        <v/>
      </c>
    </row>
    <row r="1878" ht="15.75" customHeight="1">
      <c r="A1878" s="22" t="str">
        <f>'EQUITY BACKTEST'!A1881</f>
        <v/>
      </c>
      <c r="B1878" s="22" t="str">
        <f>'EQUITY BACKTEST'!B1881</f>
        <v/>
      </c>
      <c r="C1878" s="22" t="str">
        <f>'EQUITY BACKTEST'!E1881</f>
        <v/>
      </c>
    </row>
    <row r="1879" ht="15.75" customHeight="1">
      <c r="A1879" s="22" t="str">
        <f>'EQUITY BACKTEST'!A1882</f>
        <v/>
      </c>
      <c r="B1879" s="22" t="str">
        <f>'EQUITY BACKTEST'!B1882</f>
        <v/>
      </c>
      <c r="C1879" s="22" t="str">
        <f>'EQUITY BACKTEST'!E1882</f>
        <v/>
      </c>
    </row>
    <row r="1880" ht="15.75" customHeight="1">
      <c r="A1880" s="22" t="str">
        <f>'EQUITY BACKTEST'!A1883</f>
        <v/>
      </c>
      <c r="B1880" s="22" t="str">
        <f>'EQUITY BACKTEST'!B1883</f>
        <v/>
      </c>
      <c r="C1880" s="22" t="str">
        <f>'EQUITY BACKTEST'!E1883</f>
        <v/>
      </c>
    </row>
    <row r="1881" ht="15.75" customHeight="1">
      <c r="A1881" s="22" t="str">
        <f>'EQUITY BACKTEST'!A1884</f>
        <v/>
      </c>
      <c r="B1881" s="22" t="str">
        <f>'EQUITY BACKTEST'!B1884</f>
        <v/>
      </c>
      <c r="C1881" s="22" t="str">
        <f>'EQUITY BACKTEST'!E1884</f>
        <v/>
      </c>
    </row>
    <row r="1882" ht="15.75" customHeight="1">
      <c r="A1882" s="22" t="str">
        <f>'EQUITY BACKTEST'!A1885</f>
        <v/>
      </c>
      <c r="B1882" s="22" t="str">
        <f>'EQUITY BACKTEST'!B1885</f>
        <v/>
      </c>
      <c r="C1882" s="22" t="str">
        <f>'EQUITY BACKTEST'!E1885</f>
        <v/>
      </c>
    </row>
    <row r="1883" ht="15.75" customHeight="1">
      <c r="A1883" s="22" t="str">
        <f>'EQUITY BACKTEST'!A1886</f>
        <v/>
      </c>
      <c r="B1883" s="22" t="str">
        <f>'EQUITY BACKTEST'!B1886</f>
        <v/>
      </c>
      <c r="C1883" s="22" t="str">
        <f>'EQUITY BACKTEST'!E1886</f>
        <v/>
      </c>
    </row>
    <row r="1884" ht="15.75" customHeight="1">
      <c r="A1884" s="22" t="str">
        <f>'EQUITY BACKTEST'!A1887</f>
        <v/>
      </c>
      <c r="B1884" s="22" t="str">
        <f>'EQUITY BACKTEST'!B1887</f>
        <v/>
      </c>
      <c r="C1884" s="22" t="str">
        <f>'EQUITY BACKTEST'!E1887</f>
        <v/>
      </c>
    </row>
    <row r="1885" ht="15.75" customHeight="1">
      <c r="A1885" s="22" t="str">
        <f>'EQUITY BACKTEST'!A1888</f>
        <v/>
      </c>
      <c r="B1885" s="22" t="str">
        <f>'EQUITY BACKTEST'!B1888</f>
        <v/>
      </c>
      <c r="C1885" s="22" t="str">
        <f>'EQUITY BACKTEST'!E1888</f>
        <v/>
      </c>
    </row>
    <row r="1886" ht="15.75" customHeight="1">
      <c r="A1886" s="22" t="str">
        <f>'EQUITY BACKTEST'!A1889</f>
        <v/>
      </c>
      <c r="B1886" s="22" t="str">
        <f>'EQUITY BACKTEST'!B1889</f>
        <v/>
      </c>
      <c r="C1886" s="22" t="str">
        <f>'EQUITY BACKTEST'!E1889</f>
        <v/>
      </c>
    </row>
    <row r="1887" ht="15.75" customHeight="1">
      <c r="A1887" s="22" t="str">
        <f>'EQUITY BACKTEST'!A1890</f>
        <v/>
      </c>
      <c r="B1887" s="22" t="str">
        <f>'EQUITY BACKTEST'!B1890</f>
        <v/>
      </c>
      <c r="C1887" s="22" t="str">
        <f>'EQUITY BACKTEST'!E1890</f>
        <v/>
      </c>
    </row>
    <row r="1888" ht="15.75" customHeight="1">
      <c r="A1888" s="22" t="str">
        <f>'EQUITY BACKTEST'!A1891</f>
        <v/>
      </c>
      <c r="B1888" s="22" t="str">
        <f>'EQUITY BACKTEST'!B1891</f>
        <v/>
      </c>
      <c r="C1888" s="22" t="str">
        <f>'EQUITY BACKTEST'!E1891</f>
        <v/>
      </c>
    </row>
    <row r="1889" ht="15.75" customHeight="1">
      <c r="A1889" s="22" t="str">
        <f>'EQUITY BACKTEST'!A1892</f>
        <v/>
      </c>
      <c r="B1889" s="22" t="str">
        <f>'EQUITY BACKTEST'!B1892</f>
        <v/>
      </c>
      <c r="C1889" s="22" t="str">
        <f>'EQUITY BACKTEST'!E1892</f>
        <v/>
      </c>
    </row>
    <row r="1890" ht="15.75" customHeight="1">
      <c r="A1890" s="22" t="str">
        <f>'EQUITY BACKTEST'!A1893</f>
        <v/>
      </c>
      <c r="B1890" s="22" t="str">
        <f>'EQUITY BACKTEST'!B1893</f>
        <v/>
      </c>
      <c r="C1890" s="22" t="str">
        <f>'EQUITY BACKTEST'!E1893</f>
        <v/>
      </c>
    </row>
    <row r="1891" ht="15.75" customHeight="1">
      <c r="A1891" s="22" t="str">
        <f>'EQUITY BACKTEST'!A1894</f>
        <v/>
      </c>
      <c r="B1891" s="22" t="str">
        <f>'EQUITY BACKTEST'!B1894</f>
        <v/>
      </c>
      <c r="C1891" s="22" t="str">
        <f>'EQUITY BACKTEST'!E1894</f>
        <v/>
      </c>
    </row>
    <row r="1892" ht="15.75" customHeight="1">
      <c r="A1892" s="22" t="str">
        <f>'EQUITY BACKTEST'!A1895</f>
        <v/>
      </c>
      <c r="B1892" s="22" t="str">
        <f>'EQUITY BACKTEST'!B1895</f>
        <v/>
      </c>
      <c r="C1892" s="22" t="str">
        <f>'EQUITY BACKTEST'!E1895</f>
        <v/>
      </c>
    </row>
    <row r="1893" ht="15.75" customHeight="1">
      <c r="A1893" s="22" t="str">
        <f>'EQUITY BACKTEST'!A1896</f>
        <v/>
      </c>
      <c r="B1893" s="22" t="str">
        <f>'EQUITY BACKTEST'!B1896</f>
        <v/>
      </c>
      <c r="C1893" s="22" t="str">
        <f>'EQUITY BACKTEST'!E1896</f>
        <v/>
      </c>
    </row>
    <row r="1894" ht="15.75" customHeight="1">
      <c r="A1894" s="22" t="str">
        <f>'EQUITY BACKTEST'!A1897</f>
        <v/>
      </c>
      <c r="B1894" s="22" t="str">
        <f>'EQUITY BACKTEST'!B1897</f>
        <v/>
      </c>
      <c r="C1894" s="22" t="str">
        <f>'EQUITY BACKTEST'!E1897</f>
        <v/>
      </c>
    </row>
    <row r="1895" ht="15.75" customHeight="1">
      <c r="A1895" s="22" t="str">
        <f>'EQUITY BACKTEST'!A1898</f>
        <v/>
      </c>
      <c r="B1895" s="22" t="str">
        <f>'EQUITY BACKTEST'!B1898</f>
        <v/>
      </c>
      <c r="C1895" s="22" t="str">
        <f>'EQUITY BACKTEST'!E1898</f>
        <v/>
      </c>
    </row>
    <row r="1896" ht="15.75" customHeight="1">
      <c r="A1896" s="22" t="str">
        <f>'EQUITY BACKTEST'!A1899</f>
        <v/>
      </c>
      <c r="B1896" s="22" t="str">
        <f>'EQUITY BACKTEST'!B1899</f>
        <v/>
      </c>
      <c r="C1896" s="22" t="str">
        <f>'EQUITY BACKTEST'!E1899</f>
        <v/>
      </c>
    </row>
    <row r="1897" ht="15.75" customHeight="1">
      <c r="A1897" s="22" t="str">
        <f>'EQUITY BACKTEST'!A1900</f>
        <v/>
      </c>
      <c r="B1897" s="22" t="str">
        <f>'EQUITY BACKTEST'!B1900</f>
        <v/>
      </c>
      <c r="C1897" s="22" t="str">
        <f>'EQUITY BACKTEST'!E1900</f>
        <v/>
      </c>
    </row>
    <row r="1898" ht="15.75" customHeight="1">
      <c r="A1898" s="22" t="str">
        <f>'EQUITY BACKTEST'!A1901</f>
        <v/>
      </c>
      <c r="B1898" s="22" t="str">
        <f>'EQUITY BACKTEST'!B1901</f>
        <v/>
      </c>
      <c r="C1898" s="22" t="str">
        <f>'EQUITY BACKTEST'!E1901</f>
        <v/>
      </c>
    </row>
    <row r="1899" ht="15.75" customHeight="1">
      <c r="A1899" s="22" t="str">
        <f>'EQUITY BACKTEST'!A1902</f>
        <v/>
      </c>
      <c r="B1899" s="22" t="str">
        <f>'EQUITY BACKTEST'!B1902</f>
        <v/>
      </c>
      <c r="C1899" s="22" t="str">
        <f>'EQUITY BACKTEST'!E1902</f>
        <v/>
      </c>
    </row>
    <row r="1900" ht="15.75" customHeight="1">
      <c r="A1900" s="22" t="str">
        <f>'EQUITY BACKTEST'!A1903</f>
        <v/>
      </c>
      <c r="B1900" s="22" t="str">
        <f>'EQUITY BACKTEST'!B1903</f>
        <v/>
      </c>
      <c r="C1900" s="22" t="str">
        <f>'EQUITY BACKTEST'!E1903</f>
        <v/>
      </c>
    </row>
    <row r="1901" ht="15.75" customHeight="1">
      <c r="A1901" s="22" t="str">
        <f>'EQUITY BACKTEST'!A1904</f>
        <v/>
      </c>
      <c r="B1901" s="22" t="str">
        <f>'EQUITY BACKTEST'!B1904</f>
        <v/>
      </c>
      <c r="C1901" s="22" t="str">
        <f>'EQUITY BACKTEST'!E1904</f>
        <v/>
      </c>
    </row>
    <row r="1902" ht="15.75" customHeight="1">
      <c r="A1902" s="22" t="str">
        <f>'EQUITY BACKTEST'!A1905</f>
        <v/>
      </c>
      <c r="B1902" s="22" t="str">
        <f>'EQUITY BACKTEST'!B1905</f>
        <v/>
      </c>
      <c r="C1902" s="22" t="str">
        <f>'EQUITY BACKTEST'!E1905</f>
        <v/>
      </c>
    </row>
    <row r="1903" ht="15.75" customHeight="1">
      <c r="A1903" s="22" t="str">
        <f>'EQUITY BACKTEST'!A1906</f>
        <v/>
      </c>
      <c r="B1903" s="22" t="str">
        <f>'EQUITY BACKTEST'!B1906</f>
        <v/>
      </c>
      <c r="C1903" s="22" t="str">
        <f>'EQUITY BACKTEST'!E1906</f>
        <v/>
      </c>
    </row>
    <row r="1904" ht="15.75" customHeight="1">
      <c r="A1904" s="22" t="str">
        <f>'EQUITY BACKTEST'!A1907</f>
        <v/>
      </c>
      <c r="B1904" s="22" t="str">
        <f>'EQUITY BACKTEST'!B1907</f>
        <v/>
      </c>
      <c r="C1904" s="22" t="str">
        <f>'EQUITY BACKTEST'!E1907</f>
        <v/>
      </c>
    </row>
    <row r="1905" ht="15.75" customHeight="1">
      <c r="A1905" s="22" t="str">
        <f>'EQUITY BACKTEST'!A1908</f>
        <v/>
      </c>
      <c r="B1905" s="22" t="str">
        <f>'EQUITY BACKTEST'!B1908</f>
        <v/>
      </c>
      <c r="C1905" s="22" t="str">
        <f>'EQUITY BACKTEST'!E1908</f>
        <v/>
      </c>
    </row>
    <row r="1906" ht="15.75" customHeight="1">
      <c r="A1906" s="22" t="str">
        <f>'EQUITY BACKTEST'!A1909</f>
        <v/>
      </c>
      <c r="B1906" s="22" t="str">
        <f>'EQUITY BACKTEST'!B1909</f>
        <v/>
      </c>
      <c r="C1906" s="22" t="str">
        <f>'EQUITY BACKTEST'!E1909</f>
        <v/>
      </c>
    </row>
    <row r="1907" ht="15.75" customHeight="1">
      <c r="A1907" s="22" t="str">
        <f>'EQUITY BACKTEST'!A1910</f>
        <v/>
      </c>
      <c r="B1907" s="22" t="str">
        <f>'EQUITY BACKTEST'!B1910</f>
        <v/>
      </c>
      <c r="C1907" s="22" t="str">
        <f>'EQUITY BACKTEST'!E1910</f>
        <v/>
      </c>
    </row>
    <row r="1908" ht="15.75" customHeight="1">
      <c r="A1908" s="22" t="str">
        <f>'EQUITY BACKTEST'!A1911</f>
        <v/>
      </c>
      <c r="B1908" s="22" t="str">
        <f>'EQUITY BACKTEST'!B1911</f>
        <v/>
      </c>
      <c r="C1908" s="22" t="str">
        <f>'EQUITY BACKTEST'!E1911</f>
        <v/>
      </c>
    </row>
    <row r="1909" ht="15.75" customHeight="1">
      <c r="A1909" s="22" t="str">
        <f>'EQUITY BACKTEST'!A1912</f>
        <v/>
      </c>
      <c r="B1909" s="22" t="str">
        <f>'EQUITY BACKTEST'!B1912</f>
        <v/>
      </c>
      <c r="C1909" s="22" t="str">
        <f>'EQUITY BACKTEST'!E1912</f>
        <v/>
      </c>
    </row>
    <row r="1910" ht="15.75" customHeight="1">
      <c r="A1910" s="22" t="str">
        <f>'EQUITY BACKTEST'!A1913</f>
        <v/>
      </c>
      <c r="B1910" s="22" t="str">
        <f>'EQUITY BACKTEST'!B1913</f>
        <v/>
      </c>
      <c r="C1910" s="22" t="str">
        <f>'EQUITY BACKTEST'!E1913</f>
        <v/>
      </c>
    </row>
    <row r="1911" ht="15.75" customHeight="1">
      <c r="A1911" s="22" t="str">
        <f>'EQUITY BACKTEST'!A1914</f>
        <v/>
      </c>
      <c r="B1911" s="22" t="str">
        <f>'EQUITY BACKTEST'!B1914</f>
        <v/>
      </c>
      <c r="C1911" s="22" t="str">
        <f>'EQUITY BACKTEST'!E1914</f>
        <v/>
      </c>
    </row>
    <row r="1912" ht="15.75" customHeight="1">
      <c r="A1912" s="22" t="str">
        <f>'EQUITY BACKTEST'!A1915</f>
        <v/>
      </c>
      <c r="B1912" s="22" t="str">
        <f>'EQUITY BACKTEST'!B1915</f>
        <v/>
      </c>
      <c r="C1912" s="22" t="str">
        <f>'EQUITY BACKTEST'!E1915</f>
        <v/>
      </c>
    </row>
    <row r="1913" ht="15.75" customHeight="1">
      <c r="A1913" s="22" t="str">
        <f>'EQUITY BACKTEST'!A1916</f>
        <v/>
      </c>
      <c r="B1913" s="22" t="str">
        <f>'EQUITY BACKTEST'!B1916</f>
        <v/>
      </c>
      <c r="C1913" s="22" t="str">
        <f>'EQUITY BACKTEST'!E1916</f>
        <v/>
      </c>
    </row>
    <row r="1914" ht="15.75" customHeight="1">
      <c r="A1914" s="22" t="str">
        <f>'EQUITY BACKTEST'!A1917</f>
        <v/>
      </c>
      <c r="B1914" s="22" t="str">
        <f>'EQUITY BACKTEST'!B1917</f>
        <v/>
      </c>
      <c r="C1914" s="22" t="str">
        <f>'EQUITY BACKTEST'!E1917</f>
        <v/>
      </c>
    </row>
    <row r="1915" ht="15.75" customHeight="1">
      <c r="A1915" s="22" t="str">
        <f>'EQUITY BACKTEST'!A1918</f>
        <v/>
      </c>
      <c r="B1915" s="22" t="str">
        <f>'EQUITY BACKTEST'!B1918</f>
        <v/>
      </c>
      <c r="C1915" s="22" t="str">
        <f>'EQUITY BACKTEST'!E1918</f>
        <v/>
      </c>
    </row>
    <row r="1916" ht="15.75" customHeight="1">
      <c r="A1916" s="22" t="str">
        <f>'EQUITY BACKTEST'!A1919</f>
        <v/>
      </c>
      <c r="B1916" s="22" t="str">
        <f>'EQUITY BACKTEST'!B1919</f>
        <v/>
      </c>
      <c r="C1916" s="22" t="str">
        <f>'EQUITY BACKTEST'!E1919</f>
        <v/>
      </c>
    </row>
    <row r="1917" ht="15.75" customHeight="1">
      <c r="A1917" s="22" t="str">
        <f>'EQUITY BACKTEST'!A1920</f>
        <v/>
      </c>
      <c r="B1917" s="22" t="str">
        <f>'EQUITY BACKTEST'!B1920</f>
        <v/>
      </c>
      <c r="C1917" s="22" t="str">
        <f>'EQUITY BACKTEST'!E1920</f>
        <v/>
      </c>
    </row>
    <row r="1918" ht="15.75" customHeight="1">
      <c r="A1918" s="22" t="str">
        <f>'EQUITY BACKTEST'!A1921</f>
        <v/>
      </c>
      <c r="B1918" s="22" t="str">
        <f>'EQUITY BACKTEST'!B1921</f>
        <v/>
      </c>
      <c r="C1918" s="22" t="str">
        <f>'EQUITY BACKTEST'!E1921</f>
        <v/>
      </c>
    </row>
    <row r="1919" ht="15.75" customHeight="1">
      <c r="A1919" s="22" t="str">
        <f>'EQUITY BACKTEST'!A1922</f>
        <v/>
      </c>
      <c r="B1919" s="22" t="str">
        <f>'EQUITY BACKTEST'!B1922</f>
        <v/>
      </c>
      <c r="C1919" s="22" t="str">
        <f>'EQUITY BACKTEST'!E1922</f>
        <v/>
      </c>
    </row>
    <row r="1920" ht="15.75" customHeight="1">
      <c r="A1920" s="22" t="str">
        <f>'EQUITY BACKTEST'!A1923</f>
        <v/>
      </c>
      <c r="B1920" s="22" t="str">
        <f>'EQUITY BACKTEST'!B1923</f>
        <v/>
      </c>
      <c r="C1920" s="22" t="str">
        <f>'EQUITY BACKTEST'!E1923</f>
        <v/>
      </c>
    </row>
    <row r="1921" ht="15.75" customHeight="1">
      <c r="A1921" s="22" t="str">
        <f>'EQUITY BACKTEST'!A1924</f>
        <v/>
      </c>
      <c r="B1921" s="22" t="str">
        <f>'EQUITY BACKTEST'!B1924</f>
        <v/>
      </c>
      <c r="C1921" s="22" t="str">
        <f>'EQUITY BACKTEST'!E1924</f>
        <v/>
      </c>
    </row>
    <row r="1922" ht="15.75" customHeight="1">
      <c r="A1922" s="22" t="str">
        <f>'EQUITY BACKTEST'!A1925</f>
        <v/>
      </c>
      <c r="B1922" s="22" t="str">
        <f>'EQUITY BACKTEST'!B1925</f>
        <v/>
      </c>
      <c r="C1922" s="22" t="str">
        <f>'EQUITY BACKTEST'!E1925</f>
        <v/>
      </c>
    </row>
    <row r="1923" ht="15.75" customHeight="1">
      <c r="A1923" s="22" t="str">
        <f>'EQUITY BACKTEST'!A1926</f>
        <v/>
      </c>
      <c r="B1923" s="22" t="str">
        <f>'EQUITY BACKTEST'!B1926</f>
        <v/>
      </c>
      <c r="C1923" s="22" t="str">
        <f>'EQUITY BACKTEST'!E1926</f>
        <v/>
      </c>
    </row>
    <row r="1924" ht="15.75" customHeight="1">
      <c r="A1924" s="22" t="str">
        <f>'EQUITY BACKTEST'!A1927</f>
        <v/>
      </c>
      <c r="B1924" s="22" t="str">
        <f>'EQUITY BACKTEST'!B1927</f>
        <v/>
      </c>
      <c r="C1924" s="22" t="str">
        <f>'EQUITY BACKTEST'!E1927</f>
        <v/>
      </c>
    </row>
    <row r="1925" ht="15.75" customHeight="1">
      <c r="A1925" s="22" t="str">
        <f>'EQUITY BACKTEST'!A1928</f>
        <v/>
      </c>
      <c r="B1925" s="22" t="str">
        <f>'EQUITY BACKTEST'!B1928</f>
        <v/>
      </c>
      <c r="C1925" s="22" t="str">
        <f>'EQUITY BACKTEST'!E1928</f>
        <v/>
      </c>
    </row>
    <row r="1926" ht="15.75" customHeight="1">
      <c r="A1926" s="22" t="str">
        <f>'EQUITY BACKTEST'!A1929</f>
        <v/>
      </c>
      <c r="B1926" s="22" t="str">
        <f>'EQUITY BACKTEST'!B1929</f>
        <v/>
      </c>
      <c r="C1926" s="22" t="str">
        <f>'EQUITY BACKTEST'!E1929</f>
        <v/>
      </c>
    </row>
    <row r="1927" ht="15.75" customHeight="1">
      <c r="A1927" s="22" t="str">
        <f>'EQUITY BACKTEST'!A1930</f>
        <v/>
      </c>
      <c r="B1927" s="22" t="str">
        <f>'EQUITY BACKTEST'!B1930</f>
        <v/>
      </c>
      <c r="C1927" s="22" t="str">
        <f>'EQUITY BACKTEST'!E1930</f>
        <v/>
      </c>
    </row>
    <row r="1928" ht="15.75" customHeight="1">
      <c r="A1928" s="22" t="str">
        <f>'EQUITY BACKTEST'!A1931</f>
        <v/>
      </c>
      <c r="B1928" s="22" t="str">
        <f>'EQUITY BACKTEST'!B1931</f>
        <v/>
      </c>
      <c r="C1928" s="22" t="str">
        <f>'EQUITY BACKTEST'!E1931</f>
        <v/>
      </c>
    </row>
    <row r="1929" ht="15.75" customHeight="1">
      <c r="A1929" s="22" t="str">
        <f>'EQUITY BACKTEST'!A1932</f>
        <v/>
      </c>
      <c r="B1929" s="22" t="str">
        <f>'EQUITY BACKTEST'!B1932</f>
        <v/>
      </c>
      <c r="C1929" s="22" t="str">
        <f>'EQUITY BACKTEST'!E1932</f>
        <v/>
      </c>
    </row>
    <row r="1930" ht="15.75" customHeight="1">
      <c r="A1930" s="22" t="str">
        <f>'EQUITY BACKTEST'!A1933</f>
        <v/>
      </c>
      <c r="B1930" s="22" t="str">
        <f>'EQUITY BACKTEST'!B1933</f>
        <v/>
      </c>
      <c r="C1930" s="22" t="str">
        <f>'EQUITY BACKTEST'!E1933</f>
        <v/>
      </c>
    </row>
    <row r="1931" ht="15.75" customHeight="1">
      <c r="A1931" s="22" t="str">
        <f>'EQUITY BACKTEST'!A1934</f>
        <v/>
      </c>
      <c r="B1931" s="22" t="str">
        <f>'EQUITY BACKTEST'!B1934</f>
        <v/>
      </c>
      <c r="C1931" s="22" t="str">
        <f>'EQUITY BACKTEST'!E1934</f>
        <v/>
      </c>
    </row>
    <row r="1932" ht="15.75" customHeight="1">
      <c r="A1932" s="22" t="str">
        <f>'EQUITY BACKTEST'!A1935</f>
        <v/>
      </c>
      <c r="B1932" s="22" t="str">
        <f>'EQUITY BACKTEST'!B1935</f>
        <v/>
      </c>
      <c r="C1932" s="22" t="str">
        <f>'EQUITY BACKTEST'!E1935</f>
        <v/>
      </c>
    </row>
    <row r="1933" ht="15.75" customHeight="1">
      <c r="A1933" s="22" t="str">
        <f>'EQUITY BACKTEST'!A1936</f>
        <v/>
      </c>
      <c r="B1933" s="22" t="str">
        <f>'EQUITY BACKTEST'!B1936</f>
        <v/>
      </c>
      <c r="C1933" s="22" t="str">
        <f>'EQUITY BACKTEST'!E1936</f>
        <v/>
      </c>
    </row>
    <row r="1934" ht="15.75" customHeight="1">
      <c r="A1934" s="22" t="str">
        <f>'EQUITY BACKTEST'!A1937</f>
        <v/>
      </c>
      <c r="B1934" s="22" t="str">
        <f>'EQUITY BACKTEST'!B1937</f>
        <v/>
      </c>
      <c r="C1934" s="22" t="str">
        <f>'EQUITY BACKTEST'!E1937</f>
        <v/>
      </c>
    </row>
    <row r="1935" ht="15.75" customHeight="1">
      <c r="A1935" s="22" t="str">
        <f>'EQUITY BACKTEST'!A1938</f>
        <v/>
      </c>
      <c r="B1935" s="22" t="str">
        <f>'EQUITY BACKTEST'!B1938</f>
        <v/>
      </c>
      <c r="C1935" s="22" t="str">
        <f>'EQUITY BACKTEST'!E1938</f>
        <v/>
      </c>
    </row>
    <row r="1936" ht="15.75" customHeight="1">
      <c r="A1936" s="22" t="str">
        <f>'EQUITY BACKTEST'!A1939</f>
        <v/>
      </c>
      <c r="B1936" s="22" t="str">
        <f>'EQUITY BACKTEST'!B1939</f>
        <v/>
      </c>
      <c r="C1936" s="22" t="str">
        <f>'EQUITY BACKTEST'!E1939</f>
        <v/>
      </c>
    </row>
    <row r="1937" ht="15.75" customHeight="1">
      <c r="A1937" s="22" t="str">
        <f>'EQUITY BACKTEST'!A1940</f>
        <v/>
      </c>
      <c r="B1937" s="22" t="str">
        <f>'EQUITY BACKTEST'!B1940</f>
        <v/>
      </c>
      <c r="C1937" s="22" t="str">
        <f>'EQUITY BACKTEST'!E1940</f>
        <v/>
      </c>
    </row>
    <row r="1938" ht="15.75" customHeight="1">
      <c r="A1938" s="22" t="str">
        <f>'EQUITY BACKTEST'!A1941</f>
        <v/>
      </c>
      <c r="B1938" s="22" t="str">
        <f>'EQUITY BACKTEST'!B1941</f>
        <v/>
      </c>
      <c r="C1938" s="22" t="str">
        <f>'EQUITY BACKTEST'!E1941</f>
        <v/>
      </c>
    </row>
    <row r="1939" ht="15.75" customHeight="1">
      <c r="A1939" s="22" t="str">
        <f>'EQUITY BACKTEST'!A1942</f>
        <v/>
      </c>
      <c r="B1939" s="22" t="str">
        <f>'EQUITY BACKTEST'!B1942</f>
        <v/>
      </c>
      <c r="C1939" s="22" t="str">
        <f>'EQUITY BACKTEST'!E1942</f>
        <v/>
      </c>
    </row>
    <row r="1940" ht="15.75" customHeight="1">
      <c r="A1940" s="22" t="str">
        <f>'EQUITY BACKTEST'!A1943</f>
        <v/>
      </c>
      <c r="B1940" s="22" t="str">
        <f>'EQUITY BACKTEST'!B1943</f>
        <v/>
      </c>
      <c r="C1940" s="22" t="str">
        <f>'EQUITY BACKTEST'!E1943</f>
        <v/>
      </c>
    </row>
    <row r="1941" ht="15.75" customHeight="1">
      <c r="A1941" s="22" t="str">
        <f>'EQUITY BACKTEST'!A1944</f>
        <v/>
      </c>
      <c r="B1941" s="22" t="str">
        <f>'EQUITY BACKTEST'!B1944</f>
        <v/>
      </c>
      <c r="C1941" s="22" t="str">
        <f>'EQUITY BACKTEST'!E1944</f>
        <v/>
      </c>
    </row>
    <row r="1942" ht="15.75" customHeight="1">
      <c r="A1942" s="22" t="str">
        <f>'EQUITY BACKTEST'!A1945</f>
        <v/>
      </c>
      <c r="B1942" s="22" t="str">
        <f>'EQUITY BACKTEST'!B1945</f>
        <v/>
      </c>
      <c r="C1942" s="22" t="str">
        <f>'EQUITY BACKTEST'!E1945</f>
        <v/>
      </c>
    </row>
    <row r="1943" ht="15.75" customHeight="1">
      <c r="A1943" s="22" t="str">
        <f>'EQUITY BACKTEST'!A1946</f>
        <v/>
      </c>
      <c r="B1943" s="22" t="str">
        <f>'EQUITY BACKTEST'!B1946</f>
        <v/>
      </c>
      <c r="C1943" s="22" t="str">
        <f>'EQUITY BACKTEST'!E1946</f>
        <v/>
      </c>
    </row>
    <row r="1944" ht="15.75" customHeight="1">
      <c r="A1944" s="22" t="str">
        <f>'EQUITY BACKTEST'!A1947</f>
        <v/>
      </c>
      <c r="B1944" s="22" t="str">
        <f>'EQUITY BACKTEST'!B1947</f>
        <v/>
      </c>
      <c r="C1944" s="22" t="str">
        <f>'EQUITY BACKTEST'!E1947</f>
        <v/>
      </c>
    </row>
    <row r="1945" ht="15.75" customHeight="1">
      <c r="A1945" s="22" t="str">
        <f>'EQUITY BACKTEST'!A1948</f>
        <v/>
      </c>
      <c r="B1945" s="22" t="str">
        <f>'EQUITY BACKTEST'!B1948</f>
        <v/>
      </c>
      <c r="C1945" s="22" t="str">
        <f>'EQUITY BACKTEST'!E1948</f>
        <v/>
      </c>
    </row>
    <row r="1946" ht="15.75" customHeight="1">
      <c r="A1946" s="22" t="str">
        <f>'EQUITY BACKTEST'!A1949</f>
        <v/>
      </c>
      <c r="B1946" s="22" t="str">
        <f>'EQUITY BACKTEST'!B1949</f>
        <v/>
      </c>
      <c r="C1946" s="22" t="str">
        <f>'EQUITY BACKTEST'!E1949</f>
        <v/>
      </c>
    </row>
    <row r="1947" ht="15.75" customHeight="1">
      <c r="A1947" s="22" t="str">
        <f>'EQUITY BACKTEST'!A1950</f>
        <v/>
      </c>
      <c r="B1947" s="22" t="str">
        <f>'EQUITY BACKTEST'!B1950</f>
        <v/>
      </c>
      <c r="C1947" s="22" t="str">
        <f>'EQUITY BACKTEST'!E1950</f>
        <v/>
      </c>
    </row>
    <row r="1948" ht="15.75" customHeight="1">
      <c r="A1948" s="22" t="str">
        <f>'EQUITY BACKTEST'!A1951</f>
        <v/>
      </c>
      <c r="B1948" s="22" t="str">
        <f>'EQUITY BACKTEST'!B1951</f>
        <v/>
      </c>
      <c r="C1948" s="22" t="str">
        <f>'EQUITY BACKTEST'!E1951</f>
        <v/>
      </c>
    </row>
    <row r="1949" ht="15.75" customHeight="1">
      <c r="A1949" s="22" t="str">
        <f>'EQUITY BACKTEST'!A1952</f>
        <v/>
      </c>
      <c r="B1949" s="22" t="str">
        <f>'EQUITY BACKTEST'!B1952</f>
        <v/>
      </c>
      <c r="C1949" s="22" t="str">
        <f>'EQUITY BACKTEST'!E1952</f>
        <v/>
      </c>
    </row>
    <row r="1950" ht="15.75" customHeight="1">
      <c r="A1950" s="22" t="str">
        <f>'EQUITY BACKTEST'!A1953</f>
        <v/>
      </c>
      <c r="B1950" s="22" t="str">
        <f>'EQUITY BACKTEST'!B1953</f>
        <v/>
      </c>
      <c r="C1950" s="22" t="str">
        <f>'EQUITY BACKTEST'!E1953</f>
        <v/>
      </c>
    </row>
    <row r="1951" ht="15.75" customHeight="1">
      <c r="A1951" s="22" t="str">
        <f>'EQUITY BACKTEST'!A1954</f>
        <v/>
      </c>
      <c r="B1951" s="22" t="str">
        <f>'EQUITY BACKTEST'!B1954</f>
        <v/>
      </c>
      <c r="C1951" s="22" t="str">
        <f>'EQUITY BACKTEST'!E1954</f>
        <v/>
      </c>
    </row>
    <row r="1952" ht="15.75" customHeight="1">
      <c r="A1952" s="22" t="str">
        <f>'EQUITY BACKTEST'!A1955</f>
        <v/>
      </c>
      <c r="B1952" s="22" t="str">
        <f>'EQUITY BACKTEST'!B1955</f>
        <v/>
      </c>
      <c r="C1952" s="22" t="str">
        <f>'EQUITY BACKTEST'!E1955</f>
        <v/>
      </c>
    </row>
    <row r="1953" ht="15.75" customHeight="1">
      <c r="A1953" s="22" t="str">
        <f>'EQUITY BACKTEST'!A1956</f>
        <v/>
      </c>
      <c r="B1953" s="22" t="str">
        <f>'EQUITY BACKTEST'!B1956</f>
        <v/>
      </c>
      <c r="C1953" s="22" t="str">
        <f>'EQUITY BACKTEST'!E1956</f>
        <v/>
      </c>
    </row>
    <row r="1954" ht="15.75" customHeight="1">
      <c r="A1954" s="22" t="str">
        <f>'EQUITY BACKTEST'!A1957</f>
        <v/>
      </c>
      <c r="B1954" s="22" t="str">
        <f>'EQUITY BACKTEST'!B1957</f>
        <v/>
      </c>
      <c r="C1954" s="22" t="str">
        <f>'EQUITY BACKTEST'!E1957</f>
        <v/>
      </c>
    </row>
    <row r="1955" ht="15.75" customHeight="1">
      <c r="A1955" s="22" t="str">
        <f>'EQUITY BACKTEST'!A1958</f>
        <v/>
      </c>
      <c r="B1955" s="22" t="str">
        <f>'EQUITY BACKTEST'!B1958</f>
        <v/>
      </c>
      <c r="C1955" s="22" t="str">
        <f>'EQUITY BACKTEST'!E1958</f>
        <v/>
      </c>
    </row>
    <row r="1956" ht="15.75" customHeight="1">
      <c r="A1956" s="22" t="str">
        <f>'EQUITY BACKTEST'!A1959</f>
        <v/>
      </c>
      <c r="B1956" s="22" t="str">
        <f>'EQUITY BACKTEST'!B1959</f>
        <v/>
      </c>
      <c r="C1956" s="22" t="str">
        <f>'EQUITY BACKTEST'!E1959</f>
        <v/>
      </c>
    </row>
    <row r="1957" ht="15.75" customHeight="1">
      <c r="A1957" s="22" t="str">
        <f>'EQUITY BACKTEST'!A1960</f>
        <v/>
      </c>
      <c r="B1957" s="22" t="str">
        <f>'EQUITY BACKTEST'!B1960</f>
        <v/>
      </c>
      <c r="C1957" s="22" t="str">
        <f>'EQUITY BACKTEST'!E1960</f>
        <v/>
      </c>
    </row>
    <row r="1958" ht="15.75" customHeight="1">
      <c r="A1958" s="22" t="str">
        <f>'EQUITY BACKTEST'!A1961</f>
        <v/>
      </c>
      <c r="B1958" s="22" t="str">
        <f>'EQUITY BACKTEST'!B1961</f>
        <v/>
      </c>
      <c r="C1958" s="22" t="str">
        <f>'EQUITY BACKTEST'!E1961</f>
        <v/>
      </c>
    </row>
    <row r="1959" ht="15.75" customHeight="1">
      <c r="A1959" s="22" t="str">
        <f>'EQUITY BACKTEST'!A1962</f>
        <v/>
      </c>
      <c r="B1959" s="22" t="str">
        <f>'EQUITY BACKTEST'!B1962</f>
        <v/>
      </c>
      <c r="C1959" s="22" t="str">
        <f>'EQUITY BACKTEST'!E1962</f>
        <v/>
      </c>
    </row>
    <row r="1960" ht="15.75" customHeight="1">
      <c r="A1960" s="22" t="str">
        <f>'EQUITY BACKTEST'!A1963</f>
        <v/>
      </c>
      <c r="B1960" s="22" t="str">
        <f>'EQUITY BACKTEST'!B1963</f>
        <v/>
      </c>
      <c r="C1960" s="22" t="str">
        <f>'EQUITY BACKTEST'!E1963</f>
        <v/>
      </c>
    </row>
    <row r="1961" ht="15.75" customHeight="1">
      <c r="A1961" s="22" t="str">
        <f>'EQUITY BACKTEST'!A1964</f>
        <v/>
      </c>
      <c r="B1961" s="22" t="str">
        <f>'EQUITY BACKTEST'!B1964</f>
        <v/>
      </c>
      <c r="C1961" s="22" t="str">
        <f>'EQUITY BACKTEST'!E1964</f>
        <v/>
      </c>
    </row>
    <row r="1962" ht="15.75" customHeight="1">
      <c r="A1962" s="22" t="str">
        <f>'EQUITY BACKTEST'!A1965</f>
        <v/>
      </c>
      <c r="B1962" s="22" t="str">
        <f>'EQUITY BACKTEST'!B1965</f>
        <v/>
      </c>
      <c r="C1962" s="22" t="str">
        <f>'EQUITY BACKTEST'!E1965</f>
        <v/>
      </c>
    </row>
    <row r="1963" ht="15.75" customHeight="1">
      <c r="A1963" s="22" t="str">
        <f>'EQUITY BACKTEST'!A1966</f>
        <v/>
      </c>
      <c r="B1963" s="22" t="str">
        <f>'EQUITY BACKTEST'!B1966</f>
        <v/>
      </c>
      <c r="C1963" s="22" t="str">
        <f>'EQUITY BACKTEST'!E1966</f>
        <v/>
      </c>
    </row>
    <row r="1964" ht="15.75" customHeight="1">
      <c r="A1964" s="22" t="str">
        <f>'EQUITY BACKTEST'!A1967</f>
        <v/>
      </c>
      <c r="B1964" s="22" t="str">
        <f>'EQUITY BACKTEST'!B1967</f>
        <v/>
      </c>
      <c r="C1964" s="22" t="str">
        <f>'EQUITY BACKTEST'!E1967</f>
        <v/>
      </c>
    </row>
    <row r="1965" ht="15.75" customHeight="1">
      <c r="A1965" s="22" t="str">
        <f>'EQUITY BACKTEST'!A1968</f>
        <v/>
      </c>
      <c r="B1965" s="22" t="str">
        <f>'EQUITY BACKTEST'!B1968</f>
        <v/>
      </c>
      <c r="C1965" s="22" t="str">
        <f>'EQUITY BACKTEST'!E1968</f>
        <v/>
      </c>
    </row>
    <row r="1966" ht="15.75" customHeight="1">
      <c r="A1966" s="22" t="str">
        <f>'EQUITY BACKTEST'!A1969</f>
        <v/>
      </c>
      <c r="B1966" s="22" t="str">
        <f>'EQUITY BACKTEST'!B1969</f>
        <v/>
      </c>
      <c r="C1966" s="22" t="str">
        <f>'EQUITY BACKTEST'!E1969</f>
        <v/>
      </c>
    </row>
    <row r="1967" ht="15.75" customHeight="1">
      <c r="A1967" s="22" t="str">
        <f>'EQUITY BACKTEST'!A1970</f>
        <v/>
      </c>
      <c r="B1967" s="22" t="str">
        <f>'EQUITY BACKTEST'!B1970</f>
        <v/>
      </c>
      <c r="C1967" s="22" t="str">
        <f>'EQUITY BACKTEST'!E1970</f>
        <v/>
      </c>
    </row>
    <row r="1968" ht="15.75" customHeight="1">
      <c r="A1968" s="22" t="str">
        <f>'EQUITY BACKTEST'!A1971</f>
        <v/>
      </c>
      <c r="B1968" s="22" t="str">
        <f>'EQUITY BACKTEST'!B1971</f>
        <v/>
      </c>
      <c r="C1968" s="22" t="str">
        <f>'EQUITY BACKTEST'!E1971</f>
        <v/>
      </c>
    </row>
    <row r="1969" ht="15.75" customHeight="1">
      <c r="A1969" s="22" t="str">
        <f>'EQUITY BACKTEST'!A1972</f>
        <v/>
      </c>
      <c r="B1969" s="22" t="str">
        <f>'EQUITY BACKTEST'!B1972</f>
        <v/>
      </c>
      <c r="C1969" s="22" t="str">
        <f>'EQUITY BACKTEST'!E1972</f>
        <v/>
      </c>
    </row>
    <row r="1970" ht="15.75" customHeight="1">
      <c r="A1970" s="22" t="str">
        <f>'EQUITY BACKTEST'!A1973</f>
        <v/>
      </c>
      <c r="B1970" s="22" t="str">
        <f>'EQUITY BACKTEST'!B1973</f>
        <v/>
      </c>
      <c r="C1970" s="22" t="str">
        <f>'EQUITY BACKTEST'!E1973</f>
        <v/>
      </c>
    </row>
    <row r="1971" ht="15.75" customHeight="1">
      <c r="A1971" s="22" t="str">
        <f>'EQUITY BACKTEST'!A1974</f>
        <v/>
      </c>
      <c r="B1971" s="22" t="str">
        <f>'EQUITY BACKTEST'!B1974</f>
        <v/>
      </c>
      <c r="C1971" s="22" t="str">
        <f>'EQUITY BACKTEST'!E1974</f>
        <v/>
      </c>
    </row>
    <row r="1972" ht="15.75" customHeight="1">
      <c r="A1972" s="22" t="str">
        <f>'EQUITY BACKTEST'!A1975</f>
        <v/>
      </c>
      <c r="B1972" s="22" t="str">
        <f>'EQUITY BACKTEST'!B1975</f>
        <v/>
      </c>
      <c r="C1972" s="22" t="str">
        <f>'EQUITY BACKTEST'!E1975</f>
        <v/>
      </c>
    </row>
    <row r="1973" ht="15.75" customHeight="1">
      <c r="A1973" s="22" t="str">
        <f>'EQUITY BACKTEST'!A1976</f>
        <v/>
      </c>
      <c r="B1973" s="22" t="str">
        <f>'EQUITY BACKTEST'!B1976</f>
        <v/>
      </c>
      <c r="C1973" s="22" t="str">
        <f>'EQUITY BACKTEST'!E1976</f>
        <v/>
      </c>
    </row>
    <row r="1974" ht="15.75" customHeight="1">
      <c r="A1974" s="22" t="str">
        <f>'EQUITY BACKTEST'!A1977</f>
        <v/>
      </c>
      <c r="B1974" s="22" t="str">
        <f>'EQUITY BACKTEST'!B1977</f>
        <v/>
      </c>
      <c r="C1974" s="22" t="str">
        <f>'EQUITY BACKTEST'!E1977</f>
        <v/>
      </c>
    </row>
    <row r="1975" ht="15.75" customHeight="1">
      <c r="A1975" s="22" t="str">
        <f>'EQUITY BACKTEST'!A1978</f>
        <v/>
      </c>
      <c r="B1975" s="22" t="str">
        <f>'EQUITY BACKTEST'!B1978</f>
        <v/>
      </c>
      <c r="C1975" s="22" t="str">
        <f>'EQUITY BACKTEST'!E1978</f>
        <v/>
      </c>
    </row>
    <row r="1976" ht="15.75" customHeight="1">
      <c r="A1976" s="22" t="str">
        <f>'EQUITY BACKTEST'!A1979</f>
        <v/>
      </c>
      <c r="B1976" s="22" t="str">
        <f>'EQUITY BACKTEST'!B1979</f>
        <v/>
      </c>
      <c r="C1976" s="22" t="str">
        <f>'EQUITY BACKTEST'!E1979</f>
        <v/>
      </c>
    </row>
    <row r="1977" ht="15.75" customHeight="1">
      <c r="A1977" s="22" t="str">
        <f>'EQUITY BACKTEST'!A1980</f>
        <v/>
      </c>
      <c r="B1977" s="22" t="str">
        <f>'EQUITY BACKTEST'!B1980</f>
        <v/>
      </c>
      <c r="C1977" s="22" t="str">
        <f>'EQUITY BACKTEST'!E1980</f>
        <v/>
      </c>
    </row>
    <row r="1978" ht="15.75" customHeight="1">
      <c r="A1978" s="22" t="str">
        <f>'EQUITY BACKTEST'!A1981</f>
        <v/>
      </c>
      <c r="B1978" s="22" t="str">
        <f>'EQUITY BACKTEST'!B1981</f>
        <v/>
      </c>
      <c r="C1978" s="22" t="str">
        <f>'EQUITY BACKTEST'!E1981</f>
        <v/>
      </c>
    </row>
    <row r="1979" ht="15.75" customHeight="1">
      <c r="A1979" s="22" t="str">
        <f>'EQUITY BACKTEST'!A1982</f>
        <v/>
      </c>
      <c r="B1979" s="22" t="str">
        <f>'EQUITY BACKTEST'!B1982</f>
        <v/>
      </c>
      <c r="C1979" s="22" t="str">
        <f>'EQUITY BACKTEST'!E1982</f>
        <v/>
      </c>
    </row>
    <row r="1980" ht="15.75" customHeight="1">
      <c r="A1980" s="22" t="str">
        <f>'EQUITY BACKTEST'!A1983</f>
        <v/>
      </c>
      <c r="B1980" s="22" t="str">
        <f>'EQUITY BACKTEST'!B1983</f>
        <v/>
      </c>
      <c r="C1980" s="22" t="str">
        <f>'EQUITY BACKTEST'!E1983</f>
        <v/>
      </c>
    </row>
    <row r="1981" ht="15.75" customHeight="1">
      <c r="A1981" s="22" t="str">
        <f>'EQUITY BACKTEST'!A1984</f>
        <v/>
      </c>
      <c r="B1981" s="22" t="str">
        <f>'EQUITY BACKTEST'!B1984</f>
        <v/>
      </c>
      <c r="C1981" s="22" t="str">
        <f>'EQUITY BACKTEST'!E1984</f>
        <v/>
      </c>
    </row>
    <row r="1982" ht="15.75" customHeight="1">
      <c r="A1982" s="22" t="str">
        <f>'EQUITY BACKTEST'!A1985</f>
        <v/>
      </c>
      <c r="B1982" s="22" t="str">
        <f>'EQUITY BACKTEST'!B1985</f>
        <v/>
      </c>
      <c r="C1982" s="22" t="str">
        <f>'EQUITY BACKTEST'!E1985</f>
        <v/>
      </c>
    </row>
    <row r="1983" ht="15.75" customHeight="1">
      <c r="A1983" s="22" t="str">
        <f>'EQUITY BACKTEST'!A1986</f>
        <v/>
      </c>
      <c r="B1983" s="22" t="str">
        <f>'EQUITY BACKTEST'!B1986</f>
        <v/>
      </c>
      <c r="C1983" s="22" t="str">
        <f>'EQUITY BACKTEST'!E1986</f>
        <v/>
      </c>
    </row>
    <row r="1984" ht="15.75" customHeight="1">
      <c r="A1984" s="22" t="str">
        <f>'EQUITY BACKTEST'!A1987</f>
        <v/>
      </c>
      <c r="B1984" s="22" t="str">
        <f>'EQUITY BACKTEST'!B1987</f>
        <v/>
      </c>
      <c r="C1984" s="22" t="str">
        <f>'EQUITY BACKTEST'!E1987</f>
        <v/>
      </c>
    </row>
    <row r="1985" ht="15.75" customHeight="1">
      <c r="A1985" s="22" t="str">
        <f>'EQUITY BACKTEST'!A1988</f>
        <v/>
      </c>
      <c r="B1985" s="22" t="str">
        <f>'EQUITY BACKTEST'!B1988</f>
        <v/>
      </c>
      <c r="C1985" s="22" t="str">
        <f>'EQUITY BACKTEST'!E1988</f>
        <v/>
      </c>
    </row>
    <row r="1986" ht="15.75" customHeight="1">
      <c r="A1986" s="22" t="str">
        <f>'EQUITY BACKTEST'!A1989</f>
        <v/>
      </c>
      <c r="B1986" s="22" t="str">
        <f>'EQUITY BACKTEST'!B1989</f>
        <v/>
      </c>
      <c r="C1986" s="22" t="str">
        <f>'EQUITY BACKTEST'!E1989</f>
        <v/>
      </c>
    </row>
    <row r="1987" ht="15.75" customHeight="1">
      <c r="A1987" s="22" t="str">
        <f>'EQUITY BACKTEST'!A1990</f>
        <v/>
      </c>
      <c r="B1987" s="22" t="str">
        <f>'EQUITY BACKTEST'!B1990</f>
        <v/>
      </c>
      <c r="C1987" s="22" t="str">
        <f>'EQUITY BACKTEST'!E1990</f>
        <v/>
      </c>
    </row>
    <row r="1988" ht="15.75" customHeight="1">
      <c r="A1988" s="22" t="str">
        <f>'EQUITY BACKTEST'!A1991</f>
        <v/>
      </c>
      <c r="B1988" s="22" t="str">
        <f>'EQUITY BACKTEST'!B1991</f>
        <v/>
      </c>
      <c r="C1988" s="22" t="str">
        <f>'EQUITY BACKTEST'!E1991</f>
        <v/>
      </c>
    </row>
    <row r="1989" ht="15.75" customHeight="1">
      <c r="A1989" s="22" t="str">
        <f>'EQUITY BACKTEST'!A1992</f>
        <v/>
      </c>
      <c r="B1989" s="22" t="str">
        <f>'EQUITY BACKTEST'!B1992</f>
        <v/>
      </c>
      <c r="C1989" s="22" t="str">
        <f>'EQUITY BACKTEST'!E1992</f>
        <v/>
      </c>
    </row>
    <row r="1990" ht="15.75" customHeight="1">
      <c r="A1990" s="22" t="str">
        <f>'EQUITY BACKTEST'!A1993</f>
        <v/>
      </c>
      <c r="B1990" s="22" t="str">
        <f>'EQUITY BACKTEST'!B1993</f>
        <v/>
      </c>
      <c r="C1990" s="22" t="str">
        <f>'EQUITY BACKTEST'!E1993</f>
        <v/>
      </c>
    </row>
    <row r="1991" ht="15.75" customHeight="1">
      <c r="A1991" s="22" t="str">
        <f>'EQUITY BACKTEST'!A1994</f>
        <v/>
      </c>
      <c r="B1991" s="22" t="str">
        <f>'EQUITY BACKTEST'!B1994</f>
        <v/>
      </c>
      <c r="C1991" s="22" t="str">
        <f>'EQUITY BACKTEST'!E1994</f>
        <v/>
      </c>
    </row>
    <row r="1992" ht="15.75" customHeight="1">
      <c r="A1992" s="22" t="str">
        <f>'EQUITY BACKTEST'!A1995</f>
        <v/>
      </c>
      <c r="B1992" s="22" t="str">
        <f>'EQUITY BACKTEST'!B1995</f>
        <v/>
      </c>
      <c r="C1992" s="22" t="str">
        <f>'EQUITY BACKTEST'!E1995</f>
        <v/>
      </c>
    </row>
    <row r="1993" ht="15.75" customHeight="1">
      <c r="A1993" s="22" t="str">
        <f>'EQUITY BACKTEST'!A1996</f>
        <v/>
      </c>
      <c r="B1993" s="22" t="str">
        <f>'EQUITY BACKTEST'!B1996</f>
        <v/>
      </c>
      <c r="C1993" s="22" t="str">
        <f>'EQUITY BACKTEST'!E1996</f>
        <v/>
      </c>
    </row>
    <row r="1994" ht="15.75" customHeight="1">
      <c r="A1994" s="22" t="str">
        <f>'EQUITY BACKTEST'!A1997</f>
        <v/>
      </c>
      <c r="B1994" s="22" t="str">
        <f>'EQUITY BACKTEST'!B1997</f>
        <v/>
      </c>
      <c r="C1994" s="22" t="str">
        <f>'EQUITY BACKTEST'!E1997</f>
        <v/>
      </c>
    </row>
    <row r="1995" ht="15.75" customHeight="1">
      <c r="A1995" s="22" t="str">
        <f>'EQUITY BACKTEST'!A1998</f>
        <v/>
      </c>
      <c r="B1995" s="22" t="str">
        <f>'EQUITY BACKTEST'!B1998</f>
        <v/>
      </c>
      <c r="C1995" s="22" t="str">
        <f>'EQUITY BACKTEST'!E1998</f>
        <v/>
      </c>
    </row>
    <row r="1996" ht="15.75" customHeight="1">
      <c r="A1996" s="22" t="str">
        <f>'EQUITY BACKTEST'!A1999</f>
        <v/>
      </c>
      <c r="B1996" s="22" t="str">
        <f>'EQUITY BACKTEST'!B1999</f>
        <v/>
      </c>
      <c r="C1996" s="22" t="str">
        <f>'EQUITY BACKTEST'!E1999</f>
        <v/>
      </c>
    </row>
    <row r="1997" ht="15.75" customHeight="1">
      <c r="A1997" s="22" t="str">
        <f>'EQUITY BACKTEST'!A2000</f>
        <v/>
      </c>
      <c r="B1997" s="22" t="str">
        <f>'EQUITY BACKTEST'!B2000</f>
        <v/>
      </c>
      <c r="C1997" s="22" t="str">
        <f>'EQUITY BACKTEST'!E2000</f>
        <v/>
      </c>
    </row>
    <row r="1998" ht="15.75" customHeight="1">
      <c r="A1998" s="22" t="str">
        <f>'EQUITY BACKTEST'!A2001</f>
        <v/>
      </c>
      <c r="B1998" s="22" t="str">
        <f>'EQUITY BACKTEST'!B2001</f>
        <v/>
      </c>
      <c r="C1998" s="22" t="str">
        <f>'EQUITY BACKTEST'!E2001</f>
        <v/>
      </c>
    </row>
    <row r="1999" ht="15.75" customHeight="1">
      <c r="A1999" s="22" t="str">
        <f>'EQUITY BACKTEST'!A2002</f>
        <v/>
      </c>
      <c r="B1999" s="22" t="str">
        <f>'EQUITY BACKTEST'!B2002</f>
        <v/>
      </c>
      <c r="C1999" s="22" t="str">
        <f>'EQUITY BACKTEST'!E2002</f>
        <v/>
      </c>
    </row>
    <row r="2000" ht="15.75" customHeight="1">
      <c r="A2000" s="22" t="str">
        <f>'EQUITY BACKTEST'!A2003</f>
        <v/>
      </c>
      <c r="B2000" s="22" t="str">
        <f>'EQUITY BACKTEST'!B2003</f>
        <v/>
      </c>
      <c r="C2000" s="22" t="str">
        <f>'EQUITY BACKTEST'!E2003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9.0"/>
    <col customWidth="1" min="6" max="6" width="20.75"/>
    <col customWidth="1" min="7" max="7" width="24.0"/>
  </cols>
  <sheetData>
    <row r="1" ht="15.75" customHeight="1">
      <c r="A1" s="22" t="str">
        <f>'EQUITY BACKTEST'!A4</f>
        <v>Loading...</v>
      </c>
      <c r="B1" s="22" t="s">
        <v>96</v>
      </c>
      <c r="C1" s="22" t="s">
        <v>162</v>
      </c>
      <c r="D1" s="22" t="s">
        <v>163</v>
      </c>
      <c r="E1" s="22" t="s">
        <v>164</v>
      </c>
      <c r="F1" s="22" t="s">
        <v>171</v>
      </c>
      <c r="G1" s="22" t="s">
        <v>166</v>
      </c>
      <c r="H1" s="22" t="s">
        <v>167</v>
      </c>
      <c r="I1" s="22" t="s">
        <v>172</v>
      </c>
      <c r="J1" s="22"/>
      <c r="K1" s="22">
        <v>-0.1</v>
      </c>
    </row>
    <row r="2" ht="15.75" customHeight="1">
      <c r="A2" s="31" t="str">
        <f>'EQUITY BACKTEST'!A5</f>
        <v/>
      </c>
      <c r="B2" s="22" t="str">
        <f>'EQUITY BACKTEST'!B5</f>
        <v/>
      </c>
      <c r="C2" s="22" t="str">
        <f>1/'EQUITY BACKTEST'!E5</f>
        <v>#DIV/0!</v>
      </c>
      <c r="D2" s="22" t="str">
        <f t="shared" ref="D2:D1343" si="1">CORREL($B2:$B54,$C2:$C54)</f>
        <v>#DIV/0!</v>
      </c>
    </row>
    <row r="3" ht="15.75" customHeight="1">
      <c r="A3" s="31" t="str">
        <f>'EQUITY BACKTEST'!A6</f>
        <v/>
      </c>
      <c r="B3" s="22" t="str">
        <f>'EQUITY BACKTEST'!B6</f>
        <v/>
      </c>
      <c r="C3" s="22" t="str">
        <f>1/'EQUITY BACKTEST'!E6</f>
        <v>#DIV/0!</v>
      </c>
      <c r="D3" s="22" t="str">
        <f t="shared" si="1"/>
        <v>#DIV/0!</v>
      </c>
      <c r="E3" s="22" t="str">
        <f t="shared" ref="E3:F3" si="2">IF(A3&lt;&gt;"", (B3 - B2) / B2, "")</f>
        <v/>
      </c>
      <c r="F3" s="22" t="str">
        <f t="shared" si="2"/>
        <v/>
      </c>
      <c r="H3" s="22" t="str">
        <f t="shared" ref="H3:H1343" si="4">IF(E3 &lt; $K$1, "Crash", "")</f>
        <v/>
      </c>
      <c r="K3" s="42"/>
    </row>
    <row r="4" ht="15.75" customHeight="1">
      <c r="A4" s="31" t="str">
        <f>'EQUITY BACKTEST'!A7</f>
        <v/>
      </c>
      <c r="B4" s="22" t="str">
        <f>'EQUITY BACKTEST'!B7</f>
        <v/>
      </c>
      <c r="C4" s="22" t="str">
        <f>1/'EQUITY BACKTEST'!E7</f>
        <v>#DIV/0!</v>
      </c>
      <c r="D4" s="22" t="str">
        <f t="shared" si="1"/>
        <v>#DIV/0!</v>
      </c>
      <c r="E4" s="22" t="str">
        <f t="shared" ref="E4:F4" si="3">IF(A4&lt;&gt;"", (B4 - B3) / B3, "")</f>
        <v/>
      </c>
      <c r="F4" s="22" t="str">
        <f t="shared" si="3"/>
        <v/>
      </c>
      <c r="H4" s="22" t="str">
        <f t="shared" si="4"/>
        <v/>
      </c>
    </row>
    <row r="5" ht="15.75" customHeight="1">
      <c r="A5" s="31" t="str">
        <f>'EQUITY BACKTEST'!A8</f>
        <v/>
      </c>
      <c r="B5" s="22" t="str">
        <f>'EQUITY BACKTEST'!B8</f>
        <v/>
      </c>
      <c r="C5" s="22" t="str">
        <f>1/'EQUITY BACKTEST'!E8</f>
        <v>#DIV/0!</v>
      </c>
      <c r="D5" s="22" t="str">
        <f t="shared" si="1"/>
        <v>#DIV/0!</v>
      </c>
      <c r="E5" s="22" t="str">
        <f t="shared" ref="E5:F5" si="5">IF(A5&lt;&gt;"", (B5 - B4) / B4, "")</f>
        <v/>
      </c>
      <c r="F5" s="22" t="str">
        <f t="shared" si="5"/>
        <v/>
      </c>
      <c r="H5" s="22" t="str">
        <f t="shared" si="4"/>
        <v/>
      </c>
    </row>
    <row r="6" ht="15.75" customHeight="1">
      <c r="A6" s="31" t="str">
        <f>'EQUITY BACKTEST'!A9</f>
        <v/>
      </c>
      <c r="B6" s="22" t="str">
        <f>'EQUITY BACKTEST'!B9</f>
        <v/>
      </c>
      <c r="C6" s="22" t="str">
        <f>1/'EQUITY BACKTEST'!E9</f>
        <v>#DIV/0!</v>
      </c>
      <c r="D6" s="22" t="str">
        <f t="shared" si="1"/>
        <v>#DIV/0!</v>
      </c>
      <c r="E6" s="22" t="str">
        <f t="shared" ref="E6:F6" si="6">IF(A6&lt;&gt;"", (B6 - B5) / B5, "")</f>
        <v/>
      </c>
      <c r="F6" s="22" t="str">
        <f t="shared" si="6"/>
        <v/>
      </c>
      <c r="H6" s="22" t="str">
        <f t="shared" si="4"/>
        <v/>
      </c>
    </row>
    <row r="7" ht="15.75" customHeight="1">
      <c r="A7" s="31" t="str">
        <f>'EQUITY BACKTEST'!A10</f>
        <v/>
      </c>
      <c r="B7" s="22" t="str">
        <f>'EQUITY BACKTEST'!B10</f>
        <v/>
      </c>
      <c r="C7" s="22" t="str">
        <f>1/'EQUITY BACKTEST'!E10</f>
        <v>#DIV/0!</v>
      </c>
      <c r="D7" s="22" t="str">
        <f t="shared" si="1"/>
        <v>#DIV/0!</v>
      </c>
      <c r="E7" s="22" t="str">
        <f t="shared" ref="E7:F7" si="7">IF(A7&lt;&gt;"", (B7 - B6) / B6, "")</f>
        <v/>
      </c>
      <c r="F7" s="22" t="str">
        <f t="shared" si="7"/>
        <v/>
      </c>
      <c r="H7" s="22" t="str">
        <f t="shared" si="4"/>
        <v/>
      </c>
      <c r="J7" s="22" t="str">
        <f>IFERROR(__xludf.DUMMYFUNCTION("CORREL(FILTER(E2:E2000, H2:H2000=""Crash""), FILTER(F2:F2000, H2:H2000=""Crash""))"),"#N/A")</f>
        <v>#N/A</v>
      </c>
    </row>
    <row r="8" ht="15.75" customHeight="1">
      <c r="A8" s="31" t="str">
        <f>'EQUITY BACKTEST'!A11</f>
        <v/>
      </c>
      <c r="B8" s="22" t="str">
        <f>'EQUITY BACKTEST'!B11</f>
        <v/>
      </c>
      <c r="C8" s="22" t="str">
        <f>1/'EQUITY BACKTEST'!E11</f>
        <v>#DIV/0!</v>
      </c>
      <c r="D8" s="22" t="str">
        <f t="shared" si="1"/>
        <v>#DIV/0!</v>
      </c>
      <c r="E8" s="22" t="str">
        <f t="shared" ref="E8:F8" si="8">IF(A8&lt;&gt;"", (B8 - B7) / B7, "")</f>
        <v/>
      </c>
      <c r="F8" s="22" t="str">
        <f t="shared" si="8"/>
        <v/>
      </c>
      <c r="H8" s="22" t="str">
        <f t="shared" si="4"/>
        <v/>
      </c>
    </row>
    <row r="9" ht="15.75" customHeight="1">
      <c r="A9" s="31" t="str">
        <f>'EQUITY BACKTEST'!A12</f>
        <v/>
      </c>
      <c r="B9" s="22" t="str">
        <f>'EQUITY BACKTEST'!B12</f>
        <v/>
      </c>
      <c r="C9" s="22" t="str">
        <f>1/'EQUITY BACKTEST'!E12</f>
        <v>#DIV/0!</v>
      </c>
      <c r="D9" s="22" t="str">
        <f t="shared" si="1"/>
        <v>#DIV/0!</v>
      </c>
      <c r="E9" s="22" t="str">
        <f t="shared" ref="E9:F9" si="9">IF(A9&lt;&gt;"", (B9 - B8) / B8, "")</f>
        <v/>
      </c>
      <c r="F9" s="22" t="str">
        <f t="shared" si="9"/>
        <v/>
      </c>
      <c r="H9" s="22" t="str">
        <f t="shared" si="4"/>
        <v/>
      </c>
    </row>
    <row r="10" ht="15.75" customHeight="1">
      <c r="A10" s="31" t="str">
        <f>'EQUITY BACKTEST'!A13</f>
        <v/>
      </c>
      <c r="B10" s="22" t="str">
        <f>'EQUITY BACKTEST'!B13</f>
        <v/>
      </c>
      <c r="C10" s="22" t="str">
        <f>1/'EQUITY BACKTEST'!E13</f>
        <v>#DIV/0!</v>
      </c>
      <c r="D10" s="22" t="str">
        <f t="shared" si="1"/>
        <v>#DIV/0!</v>
      </c>
      <c r="E10" s="22" t="str">
        <f t="shared" ref="E10:F10" si="10">IF(A10&lt;&gt;"", (B10 - B9) / B9, "")</f>
        <v/>
      </c>
      <c r="F10" s="22" t="str">
        <f t="shared" si="10"/>
        <v/>
      </c>
      <c r="H10" s="22" t="str">
        <f t="shared" si="4"/>
        <v/>
      </c>
    </row>
    <row r="11" ht="15.75" customHeight="1">
      <c r="A11" s="31" t="str">
        <f>'EQUITY BACKTEST'!A14</f>
        <v/>
      </c>
      <c r="B11" s="22" t="str">
        <f>'EQUITY BACKTEST'!B14</f>
        <v/>
      </c>
      <c r="C11" s="22" t="str">
        <f>1/'EQUITY BACKTEST'!E14</f>
        <v>#DIV/0!</v>
      </c>
      <c r="D11" s="22" t="str">
        <f t="shared" si="1"/>
        <v>#DIV/0!</v>
      </c>
      <c r="E11" s="22" t="str">
        <f t="shared" ref="E11:F11" si="11">IF(A11&lt;&gt;"", (B11 - B10) / B10, "")</f>
        <v/>
      </c>
      <c r="F11" s="22" t="str">
        <f t="shared" si="11"/>
        <v/>
      </c>
      <c r="H11" s="22" t="str">
        <f t="shared" si="4"/>
        <v/>
      </c>
    </row>
    <row r="12" ht="15.75" customHeight="1">
      <c r="A12" s="31" t="str">
        <f>'EQUITY BACKTEST'!A15</f>
        <v/>
      </c>
      <c r="B12" s="22" t="str">
        <f>'EQUITY BACKTEST'!B15</f>
        <v/>
      </c>
      <c r="C12" s="22" t="str">
        <f>1/'EQUITY BACKTEST'!E15</f>
        <v>#DIV/0!</v>
      </c>
      <c r="D12" s="22" t="str">
        <f t="shared" si="1"/>
        <v>#DIV/0!</v>
      </c>
      <c r="E12" s="22" t="str">
        <f t="shared" ref="E12:F12" si="12">IF(A12&lt;&gt;"", (B12 - B11) / B11, "")</f>
        <v/>
      </c>
      <c r="F12" s="22" t="str">
        <f t="shared" si="12"/>
        <v/>
      </c>
      <c r="H12" s="22" t="str">
        <f t="shared" si="4"/>
        <v/>
      </c>
    </row>
    <row r="13" ht="15.75" customHeight="1">
      <c r="A13" s="31" t="str">
        <f>'EQUITY BACKTEST'!A16</f>
        <v/>
      </c>
      <c r="B13" s="22" t="str">
        <f>'EQUITY BACKTEST'!B16</f>
        <v/>
      </c>
      <c r="C13" s="22" t="str">
        <f>1/'EQUITY BACKTEST'!E16</f>
        <v>#DIV/0!</v>
      </c>
      <c r="D13" s="22" t="str">
        <f t="shared" si="1"/>
        <v>#DIV/0!</v>
      </c>
      <c r="E13" s="22" t="str">
        <f t="shared" ref="E13:F13" si="13">IF(A13&lt;&gt;"", (B13 - B12) / B12, "")</f>
        <v/>
      </c>
      <c r="F13" s="22" t="str">
        <f t="shared" si="13"/>
        <v/>
      </c>
      <c r="H13" s="22" t="str">
        <f t="shared" si="4"/>
        <v/>
      </c>
    </row>
    <row r="14" ht="15.75" customHeight="1">
      <c r="A14" s="31" t="str">
        <f>'EQUITY BACKTEST'!A17</f>
        <v/>
      </c>
      <c r="B14" s="22" t="str">
        <f>'EQUITY BACKTEST'!B17</f>
        <v/>
      </c>
      <c r="C14" s="22" t="str">
        <f>1/'EQUITY BACKTEST'!E17</f>
        <v>#DIV/0!</v>
      </c>
      <c r="D14" s="22" t="str">
        <f t="shared" si="1"/>
        <v>#DIV/0!</v>
      </c>
      <c r="E14" s="22" t="str">
        <f t="shared" ref="E14:F14" si="14">IF(A14&lt;&gt;"", (B14 - B13) / B13, "")</f>
        <v/>
      </c>
      <c r="F14" s="22" t="str">
        <f t="shared" si="14"/>
        <v/>
      </c>
      <c r="H14" s="22" t="str">
        <f t="shared" si="4"/>
        <v/>
      </c>
    </row>
    <row r="15" ht="15.75" customHeight="1">
      <c r="A15" s="31" t="str">
        <f>'EQUITY BACKTEST'!A18</f>
        <v/>
      </c>
      <c r="B15" s="22" t="str">
        <f>'EQUITY BACKTEST'!B18</f>
        <v/>
      </c>
      <c r="C15" s="22" t="str">
        <f>1/'EQUITY BACKTEST'!E18</f>
        <v>#DIV/0!</v>
      </c>
      <c r="D15" s="22" t="str">
        <f t="shared" si="1"/>
        <v>#DIV/0!</v>
      </c>
      <c r="E15" s="22" t="str">
        <f t="shared" ref="E15:F15" si="15">IF(A15&lt;&gt;"", (B15 - B14) / B14, "")</f>
        <v/>
      </c>
      <c r="F15" s="22" t="str">
        <f t="shared" si="15"/>
        <v/>
      </c>
      <c r="H15" s="22" t="str">
        <f t="shared" si="4"/>
        <v/>
      </c>
    </row>
    <row r="16" ht="15.75" customHeight="1">
      <c r="A16" s="31" t="str">
        <f>'EQUITY BACKTEST'!A19</f>
        <v/>
      </c>
      <c r="B16" s="22" t="str">
        <f>'EQUITY BACKTEST'!B19</f>
        <v/>
      </c>
      <c r="C16" s="22" t="str">
        <f>1/'EQUITY BACKTEST'!E19</f>
        <v>#DIV/0!</v>
      </c>
      <c r="D16" s="22" t="str">
        <f t="shared" si="1"/>
        <v>#DIV/0!</v>
      </c>
      <c r="E16" s="22" t="str">
        <f t="shared" ref="E16:F16" si="16">IF(A16&lt;&gt;"", (B16 - B15) / B15, "")</f>
        <v/>
      </c>
      <c r="F16" s="22" t="str">
        <f t="shared" si="16"/>
        <v/>
      </c>
      <c r="H16" s="22" t="str">
        <f t="shared" si="4"/>
        <v/>
      </c>
    </row>
    <row r="17" ht="15.75" customHeight="1">
      <c r="A17" s="31" t="str">
        <f>'EQUITY BACKTEST'!A20</f>
        <v/>
      </c>
      <c r="B17" s="22" t="str">
        <f>'EQUITY BACKTEST'!B20</f>
        <v/>
      </c>
      <c r="C17" s="22" t="str">
        <f>1/'EQUITY BACKTEST'!E20</f>
        <v>#DIV/0!</v>
      </c>
      <c r="D17" s="22" t="str">
        <f t="shared" si="1"/>
        <v>#DIV/0!</v>
      </c>
      <c r="E17" s="22" t="str">
        <f t="shared" ref="E17:F17" si="17">IF(A17&lt;&gt;"", (B17 - B16) / B16, "")</f>
        <v/>
      </c>
      <c r="F17" s="22" t="str">
        <f t="shared" si="17"/>
        <v/>
      </c>
      <c r="H17" s="22" t="str">
        <f t="shared" si="4"/>
        <v/>
      </c>
    </row>
    <row r="18" ht="15.75" customHeight="1">
      <c r="A18" s="31" t="str">
        <f>'EQUITY BACKTEST'!A21</f>
        <v/>
      </c>
      <c r="B18" s="22" t="str">
        <f>'EQUITY BACKTEST'!B21</f>
        <v/>
      </c>
      <c r="C18" s="22" t="str">
        <f>1/'EQUITY BACKTEST'!E21</f>
        <v>#DIV/0!</v>
      </c>
      <c r="D18" s="22" t="str">
        <f t="shared" si="1"/>
        <v>#DIV/0!</v>
      </c>
      <c r="E18" s="22" t="str">
        <f t="shared" ref="E18:F18" si="18">IF(A18&lt;&gt;"", (B18 - B17) / B17, "")</f>
        <v/>
      </c>
      <c r="F18" s="22" t="str">
        <f t="shared" si="18"/>
        <v/>
      </c>
      <c r="H18" s="22" t="str">
        <f t="shared" si="4"/>
        <v/>
      </c>
    </row>
    <row r="19" ht="15.75" customHeight="1">
      <c r="A19" s="31" t="str">
        <f>'EQUITY BACKTEST'!A22</f>
        <v/>
      </c>
      <c r="B19" s="22" t="str">
        <f>'EQUITY BACKTEST'!B22</f>
        <v/>
      </c>
      <c r="C19" s="22" t="str">
        <f>1/'EQUITY BACKTEST'!E22</f>
        <v>#DIV/0!</v>
      </c>
      <c r="D19" s="22" t="str">
        <f t="shared" si="1"/>
        <v>#DIV/0!</v>
      </c>
      <c r="E19" s="22" t="str">
        <f t="shared" ref="E19:F19" si="19">IF(A19&lt;&gt;"", (B19 - B18) / B18, "")</f>
        <v/>
      </c>
      <c r="F19" s="22" t="str">
        <f t="shared" si="19"/>
        <v/>
      </c>
      <c r="H19" s="22" t="str">
        <f t="shared" si="4"/>
        <v/>
      </c>
    </row>
    <row r="20" ht="15.75" customHeight="1">
      <c r="A20" s="31" t="str">
        <f>'EQUITY BACKTEST'!A23</f>
        <v/>
      </c>
      <c r="B20" s="22" t="str">
        <f>'EQUITY BACKTEST'!B23</f>
        <v/>
      </c>
      <c r="C20" s="22" t="str">
        <f>1/'EQUITY BACKTEST'!E23</f>
        <v>#DIV/0!</v>
      </c>
      <c r="D20" s="22" t="str">
        <f t="shared" si="1"/>
        <v>#DIV/0!</v>
      </c>
      <c r="E20" s="22" t="str">
        <f t="shared" ref="E20:F20" si="20">IF(A20&lt;&gt;"", (B20 - B19) / B19, "")</f>
        <v/>
      </c>
      <c r="F20" s="22" t="str">
        <f t="shared" si="20"/>
        <v/>
      </c>
      <c r="H20" s="22" t="str">
        <f t="shared" si="4"/>
        <v/>
      </c>
    </row>
    <row r="21" ht="15.75" customHeight="1">
      <c r="A21" s="31" t="str">
        <f>'EQUITY BACKTEST'!A24</f>
        <v/>
      </c>
      <c r="B21" s="22" t="str">
        <f>'EQUITY BACKTEST'!B24</f>
        <v/>
      </c>
      <c r="C21" s="22" t="str">
        <f>1/'EQUITY BACKTEST'!E24</f>
        <v>#DIV/0!</v>
      </c>
      <c r="D21" s="22" t="str">
        <f t="shared" si="1"/>
        <v>#DIV/0!</v>
      </c>
      <c r="E21" s="22" t="str">
        <f t="shared" ref="E21:F21" si="21">IF(A21&lt;&gt;"", (B21 - B20) / B20, "")</f>
        <v/>
      </c>
      <c r="F21" s="22" t="str">
        <f t="shared" si="21"/>
        <v/>
      </c>
      <c r="H21" s="22" t="str">
        <f t="shared" si="4"/>
        <v/>
      </c>
    </row>
    <row r="22" ht="15.75" customHeight="1">
      <c r="A22" s="31" t="str">
        <f>'EQUITY BACKTEST'!A25</f>
        <v/>
      </c>
      <c r="B22" s="22" t="str">
        <f>'EQUITY BACKTEST'!B25</f>
        <v/>
      </c>
      <c r="C22" s="22" t="str">
        <f>1/'EQUITY BACKTEST'!E25</f>
        <v>#DIV/0!</v>
      </c>
      <c r="D22" s="22" t="str">
        <f t="shared" si="1"/>
        <v>#DIV/0!</v>
      </c>
      <c r="E22" s="22" t="str">
        <f t="shared" ref="E22:F22" si="22">IF(A22&lt;&gt;"", (B22 - B21) / B21, "")</f>
        <v/>
      </c>
      <c r="F22" s="22" t="str">
        <f t="shared" si="22"/>
        <v/>
      </c>
      <c r="H22" s="22" t="str">
        <f t="shared" si="4"/>
        <v/>
      </c>
    </row>
    <row r="23" ht="15.75" customHeight="1">
      <c r="A23" s="31" t="str">
        <f>'EQUITY BACKTEST'!A26</f>
        <v/>
      </c>
      <c r="B23" s="22" t="str">
        <f>'EQUITY BACKTEST'!B26</f>
        <v/>
      </c>
      <c r="C23" s="22" t="str">
        <f>1/'EQUITY BACKTEST'!E26</f>
        <v>#DIV/0!</v>
      </c>
      <c r="D23" s="22" t="str">
        <f t="shared" si="1"/>
        <v>#DIV/0!</v>
      </c>
      <c r="E23" s="22" t="str">
        <f t="shared" ref="E23:F23" si="23">IF(A23&lt;&gt;"", (B23 - B22) / B22, "")</f>
        <v/>
      </c>
      <c r="F23" s="22" t="str">
        <f t="shared" si="23"/>
        <v/>
      </c>
      <c r="H23" s="22" t="str">
        <f t="shared" si="4"/>
        <v/>
      </c>
    </row>
    <row r="24" ht="15.75" customHeight="1">
      <c r="A24" s="31" t="str">
        <f>'EQUITY BACKTEST'!A27</f>
        <v/>
      </c>
      <c r="B24" s="22" t="str">
        <f>'EQUITY BACKTEST'!B27</f>
        <v/>
      </c>
      <c r="C24" s="22" t="str">
        <f>1/'EQUITY BACKTEST'!E27</f>
        <v>#DIV/0!</v>
      </c>
      <c r="D24" s="22" t="str">
        <f t="shared" si="1"/>
        <v>#DIV/0!</v>
      </c>
      <c r="E24" s="22" t="str">
        <f t="shared" ref="E24:F24" si="24">IF(A24&lt;&gt;"", (B24 - B23) / B23, "")</f>
        <v/>
      </c>
      <c r="F24" s="22" t="str">
        <f t="shared" si="24"/>
        <v/>
      </c>
      <c r="H24" s="22" t="str">
        <f t="shared" si="4"/>
        <v/>
      </c>
    </row>
    <row r="25" ht="15.75" customHeight="1">
      <c r="A25" s="31" t="str">
        <f>'EQUITY BACKTEST'!A28</f>
        <v/>
      </c>
      <c r="B25" s="22" t="str">
        <f>'EQUITY BACKTEST'!B28</f>
        <v/>
      </c>
      <c r="C25" s="22" t="str">
        <f>1/'EQUITY BACKTEST'!E28</f>
        <v>#DIV/0!</v>
      </c>
      <c r="D25" s="22" t="str">
        <f t="shared" si="1"/>
        <v>#DIV/0!</v>
      </c>
      <c r="E25" s="22" t="str">
        <f t="shared" ref="E25:F25" si="25">IF(A25&lt;&gt;"", (B25 - B24) / B24, "")</f>
        <v/>
      </c>
      <c r="F25" s="22" t="str">
        <f t="shared" si="25"/>
        <v/>
      </c>
      <c r="H25" s="22" t="str">
        <f t="shared" si="4"/>
        <v/>
      </c>
    </row>
    <row r="26" ht="15.75" customHeight="1">
      <c r="A26" s="31" t="str">
        <f>'EQUITY BACKTEST'!A29</f>
        <v/>
      </c>
      <c r="B26" s="22" t="str">
        <f>'EQUITY BACKTEST'!B29</f>
        <v/>
      </c>
      <c r="C26" s="22" t="str">
        <f>1/'EQUITY BACKTEST'!E29</f>
        <v>#DIV/0!</v>
      </c>
      <c r="D26" s="22" t="str">
        <f t="shared" si="1"/>
        <v>#DIV/0!</v>
      </c>
      <c r="E26" s="22" t="str">
        <f t="shared" ref="E26:F26" si="26">IF(A26&lt;&gt;"", (B26 - B25) / B25, "")</f>
        <v/>
      </c>
      <c r="F26" s="22" t="str">
        <f t="shared" si="26"/>
        <v/>
      </c>
      <c r="H26" s="22" t="str">
        <f t="shared" si="4"/>
        <v/>
      </c>
    </row>
    <row r="27" ht="15.75" customHeight="1">
      <c r="A27" s="31" t="str">
        <f>'EQUITY BACKTEST'!A30</f>
        <v/>
      </c>
      <c r="B27" s="22" t="str">
        <f>'EQUITY BACKTEST'!B30</f>
        <v/>
      </c>
      <c r="C27" s="22" t="str">
        <f>1/'EQUITY BACKTEST'!E30</f>
        <v>#DIV/0!</v>
      </c>
      <c r="D27" s="22" t="str">
        <f t="shared" si="1"/>
        <v>#DIV/0!</v>
      </c>
      <c r="E27" s="22" t="str">
        <f t="shared" ref="E27:F27" si="27">IF(A27&lt;&gt;"", (B27 - B26) / B26, "")</f>
        <v/>
      </c>
      <c r="F27" s="22" t="str">
        <f t="shared" si="27"/>
        <v/>
      </c>
      <c r="H27" s="22" t="str">
        <f t="shared" si="4"/>
        <v/>
      </c>
    </row>
    <row r="28" ht="15.75" customHeight="1">
      <c r="A28" s="31" t="str">
        <f>'EQUITY BACKTEST'!A31</f>
        <v/>
      </c>
      <c r="B28" s="22" t="str">
        <f>'EQUITY BACKTEST'!B31</f>
        <v/>
      </c>
      <c r="C28" s="22" t="str">
        <f>1/'EQUITY BACKTEST'!E31</f>
        <v>#DIV/0!</v>
      </c>
      <c r="D28" s="22" t="str">
        <f t="shared" si="1"/>
        <v>#DIV/0!</v>
      </c>
      <c r="E28" s="22" t="str">
        <f t="shared" ref="E28:F28" si="28">IF(A28&lt;&gt;"", (B28 - B27) / B27, "")</f>
        <v/>
      </c>
      <c r="F28" s="22" t="str">
        <f t="shared" si="28"/>
        <v/>
      </c>
      <c r="H28" s="22" t="str">
        <f t="shared" si="4"/>
        <v/>
      </c>
    </row>
    <row r="29" ht="15.75" customHeight="1">
      <c r="A29" s="31" t="str">
        <f>'EQUITY BACKTEST'!A32</f>
        <v/>
      </c>
      <c r="B29" s="22" t="str">
        <f>'EQUITY BACKTEST'!B32</f>
        <v/>
      </c>
      <c r="C29" s="22" t="str">
        <f>1/'EQUITY BACKTEST'!E32</f>
        <v>#DIV/0!</v>
      </c>
      <c r="D29" s="22" t="str">
        <f t="shared" si="1"/>
        <v>#DIV/0!</v>
      </c>
      <c r="E29" s="22" t="str">
        <f t="shared" ref="E29:F29" si="29">IF(A29&lt;&gt;"", (B29 - B28) / B28, "")</f>
        <v/>
      </c>
      <c r="F29" s="22" t="str">
        <f t="shared" si="29"/>
        <v/>
      </c>
      <c r="H29" s="22" t="str">
        <f t="shared" si="4"/>
        <v/>
      </c>
    </row>
    <row r="30" ht="15.75" customHeight="1">
      <c r="A30" s="31" t="str">
        <f>'EQUITY BACKTEST'!A33</f>
        <v/>
      </c>
      <c r="B30" s="22" t="str">
        <f>'EQUITY BACKTEST'!B33</f>
        <v/>
      </c>
      <c r="C30" s="22" t="str">
        <f>1/'EQUITY BACKTEST'!E33</f>
        <v>#DIV/0!</v>
      </c>
      <c r="D30" s="22" t="str">
        <f t="shared" si="1"/>
        <v>#DIV/0!</v>
      </c>
      <c r="E30" s="22" t="str">
        <f t="shared" ref="E30:F30" si="30">IF(A30&lt;&gt;"", (B30 - B29) / B29, "")</f>
        <v/>
      </c>
      <c r="F30" s="22" t="str">
        <f t="shared" si="30"/>
        <v/>
      </c>
      <c r="H30" s="22" t="str">
        <f t="shared" si="4"/>
        <v/>
      </c>
    </row>
    <row r="31" ht="15.75" customHeight="1">
      <c r="A31" s="31" t="str">
        <f>'EQUITY BACKTEST'!A34</f>
        <v/>
      </c>
      <c r="B31" s="22" t="str">
        <f>'EQUITY BACKTEST'!B34</f>
        <v/>
      </c>
      <c r="C31" s="22" t="str">
        <f>1/'EQUITY BACKTEST'!E34</f>
        <v>#DIV/0!</v>
      </c>
      <c r="D31" s="22" t="str">
        <f t="shared" si="1"/>
        <v>#DIV/0!</v>
      </c>
      <c r="E31" s="22" t="str">
        <f t="shared" ref="E31:F31" si="31">IF(A31&lt;&gt;"", (B31 - B30) / B30, "")</f>
        <v/>
      </c>
      <c r="F31" s="22" t="str">
        <f t="shared" si="31"/>
        <v/>
      </c>
      <c r="H31" s="22" t="str">
        <f t="shared" si="4"/>
        <v/>
      </c>
    </row>
    <row r="32" ht="15.75" customHeight="1">
      <c r="A32" s="31" t="str">
        <f>'EQUITY BACKTEST'!A35</f>
        <v/>
      </c>
      <c r="B32" s="22" t="str">
        <f>'EQUITY BACKTEST'!B35</f>
        <v/>
      </c>
      <c r="C32" s="22" t="str">
        <f>1/'EQUITY BACKTEST'!E35</f>
        <v>#DIV/0!</v>
      </c>
      <c r="D32" s="22" t="str">
        <f t="shared" si="1"/>
        <v>#DIV/0!</v>
      </c>
      <c r="E32" s="22" t="str">
        <f t="shared" ref="E32:F32" si="32">IF(A32&lt;&gt;"", (B32 - B31) / B31, "")</f>
        <v/>
      </c>
      <c r="F32" s="22" t="str">
        <f t="shared" si="32"/>
        <v/>
      </c>
      <c r="H32" s="22" t="str">
        <f t="shared" si="4"/>
        <v/>
      </c>
    </row>
    <row r="33" ht="15.75" customHeight="1">
      <c r="A33" s="31" t="str">
        <f>'EQUITY BACKTEST'!A36</f>
        <v/>
      </c>
      <c r="B33" s="22" t="str">
        <f>'EQUITY BACKTEST'!B36</f>
        <v/>
      </c>
      <c r="C33" s="22" t="str">
        <f>1/'EQUITY BACKTEST'!E36</f>
        <v>#DIV/0!</v>
      </c>
      <c r="D33" s="22" t="str">
        <f t="shared" si="1"/>
        <v>#DIV/0!</v>
      </c>
      <c r="E33" s="22" t="str">
        <f t="shared" ref="E33:F33" si="33">IF(A33&lt;&gt;"", (B33 - B32) / B32, "")</f>
        <v/>
      </c>
      <c r="F33" s="22" t="str">
        <f t="shared" si="33"/>
        <v/>
      </c>
      <c r="H33" s="22" t="str">
        <f t="shared" si="4"/>
        <v/>
      </c>
    </row>
    <row r="34" ht="15.75" customHeight="1">
      <c r="A34" s="31" t="str">
        <f>'EQUITY BACKTEST'!A37</f>
        <v/>
      </c>
      <c r="B34" s="22" t="str">
        <f>'EQUITY BACKTEST'!B37</f>
        <v/>
      </c>
      <c r="C34" s="22" t="str">
        <f>1/'EQUITY BACKTEST'!E37</f>
        <v>#DIV/0!</v>
      </c>
      <c r="D34" s="22" t="str">
        <f t="shared" si="1"/>
        <v>#DIV/0!</v>
      </c>
      <c r="E34" s="22" t="str">
        <f t="shared" ref="E34:F34" si="34">IF(A34&lt;&gt;"", (B34 - B33) / B33, "")</f>
        <v/>
      </c>
      <c r="F34" s="22" t="str">
        <f t="shared" si="34"/>
        <v/>
      </c>
      <c r="H34" s="22" t="str">
        <f t="shared" si="4"/>
        <v/>
      </c>
    </row>
    <row r="35" ht="15.75" customHeight="1">
      <c r="A35" s="31" t="str">
        <f>'EQUITY BACKTEST'!A38</f>
        <v/>
      </c>
      <c r="B35" s="22" t="str">
        <f>'EQUITY BACKTEST'!B38</f>
        <v/>
      </c>
      <c r="C35" s="22" t="str">
        <f>1/'EQUITY BACKTEST'!E38</f>
        <v>#DIV/0!</v>
      </c>
      <c r="D35" s="22" t="str">
        <f t="shared" si="1"/>
        <v>#DIV/0!</v>
      </c>
      <c r="E35" s="22" t="str">
        <f t="shared" ref="E35:F35" si="35">IF(A35&lt;&gt;"", (B35 - B34) / B34, "")</f>
        <v/>
      </c>
      <c r="F35" s="22" t="str">
        <f t="shared" si="35"/>
        <v/>
      </c>
      <c r="H35" s="22" t="str">
        <f t="shared" si="4"/>
        <v/>
      </c>
    </row>
    <row r="36" ht="15.75" customHeight="1">
      <c r="A36" s="31" t="str">
        <f>'EQUITY BACKTEST'!A39</f>
        <v/>
      </c>
      <c r="B36" s="22" t="str">
        <f>'EQUITY BACKTEST'!B39</f>
        <v/>
      </c>
      <c r="C36" s="22" t="str">
        <f>1/'EQUITY BACKTEST'!E39</f>
        <v>#DIV/0!</v>
      </c>
      <c r="D36" s="22" t="str">
        <f t="shared" si="1"/>
        <v>#DIV/0!</v>
      </c>
      <c r="E36" s="22" t="str">
        <f t="shared" ref="E36:F36" si="36">IF(A36&lt;&gt;"", (B36 - B35) / B35, "")</f>
        <v/>
      </c>
      <c r="F36" s="22" t="str">
        <f t="shared" si="36"/>
        <v/>
      </c>
      <c r="H36" s="22" t="str">
        <f t="shared" si="4"/>
        <v/>
      </c>
    </row>
    <row r="37" ht="15.75" customHeight="1">
      <c r="A37" s="31" t="str">
        <f>'EQUITY BACKTEST'!A40</f>
        <v/>
      </c>
      <c r="B37" s="22" t="str">
        <f>'EQUITY BACKTEST'!B40</f>
        <v/>
      </c>
      <c r="C37" s="22" t="str">
        <f>1/'EQUITY BACKTEST'!E40</f>
        <v>#DIV/0!</v>
      </c>
      <c r="D37" s="22" t="str">
        <f t="shared" si="1"/>
        <v>#DIV/0!</v>
      </c>
      <c r="E37" s="22" t="str">
        <f t="shared" ref="E37:F37" si="37">IF(A37&lt;&gt;"", (B37 - B36) / B36, "")</f>
        <v/>
      </c>
      <c r="F37" s="22" t="str">
        <f t="shared" si="37"/>
        <v/>
      </c>
      <c r="H37" s="22" t="str">
        <f t="shared" si="4"/>
        <v/>
      </c>
    </row>
    <row r="38" ht="15.75" customHeight="1">
      <c r="A38" s="31" t="str">
        <f>'EQUITY BACKTEST'!A41</f>
        <v/>
      </c>
      <c r="B38" s="22" t="str">
        <f>'EQUITY BACKTEST'!B41</f>
        <v/>
      </c>
      <c r="C38" s="22" t="str">
        <f>1/'EQUITY BACKTEST'!E41</f>
        <v>#DIV/0!</v>
      </c>
      <c r="D38" s="22" t="str">
        <f t="shared" si="1"/>
        <v>#DIV/0!</v>
      </c>
      <c r="E38" s="22" t="str">
        <f t="shared" ref="E38:F38" si="38">IF(A38&lt;&gt;"", (B38 - B37) / B37, "")</f>
        <v/>
      </c>
      <c r="F38" s="22" t="str">
        <f t="shared" si="38"/>
        <v/>
      </c>
      <c r="H38" s="22" t="str">
        <f t="shared" si="4"/>
        <v/>
      </c>
    </row>
    <row r="39" ht="15.75" customHeight="1">
      <c r="A39" s="31" t="str">
        <f>'EQUITY BACKTEST'!A42</f>
        <v/>
      </c>
      <c r="B39" s="22" t="str">
        <f>'EQUITY BACKTEST'!B42</f>
        <v/>
      </c>
      <c r="C39" s="22" t="str">
        <f>1/'EQUITY BACKTEST'!E42</f>
        <v>#DIV/0!</v>
      </c>
      <c r="D39" s="22" t="str">
        <f t="shared" si="1"/>
        <v>#DIV/0!</v>
      </c>
      <c r="E39" s="22" t="str">
        <f t="shared" ref="E39:F39" si="39">IF(A39&lt;&gt;"", (B39 - B38) / B38, "")</f>
        <v/>
      </c>
      <c r="F39" s="22" t="str">
        <f t="shared" si="39"/>
        <v/>
      </c>
      <c r="H39" s="22" t="str">
        <f t="shared" si="4"/>
        <v/>
      </c>
    </row>
    <row r="40" ht="15.75" customHeight="1">
      <c r="A40" s="31" t="str">
        <f>'EQUITY BACKTEST'!A43</f>
        <v/>
      </c>
      <c r="B40" s="22" t="str">
        <f>'EQUITY BACKTEST'!B43</f>
        <v/>
      </c>
      <c r="C40" s="22" t="str">
        <f>1/'EQUITY BACKTEST'!E43</f>
        <v>#DIV/0!</v>
      </c>
      <c r="D40" s="22" t="str">
        <f t="shared" si="1"/>
        <v>#DIV/0!</v>
      </c>
      <c r="E40" s="22" t="str">
        <f t="shared" ref="E40:F40" si="40">IF(A40&lt;&gt;"", (B40 - B39) / B39, "")</f>
        <v/>
      </c>
      <c r="F40" s="22" t="str">
        <f t="shared" si="40"/>
        <v/>
      </c>
      <c r="H40" s="22" t="str">
        <f t="shared" si="4"/>
        <v/>
      </c>
    </row>
    <row r="41" ht="15.75" customHeight="1">
      <c r="A41" s="31" t="str">
        <f>'EQUITY BACKTEST'!A44</f>
        <v/>
      </c>
      <c r="B41" s="22" t="str">
        <f>'EQUITY BACKTEST'!B44</f>
        <v/>
      </c>
      <c r="C41" s="22" t="str">
        <f>1/'EQUITY BACKTEST'!E44</f>
        <v>#DIV/0!</v>
      </c>
      <c r="D41" s="22" t="str">
        <f t="shared" si="1"/>
        <v>#DIV/0!</v>
      </c>
      <c r="E41" s="22" t="str">
        <f t="shared" ref="E41:F41" si="41">IF(A41&lt;&gt;"", (B41 - B40) / B40, "")</f>
        <v/>
      </c>
      <c r="F41" s="22" t="str">
        <f t="shared" si="41"/>
        <v/>
      </c>
      <c r="H41" s="22" t="str">
        <f t="shared" si="4"/>
        <v/>
      </c>
    </row>
    <row r="42" ht="15.75" customHeight="1">
      <c r="A42" s="31" t="str">
        <f>'EQUITY BACKTEST'!A45</f>
        <v/>
      </c>
      <c r="B42" s="22" t="str">
        <f>'EQUITY BACKTEST'!B45</f>
        <v/>
      </c>
      <c r="C42" s="22" t="str">
        <f>1/'EQUITY BACKTEST'!E45</f>
        <v>#DIV/0!</v>
      </c>
      <c r="D42" s="22" t="str">
        <f t="shared" si="1"/>
        <v>#DIV/0!</v>
      </c>
      <c r="E42" s="22" t="str">
        <f t="shared" ref="E42:F42" si="42">IF(A42&lt;&gt;"", (B42 - B41) / B41, "")</f>
        <v/>
      </c>
      <c r="F42" s="22" t="str">
        <f t="shared" si="42"/>
        <v/>
      </c>
      <c r="H42" s="22" t="str">
        <f t="shared" si="4"/>
        <v/>
      </c>
    </row>
    <row r="43" ht="15.75" customHeight="1">
      <c r="A43" s="31" t="str">
        <f>'EQUITY BACKTEST'!A46</f>
        <v/>
      </c>
      <c r="B43" s="22" t="str">
        <f>'EQUITY BACKTEST'!B46</f>
        <v/>
      </c>
      <c r="C43" s="22" t="str">
        <f>1/'EQUITY BACKTEST'!E46</f>
        <v>#DIV/0!</v>
      </c>
      <c r="D43" s="22" t="str">
        <f t="shared" si="1"/>
        <v>#DIV/0!</v>
      </c>
      <c r="E43" s="22" t="str">
        <f t="shared" ref="E43:F43" si="43">IF(A43&lt;&gt;"", (B43 - B42) / B42, "")</f>
        <v/>
      </c>
      <c r="F43" s="22" t="str">
        <f t="shared" si="43"/>
        <v/>
      </c>
      <c r="H43" s="22" t="str">
        <f t="shared" si="4"/>
        <v/>
      </c>
    </row>
    <row r="44" ht="15.75" customHeight="1">
      <c r="A44" s="31" t="str">
        <f>'EQUITY BACKTEST'!A47</f>
        <v/>
      </c>
      <c r="B44" s="22" t="str">
        <f>'EQUITY BACKTEST'!B47</f>
        <v/>
      </c>
      <c r="C44" s="22" t="str">
        <f>1/'EQUITY BACKTEST'!E47</f>
        <v>#DIV/0!</v>
      </c>
      <c r="D44" s="22" t="str">
        <f t="shared" si="1"/>
        <v>#DIV/0!</v>
      </c>
      <c r="E44" s="22" t="str">
        <f t="shared" ref="E44:F44" si="44">IF(A44&lt;&gt;"", (B44 - B43) / B43, "")</f>
        <v/>
      </c>
      <c r="F44" s="22" t="str">
        <f t="shared" si="44"/>
        <v/>
      </c>
      <c r="H44" s="22" t="str">
        <f t="shared" si="4"/>
        <v/>
      </c>
    </row>
    <row r="45" ht="15.75" customHeight="1">
      <c r="A45" s="31" t="str">
        <f>'EQUITY BACKTEST'!A48</f>
        <v/>
      </c>
      <c r="B45" s="22" t="str">
        <f>'EQUITY BACKTEST'!B48</f>
        <v/>
      </c>
      <c r="C45" s="22" t="str">
        <f>1/'EQUITY BACKTEST'!E48</f>
        <v>#DIV/0!</v>
      </c>
      <c r="D45" s="22" t="str">
        <f t="shared" si="1"/>
        <v>#DIV/0!</v>
      </c>
      <c r="E45" s="22" t="str">
        <f t="shared" ref="E45:F45" si="45">IF(A45&lt;&gt;"", (B45 - B44) / B44, "")</f>
        <v/>
      </c>
      <c r="F45" s="22" t="str">
        <f t="shared" si="45"/>
        <v/>
      </c>
      <c r="H45" s="22" t="str">
        <f t="shared" si="4"/>
        <v/>
      </c>
    </row>
    <row r="46" ht="15.75" customHeight="1">
      <c r="A46" s="31" t="str">
        <f>'EQUITY BACKTEST'!A49</f>
        <v/>
      </c>
      <c r="B46" s="22" t="str">
        <f>'EQUITY BACKTEST'!B49</f>
        <v/>
      </c>
      <c r="C46" s="22" t="str">
        <f>1/'EQUITY BACKTEST'!E49</f>
        <v>#DIV/0!</v>
      </c>
      <c r="D46" s="22" t="str">
        <f t="shared" si="1"/>
        <v>#DIV/0!</v>
      </c>
      <c r="E46" s="22" t="str">
        <f t="shared" ref="E46:F46" si="46">IF(A46&lt;&gt;"", (B46 - B45) / B45, "")</f>
        <v/>
      </c>
      <c r="F46" s="22" t="str">
        <f t="shared" si="46"/>
        <v/>
      </c>
      <c r="H46" s="22" t="str">
        <f t="shared" si="4"/>
        <v/>
      </c>
    </row>
    <row r="47" ht="15.75" customHeight="1">
      <c r="A47" s="31" t="str">
        <f>'EQUITY BACKTEST'!A50</f>
        <v/>
      </c>
      <c r="B47" s="22" t="str">
        <f>'EQUITY BACKTEST'!B50</f>
        <v/>
      </c>
      <c r="C47" s="22" t="str">
        <f>1/'EQUITY BACKTEST'!E50</f>
        <v>#DIV/0!</v>
      </c>
      <c r="D47" s="22" t="str">
        <f t="shared" si="1"/>
        <v>#DIV/0!</v>
      </c>
      <c r="E47" s="22" t="str">
        <f t="shared" ref="E47:F47" si="47">IF(A47&lt;&gt;"", (B47 - B46) / B46, "")</f>
        <v/>
      </c>
      <c r="F47" s="22" t="str">
        <f t="shared" si="47"/>
        <v/>
      </c>
      <c r="H47" s="22" t="str">
        <f t="shared" si="4"/>
        <v/>
      </c>
    </row>
    <row r="48" ht="15.75" customHeight="1">
      <c r="A48" s="31" t="str">
        <f>'EQUITY BACKTEST'!A51</f>
        <v/>
      </c>
      <c r="B48" s="22" t="str">
        <f>'EQUITY BACKTEST'!B51</f>
        <v/>
      </c>
      <c r="C48" s="22" t="str">
        <f>1/'EQUITY BACKTEST'!E51</f>
        <v>#DIV/0!</v>
      </c>
      <c r="D48" s="22" t="str">
        <f t="shared" si="1"/>
        <v>#DIV/0!</v>
      </c>
      <c r="E48" s="22" t="str">
        <f t="shared" ref="E48:F48" si="48">IF(A48&lt;&gt;"", (B48 - B47) / B47, "")</f>
        <v/>
      </c>
      <c r="F48" s="22" t="str">
        <f t="shared" si="48"/>
        <v/>
      </c>
      <c r="H48" s="22" t="str">
        <f t="shared" si="4"/>
        <v/>
      </c>
    </row>
    <row r="49" ht="15.75" customHeight="1">
      <c r="A49" s="31" t="str">
        <f>'EQUITY BACKTEST'!A52</f>
        <v/>
      </c>
      <c r="B49" s="22" t="str">
        <f>'EQUITY BACKTEST'!B52</f>
        <v/>
      </c>
      <c r="C49" s="22" t="str">
        <f>1/'EQUITY BACKTEST'!E52</f>
        <v>#DIV/0!</v>
      </c>
      <c r="D49" s="22" t="str">
        <f t="shared" si="1"/>
        <v>#DIV/0!</v>
      </c>
      <c r="E49" s="22" t="str">
        <f t="shared" ref="E49:F49" si="49">IF(A49&lt;&gt;"", (B49 - B48) / B48, "")</f>
        <v/>
      </c>
      <c r="F49" s="22" t="str">
        <f t="shared" si="49"/>
        <v/>
      </c>
      <c r="H49" s="22" t="str">
        <f t="shared" si="4"/>
        <v/>
      </c>
    </row>
    <row r="50" ht="15.75" customHeight="1">
      <c r="A50" s="31" t="str">
        <f>'EQUITY BACKTEST'!A53</f>
        <v/>
      </c>
      <c r="B50" s="22" t="str">
        <f>'EQUITY BACKTEST'!B53</f>
        <v/>
      </c>
      <c r="C50" s="22" t="str">
        <f>1/'EQUITY BACKTEST'!E53</f>
        <v>#DIV/0!</v>
      </c>
      <c r="D50" s="22" t="str">
        <f t="shared" si="1"/>
        <v>#DIV/0!</v>
      </c>
      <c r="E50" s="22" t="str">
        <f t="shared" ref="E50:F50" si="50">IF(A50&lt;&gt;"", (B50 - B49) / B49, "")</f>
        <v/>
      </c>
      <c r="F50" s="22" t="str">
        <f t="shared" si="50"/>
        <v/>
      </c>
      <c r="H50" s="22" t="str">
        <f t="shared" si="4"/>
        <v/>
      </c>
    </row>
    <row r="51" ht="15.75" customHeight="1">
      <c r="A51" s="31" t="str">
        <f>'EQUITY BACKTEST'!A54</f>
        <v/>
      </c>
      <c r="B51" s="22" t="str">
        <f>'EQUITY BACKTEST'!B54</f>
        <v/>
      </c>
      <c r="C51" s="22" t="str">
        <f>1/'EQUITY BACKTEST'!E54</f>
        <v>#DIV/0!</v>
      </c>
      <c r="D51" s="22" t="str">
        <f t="shared" si="1"/>
        <v>#DIV/0!</v>
      </c>
      <c r="E51" s="22" t="str">
        <f t="shared" ref="E51:F51" si="51">IF(A51&lt;&gt;"", (B51 - B50) / B50, "")</f>
        <v/>
      </c>
      <c r="F51" s="22" t="str">
        <f t="shared" si="51"/>
        <v/>
      </c>
      <c r="H51" s="22" t="str">
        <f t="shared" si="4"/>
        <v/>
      </c>
    </row>
    <row r="52" ht="15.75" customHeight="1">
      <c r="A52" s="31" t="str">
        <f>'EQUITY BACKTEST'!A55</f>
        <v/>
      </c>
      <c r="B52" s="22" t="str">
        <f>'EQUITY BACKTEST'!B55</f>
        <v/>
      </c>
      <c r="C52" s="22" t="str">
        <f>1/'EQUITY BACKTEST'!E55</f>
        <v>#DIV/0!</v>
      </c>
      <c r="D52" s="22" t="str">
        <f t="shared" si="1"/>
        <v>#DIV/0!</v>
      </c>
      <c r="E52" s="22" t="str">
        <f t="shared" ref="E52:F52" si="52">IF(A52&lt;&gt;"", (B52 - B51) / B51, "")</f>
        <v/>
      </c>
      <c r="F52" s="22" t="str">
        <f t="shared" si="52"/>
        <v/>
      </c>
      <c r="H52" s="22" t="str">
        <f t="shared" si="4"/>
        <v/>
      </c>
    </row>
    <row r="53" ht="15.75" customHeight="1">
      <c r="A53" s="31" t="str">
        <f>'EQUITY BACKTEST'!A56</f>
        <v/>
      </c>
      <c r="B53" s="22" t="str">
        <f>'EQUITY BACKTEST'!B56</f>
        <v/>
      </c>
      <c r="C53" s="22" t="str">
        <f>1/'EQUITY BACKTEST'!E56</f>
        <v>#DIV/0!</v>
      </c>
      <c r="D53" s="22" t="str">
        <f t="shared" si="1"/>
        <v>#DIV/0!</v>
      </c>
      <c r="E53" s="22" t="str">
        <f t="shared" ref="E53:F53" si="53">IF(A53&lt;&gt;"", (B53 - B52) / B52, "")</f>
        <v/>
      </c>
      <c r="F53" s="22" t="str">
        <f t="shared" si="53"/>
        <v/>
      </c>
      <c r="H53" s="22" t="str">
        <f t="shared" si="4"/>
        <v/>
      </c>
    </row>
    <row r="54" ht="15.75" customHeight="1">
      <c r="A54" s="31" t="str">
        <f>'EQUITY BACKTEST'!A57</f>
        <v/>
      </c>
      <c r="B54" s="22" t="str">
        <f>'EQUITY BACKTEST'!B57</f>
        <v/>
      </c>
      <c r="C54" s="22" t="str">
        <f>1/'EQUITY BACKTEST'!E57</f>
        <v>#DIV/0!</v>
      </c>
      <c r="D54" s="22" t="str">
        <f t="shared" si="1"/>
        <v>#DIV/0!</v>
      </c>
      <c r="E54" s="22" t="str">
        <f t="shared" ref="E54:F54" si="54">IF(A54&lt;&gt;"", (B54 - B53) / B53, "")</f>
        <v/>
      </c>
      <c r="F54" s="22" t="str">
        <f t="shared" si="54"/>
        <v/>
      </c>
      <c r="H54" s="22" t="str">
        <f t="shared" si="4"/>
        <v/>
      </c>
    </row>
    <row r="55" ht="15.75" customHeight="1">
      <c r="A55" s="31" t="str">
        <f>'EQUITY BACKTEST'!A58</f>
        <v/>
      </c>
      <c r="B55" s="22" t="str">
        <f>'EQUITY BACKTEST'!B58</f>
        <v/>
      </c>
      <c r="C55" s="22" t="str">
        <f>1/'EQUITY BACKTEST'!E58</f>
        <v>#DIV/0!</v>
      </c>
      <c r="D55" s="22" t="str">
        <f t="shared" si="1"/>
        <v>#DIV/0!</v>
      </c>
      <c r="E55" s="22" t="str">
        <f t="shared" ref="E55:F55" si="55">IF(A55&lt;&gt;"", (B55 - B54) / B54, "")</f>
        <v/>
      </c>
      <c r="F55" s="22" t="str">
        <f t="shared" si="55"/>
        <v/>
      </c>
      <c r="H55" s="22" t="str">
        <f t="shared" si="4"/>
        <v/>
      </c>
    </row>
    <row r="56" ht="15.75" customHeight="1">
      <c r="A56" s="31" t="str">
        <f>'EQUITY BACKTEST'!A59</f>
        <v/>
      </c>
      <c r="B56" s="22" t="str">
        <f>'EQUITY BACKTEST'!B59</f>
        <v/>
      </c>
      <c r="C56" s="22" t="str">
        <f>1/'EQUITY BACKTEST'!E59</f>
        <v>#DIV/0!</v>
      </c>
      <c r="D56" s="22" t="str">
        <f t="shared" si="1"/>
        <v>#DIV/0!</v>
      </c>
      <c r="E56" s="22" t="str">
        <f t="shared" ref="E56:F56" si="56">IF(A56&lt;&gt;"", (B56 - B55) / B55, "")</f>
        <v/>
      </c>
      <c r="F56" s="22" t="str">
        <f t="shared" si="56"/>
        <v/>
      </c>
      <c r="H56" s="22" t="str">
        <f t="shared" si="4"/>
        <v/>
      </c>
    </row>
    <row r="57" ht="15.75" customHeight="1">
      <c r="A57" s="31" t="str">
        <f>'EQUITY BACKTEST'!A60</f>
        <v/>
      </c>
      <c r="B57" s="22" t="str">
        <f>'EQUITY BACKTEST'!B60</f>
        <v/>
      </c>
      <c r="C57" s="22" t="str">
        <f>1/'EQUITY BACKTEST'!E60</f>
        <v>#DIV/0!</v>
      </c>
      <c r="D57" s="22" t="str">
        <f t="shared" si="1"/>
        <v>#DIV/0!</v>
      </c>
      <c r="E57" s="22" t="str">
        <f t="shared" ref="E57:F57" si="57">IF(A57&lt;&gt;"", (B57 - B56) / B56, "")</f>
        <v/>
      </c>
      <c r="F57" s="22" t="str">
        <f t="shared" si="57"/>
        <v/>
      </c>
      <c r="H57" s="22" t="str">
        <f t="shared" si="4"/>
        <v/>
      </c>
    </row>
    <row r="58" ht="15.75" customHeight="1">
      <c r="A58" s="31" t="str">
        <f>'EQUITY BACKTEST'!A61</f>
        <v/>
      </c>
      <c r="B58" s="22" t="str">
        <f>'EQUITY BACKTEST'!B61</f>
        <v/>
      </c>
      <c r="C58" s="22" t="str">
        <f>1/'EQUITY BACKTEST'!E61</f>
        <v>#DIV/0!</v>
      </c>
      <c r="D58" s="22" t="str">
        <f t="shared" si="1"/>
        <v>#DIV/0!</v>
      </c>
      <c r="E58" s="22" t="str">
        <f t="shared" ref="E58:F58" si="58">IF(A58&lt;&gt;"", (B58 - B57) / B57, "")</f>
        <v/>
      </c>
      <c r="F58" s="22" t="str">
        <f t="shared" si="58"/>
        <v/>
      </c>
      <c r="H58" s="22" t="str">
        <f t="shared" si="4"/>
        <v/>
      </c>
    </row>
    <row r="59" ht="15.75" customHeight="1">
      <c r="A59" s="31" t="str">
        <f>'EQUITY BACKTEST'!A62</f>
        <v/>
      </c>
      <c r="B59" s="22" t="str">
        <f>'EQUITY BACKTEST'!B62</f>
        <v/>
      </c>
      <c r="C59" s="22" t="str">
        <f>1/'EQUITY BACKTEST'!E62</f>
        <v>#DIV/0!</v>
      </c>
      <c r="D59" s="22" t="str">
        <f t="shared" si="1"/>
        <v>#DIV/0!</v>
      </c>
      <c r="E59" s="22" t="str">
        <f t="shared" ref="E59:F59" si="59">IF(A59&lt;&gt;"", (B59 - B58) / B58, "")</f>
        <v/>
      </c>
      <c r="F59" s="22" t="str">
        <f t="shared" si="59"/>
        <v/>
      </c>
      <c r="H59" s="22" t="str">
        <f t="shared" si="4"/>
        <v/>
      </c>
    </row>
    <row r="60" ht="15.75" customHeight="1">
      <c r="A60" s="31" t="str">
        <f>'EQUITY BACKTEST'!A63</f>
        <v/>
      </c>
      <c r="B60" s="22" t="str">
        <f>'EQUITY BACKTEST'!B63</f>
        <v/>
      </c>
      <c r="C60" s="22" t="str">
        <f>1/'EQUITY BACKTEST'!E63</f>
        <v>#DIV/0!</v>
      </c>
      <c r="D60" s="22" t="str">
        <f t="shared" si="1"/>
        <v>#DIV/0!</v>
      </c>
      <c r="E60" s="22" t="str">
        <f t="shared" ref="E60:F60" si="60">IF(A60&lt;&gt;"", (B60 - B59) / B59, "")</f>
        <v/>
      </c>
      <c r="F60" s="22" t="str">
        <f t="shared" si="60"/>
        <v/>
      </c>
      <c r="H60" s="22" t="str">
        <f t="shared" si="4"/>
        <v/>
      </c>
    </row>
    <row r="61" ht="15.75" customHeight="1">
      <c r="A61" s="31" t="str">
        <f>'EQUITY BACKTEST'!A64</f>
        <v/>
      </c>
      <c r="B61" s="22" t="str">
        <f>'EQUITY BACKTEST'!B64</f>
        <v/>
      </c>
      <c r="C61" s="22" t="str">
        <f>1/'EQUITY BACKTEST'!E64</f>
        <v>#DIV/0!</v>
      </c>
      <c r="D61" s="22" t="str">
        <f t="shared" si="1"/>
        <v>#DIV/0!</v>
      </c>
      <c r="E61" s="22" t="str">
        <f t="shared" ref="E61:F61" si="61">IF(A61&lt;&gt;"", (B61 - B60) / B60, "")</f>
        <v/>
      </c>
      <c r="F61" s="22" t="str">
        <f t="shared" si="61"/>
        <v/>
      </c>
      <c r="H61" s="22" t="str">
        <f t="shared" si="4"/>
        <v/>
      </c>
    </row>
    <row r="62" ht="15.75" customHeight="1">
      <c r="A62" s="31" t="str">
        <f>'EQUITY BACKTEST'!A65</f>
        <v/>
      </c>
      <c r="B62" s="22" t="str">
        <f>'EQUITY BACKTEST'!B65</f>
        <v/>
      </c>
      <c r="C62" s="22" t="str">
        <f>1/'EQUITY BACKTEST'!E65</f>
        <v>#DIV/0!</v>
      </c>
      <c r="D62" s="22" t="str">
        <f t="shared" si="1"/>
        <v>#DIV/0!</v>
      </c>
      <c r="E62" s="22" t="str">
        <f t="shared" ref="E62:F62" si="62">IF(A62&lt;&gt;"", (B62 - B61) / B61, "")</f>
        <v/>
      </c>
      <c r="F62" s="22" t="str">
        <f t="shared" si="62"/>
        <v/>
      </c>
      <c r="H62" s="22" t="str">
        <f t="shared" si="4"/>
        <v/>
      </c>
    </row>
    <row r="63" ht="15.75" customHeight="1">
      <c r="A63" s="31" t="str">
        <f>'EQUITY BACKTEST'!A66</f>
        <v/>
      </c>
      <c r="B63" s="22" t="str">
        <f>'EQUITY BACKTEST'!B66</f>
        <v/>
      </c>
      <c r="C63" s="22" t="str">
        <f>1/'EQUITY BACKTEST'!E66</f>
        <v>#DIV/0!</v>
      </c>
      <c r="D63" s="22" t="str">
        <f t="shared" si="1"/>
        <v>#DIV/0!</v>
      </c>
      <c r="E63" s="22" t="str">
        <f t="shared" ref="E63:F63" si="63">IF(A63&lt;&gt;"", (B63 - B62) / B62, "")</f>
        <v/>
      </c>
      <c r="F63" s="22" t="str">
        <f t="shared" si="63"/>
        <v/>
      </c>
      <c r="H63" s="22" t="str">
        <f t="shared" si="4"/>
        <v/>
      </c>
    </row>
    <row r="64" ht="15.75" customHeight="1">
      <c r="A64" s="31" t="str">
        <f>'EQUITY BACKTEST'!A67</f>
        <v/>
      </c>
      <c r="B64" s="22" t="str">
        <f>'EQUITY BACKTEST'!B67</f>
        <v/>
      </c>
      <c r="C64" s="22" t="str">
        <f>1/'EQUITY BACKTEST'!E67</f>
        <v>#DIV/0!</v>
      </c>
      <c r="D64" s="22" t="str">
        <f t="shared" si="1"/>
        <v>#DIV/0!</v>
      </c>
      <c r="E64" s="22" t="str">
        <f t="shared" ref="E64:F64" si="64">IF(A64&lt;&gt;"", (B64 - B63) / B63, "")</f>
        <v/>
      </c>
      <c r="F64" s="22" t="str">
        <f t="shared" si="64"/>
        <v/>
      </c>
      <c r="H64" s="22" t="str">
        <f t="shared" si="4"/>
        <v/>
      </c>
    </row>
    <row r="65" ht="15.75" customHeight="1">
      <c r="A65" s="31" t="str">
        <f>'EQUITY BACKTEST'!A68</f>
        <v/>
      </c>
      <c r="B65" s="22" t="str">
        <f>'EQUITY BACKTEST'!B68</f>
        <v/>
      </c>
      <c r="C65" s="22" t="str">
        <f>1/'EQUITY BACKTEST'!E68</f>
        <v>#DIV/0!</v>
      </c>
      <c r="D65" s="22" t="str">
        <f t="shared" si="1"/>
        <v>#DIV/0!</v>
      </c>
      <c r="E65" s="22" t="str">
        <f t="shared" ref="E65:F65" si="65">IF(A65&lt;&gt;"", (B65 - B64) / B64, "")</f>
        <v/>
      </c>
      <c r="F65" s="22" t="str">
        <f t="shared" si="65"/>
        <v/>
      </c>
      <c r="H65" s="22" t="str">
        <f t="shared" si="4"/>
        <v/>
      </c>
    </row>
    <row r="66" ht="15.75" customHeight="1">
      <c r="A66" s="31" t="str">
        <f>'EQUITY BACKTEST'!A69</f>
        <v/>
      </c>
      <c r="B66" s="22" t="str">
        <f>'EQUITY BACKTEST'!B69</f>
        <v/>
      </c>
      <c r="C66" s="22" t="str">
        <f>1/'EQUITY BACKTEST'!E69</f>
        <v>#DIV/0!</v>
      </c>
      <c r="D66" s="22" t="str">
        <f t="shared" si="1"/>
        <v>#DIV/0!</v>
      </c>
      <c r="E66" s="22" t="str">
        <f t="shared" ref="E66:F66" si="66">IF(A66&lt;&gt;"", (B66 - B65) / B65, "")</f>
        <v/>
      </c>
      <c r="F66" s="22" t="str">
        <f t="shared" si="66"/>
        <v/>
      </c>
      <c r="H66" s="22" t="str">
        <f t="shared" si="4"/>
        <v/>
      </c>
    </row>
    <row r="67" ht="15.75" customHeight="1">
      <c r="A67" s="31" t="str">
        <f>'EQUITY BACKTEST'!A70</f>
        <v/>
      </c>
      <c r="B67" s="22" t="str">
        <f>'EQUITY BACKTEST'!B70</f>
        <v/>
      </c>
      <c r="C67" s="22" t="str">
        <f>1/'EQUITY BACKTEST'!E70</f>
        <v>#DIV/0!</v>
      </c>
      <c r="D67" s="22" t="str">
        <f t="shared" si="1"/>
        <v>#DIV/0!</v>
      </c>
      <c r="E67" s="22" t="str">
        <f t="shared" ref="E67:F67" si="67">IF(A67&lt;&gt;"", (B67 - B66) / B66, "")</f>
        <v/>
      </c>
      <c r="F67" s="22" t="str">
        <f t="shared" si="67"/>
        <v/>
      </c>
      <c r="H67" s="22" t="str">
        <f t="shared" si="4"/>
        <v/>
      </c>
    </row>
    <row r="68" ht="15.75" customHeight="1">
      <c r="A68" s="31" t="str">
        <f>'EQUITY BACKTEST'!A71</f>
        <v/>
      </c>
      <c r="B68" s="22" t="str">
        <f>'EQUITY BACKTEST'!B71</f>
        <v/>
      </c>
      <c r="C68" s="22" t="str">
        <f>1/'EQUITY BACKTEST'!E71</f>
        <v>#DIV/0!</v>
      </c>
      <c r="D68" s="22" t="str">
        <f t="shared" si="1"/>
        <v>#DIV/0!</v>
      </c>
      <c r="E68" s="22" t="str">
        <f t="shared" ref="E68:F68" si="68">IF(A68&lt;&gt;"", (B68 - B67) / B67, "")</f>
        <v/>
      </c>
      <c r="F68" s="22" t="str">
        <f t="shared" si="68"/>
        <v/>
      </c>
      <c r="H68" s="22" t="str">
        <f t="shared" si="4"/>
        <v/>
      </c>
    </row>
    <row r="69" ht="15.75" customHeight="1">
      <c r="A69" s="31" t="str">
        <f>'EQUITY BACKTEST'!A72</f>
        <v/>
      </c>
      <c r="B69" s="22" t="str">
        <f>'EQUITY BACKTEST'!B72</f>
        <v/>
      </c>
      <c r="C69" s="22" t="str">
        <f>1/'EQUITY BACKTEST'!E72</f>
        <v>#DIV/0!</v>
      </c>
      <c r="D69" s="22" t="str">
        <f t="shared" si="1"/>
        <v>#DIV/0!</v>
      </c>
      <c r="E69" s="22" t="str">
        <f t="shared" ref="E69:F69" si="69">IF(A69&lt;&gt;"", (B69 - B68) / B68, "")</f>
        <v/>
      </c>
      <c r="F69" s="22" t="str">
        <f t="shared" si="69"/>
        <v/>
      </c>
      <c r="H69" s="22" t="str">
        <f t="shared" si="4"/>
        <v/>
      </c>
    </row>
    <row r="70" ht="15.75" customHeight="1">
      <c r="A70" s="31" t="str">
        <f>'EQUITY BACKTEST'!A73</f>
        <v/>
      </c>
      <c r="B70" s="22" t="str">
        <f>'EQUITY BACKTEST'!B73</f>
        <v/>
      </c>
      <c r="C70" s="22" t="str">
        <f>1/'EQUITY BACKTEST'!E73</f>
        <v>#DIV/0!</v>
      </c>
      <c r="D70" s="22" t="str">
        <f t="shared" si="1"/>
        <v>#DIV/0!</v>
      </c>
      <c r="E70" s="22" t="str">
        <f t="shared" ref="E70:F70" si="70">IF(A70&lt;&gt;"", (B70 - B69) / B69, "")</f>
        <v/>
      </c>
      <c r="F70" s="22" t="str">
        <f t="shared" si="70"/>
        <v/>
      </c>
      <c r="H70" s="22" t="str">
        <f t="shared" si="4"/>
        <v/>
      </c>
    </row>
    <row r="71" ht="15.75" customHeight="1">
      <c r="A71" s="31" t="str">
        <f>'EQUITY BACKTEST'!A74</f>
        <v/>
      </c>
      <c r="B71" s="22" t="str">
        <f>'EQUITY BACKTEST'!B74</f>
        <v/>
      </c>
      <c r="C71" s="22" t="str">
        <f>1/'EQUITY BACKTEST'!E74</f>
        <v>#DIV/0!</v>
      </c>
      <c r="D71" s="22" t="str">
        <f t="shared" si="1"/>
        <v>#DIV/0!</v>
      </c>
      <c r="E71" s="22" t="str">
        <f t="shared" ref="E71:F71" si="71">IF(A71&lt;&gt;"", (B71 - B70) / B70, "")</f>
        <v/>
      </c>
      <c r="F71" s="22" t="str">
        <f t="shared" si="71"/>
        <v/>
      </c>
      <c r="H71" s="22" t="str">
        <f t="shared" si="4"/>
        <v/>
      </c>
    </row>
    <row r="72" ht="15.75" customHeight="1">
      <c r="A72" s="31" t="str">
        <f>'EQUITY BACKTEST'!A75</f>
        <v/>
      </c>
      <c r="B72" s="22" t="str">
        <f>'EQUITY BACKTEST'!B75</f>
        <v/>
      </c>
      <c r="C72" s="22" t="str">
        <f>1/'EQUITY BACKTEST'!E75</f>
        <v>#DIV/0!</v>
      </c>
      <c r="D72" s="22" t="str">
        <f t="shared" si="1"/>
        <v>#DIV/0!</v>
      </c>
      <c r="E72" s="22" t="str">
        <f t="shared" ref="E72:F72" si="72">IF(A72&lt;&gt;"", (B72 - B71) / B71, "")</f>
        <v/>
      </c>
      <c r="F72" s="22" t="str">
        <f t="shared" si="72"/>
        <v/>
      </c>
      <c r="H72" s="22" t="str">
        <f t="shared" si="4"/>
        <v/>
      </c>
    </row>
    <row r="73" ht="15.75" customHeight="1">
      <c r="A73" s="31" t="str">
        <f>'EQUITY BACKTEST'!A76</f>
        <v/>
      </c>
      <c r="B73" s="22" t="str">
        <f>'EQUITY BACKTEST'!B76</f>
        <v/>
      </c>
      <c r="C73" s="22" t="str">
        <f>1/'EQUITY BACKTEST'!E76</f>
        <v>#DIV/0!</v>
      </c>
      <c r="D73" s="22" t="str">
        <f t="shared" si="1"/>
        <v>#DIV/0!</v>
      </c>
      <c r="E73" s="22" t="str">
        <f t="shared" ref="E73:F73" si="73">IF(A73&lt;&gt;"", (B73 - B72) / B72, "")</f>
        <v/>
      </c>
      <c r="F73" s="22" t="str">
        <f t="shared" si="73"/>
        <v/>
      </c>
      <c r="H73" s="22" t="str">
        <f t="shared" si="4"/>
        <v/>
      </c>
    </row>
    <row r="74" ht="15.75" customHeight="1">
      <c r="A74" s="31" t="str">
        <f>'EQUITY BACKTEST'!A77</f>
        <v/>
      </c>
      <c r="B74" s="22" t="str">
        <f>'EQUITY BACKTEST'!B77</f>
        <v/>
      </c>
      <c r="C74" s="22" t="str">
        <f>1/'EQUITY BACKTEST'!E77</f>
        <v>#DIV/0!</v>
      </c>
      <c r="D74" s="22" t="str">
        <f t="shared" si="1"/>
        <v>#DIV/0!</v>
      </c>
      <c r="E74" s="22" t="str">
        <f t="shared" ref="E74:F74" si="74">IF(A74&lt;&gt;"", (B74 - B73) / B73, "")</f>
        <v/>
      </c>
      <c r="F74" s="22" t="str">
        <f t="shared" si="74"/>
        <v/>
      </c>
      <c r="H74" s="22" t="str">
        <f t="shared" si="4"/>
        <v/>
      </c>
    </row>
    <row r="75" ht="15.75" customHeight="1">
      <c r="A75" s="31" t="str">
        <f>'EQUITY BACKTEST'!A78</f>
        <v/>
      </c>
      <c r="B75" s="22" t="str">
        <f>'EQUITY BACKTEST'!B78</f>
        <v/>
      </c>
      <c r="C75" s="22" t="str">
        <f>1/'EQUITY BACKTEST'!E78</f>
        <v>#DIV/0!</v>
      </c>
      <c r="D75" s="22" t="str">
        <f t="shared" si="1"/>
        <v>#DIV/0!</v>
      </c>
      <c r="E75" s="22" t="str">
        <f t="shared" ref="E75:F75" si="75">IF(A75&lt;&gt;"", (B75 - B74) / B74, "")</f>
        <v/>
      </c>
      <c r="F75" s="22" t="str">
        <f t="shared" si="75"/>
        <v/>
      </c>
      <c r="H75" s="22" t="str">
        <f t="shared" si="4"/>
        <v/>
      </c>
    </row>
    <row r="76" ht="15.75" customHeight="1">
      <c r="A76" s="31" t="str">
        <f>'EQUITY BACKTEST'!A79</f>
        <v/>
      </c>
      <c r="B76" s="22" t="str">
        <f>'EQUITY BACKTEST'!B79</f>
        <v/>
      </c>
      <c r="C76" s="22" t="str">
        <f>1/'EQUITY BACKTEST'!E79</f>
        <v>#DIV/0!</v>
      </c>
      <c r="D76" s="22" t="str">
        <f t="shared" si="1"/>
        <v>#DIV/0!</v>
      </c>
      <c r="E76" s="22" t="str">
        <f t="shared" ref="E76:F76" si="76">IF(A76&lt;&gt;"", (B76 - B75) / B75, "")</f>
        <v/>
      </c>
      <c r="F76" s="22" t="str">
        <f t="shared" si="76"/>
        <v/>
      </c>
      <c r="H76" s="22" t="str">
        <f t="shared" si="4"/>
        <v/>
      </c>
    </row>
    <row r="77" ht="15.75" customHeight="1">
      <c r="A77" s="31" t="str">
        <f>'EQUITY BACKTEST'!A80</f>
        <v/>
      </c>
      <c r="B77" s="22" t="str">
        <f>'EQUITY BACKTEST'!B80</f>
        <v/>
      </c>
      <c r="C77" s="22" t="str">
        <f>1/'EQUITY BACKTEST'!E80</f>
        <v>#DIV/0!</v>
      </c>
      <c r="D77" s="22" t="str">
        <f t="shared" si="1"/>
        <v>#DIV/0!</v>
      </c>
      <c r="E77" s="22" t="str">
        <f t="shared" ref="E77:F77" si="77">IF(A77&lt;&gt;"", (B77 - B76) / B76, "")</f>
        <v/>
      </c>
      <c r="F77" s="22" t="str">
        <f t="shared" si="77"/>
        <v/>
      </c>
      <c r="H77" s="22" t="str">
        <f t="shared" si="4"/>
        <v/>
      </c>
    </row>
    <row r="78" ht="15.75" customHeight="1">
      <c r="A78" s="31" t="str">
        <f>'EQUITY BACKTEST'!A81</f>
        <v/>
      </c>
      <c r="B78" s="22" t="str">
        <f>'EQUITY BACKTEST'!B81</f>
        <v/>
      </c>
      <c r="C78" s="22" t="str">
        <f>1/'EQUITY BACKTEST'!E81</f>
        <v>#DIV/0!</v>
      </c>
      <c r="D78" s="22" t="str">
        <f t="shared" si="1"/>
        <v>#DIV/0!</v>
      </c>
      <c r="E78" s="22" t="str">
        <f t="shared" ref="E78:F78" si="78">IF(A78&lt;&gt;"", (B78 - B77) / B77, "")</f>
        <v/>
      </c>
      <c r="F78" s="22" t="str">
        <f t="shared" si="78"/>
        <v/>
      </c>
      <c r="H78" s="22" t="str">
        <f t="shared" si="4"/>
        <v/>
      </c>
    </row>
    <row r="79" ht="15.75" customHeight="1">
      <c r="A79" s="31" t="str">
        <f>'EQUITY BACKTEST'!A82</f>
        <v/>
      </c>
      <c r="B79" s="22" t="str">
        <f>'EQUITY BACKTEST'!B82</f>
        <v/>
      </c>
      <c r="C79" s="22" t="str">
        <f>1/'EQUITY BACKTEST'!E82</f>
        <v>#DIV/0!</v>
      </c>
      <c r="D79" s="22" t="str">
        <f t="shared" si="1"/>
        <v>#DIV/0!</v>
      </c>
      <c r="E79" s="22" t="str">
        <f t="shared" ref="E79:F79" si="79">IF(A79&lt;&gt;"", (B79 - B78) / B78, "")</f>
        <v/>
      </c>
      <c r="F79" s="22" t="str">
        <f t="shared" si="79"/>
        <v/>
      </c>
      <c r="H79" s="22" t="str">
        <f t="shared" si="4"/>
        <v/>
      </c>
    </row>
    <row r="80" ht="15.75" customHeight="1">
      <c r="A80" s="31" t="str">
        <f>'EQUITY BACKTEST'!A83</f>
        <v/>
      </c>
      <c r="B80" s="22" t="str">
        <f>'EQUITY BACKTEST'!B83</f>
        <v/>
      </c>
      <c r="C80" s="22" t="str">
        <f>1/'EQUITY BACKTEST'!E83</f>
        <v>#DIV/0!</v>
      </c>
      <c r="D80" s="22" t="str">
        <f t="shared" si="1"/>
        <v>#DIV/0!</v>
      </c>
      <c r="E80" s="22" t="str">
        <f t="shared" ref="E80:F80" si="80">IF(A80&lt;&gt;"", (B80 - B79) / B79, "")</f>
        <v/>
      </c>
      <c r="F80" s="22" t="str">
        <f t="shared" si="80"/>
        <v/>
      </c>
      <c r="H80" s="22" t="str">
        <f t="shared" si="4"/>
        <v/>
      </c>
    </row>
    <row r="81" ht="15.75" customHeight="1">
      <c r="A81" s="31" t="str">
        <f>'EQUITY BACKTEST'!A84</f>
        <v/>
      </c>
      <c r="B81" s="22" t="str">
        <f>'EQUITY BACKTEST'!B84</f>
        <v/>
      </c>
      <c r="C81" s="22" t="str">
        <f>1/'EQUITY BACKTEST'!E84</f>
        <v>#DIV/0!</v>
      </c>
      <c r="D81" s="22" t="str">
        <f t="shared" si="1"/>
        <v>#DIV/0!</v>
      </c>
      <c r="E81" s="22" t="str">
        <f t="shared" ref="E81:F81" si="81">IF(A81&lt;&gt;"", (B81 - B80) / B80, "")</f>
        <v/>
      </c>
      <c r="F81" s="22" t="str">
        <f t="shared" si="81"/>
        <v/>
      </c>
      <c r="H81" s="22" t="str">
        <f t="shared" si="4"/>
        <v/>
      </c>
    </row>
    <row r="82" ht="15.75" customHeight="1">
      <c r="A82" s="31" t="str">
        <f>'EQUITY BACKTEST'!A85</f>
        <v/>
      </c>
      <c r="B82" s="22" t="str">
        <f>'EQUITY BACKTEST'!B85</f>
        <v/>
      </c>
      <c r="C82" s="22" t="str">
        <f>1/'EQUITY BACKTEST'!E85</f>
        <v>#DIV/0!</v>
      </c>
      <c r="D82" s="22" t="str">
        <f t="shared" si="1"/>
        <v>#DIV/0!</v>
      </c>
      <c r="E82" s="22" t="str">
        <f t="shared" ref="E82:F82" si="82">IF(A82&lt;&gt;"", (B82 - B81) / B81, "")</f>
        <v/>
      </c>
      <c r="F82" s="22" t="str">
        <f t="shared" si="82"/>
        <v/>
      </c>
      <c r="H82" s="22" t="str">
        <f t="shared" si="4"/>
        <v/>
      </c>
    </row>
    <row r="83" ht="15.75" customHeight="1">
      <c r="A83" s="31" t="str">
        <f>'EQUITY BACKTEST'!A86</f>
        <v/>
      </c>
      <c r="B83" s="22" t="str">
        <f>'EQUITY BACKTEST'!B86</f>
        <v/>
      </c>
      <c r="C83" s="22" t="str">
        <f>1/'EQUITY BACKTEST'!E86</f>
        <v>#DIV/0!</v>
      </c>
      <c r="D83" s="22" t="str">
        <f t="shared" si="1"/>
        <v>#DIV/0!</v>
      </c>
      <c r="E83" s="22" t="str">
        <f t="shared" ref="E83:F83" si="83">IF(A83&lt;&gt;"", (B83 - B82) / B82, "")</f>
        <v/>
      </c>
      <c r="F83" s="22" t="str">
        <f t="shared" si="83"/>
        <v/>
      </c>
      <c r="H83" s="22" t="str">
        <f t="shared" si="4"/>
        <v/>
      </c>
    </row>
    <row r="84" ht="15.75" customHeight="1">
      <c r="A84" s="31" t="str">
        <f>'EQUITY BACKTEST'!A87</f>
        <v/>
      </c>
      <c r="B84" s="22" t="str">
        <f>'EQUITY BACKTEST'!B87</f>
        <v/>
      </c>
      <c r="C84" s="22" t="str">
        <f>1/'EQUITY BACKTEST'!E87</f>
        <v>#DIV/0!</v>
      </c>
      <c r="D84" s="22" t="str">
        <f t="shared" si="1"/>
        <v>#DIV/0!</v>
      </c>
      <c r="E84" s="22" t="str">
        <f t="shared" ref="E84:F84" si="84">IF(A84&lt;&gt;"", (B84 - B83) / B83, "")</f>
        <v/>
      </c>
      <c r="F84" s="22" t="str">
        <f t="shared" si="84"/>
        <v/>
      </c>
      <c r="H84" s="22" t="str">
        <f t="shared" si="4"/>
        <v/>
      </c>
    </row>
    <row r="85" ht="15.75" customHeight="1">
      <c r="A85" s="31" t="str">
        <f>'EQUITY BACKTEST'!A88</f>
        <v/>
      </c>
      <c r="B85" s="22" t="str">
        <f>'EQUITY BACKTEST'!B88</f>
        <v/>
      </c>
      <c r="C85" s="22" t="str">
        <f>1/'EQUITY BACKTEST'!E88</f>
        <v>#DIV/0!</v>
      </c>
      <c r="D85" s="22" t="str">
        <f t="shared" si="1"/>
        <v>#DIV/0!</v>
      </c>
      <c r="E85" s="22" t="str">
        <f t="shared" ref="E85:F85" si="85">IF(A85&lt;&gt;"", (B85 - B84) / B84, "")</f>
        <v/>
      </c>
      <c r="F85" s="22" t="str">
        <f t="shared" si="85"/>
        <v/>
      </c>
      <c r="H85" s="22" t="str">
        <f t="shared" si="4"/>
        <v/>
      </c>
    </row>
    <row r="86" ht="15.75" customHeight="1">
      <c r="A86" s="31" t="str">
        <f>'EQUITY BACKTEST'!A89</f>
        <v/>
      </c>
      <c r="B86" s="22" t="str">
        <f>'EQUITY BACKTEST'!B89</f>
        <v/>
      </c>
      <c r="C86" s="22" t="str">
        <f>1/'EQUITY BACKTEST'!E89</f>
        <v>#DIV/0!</v>
      </c>
      <c r="D86" s="22" t="str">
        <f t="shared" si="1"/>
        <v>#DIV/0!</v>
      </c>
      <c r="E86" s="22" t="str">
        <f t="shared" ref="E86:F86" si="86">IF(A86&lt;&gt;"", (B86 - B85) / B85, "")</f>
        <v/>
      </c>
      <c r="F86" s="22" t="str">
        <f t="shared" si="86"/>
        <v/>
      </c>
      <c r="H86" s="22" t="str">
        <f t="shared" si="4"/>
        <v/>
      </c>
    </row>
    <row r="87" ht="15.75" customHeight="1">
      <c r="A87" s="31" t="str">
        <f>'EQUITY BACKTEST'!A90</f>
        <v/>
      </c>
      <c r="B87" s="22" t="str">
        <f>'EQUITY BACKTEST'!B90</f>
        <v/>
      </c>
      <c r="C87" s="22" t="str">
        <f>1/'EQUITY BACKTEST'!E90</f>
        <v>#DIV/0!</v>
      </c>
      <c r="D87" s="22" t="str">
        <f t="shared" si="1"/>
        <v>#DIV/0!</v>
      </c>
      <c r="E87" s="22" t="str">
        <f t="shared" ref="E87:F87" si="87">IF(A87&lt;&gt;"", (B87 - B86) / B86, "")</f>
        <v/>
      </c>
      <c r="F87" s="22" t="str">
        <f t="shared" si="87"/>
        <v/>
      </c>
      <c r="H87" s="22" t="str">
        <f t="shared" si="4"/>
        <v/>
      </c>
    </row>
    <row r="88" ht="15.75" customHeight="1">
      <c r="A88" s="31" t="str">
        <f>'EQUITY BACKTEST'!A91</f>
        <v/>
      </c>
      <c r="B88" s="22" t="str">
        <f>'EQUITY BACKTEST'!B91</f>
        <v/>
      </c>
      <c r="C88" s="22" t="str">
        <f>1/'EQUITY BACKTEST'!E91</f>
        <v>#DIV/0!</v>
      </c>
      <c r="D88" s="22" t="str">
        <f t="shared" si="1"/>
        <v>#DIV/0!</v>
      </c>
      <c r="E88" s="22" t="str">
        <f t="shared" ref="E88:F88" si="88">IF(A88&lt;&gt;"", (B88 - B87) / B87, "")</f>
        <v/>
      </c>
      <c r="F88" s="22" t="str">
        <f t="shared" si="88"/>
        <v/>
      </c>
      <c r="H88" s="22" t="str">
        <f t="shared" si="4"/>
        <v/>
      </c>
    </row>
    <row r="89" ht="15.75" customHeight="1">
      <c r="A89" s="31" t="str">
        <f>'EQUITY BACKTEST'!A92</f>
        <v/>
      </c>
      <c r="B89" s="22" t="str">
        <f>'EQUITY BACKTEST'!B92</f>
        <v/>
      </c>
      <c r="C89" s="22" t="str">
        <f>1/'EQUITY BACKTEST'!E92</f>
        <v>#DIV/0!</v>
      </c>
      <c r="D89" s="22" t="str">
        <f t="shared" si="1"/>
        <v>#DIV/0!</v>
      </c>
      <c r="E89" s="22" t="str">
        <f t="shared" ref="E89:F89" si="89">IF(A89&lt;&gt;"", (B89 - B88) / B88, "")</f>
        <v/>
      </c>
      <c r="F89" s="22" t="str">
        <f t="shared" si="89"/>
        <v/>
      </c>
      <c r="H89" s="22" t="str">
        <f t="shared" si="4"/>
        <v/>
      </c>
    </row>
    <row r="90" ht="15.75" customHeight="1">
      <c r="A90" s="31" t="str">
        <f>'EQUITY BACKTEST'!A93</f>
        <v/>
      </c>
      <c r="B90" s="22" t="str">
        <f>'EQUITY BACKTEST'!B93</f>
        <v/>
      </c>
      <c r="C90" s="22" t="str">
        <f>1/'EQUITY BACKTEST'!E93</f>
        <v>#DIV/0!</v>
      </c>
      <c r="D90" s="22" t="str">
        <f t="shared" si="1"/>
        <v>#DIV/0!</v>
      </c>
      <c r="E90" s="22" t="str">
        <f t="shared" ref="E90:F90" si="90">IF(A90&lt;&gt;"", (B90 - B89) / B89, "")</f>
        <v/>
      </c>
      <c r="F90" s="22" t="str">
        <f t="shared" si="90"/>
        <v/>
      </c>
      <c r="H90" s="22" t="str">
        <f t="shared" si="4"/>
        <v/>
      </c>
    </row>
    <row r="91" ht="15.75" customHeight="1">
      <c r="A91" s="31" t="str">
        <f>'EQUITY BACKTEST'!A94</f>
        <v/>
      </c>
      <c r="B91" s="22" t="str">
        <f>'EQUITY BACKTEST'!B94</f>
        <v/>
      </c>
      <c r="C91" s="22" t="str">
        <f>1/'EQUITY BACKTEST'!E94</f>
        <v>#DIV/0!</v>
      </c>
      <c r="D91" s="22" t="str">
        <f t="shared" si="1"/>
        <v>#DIV/0!</v>
      </c>
      <c r="E91" s="22" t="str">
        <f t="shared" ref="E91:F91" si="91">IF(A91&lt;&gt;"", (B91 - B90) / B90, "")</f>
        <v/>
      </c>
      <c r="F91" s="22" t="str">
        <f t="shared" si="91"/>
        <v/>
      </c>
      <c r="H91" s="22" t="str">
        <f t="shared" si="4"/>
        <v/>
      </c>
    </row>
    <row r="92" ht="15.75" customHeight="1">
      <c r="A92" s="31" t="str">
        <f>'EQUITY BACKTEST'!A95</f>
        <v/>
      </c>
      <c r="B92" s="22" t="str">
        <f>'EQUITY BACKTEST'!B95</f>
        <v/>
      </c>
      <c r="C92" s="22" t="str">
        <f>1/'EQUITY BACKTEST'!E95</f>
        <v>#DIV/0!</v>
      </c>
      <c r="D92" s="22" t="str">
        <f t="shared" si="1"/>
        <v>#DIV/0!</v>
      </c>
      <c r="E92" s="22" t="str">
        <f t="shared" ref="E92:F92" si="92">IF(A92&lt;&gt;"", (B92 - B91) / B91, "")</f>
        <v/>
      </c>
      <c r="F92" s="22" t="str">
        <f t="shared" si="92"/>
        <v/>
      </c>
      <c r="H92" s="22" t="str">
        <f t="shared" si="4"/>
        <v/>
      </c>
    </row>
    <row r="93" ht="15.75" customHeight="1">
      <c r="A93" s="31" t="str">
        <f>'EQUITY BACKTEST'!A96</f>
        <v/>
      </c>
      <c r="B93" s="22" t="str">
        <f>'EQUITY BACKTEST'!B96</f>
        <v/>
      </c>
      <c r="C93" s="22" t="str">
        <f>1/'EQUITY BACKTEST'!E96</f>
        <v>#DIV/0!</v>
      </c>
      <c r="D93" s="22" t="str">
        <f t="shared" si="1"/>
        <v>#DIV/0!</v>
      </c>
      <c r="E93" s="22" t="str">
        <f t="shared" ref="E93:F93" si="93">IF(A93&lt;&gt;"", (B93 - B92) / B92, "")</f>
        <v/>
      </c>
      <c r="F93" s="22" t="str">
        <f t="shared" si="93"/>
        <v/>
      </c>
      <c r="H93" s="22" t="str">
        <f t="shared" si="4"/>
        <v/>
      </c>
    </row>
    <row r="94" ht="15.75" customHeight="1">
      <c r="A94" s="31" t="str">
        <f>'EQUITY BACKTEST'!A97</f>
        <v/>
      </c>
      <c r="B94" s="22" t="str">
        <f>'EQUITY BACKTEST'!B97</f>
        <v/>
      </c>
      <c r="C94" s="22" t="str">
        <f>1/'EQUITY BACKTEST'!E97</f>
        <v>#DIV/0!</v>
      </c>
      <c r="D94" s="22" t="str">
        <f t="shared" si="1"/>
        <v>#DIV/0!</v>
      </c>
      <c r="E94" s="22" t="str">
        <f t="shared" ref="E94:F94" si="94">IF(A94&lt;&gt;"", (B94 - B93) / B93, "")</f>
        <v/>
      </c>
      <c r="F94" s="22" t="str">
        <f t="shared" si="94"/>
        <v/>
      </c>
      <c r="H94" s="22" t="str">
        <f t="shared" si="4"/>
        <v/>
      </c>
    </row>
    <row r="95" ht="15.75" customHeight="1">
      <c r="A95" s="31" t="str">
        <f>'EQUITY BACKTEST'!A98</f>
        <v/>
      </c>
      <c r="B95" s="22" t="str">
        <f>'EQUITY BACKTEST'!B98</f>
        <v/>
      </c>
      <c r="C95" s="22" t="str">
        <f>1/'EQUITY BACKTEST'!E98</f>
        <v>#DIV/0!</v>
      </c>
      <c r="D95" s="22" t="str">
        <f t="shared" si="1"/>
        <v>#DIV/0!</v>
      </c>
      <c r="E95" s="22" t="str">
        <f t="shared" ref="E95:F95" si="95">IF(A95&lt;&gt;"", (B95 - B94) / B94, "")</f>
        <v/>
      </c>
      <c r="F95" s="22" t="str">
        <f t="shared" si="95"/>
        <v/>
      </c>
      <c r="H95" s="22" t="str">
        <f t="shared" si="4"/>
        <v/>
      </c>
    </row>
    <row r="96" ht="15.75" customHeight="1">
      <c r="A96" s="31" t="str">
        <f>'EQUITY BACKTEST'!A99</f>
        <v/>
      </c>
      <c r="B96" s="22" t="str">
        <f>'EQUITY BACKTEST'!B99</f>
        <v/>
      </c>
      <c r="C96" s="22" t="str">
        <f>1/'EQUITY BACKTEST'!E99</f>
        <v>#DIV/0!</v>
      </c>
      <c r="D96" s="22" t="str">
        <f t="shared" si="1"/>
        <v>#DIV/0!</v>
      </c>
      <c r="E96" s="22" t="str">
        <f t="shared" ref="E96:F96" si="96">IF(A96&lt;&gt;"", (B96 - B95) / B95, "")</f>
        <v/>
      </c>
      <c r="F96" s="22" t="str">
        <f t="shared" si="96"/>
        <v/>
      </c>
      <c r="H96" s="22" t="str">
        <f t="shared" si="4"/>
        <v/>
      </c>
    </row>
    <row r="97" ht="15.75" customHeight="1">
      <c r="A97" s="31" t="str">
        <f>'EQUITY BACKTEST'!A100</f>
        <v/>
      </c>
      <c r="B97" s="22" t="str">
        <f>'EQUITY BACKTEST'!B100</f>
        <v/>
      </c>
      <c r="C97" s="22" t="str">
        <f>1/'EQUITY BACKTEST'!E100</f>
        <v>#DIV/0!</v>
      </c>
      <c r="D97" s="22" t="str">
        <f t="shared" si="1"/>
        <v>#DIV/0!</v>
      </c>
      <c r="E97" s="22" t="str">
        <f t="shared" ref="E97:F97" si="97">IF(A97&lt;&gt;"", (B97 - B96) / B96, "")</f>
        <v/>
      </c>
      <c r="F97" s="22" t="str">
        <f t="shared" si="97"/>
        <v/>
      </c>
      <c r="H97" s="22" t="str">
        <f t="shared" si="4"/>
        <v/>
      </c>
    </row>
    <row r="98" ht="15.75" customHeight="1">
      <c r="A98" s="31" t="str">
        <f>'EQUITY BACKTEST'!A101</f>
        <v/>
      </c>
      <c r="B98" s="22" t="str">
        <f>'EQUITY BACKTEST'!B101</f>
        <v/>
      </c>
      <c r="C98" s="22" t="str">
        <f>1/'EQUITY BACKTEST'!E101</f>
        <v>#DIV/0!</v>
      </c>
      <c r="D98" s="22" t="str">
        <f t="shared" si="1"/>
        <v>#DIV/0!</v>
      </c>
      <c r="E98" s="22" t="str">
        <f t="shared" ref="E98:F98" si="98">IF(A98&lt;&gt;"", (B98 - B97) / B97, "")</f>
        <v/>
      </c>
      <c r="F98" s="22" t="str">
        <f t="shared" si="98"/>
        <v/>
      </c>
      <c r="H98" s="22" t="str">
        <f t="shared" si="4"/>
        <v/>
      </c>
    </row>
    <row r="99" ht="15.75" customHeight="1">
      <c r="A99" s="31" t="str">
        <f>'EQUITY BACKTEST'!A102</f>
        <v/>
      </c>
      <c r="B99" s="22" t="str">
        <f>'EQUITY BACKTEST'!B102</f>
        <v/>
      </c>
      <c r="C99" s="22" t="str">
        <f>1/'EQUITY BACKTEST'!E102</f>
        <v>#DIV/0!</v>
      </c>
      <c r="D99" s="22" t="str">
        <f t="shared" si="1"/>
        <v>#DIV/0!</v>
      </c>
      <c r="E99" s="22" t="str">
        <f t="shared" ref="E99:F99" si="99">IF(A99&lt;&gt;"", (B99 - B98) / B98, "")</f>
        <v/>
      </c>
      <c r="F99" s="22" t="str">
        <f t="shared" si="99"/>
        <v/>
      </c>
      <c r="H99" s="22" t="str">
        <f t="shared" si="4"/>
        <v/>
      </c>
    </row>
    <row r="100" ht="15.75" customHeight="1">
      <c r="A100" s="31" t="str">
        <f>'EQUITY BACKTEST'!A103</f>
        <v/>
      </c>
      <c r="B100" s="22" t="str">
        <f>'EQUITY BACKTEST'!B103</f>
        <v/>
      </c>
      <c r="C100" s="22" t="str">
        <f>1/'EQUITY BACKTEST'!E103</f>
        <v>#DIV/0!</v>
      </c>
      <c r="D100" s="22" t="str">
        <f t="shared" si="1"/>
        <v>#DIV/0!</v>
      </c>
      <c r="E100" s="22" t="str">
        <f t="shared" ref="E100:F100" si="100">IF(A100&lt;&gt;"", (B100 - B99) / B99, "")</f>
        <v/>
      </c>
      <c r="F100" s="22" t="str">
        <f t="shared" si="100"/>
        <v/>
      </c>
      <c r="H100" s="22" t="str">
        <f t="shared" si="4"/>
        <v/>
      </c>
    </row>
    <row r="101" ht="15.75" customHeight="1">
      <c r="A101" s="31" t="str">
        <f>'EQUITY BACKTEST'!A104</f>
        <v/>
      </c>
      <c r="B101" s="22" t="str">
        <f>'EQUITY BACKTEST'!B104</f>
        <v/>
      </c>
      <c r="C101" s="22" t="str">
        <f>1/'EQUITY BACKTEST'!E104</f>
        <v>#DIV/0!</v>
      </c>
      <c r="D101" s="22" t="str">
        <f t="shared" si="1"/>
        <v>#DIV/0!</v>
      </c>
      <c r="E101" s="22" t="str">
        <f t="shared" ref="E101:F101" si="101">IF(A101&lt;&gt;"", (B101 - B100) / B100, "")</f>
        <v/>
      </c>
      <c r="F101" s="22" t="str">
        <f t="shared" si="101"/>
        <v/>
      </c>
      <c r="H101" s="22" t="str">
        <f t="shared" si="4"/>
        <v/>
      </c>
    </row>
    <row r="102" ht="15.75" customHeight="1">
      <c r="A102" s="31" t="str">
        <f>'EQUITY BACKTEST'!A105</f>
        <v/>
      </c>
      <c r="B102" s="22" t="str">
        <f>'EQUITY BACKTEST'!B105</f>
        <v/>
      </c>
      <c r="C102" s="22" t="str">
        <f>1/'EQUITY BACKTEST'!E105</f>
        <v>#DIV/0!</v>
      </c>
      <c r="D102" s="22" t="str">
        <f t="shared" si="1"/>
        <v>#DIV/0!</v>
      </c>
      <c r="E102" s="22" t="str">
        <f t="shared" ref="E102:F102" si="102">IF(A102&lt;&gt;"", (B102 - B101) / B101, "")</f>
        <v/>
      </c>
      <c r="F102" s="22" t="str">
        <f t="shared" si="102"/>
        <v/>
      </c>
      <c r="H102" s="22" t="str">
        <f t="shared" si="4"/>
        <v/>
      </c>
    </row>
    <row r="103" ht="15.75" customHeight="1">
      <c r="A103" s="31" t="str">
        <f>'EQUITY BACKTEST'!A106</f>
        <v/>
      </c>
      <c r="B103" s="22" t="str">
        <f>'EQUITY BACKTEST'!B106</f>
        <v/>
      </c>
      <c r="C103" s="22" t="str">
        <f>1/'EQUITY BACKTEST'!E106</f>
        <v>#DIV/0!</v>
      </c>
      <c r="D103" s="22" t="str">
        <f t="shared" si="1"/>
        <v>#DIV/0!</v>
      </c>
      <c r="E103" s="22" t="str">
        <f t="shared" ref="E103:F103" si="103">IF(A103&lt;&gt;"", (B103 - B102) / B102, "")</f>
        <v/>
      </c>
      <c r="F103" s="22" t="str">
        <f t="shared" si="103"/>
        <v/>
      </c>
      <c r="H103" s="22" t="str">
        <f t="shared" si="4"/>
        <v/>
      </c>
    </row>
    <row r="104" ht="15.75" customHeight="1">
      <c r="A104" s="31" t="str">
        <f>'EQUITY BACKTEST'!A107</f>
        <v/>
      </c>
      <c r="B104" s="22" t="str">
        <f>'EQUITY BACKTEST'!B107</f>
        <v/>
      </c>
      <c r="C104" s="22" t="str">
        <f>1/'EQUITY BACKTEST'!E107</f>
        <v>#DIV/0!</v>
      </c>
      <c r="D104" s="22" t="str">
        <f t="shared" si="1"/>
        <v>#DIV/0!</v>
      </c>
      <c r="E104" s="22" t="str">
        <f t="shared" ref="E104:F104" si="104">IF(A104&lt;&gt;"", (B104 - B103) / B103, "")</f>
        <v/>
      </c>
      <c r="F104" s="22" t="str">
        <f t="shared" si="104"/>
        <v/>
      </c>
      <c r="H104" s="22" t="str">
        <f t="shared" si="4"/>
        <v/>
      </c>
    </row>
    <row r="105" ht="15.75" customHeight="1">
      <c r="A105" s="31" t="str">
        <f>'EQUITY BACKTEST'!A108</f>
        <v/>
      </c>
      <c r="B105" s="22" t="str">
        <f>'EQUITY BACKTEST'!B108</f>
        <v/>
      </c>
      <c r="C105" s="22" t="str">
        <f>1/'EQUITY BACKTEST'!E108</f>
        <v>#DIV/0!</v>
      </c>
      <c r="D105" s="22" t="str">
        <f t="shared" si="1"/>
        <v>#DIV/0!</v>
      </c>
      <c r="E105" s="22" t="str">
        <f t="shared" ref="E105:F105" si="105">IF(A105&lt;&gt;"", (B105 - B104) / B104, "")</f>
        <v/>
      </c>
      <c r="F105" s="22" t="str">
        <f t="shared" si="105"/>
        <v/>
      </c>
      <c r="H105" s="22" t="str">
        <f t="shared" si="4"/>
        <v/>
      </c>
    </row>
    <row r="106" ht="15.75" customHeight="1">
      <c r="A106" s="31" t="str">
        <f>'EQUITY BACKTEST'!A109</f>
        <v/>
      </c>
      <c r="B106" s="22" t="str">
        <f>'EQUITY BACKTEST'!B109</f>
        <v/>
      </c>
      <c r="C106" s="22" t="str">
        <f>1/'EQUITY BACKTEST'!E109</f>
        <v>#DIV/0!</v>
      </c>
      <c r="D106" s="22" t="str">
        <f t="shared" si="1"/>
        <v>#DIV/0!</v>
      </c>
      <c r="E106" s="22" t="str">
        <f t="shared" ref="E106:F106" si="106">IF(A106&lt;&gt;"", (B106 - B105) / B105, "")</f>
        <v/>
      </c>
      <c r="F106" s="22" t="str">
        <f t="shared" si="106"/>
        <v/>
      </c>
      <c r="H106" s="22" t="str">
        <f t="shared" si="4"/>
        <v/>
      </c>
    </row>
    <row r="107" ht="15.75" customHeight="1">
      <c r="A107" s="31" t="str">
        <f>'EQUITY BACKTEST'!A110</f>
        <v/>
      </c>
      <c r="B107" s="22" t="str">
        <f>'EQUITY BACKTEST'!B110</f>
        <v/>
      </c>
      <c r="C107" s="22" t="str">
        <f>1/'EQUITY BACKTEST'!E110</f>
        <v>#DIV/0!</v>
      </c>
      <c r="D107" s="22" t="str">
        <f t="shared" si="1"/>
        <v>#DIV/0!</v>
      </c>
      <c r="E107" s="22" t="str">
        <f t="shared" ref="E107:F107" si="107">IF(A107&lt;&gt;"", (B107 - B106) / B106, "")</f>
        <v/>
      </c>
      <c r="F107" s="22" t="str">
        <f t="shared" si="107"/>
        <v/>
      </c>
      <c r="H107" s="22" t="str">
        <f t="shared" si="4"/>
        <v/>
      </c>
    </row>
    <row r="108" ht="15.75" customHeight="1">
      <c r="A108" s="31" t="str">
        <f>'EQUITY BACKTEST'!A111</f>
        <v/>
      </c>
      <c r="B108" s="22" t="str">
        <f>'EQUITY BACKTEST'!B111</f>
        <v/>
      </c>
      <c r="C108" s="22" t="str">
        <f>1/'EQUITY BACKTEST'!E111</f>
        <v>#DIV/0!</v>
      </c>
      <c r="D108" s="22" t="str">
        <f t="shared" si="1"/>
        <v>#DIV/0!</v>
      </c>
      <c r="E108" s="22" t="str">
        <f t="shared" ref="E108:F108" si="108">IF(A108&lt;&gt;"", (B108 - B107) / B107, "")</f>
        <v/>
      </c>
      <c r="F108" s="22" t="str">
        <f t="shared" si="108"/>
        <v/>
      </c>
      <c r="H108" s="22" t="str">
        <f t="shared" si="4"/>
        <v/>
      </c>
    </row>
    <row r="109" ht="15.75" customHeight="1">
      <c r="A109" s="31" t="str">
        <f>'EQUITY BACKTEST'!A112</f>
        <v/>
      </c>
      <c r="B109" s="22" t="str">
        <f>'EQUITY BACKTEST'!B112</f>
        <v/>
      </c>
      <c r="C109" s="22" t="str">
        <f>1/'EQUITY BACKTEST'!E112</f>
        <v>#DIV/0!</v>
      </c>
      <c r="D109" s="22" t="str">
        <f t="shared" si="1"/>
        <v>#DIV/0!</v>
      </c>
      <c r="E109" s="22" t="str">
        <f t="shared" ref="E109:F109" si="109">IF(A109&lt;&gt;"", (B109 - B108) / B108, "")</f>
        <v/>
      </c>
      <c r="F109" s="22" t="str">
        <f t="shared" si="109"/>
        <v/>
      </c>
      <c r="H109" s="22" t="str">
        <f t="shared" si="4"/>
        <v/>
      </c>
    </row>
    <row r="110" ht="15.75" customHeight="1">
      <c r="A110" s="31" t="str">
        <f>'EQUITY BACKTEST'!A113</f>
        <v/>
      </c>
      <c r="B110" s="22" t="str">
        <f>'EQUITY BACKTEST'!B113</f>
        <v/>
      </c>
      <c r="C110" s="22" t="str">
        <f>1/'EQUITY BACKTEST'!E113</f>
        <v>#DIV/0!</v>
      </c>
      <c r="D110" s="22" t="str">
        <f t="shared" si="1"/>
        <v>#DIV/0!</v>
      </c>
      <c r="E110" s="22" t="str">
        <f t="shared" ref="E110:F110" si="110">IF(A110&lt;&gt;"", (B110 - B109) / B109, "")</f>
        <v/>
      </c>
      <c r="F110" s="22" t="str">
        <f t="shared" si="110"/>
        <v/>
      </c>
      <c r="H110" s="22" t="str">
        <f t="shared" si="4"/>
        <v/>
      </c>
    </row>
    <row r="111" ht="15.75" customHeight="1">
      <c r="A111" s="31" t="str">
        <f>'EQUITY BACKTEST'!A114</f>
        <v/>
      </c>
      <c r="B111" s="22" t="str">
        <f>'EQUITY BACKTEST'!B114</f>
        <v/>
      </c>
      <c r="C111" s="22" t="str">
        <f>1/'EQUITY BACKTEST'!E114</f>
        <v>#DIV/0!</v>
      </c>
      <c r="D111" s="22" t="str">
        <f t="shared" si="1"/>
        <v>#DIV/0!</v>
      </c>
      <c r="E111" s="22" t="str">
        <f t="shared" ref="E111:F111" si="111">IF(A111&lt;&gt;"", (B111 - B110) / B110, "")</f>
        <v/>
      </c>
      <c r="F111" s="22" t="str">
        <f t="shared" si="111"/>
        <v/>
      </c>
      <c r="H111" s="22" t="str">
        <f t="shared" si="4"/>
        <v/>
      </c>
    </row>
    <row r="112" ht="15.75" customHeight="1">
      <c r="A112" s="31" t="str">
        <f>'EQUITY BACKTEST'!A115</f>
        <v/>
      </c>
      <c r="B112" s="22" t="str">
        <f>'EQUITY BACKTEST'!B115</f>
        <v/>
      </c>
      <c r="C112" s="22" t="str">
        <f>1/'EQUITY BACKTEST'!E115</f>
        <v>#DIV/0!</v>
      </c>
      <c r="D112" s="22" t="str">
        <f t="shared" si="1"/>
        <v>#DIV/0!</v>
      </c>
      <c r="E112" s="22" t="str">
        <f t="shared" ref="E112:F112" si="112">IF(A112&lt;&gt;"", (B112 - B111) / B111, "")</f>
        <v/>
      </c>
      <c r="F112" s="22" t="str">
        <f t="shared" si="112"/>
        <v/>
      </c>
      <c r="H112" s="22" t="str">
        <f t="shared" si="4"/>
        <v/>
      </c>
    </row>
    <row r="113" ht="15.75" customHeight="1">
      <c r="A113" s="31" t="str">
        <f>'EQUITY BACKTEST'!A116</f>
        <v/>
      </c>
      <c r="B113" s="22" t="str">
        <f>'EQUITY BACKTEST'!B116</f>
        <v/>
      </c>
      <c r="C113" s="22" t="str">
        <f>1/'EQUITY BACKTEST'!E116</f>
        <v>#DIV/0!</v>
      </c>
      <c r="D113" s="22" t="str">
        <f t="shared" si="1"/>
        <v>#DIV/0!</v>
      </c>
      <c r="E113" s="22" t="str">
        <f t="shared" ref="E113:F113" si="113">IF(A113&lt;&gt;"", (B113 - B112) / B112, "")</f>
        <v/>
      </c>
      <c r="F113" s="22" t="str">
        <f t="shared" si="113"/>
        <v/>
      </c>
      <c r="H113" s="22" t="str">
        <f t="shared" si="4"/>
        <v/>
      </c>
    </row>
    <row r="114" ht="15.75" customHeight="1">
      <c r="A114" s="31" t="str">
        <f>'EQUITY BACKTEST'!A117</f>
        <v/>
      </c>
      <c r="B114" s="22" t="str">
        <f>'EQUITY BACKTEST'!B117</f>
        <v/>
      </c>
      <c r="C114" s="22" t="str">
        <f>1/'EQUITY BACKTEST'!E117</f>
        <v>#DIV/0!</v>
      </c>
      <c r="D114" s="22" t="str">
        <f t="shared" si="1"/>
        <v>#DIV/0!</v>
      </c>
      <c r="E114" s="22" t="str">
        <f t="shared" ref="E114:F114" si="114">IF(A114&lt;&gt;"", (B114 - B113) / B113, "")</f>
        <v/>
      </c>
      <c r="F114" s="22" t="str">
        <f t="shared" si="114"/>
        <v/>
      </c>
      <c r="H114" s="22" t="str">
        <f t="shared" si="4"/>
        <v/>
      </c>
    </row>
    <row r="115" ht="15.75" customHeight="1">
      <c r="A115" s="31" t="str">
        <f>'EQUITY BACKTEST'!A118</f>
        <v/>
      </c>
      <c r="B115" s="22" t="str">
        <f>'EQUITY BACKTEST'!B118</f>
        <v/>
      </c>
      <c r="C115" s="22" t="str">
        <f>1/'EQUITY BACKTEST'!E118</f>
        <v>#DIV/0!</v>
      </c>
      <c r="D115" s="22" t="str">
        <f t="shared" si="1"/>
        <v>#DIV/0!</v>
      </c>
      <c r="E115" s="22" t="str">
        <f t="shared" ref="E115:F115" si="115">IF(A115&lt;&gt;"", (B115 - B114) / B114, "")</f>
        <v/>
      </c>
      <c r="F115" s="22" t="str">
        <f t="shared" si="115"/>
        <v/>
      </c>
      <c r="H115" s="22" t="str">
        <f t="shared" si="4"/>
        <v/>
      </c>
    </row>
    <row r="116" ht="15.75" customHeight="1">
      <c r="A116" s="31" t="str">
        <f>'EQUITY BACKTEST'!A119</f>
        <v/>
      </c>
      <c r="B116" s="22" t="str">
        <f>'EQUITY BACKTEST'!B119</f>
        <v/>
      </c>
      <c r="C116" s="22" t="str">
        <f>1/'EQUITY BACKTEST'!E119</f>
        <v>#DIV/0!</v>
      </c>
      <c r="D116" s="22" t="str">
        <f t="shared" si="1"/>
        <v>#DIV/0!</v>
      </c>
      <c r="E116" s="22" t="str">
        <f t="shared" ref="E116:F116" si="116">IF(A116&lt;&gt;"", (B116 - B115) / B115, "")</f>
        <v/>
      </c>
      <c r="F116" s="22" t="str">
        <f t="shared" si="116"/>
        <v/>
      </c>
      <c r="H116" s="22" t="str">
        <f t="shared" si="4"/>
        <v/>
      </c>
    </row>
    <row r="117" ht="15.75" customHeight="1">
      <c r="A117" s="31" t="str">
        <f>'EQUITY BACKTEST'!A120</f>
        <v/>
      </c>
      <c r="B117" s="22" t="str">
        <f>'EQUITY BACKTEST'!B120</f>
        <v/>
      </c>
      <c r="C117" s="22" t="str">
        <f>1/'EQUITY BACKTEST'!E120</f>
        <v>#DIV/0!</v>
      </c>
      <c r="D117" s="22" t="str">
        <f t="shared" si="1"/>
        <v>#DIV/0!</v>
      </c>
      <c r="E117" s="22" t="str">
        <f t="shared" ref="E117:F117" si="117">IF(A117&lt;&gt;"", (B117 - B116) / B116, "")</f>
        <v/>
      </c>
      <c r="F117" s="22" t="str">
        <f t="shared" si="117"/>
        <v/>
      </c>
      <c r="H117" s="22" t="str">
        <f t="shared" si="4"/>
        <v/>
      </c>
    </row>
    <row r="118" ht="15.75" customHeight="1">
      <c r="A118" s="31" t="str">
        <f>'EQUITY BACKTEST'!A121</f>
        <v/>
      </c>
      <c r="B118" s="22" t="str">
        <f>'EQUITY BACKTEST'!B121</f>
        <v/>
      </c>
      <c r="C118" s="22" t="str">
        <f>1/'EQUITY BACKTEST'!E121</f>
        <v>#DIV/0!</v>
      </c>
      <c r="D118" s="22" t="str">
        <f t="shared" si="1"/>
        <v>#DIV/0!</v>
      </c>
      <c r="E118" s="22" t="str">
        <f t="shared" ref="E118:F118" si="118">IF(A118&lt;&gt;"", (B118 - B117) / B117, "")</f>
        <v/>
      </c>
      <c r="F118" s="22" t="str">
        <f t="shared" si="118"/>
        <v/>
      </c>
      <c r="H118" s="22" t="str">
        <f t="shared" si="4"/>
        <v/>
      </c>
    </row>
    <row r="119" ht="15.75" customHeight="1">
      <c r="A119" s="31" t="str">
        <f>'EQUITY BACKTEST'!A122</f>
        <v/>
      </c>
      <c r="B119" s="22" t="str">
        <f>'EQUITY BACKTEST'!B122</f>
        <v/>
      </c>
      <c r="C119" s="22" t="str">
        <f>1/'EQUITY BACKTEST'!E122</f>
        <v>#DIV/0!</v>
      </c>
      <c r="D119" s="22" t="str">
        <f t="shared" si="1"/>
        <v>#DIV/0!</v>
      </c>
      <c r="E119" s="22" t="str">
        <f t="shared" ref="E119:F119" si="119">IF(A119&lt;&gt;"", (B119 - B118) / B118, "")</f>
        <v/>
      </c>
      <c r="F119" s="22" t="str">
        <f t="shared" si="119"/>
        <v/>
      </c>
      <c r="H119" s="22" t="str">
        <f t="shared" si="4"/>
        <v/>
      </c>
    </row>
    <row r="120" ht="15.75" customHeight="1">
      <c r="A120" s="31" t="str">
        <f>'EQUITY BACKTEST'!A123</f>
        <v/>
      </c>
      <c r="B120" s="22" t="str">
        <f>'EQUITY BACKTEST'!B123</f>
        <v/>
      </c>
      <c r="C120" s="22" t="str">
        <f>1/'EQUITY BACKTEST'!E123</f>
        <v>#DIV/0!</v>
      </c>
      <c r="D120" s="22" t="str">
        <f t="shared" si="1"/>
        <v>#DIV/0!</v>
      </c>
      <c r="E120" s="22" t="str">
        <f t="shared" ref="E120:F120" si="120">IF(A120&lt;&gt;"", (B120 - B119) / B119, "")</f>
        <v/>
      </c>
      <c r="F120" s="22" t="str">
        <f t="shared" si="120"/>
        <v/>
      </c>
      <c r="H120" s="22" t="str">
        <f t="shared" si="4"/>
        <v/>
      </c>
    </row>
    <row r="121" ht="15.75" customHeight="1">
      <c r="A121" s="31" t="str">
        <f>'EQUITY BACKTEST'!A124</f>
        <v/>
      </c>
      <c r="B121" s="22" t="str">
        <f>'EQUITY BACKTEST'!B124</f>
        <v/>
      </c>
      <c r="C121" s="22" t="str">
        <f>1/'EQUITY BACKTEST'!E124</f>
        <v>#DIV/0!</v>
      </c>
      <c r="D121" s="22" t="str">
        <f t="shared" si="1"/>
        <v>#DIV/0!</v>
      </c>
      <c r="E121" s="22" t="str">
        <f t="shared" ref="E121:F121" si="121">IF(A121&lt;&gt;"", (B121 - B120) / B120, "")</f>
        <v/>
      </c>
      <c r="F121" s="22" t="str">
        <f t="shared" si="121"/>
        <v/>
      </c>
      <c r="H121" s="22" t="str">
        <f t="shared" si="4"/>
        <v/>
      </c>
    </row>
    <row r="122" ht="15.75" customHeight="1">
      <c r="A122" s="31" t="str">
        <f>'EQUITY BACKTEST'!A125</f>
        <v/>
      </c>
      <c r="B122" s="22" t="str">
        <f>'EQUITY BACKTEST'!B125</f>
        <v/>
      </c>
      <c r="C122" s="22" t="str">
        <f>1/'EQUITY BACKTEST'!E125</f>
        <v>#DIV/0!</v>
      </c>
      <c r="D122" s="22" t="str">
        <f t="shared" si="1"/>
        <v>#DIV/0!</v>
      </c>
      <c r="E122" s="22" t="str">
        <f t="shared" ref="E122:F122" si="122">IF(A122&lt;&gt;"", (B122 - B121) / B121, "")</f>
        <v/>
      </c>
      <c r="F122" s="22" t="str">
        <f t="shared" si="122"/>
        <v/>
      </c>
      <c r="H122" s="22" t="str">
        <f t="shared" si="4"/>
        <v/>
      </c>
    </row>
    <row r="123" ht="15.75" customHeight="1">
      <c r="A123" s="31" t="str">
        <f>'EQUITY BACKTEST'!A126</f>
        <v/>
      </c>
      <c r="B123" s="22" t="str">
        <f>'EQUITY BACKTEST'!B126</f>
        <v/>
      </c>
      <c r="C123" s="22" t="str">
        <f>1/'EQUITY BACKTEST'!E126</f>
        <v>#DIV/0!</v>
      </c>
      <c r="D123" s="22" t="str">
        <f t="shared" si="1"/>
        <v>#DIV/0!</v>
      </c>
      <c r="E123" s="22" t="str">
        <f t="shared" ref="E123:F123" si="123">IF(A123&lt;&gt;"", (B123 - B122) / B122, "")</f>
        <v/>
      </c>
      <c r="F123" s="22" t="str">
        <f t="shared" si="123"/>
        <v/>
      </c>
      <c r="H123" s="22" t="str">
        <f t="shared" si="4"/>
        <v/>
      </c>
    </row>
    <row r="124" ht="15.75" customHeight="1">
      <c r="A124" s="31" t="str">
        <f>'EQUITY BACKTEST'!A127</f>
        <v/>
      </c>
      <c r="B124" s="22" t="str">
        <f>'EQUITY BACKTEST'!B127</f>
        <v/>
      </c>
      <c r="C124" s="22" t="str">
        <f>1/'EQUITY BACKTEST'!E127</f>
        <v>#DIV/0!</v>
      </c>
      <c r="D124" s="22" t="str">
        <f t="shared" si="1"/>
        <v>#DIV/0!</v>
      </c>
      <c r="E124" s="22" t="str">
        <f t="shared" ref="E124:F124" si="124">IF(A124&lt;&gt;"", (B124 - B123) / B123, "")</f>
        <v/>
      </c>
      <c r="F124" s="22" t="str">
        <f t="shared" si="124"/>
        <v/>
      </c>
      <c r="H124" s="22" t="str">
        <f t="shared" si="4"/>
        <v/>
      </c>
    </row>
    <row r="125" ht="15.75" customHeight="1">
      <c r="A125" s="31" t="str">
        <f>'EQUITY BACKTEST'!A128</f>
        <v/>
      </c>
      <c r="B125" s="22" t="str">
        <f>'EQUITY BACKTEST'!B128</f>
        <v/>
      </c>
      <c r="C125" s="22" t="str">
        <f>1/'EQUITY BACKTEST'!E128</f>
        <v>#DIV/0!</v>
      </c>
      <c r="D125" s="22" t="str">
        <f t="shared" si="1"/>
        <v>#DIV/0!</v>
      </c>
      <c r="E125" s="22" t="str">
        <f t="shared" ref="E125:F125" si="125">IF(A125&lt;&gt;"", (B125 - B124) / B124, "")</f>
        <v/>
      </c>
      <c r="F125" s="22" t="str">
        <f t="shared" si="125"/>
        <v/>
      </c>
      <c r="H125" s="22" t="str">
        <f t="shared" si="4"/>
        <v/>
      </c>
    </row>
    <row r="126" ht="15.75" customHeight="1">
      <c r="A126" s="31" t="str">
        <f>'EQUITY BACKTEST'!A129</f>
        <v/>
      </c>
      <c r="B126" s="22" t="str">
        <f>'EQUITY BACKTEST'!B129</f>
        <v/>
      </c>
      <c r="C126" s="22" t="str">
        <f>1/'EQUITY BACKTEST'!E129</f>
        <v>#DIV/0!</v>
      </c>
      <c r="D126" s="22" t="str">
        <f t="shared" si="1"/>
        <v>#DIV/0!</v>
      </c>
      <c r="E126" s="22" t="str">
        <f t="shared" ref="E126:F126" si="126">IF(A126&lt;&gt;"", (B126 - B125) / B125, "")</f>
        <v/>
      </c>
      <c r="F126" s="22" t="str">
        <f t="shared" si="126"/>
        <v/>
      </c>
      <c r="H126" s="22" t="str">
        <f t="shared" si="4"/>
        <v/>
      </c>
    </row>
    <row r="127" ht="15.75" customHeight="1">
      <c r="A127" s="31" t="str">
        <f>'EQUITY BACKTEST'!A130</f>
        <v/>
      </c>
      <c r="B127" s="22" t="str">
        <f>'EQUITY BACKTEST'!B130</f>
        <v/>
      </c>
      <c r="C127" s="22" t="str">
        <f>1/'EQUITY BACKTEST'!E130</f>
        <v>#DIV/0!</v>
      </c>
      <c r="D127" s="22" t="str">
        <f t="shared" si="1"/>
        <v>#DIV/0!</v>
      </c>
      <c r="E127" s="22" t="str">
        <f t="shared" ref="E127:F127" si="127">IF(A127&lt;&gt;"", (B127 - B126) / B126, "")</f>
        <v/>
      </c>
      <c r="F127" s="22" t="str">
        <f t="shared" si="127"/>
        <v/>
      </c>
      <c r="H127" s="22" t="str">
        <f t="shared" si="4"/>
        <v/>
      </c>
    </row>
    <row r="128" ht="15.75" customHeight="1">
      <c r="A128" s="31" t="str">
        <f>'EQUITY BACKTEST'!A131</f>
        <v/>
      </c>
      <c r="B128" s="22" t="str">
        <f>'EQUITY BACKTEST'!B131</f>
        <v/>
      </c>
      <c r="C128" s="22" t="str">
        <f>1/'EQUITY BACKTEST'!E131</f>
        <v>#DIV/0!</v>
      </c>
      <c r="D128" s="22" t="str">
        <f t="shared" si="1"/>
        <v>#DIV/0!</v>
      </c>
      <c r="E128" s="22" t="str">
        <f t="shared" ref="E128:F128" si="128">IF(A128&lt;&gt;"", (B128 - B127) / B127, "")</f>
        <v/>
      </c>
      <c r="F128" s="22" t="str">
        <f t="shared" si="128"/>
        <v/>
      </c>
      <c r="H128" s="22" t="str">
        <f t="shared" si="4"/>
        <v/>
      </c>
    </row>
    <row r="129" ht="15.75" customHeight="1">
      <c r="A129" s="31" t="str">
        <f>'EQUITY BACKTEST'!A132</f>
        <v/>
      </c>
      <c r="B129" s="22" t="str">
        <f>'EQUITY BACKTEST'!B132</f>
        <v/>
      </c>
      <c r="C129" s="22" t="str">
        <f>1/'EQUITY BACKTEST'!E132</f>
        <v>#DIV/0!</v>
      </c>
      <c r="D129" s="22" t="str">
        <f t="shared" si="1"/>
        <v>#DIV/0!</v>
      </c>
      <c r="E129" s="22" t="str">
        <f t="shared" ref="E129:F129" si="129">IF(A129&lt;&gt;"", (B129 - B128) / B128, "")</f>
        <v/>
      </c>
      <c r="F129" s="22" t="str">
        <f t="shared" si="129"/>
        <v/>
      </c>
      <c r="H129" s="22" t="str">
        <f t="shared" si="4"/>
        <v/>
      </c>
    </row>
    <row r="130" ht="15.75" customHeight="1">
      <c r="A130" s="31" t="str">
        <f>'EQUITY BACKTEST'!A133</f>
        <v/>
      </c>
      <c r="B130" s="22" t="str">
        <f>'EQUITY BACKTEST'!B133</f>
        <v/>
      </c>
      <c r="C130" s="22" t="str">
        <f>1/'EQUITY BACKTEST'!E133</f>
        <v>#DIV/0!</v>
      </c>
      <c r="D130" s="22" t="str">
        <f t="shared" si="1"/>
        <v>#DIV/0!</v>
      </c>
      <c r="E130" s="22" t="str">
        <f t="shared" ref="E130:F130" si="130">IF(A130&lt;&gt;"", (B130 - B129) / B129, "")</f>
        <v/>
      </c>
      <c r="F130" s="22" t="str">
        <f t="shared" si="130"/>
        <v/>
      </c>
      <c r="H130" s="22" t="str">
        <f t="shared" si="4"/>
        <v/>
      </c>
    </row>
    <row r="131" ht="15.75" customHeight="1">
      <c r="A131" s="31" t="str">
        <f>'EQUITY BACKTEST'!A134</f>
        <v/>
      </c>
      <c r="B131" s="22" t="str">
        <f>'EQUITY BACKTEST'!B134</f>
        <v/>
      </c>
      <c r="C131" s="22" t="str">
        <f>1/'EQUITY BACKTEST'!E134</f>
        <v>#DIV/0!</v>
      </c>
      <c r="D131" s="22" t="str">
        <f t="shared" si="1"/>
        <v>#DIV/0!</v>
      </c>
      <c r="E131" s="22" t="str">
        <f t="shared" ref="E131:F131" si="131">IF(A131&lt;&gt;"", (B131 - B130) / B130, "")</f>
        <v/>
      </c>
      <c r="F131" s="22" t="str">
        <f t="shared" si="131"/>
        <v/>
      </c>
      <c r="H131" s="22" t="str">
        <f t="shared" si="4"/>
        <v/>
      </c>
    </row>
    <row r="132" ht="15.75" customHeight="1">
      <c r="A132" s="31" t="str">
        <f>'EQUITY BACKTEST'!A135</f>
        <v/>
      </c>
      <c r="B132" s="22" t="str">
        <f>'EQUITY BACKTEST'!B135</f>
        <v/>
      </c>
      <c r="C132" s="22" t="str">
        <f>1/'EQUITY BACKTEST'!E135</f>
        <v>#DIV/0!</v>
      </c>
      <c r="D132" s="22" t="str">
        <f t="shared" si="1"/>
        <v>#DIV/0!</v>
      </c>
      <c r="E132" s="22" t="str">
        <f t="shared" ref="E132:F132" si="132">IF(A132&lt;&gt;"", (B132 - B131) / B131, "")</f>
        <v/>
      </c>
      <c r="F132" s="22" t="str">
        <f t="shared" si="132"/>
        <v/>
      </c>
      <c r="H132" s="22" t="str">
        <f t="shared" si="4"/>
        <v/>
      </c>
    </row>
    <row r="133" ht="15.75" customHeight="1">
      <c r="A133" s="31" t="str">
        <f>'EQUITY BACKTEST'!A136</f>
        <v/>
      </c>
      <c r="B133" s="22" t="str">
        <f>'EQUITY BACKTEST'!B136</f>
        <v/>
      </c>
      <c r="C133" s="22" t="str">
        <f>1/'EQUITY BACKTEST'!E136</f>
        <v>#DIV/0!</v>
      </c>
      <c r="D133" s="22" t="str">
        <f t="shared" si="1"/>
        <v>#DIV/0!</v>
      </c>
      <c r="E133" s="22" t="str">
        <f t="shared" ref="E133:F133" si="133">IF(A133&lt;&gt;"", (B133 - B132) / B132, "")</f>
        <v/>
      </c>
      <c r="F133" s="22" t="str">
        <f t="shared" si="133"/>
        <v/>
      </c>
      <c r="H133" s="22" t="str">
        <f t="shared" si="4"/>
        <v/>
      </c>
    </row>
    <row r="134" ht="15.75" customHeight="1">
      <c r="A134" s="31" t="str">
        <f>'EQUITY BACKTEST'!A137</f>
        <v/>
      </c>
      <c r="B134" s="22" t="str">
        <f>'EQUITY BACKTEST'!B137</f>
        <v/>
      </c>
      <c r="C134" s="22" t="str">
        <f>1/'EQUITY BACKTEST'!E137</f>
        <v>#DIV/0!</v>
      </c>
      <c r="D134" s="22" t="str">
        <f t="shared" si="1"/>
        <v>#DIV/0!</v>
      </c>
      <c r="E134" s="22" t="str">
        <f t="shared" ref="E134:F134" si="134">IF(A134&lt;&gt;"", (B134 - B133) / B133, "")</f>
        <v/>
      </c>
      <c r="F134" s="22" t="str">
        <f t="shared" si="134"/>
        <v/>
      </c>
      <c r="H134" s="22" t="str">
        <f t="shared" si="4"/>
        <v/>
      </c>
    </row>
    <row r="135" ht="15.75" customHeight="1">
      <c r="A135" s="31" t="str">
        <f>'EQUITY BACKTEST'!A138</f>
        <v/>
      </c>
      <c r="B135" s="22" t="str">
        <f>'EQUITY BACKTEST'!B138</f>
        <v/>
      </c>
      <c r="C135" s="22" t="str">
        <f>1/'EQUITY BACKTEST'!E138</f>
        <v>#DIV/0!</v>
      </c>
      <c r="D135" s="22" t="str">
        <f t="shared" si="1"/>
        <v>#DIV/0!</v>
      </c>
      <c r="E135" s="22" t="str">
        <f t="shared" ref="E135:F135" si="135">IF(A135&lt;&gt;"", (B135 - B134) / B134, "")</f>
        <v/>
      </c>
      <c r="F135" s="22" t="str">
        <f t="shared" si="135"/>
        <v/>
      </c>
      <c r="H135" s="22" t="str">
        <f t="shared" si="4"/>
        <v/>
      </c>
    </row>
    <row r="136" ht="15.75" customHeight="1">
      <c r="A136" s="31" t="str">
        <f>'EQUITY BACKTEST'!A139</f>
        <v/>
      </c>
      <c r="B136" s="22" t="str">
        <f>'EQUITY BACKTEST'!B139</f>
        <v/>
      </c>
      <c r="C136" s="22" t="str">
        <f>1/'EQUITY BACKTEST'!E139</f>
        <v>#DIV/0!</v>
      </c>
      <c r="D136" s="22" t="str">
        <f t="shared" si="1"/>
        <v>#DIV/0!</v>
      </c>
      <c r="E136" s="22" t="str">
        <f t="shared" ref="E136:F136" si="136">IF(A136&lt;&gt;"", (B136 - B135) / B135, "")</f>
        <v/>
      </c>
      <c r="F136" s="22" t="str">
        <f t="shared" si="136"/>
        <v/>
      </c>
      <c r="H136" s="22" t="str">
        <f t="shared" si="4"/>
        <v/>
      </c>
    </row>
    <row r="137" ht="15.75" customHeight="1">
      <c r="A137" s="31" t="str">
        <f>'EQUITY BACKTEST'!A140</f>
        <v/>
      </c>
      <c r="B137" s="22" t="str">
        <f>'EQUITY BACKTEST'!B140</f>
        <v/>
      </c>
      <c r="C137" s="22" t="str">
        <f>1/'EQUITY BACKTEST'!E140</f>
        <v>#DIV/0!</v>
      </c>
      <c r="D137" s="22" t="str">
        <f t="shared" si="1"/>
        <v>#DIV/0!</v>
      </c>
      <c r="E137" s="22" t="str">
        <f t="shared" ref="E137:F137" si="137">IF(A137&lt;&gt;"", (B137 - B136) / B136, "")</f>
        <v/>
      </c>
      <c r="F137" s="22" t="str">
        <f t="shared" si="137"/>
        <v/>
      </c>
      <c r="H137" s="22" t="str">
        <f t="shared" si="4"/>
        <v/>
      </c>
    </row>
    <row r="138" ht="15.75" customHeight="1">
      <c r="A138" s="31" t="str">
        <f>'EQUITY BACKTEST'!A141</f>
        <v/>
      </c>
      <c r="B138" s="22" t="str">
        <f>'EQUITY BACKTEST'!B141</f>
        <v/>
      </c>
      <c r="C138" s="22" t="str">
        <f>1/'EQUITY BACKTEST'!E141</f>
        <v>#DIV/0!</v>
      </c>
      <c r="D138" s="22" t="str">
        <f t="shared" si="1"/>
        <v>#DIV/0!</v>
      </c>
      <c r="E138" s="22" t="str">
        <f t="shared" ref="E138:F138" si="138">IF(A138&lt;&gt;"", (B138 - B137) / B137, "")</f>
        <v/>
      </c>
      <c r="F138" s="22" t="str">
        <f t="shared" si="138"/>
        <v/>
      </c>
      <c r="H138" s="22" t="str">
        <f t="shared" si="4"/>
        <v/>
      </c>
    </row>
    <row r="139" ht="15.75" customHeight="1">
      <c r="A139" s="31" t="str">
        <f>'EQUITY BACKTEST'!A142</f>
        <v/>
      </c>
      <c r="B139" s="22" t="str">
        <f>'EQUITY BACKTEST'!B142</f>
        <v/>
      </c>
      <c r="C139" s="22" t="str">
        <f>1/'EQUITY BACKTEST'!E142</f>
        <v>#DIV/0!</v>
      </c>
      <c r="D139" s="22" t="str">
        <f t="shared" si="1"/>
        <v>#DIV/0!</v>
      </c>
      <c r="E139" s="22" t="str">
        <f t="shared" ref="E139:F139" si="139">IF(A139&lt;&gt;"", (B139 - B138) / B138, "")</f>
        <v/>
      </c>
      <c r="F139" s="22" t="str">
        <f t="shared" si="139"/>
        <v/>
      </c>
      <c r="H139" s="22" t="str">
        <f t="shared" si="4"/>
        <v/>
      </c>
    </row>
    <row r="140" ht="15.75" customHeight="1">
      <c r="A140" s="31" t="str">
        <f>'EQUITY BACKTEST'!A143</f>
        <v/>
      </c>
      <c r="B140" s="22" t="str">
        <f>'EQUITY BACKTEST'!B143</f>
        <v/>
      </c>
      <c r="C140" s="22" t="str">
        <f>1/'EQUITY BACKTEST'!E143</f>
        <v>#DIV/0!</v>
      </c>
      <c r="D140" s="22" t="str">
        <f t="shared" si="1"/>
        <v>#DIV/0!</v>
      </c>
      <c r="E140" s="22" t="str">
        <f t="shared" ref="E140:F140" si="140">IF(A140&lt;&gt;"", (B140 - B139) / B139, "")</f>
        <v/>
      </c>
      <c r="F140" s="22" t="str">
        <f t="shared" si="140"/>
        <v/>
      </c>
      <c r="H140" s="22" t="str">
        <f t="shared" si="4"/>
        <v/>
      </c>
    </row>
    <row r="141" ht="15.75" customHeight="1">
      <c r="A141" s="31" t="str">
        <f>'EQUITY BACKTEST'!A144</f>
        <v/>
      </c>
      <c r="B141" s="22" t="str">
        <f>'EQUITY BACKTEST'!B144</f>
        <v/>
      </c>
      <c r="C141" s="22" t="str">
        <f>1/'EQUITY BACKTEST'!E144</f>
        <v>#DIV/0!</v>
      </c>
      <c r="D141" s="22" t="str">
        <f t="shared" si="1"/>
        <v>#DIV/0!</v>
      </c>
      <c r="E141" s="22" t="str">
        <f t="shared" ref="E141:F141" si="141">IF(A141&lt;&gt;"", (B141 - B140) / B140, "")</f>
        <v/>
      </c>
      <c r="F141" s="22" t="str">
        <f t="shared" si="141"/>
        <v/>
      </c>
      <c r="H141" s="22" t="str">
        <f t="shared" si="4"/>
        <v/>
      </c>
    </row>
    <row r="142" ht="15.75" customHeight="1">
      <c r="A142" s="31" t="str">
        <f>'EQUITY BACKTEST'!A145</f>
        <v/>
      </c>
      <c r="B142" s="22" t="str">
        <f>'EQUITY BACKTEST'!B145</f>
        <v/>
      </c>
      <c r="C142" s="22" t="str">
        <f>1/'EQUITY BACKTEST'!E145</f>
        <v>#DIV/0!</v>
      </c>
      <c r="D142" s="22" t="str">
        <f t="shared" si="1"/>
        <v>#DIV/0!</v>
      </c>
      <c r="E142" s="22" t="str">
        <f t="shared" ref="E142:F142" si="142">IF(A142&lt;&gt;"", (B142 - B141) / B141, "")</f>
        <v/>
      </c>
      <c r="F142" s="22" t="str">
        <f t="shared" si="142"/>
        <v/>
      </c>
      <c r="H142" s="22" t="str">
        <f t="shared" si="4"/>
        <v/>
      </c>
    </row>
    <row r="143" ht="15.75" customHeight="1">
      <c r="A143" s="31" t="str">
        <f>'EQUITY BACKTEST'!A146</f>
        <v/>
      </c>
      <c r="B143" s="22" t="str">
        <f>'EQUITY BACKTEST'!B146</f>
        <v/>
      </c>
      <c r="C143" s="22" t="str">
        <f>1/'EQUITY BACKTEST'!E146</f>
        <v>#DIV/0!</v>
      </c>
      <c r="D143" s="22" t="str">
        <f t="shared" si="1"/>
        <v>#DIV/0!</v>
      </c>
      <c r="E143" s="22" t="str">
        <f t="shared" ref="E143:F143" si="143">IF(A143&lt;&gt;"", (B143 - B142) / B142, "")</f>
        <v/>
      </c>
      <c r="F143" s="22" t="str">
        <f t="shared" si="143"/>
        <v/>
      </c>
      <c r="H143" s="22" t="str">
        <f t="shared" si="4"/>
        <v/>
      </c>
    </row>
    <row r="144" ht="15.75" customHeight="1">
      <c r="A144" s="31" t="str">
        <f>'EQUITY BACKTEST'!A147</f>
        <v/>
      </c>
      <c r="B144" s="22" t="str">
        <f>'EQUITY BACKTEST'!B147</f>
        <v/>
      </c>
      <c r="C144" s="22" t="str">
        <f>1/'EQUITY BACKTEST'!E147</f>
        <v>#DIV/0!</v>
      </c>
      <c r="D144" s="22" t="str">
        <f t="shared" si="1"/>
        <v>#DIV/0!</v>
      </c>
      <c r="E144" s="22" t="str">
        <f t="shared" ref="E144:F144" si="144">IF(A144&lt;&gt;"", (B144 - B143) / B143, "")</f>
        <v/>
      </c>
      <c r="F144" s="22" t="str">
        <f t="shared" si="144"/>
        <v/>
      </c>
      <c r="H144" s="22" t="str">
        <f t="shared" si="4"/>
        <v/>
      </c>
    </row>
    <row r="145" ht="15.75" customHeight="1">
      <c r="A145" s="31" t="str">
        <f>'EQUITY BACKTEST'!A148</f>
        <v/>
      </c>
      <c r="B145" s="22" t="str">
        <f>'EQUITY BACKTEST'!B148</f>
        <v/>
      </c>
      <c r="C145" s="22" t="str">
        <f>1/'EQUITY BACKTEST'!E148</f>
        <v>#DIV/0!</v>
      </c>
      <c r="D145" s="22" t="str">
        <f t="shared" si="1"/>
        <v>#DIV/0!</v>
      </c>
      <c r="E145" s="22" t="str">
        <f t="shared" ref="E145:F145" si="145">IF(A145&lt;&gt;"", (B145 - B144) / B144, "")</f>
        <v/>
      </c>
      <c r="F145" s="22" t="str">
        <f t="shared" si="145"/>
        <v/>
      </c>
      <c r="H145" s="22" t="str">
        <f t="shared" si="4"/>
        <v/>
      </c>
    </row>
    <row r="146" ht="15.75" customHeight="1">
      <c r="A146" s="31" t="str">
        <f>'EQUITY BACKTEST'!A149</f>
        <v/>
      </c>
      <c r="B146" s="22" t="str">
        <f>'EQUITY BACKTEST'!B149</f>
        <v/>
      </c>
      <c r="C146" s="22" t="str">
        <f>1/'EQUITY BACKTEST'!E149</f>
        <v>#DIV/0!</v>
      </c>
      <c r="D146" s="22" t="str">
        <f t="shared" si="1"/>
        <v>#DIV/0!</v>
      </c>
      <c r="E146" s="22" t="str">
        <f t="shared" ref="E146:F146" si="146">IF(A146&lt;&gt;"", (B146 - B145) / B145, "")</f>
        <v/>
      </c>
      <c r="F146" s="22" t="str">
        <f t="shared" si="146"/>
        <v/>
      </c>
      <c r="H146" s="22" t="str">
        <f t="shared" si="4"/>
        <v/>
      </c>
    </row>
    <row r="147" ht="15.75" customHeight="1">
      <c r="A147" s="31" t="str">
        <f>'EQUITY BACKTEST'!A150</f>
        <v/>
      </c>
      <c r="B147" s="22" t="str">
        <f>'EQUITY BACKTEST'!B150</f>
        <v/>
      </c>
      <c r="C147" s="22" t="str">
        <f>1/'EQUITY BACKTEST'!E150</f>
        <v>#DIV/0!</v>
      </c>
      <c r="D147" s="22" t="str">
        <f t="shared" si="1"/>
        <v>#DIV/0!</v>
      </c>
      <c r="E147" s="22" t="str">
        <f t="shared" ref="E147:F147" si="147">IF(A147&lt;&gt;"", (B147 - B146) / B146, "")</f>
        <v/>
      </c>
      <c r="F147" s="22" t="str">
        <f t="shared" si="147"/>
        <v/>
      </c>
      <c r="H147" s="22" t="str">
        <f t="shared" si="4"/>
        <v/>
      </c>
    </row>
    <row r="148" ht="15.75" customHeight="1">
      <c r="A148" s="31" t="str">
        <f>'EQUITY BACKTEST'!A151</f>
        <v/>
      </c>
      <c r="B148" s="22" t="str">
        <f>'EQUITY BACKTEST'!B151</f>
        <v/>
      </c>
      <c r="C148" s="22" t="str">
        <f>1/'EQUITY BACKTEST'!E151</f>
        <v>#DIV/0!</v>
      </c>
      <c r="D148" s="22" t="str">
        <f t="shared" si="1"/>
        <v>#DIV/0!</v>
      </c>
      <c r="E148" s="22" t="str">
        <f t="shared" ref="E148:F148" si="148">IF(A148&lt;&gt;"", (B148 - B147) / B147, "")</f>
        <v/>
      </c>
      <c r="F148" s="22" t="str">
        <f t="shared" si="148"/>
        <v/>
      </c>
      <c r="H148" s="22" t="str">
        <f t="shared" si="4"/>
        <v/>
      </c>
    </row>
    <row r="149" ht="15.75" customHeight="1">
      <c r="A149" s="31" t="str">
        <f>'EQUITY BACKTEST'!A152</f>
        <v/>
      </c>
      <c r="B149" s="22" t="str">
        <f>'EQUITY BACKTEST'!B152</f>
        <v/>
      </c>
      <c r="C149" s="22" t="str">
        <f>1/'EQUITY BACKTEST'!E152</f>
        <v>#DIV/0!</v>
      </c>
      <c r="D149" s="22" t="str">
        <f t="shared" si="1"/>
        <v>#DIV/0!</v>
      </c>
      <c r="E149" s="22" t="str">
        <f t="shared" ref="E149:F149" si="149">IF(A149&lt;&gt;"", (B149 - B148) / B148, "")</f>
        <v/>
      </c>
      <c r="F149" s="22" t="str">
        <f t="shared" si="149"/>
        <v/>
      </c>
      <c r="H149" s="22" t="str">
        <f t="shared" si="4"/>
        <v/>
      </c>
    </row>
    <row r="150" ht="15.75" customHeight="1">
      <c r="A150" s="31" t="str">
        <f>'EQUITY BACKTEST'!A153</f>
        <v/>
      </c>
      <c r="B150" s="22" t="str">
        <f>'EQUITY BACKTEST'!B153</f>
        <v/>
      </c>
      <c r="C150" s="22" t="str">
        <f>1/'EQUITY BACKTEST'!E153</f>
        <v>#DIV/0!</v>
      </c>
      <c r="D150" s="22" t="str">
        <f t="shared" si="1"/>
        <v>#DIV/0!</v>
      </c>
      <c r="E150" s="22" t="str">
        <f t="shared" ref="E150:F150" si="150">IF(A150&lt;&gt;"", (B150 - B149) / B149, "")</f>
        <v/>
      </c>
      <c r="F150" s="22" t="str">
        <f t="shared" si="150"/>
        <v/>
      </c>
      <c r="H150" s="22" t="str">
        <f t="shared" si="4"/>
        <v/>
      </c>
    </row>
    <row r="151" ht="15.75" customHeight="1">
      <c r="A151" s="31" t="str">
        <f>'EQUITY BACKTEST'!A154</f>
        <v/>
      </c>
      <c r="B151" s="22" t="str">
        <f>'EQUITY BACKTEST'!B154</f>
        <v/>
      </c>
      <c r="C151" s="22" t="str">
        <f>1/'EQUITY BACKTEST'!E154</f>
        <v>#DIV/0!</v>
      </c>
      <c r="D151" s="22" t="str">
        <f t="shared" si="1"/>
        <v>#DIV/0!</v>
      </c>
      <c r="E151" s="22" t="str">
        <f t="shared" ref="E151:F151" si="151">IF(A151&lt;&gt;"", (B151 - B150) / B150, "")</f>
        <v/>
      </c>
      <c r="F151" s="22" t="str">
        <f t="shared" si="151"/>
        <v/>
      </c>
      <c r="H151" s="22" t="str">
        <f t="shared" si="4"/>
        <v/>
      </c>
    </row>
    <row r="152" ht="15.75" customHeight="1">
      <c r="A152" s="31" t="str">
        <f>'EQUITY BACKTEST'!A155</f>
        <v/>
      </c>
      <c r="B152" s="22" t="str">
        <f>'EQUITY BACKTEST'!B155</f>
        <v/>
      </c>
      <c r="C152" s="22" t="str">
        <f>1/'EQUITY BACKTEST'!E155</f>
        <v>#DIV/0!</v>
      </c>
      <c r="D152" s="22" t="str">
        <f t="shared" si="1"/>
        <v>#DIV/0!</v>
      </c>
      <c r="E152" s="22" t="str">
        <f t="shared" ref="E152:F152" si="152">IF(A152&lt;&gt;"", (B152 - B151) / B151, "")</f>
        <v/>
      </c>
      <c r="F152" s="22" t="str">
        <f t="shared" si="152"/>
        <v/>
      </c>
      <c r="H152" s="22" t="str">
        <f t="shared" si="4"/>
        <v/>
      </c>
    </row>
    <row r="153" ht="15.75" customHeight="1">
      <c r="A153" s="31" t="str">
        <f>'EQUITY BACKTEST'!A156</f>
        <v/>
      </c>
      <c r="B153" s="22" t="str">
        <f>'EQUITY BACKTEST'!B156</f>
        <v/>
      </c>
      <c r="C153" s="22" t="str">
        <f>1/'EQUITY BACKTEST'!E156</f>
        <v>#DIV/0!</v>
      </c>
      <c r="D153" s="22" t="str">
        <f t="shared" si="1"/>
        <v>#DIV/0!</v>
      </c>
      <c r="E153" s="22" t="str">
        <f t="shared" ref="E153:F153" si="153">IF(A153&lt;&gt;"", (B153 - B152) / B152, "")</f>
        <v/>
      </c>
      <c r="F153" s="22" t="str">
        <f t="shared" si="153"/>
        <v/>
      </c>
      <c r="H153" s="22" t="str">
        <f t="shared" si="4"/>
        <v/>
      </c>
    </row>
    <row r="154" ht="15.75" customHeight="1">
      <c r="A154" s="31" t="str">
        <f>'EQUITY BACKTEST'!A157</f>
        <v/>
      </c>
      <c r="B154" s="22" t="str">
        <f>'EQUITY BACKTEST'!B157</f>
        <v/>
      </c>
      <c r="C154" s="22" t="str">
        <f>1/'EQUITY BACKTEST'!E157</f>
        <v>#DIV/0!</v>
      </c>
      <c r="D154" s="22" t="str">
        <f t="shared" si="1"/>
        <v>#DIV/0!</v>
      </c>
      <c r="E154" s="22" t="str">
        <f t="shared" ref="E154:F154" si="154">IF(A154&lt;&gt;"", (B154 - B153) / B153, "")</f>
        <v/>
      </c>
      <c r="F154" s="22" t="str">
        <f t="shared" si="154"/>
        <v/>
      </c>
      <c r="H154" s="22" t="str">
        <f t="shared" si="4"/>
        <v/>
      </c>
    </row>
    <row r="155" ht="15.75" customHeight="1">
      <c r="A155" s="31" t="str">
        <f>'EQUITY BACKTEST'!A158</f>
        <v/>
      </c>
      <c r="B155" s="22" t="str">
        <f>'EQUITY BACKTEST'!B158</f>
        <v/>
      </c>
      <c r="C155" s="22" t="str">
        <f>1/'EQUITY BACKTEST'!E158</f>
        <v>#DIV/0!</v>
      </c>
      <c r="D155" s="22" t="str">
        <f t="shared" si="1"/>
        <v>#DIV/0!</v>
      </c>
      <c r="E155" s="22" t="str">
        <f t="shared" ref="E155:F155" si="155">IF(A155&lt;&gt;"", (B155 - B154) / B154, "")</f>
        <v/>
      </c>
      <c r="F155" s="22" t="str">
        <f t="shared" si="155"/>
        <v/>
      </c>
      <c r="H155" s="22" t="str">
        <f t="shared" si="4"/>
        <v/>
      </c>
    </row>
    <row r="156" ht="15.75" customHeight="1">
      <c r="A156" s="31" t="str">
        <f>'EQUITY BACKTEST'!A159</f>
        <v/>
      </c>
      <c r="B156" s="22" t="str">
        <f>'EQUITY BACKTEST'!B159</f>
        <v/>
      </c>
      <c r="C156" s="22" t="str">
        <f>1/'EQUITY BACKTEST'!E159</f>
        <v>#DIV/0!</v>
      </c>
      <c r="D156" s="22" t="str">
        <f t="shared" si="1"/>
        <v>#DIV/0!</v>
      </c>
      <c r="E156" s="22" t="str">
        <f t="shared" ref="E156:F156" si="156">IF(A156&lt;&gt;"", (B156 - B155) / B155, "")</f>
        <v/>
      </c>
      <c r="F156" s="22" t="str">
        <f t="shared" si="156"/>
        <v/>
      </c>
      <c r="H156" s="22" t="str">
        <f t="shared" si="4"/>
        <v/>
      </c>
    </row>
    <row r="157" ht="15.75" customHeight="1">
      <c r="A157" s="31" t="str">
        <f>'EQUITY BACKTEST'!A160</f>
        <v/>
      </c>
      <c r="B157" s="22" t="str">
        <f>'EQUITY BACKTEST'!B160</f>
        <v/>
      </c>
      <c r="C157" s="22" t="str">
        <f>1/'EQUITY BACKTEST'!E160</f>
        <v>#DIV/0!</v>
      </c>
      <c r="D157" s="22" t="str">
        <f t="shared" si="1"/>
        <v>#DIV/0!</v>
      </c>
      <c r="E157" s="22" t="str">
        <f t="shared" ref="E157:F157" si="157">IF(A157&lt;&gt;"", (B157 - B156) / B156, "")</f>
        <v/>
      </c>
      <c r="F157" s="22" t="str">
        <f t="shared" si="157"/>
        <v/>
      </c>
      <c r="H157" s="22" t="str">
        <f t="shared" si="4"/>
        <v/>
      </c>
    </row>
    <row r="158" ht="15.75" customHeight="1">
      <c r="A158" s="31" t="str">
        <f>'EQUITY BACKTEST'!A161</f>
        <v/>
      </c>
      <c r="B158" s="22" t="str">
        <f>'EQUITY BACKTEST'!B161</f>
        <v/>
      </c>
      <c r="C158" s="22" t="str">
        <f>1/'EQUITY BACKTEST'!E161</f>
        <v>#DIV/0!</v>
      </c>
      <c r="D158" s="22" t="str">
        <f t="shared" si="1"/>
        <v>#DIV/0!</v>
      </c>
      <c r="E158" s="22" t="str">
        <f t="shared" ref="E158:F158" si="158">IF(A158&lt;&gt;"", (B158 - B157) / B157, "")</f>
        <v/>
      </c>
      <c r="F158" s="22" t="str">
        <f t="shared" si="158"/>
        <v/>
      </c>
      <c r="H158" s="22" t="str">
        <f t="shared" si="4"/>
        <v/>
      </c>
    </row>
    <row r="159" ht="15.75" customHeight="1">
      <c r="A159" s="31" t="str">
        <f>'EQUITY BACKTEST'!A162</f>
        <v/>
      </c>
      <c r="B159" s="22" t="str">
        <f>'EQUITY BACKTEST'!B162</f>
        <v/>
      </c>
      <c r="C159" s="22" t="str">
        <f>1/'EQUITY BACKTEST'!E162</f>
        <v>#DIV/0!</v>
      </c>
      <c r="D159" s="22" t="str">
        <f t="shared" si="1"/>
        <v>#DIV/0!</v>
      </c>
      <c r="E159" s="22" t="str">
        <f t="shared" ref="E159:F159" si="159">IF(A159&lt;&gt;"", (B159 - B158) / B158, "")</f>
        <v/>
      </c>
      <c r="F159" s="22" t="str">
        <f t="shared" si="159"/>
        <v/>
      </c>
      <c r="H159" s="22" t="str">
        <f t="shared" si="4"/>
        <v/>
      </c>
    </row>
    <row r="160" ht="15.75" customHeight="1">
      <c r="A160" s="31" t="str">
        <f>'EQUITY BACKTEST'!A163</f>
        <v/>
      </c>
      <c r="B160" s="22" t="str">
        <f>'EQUITY BACKTEST'!B163</f>
        <v/>
      </c>
      <c r="C160" s="22" t="str">
        <f>1/'EQUITY BACKTEST'!E163</f>
        <v>#DIV/0!</v>
      </c>
      <c r="D160" s="22" t="str">
        <f t="shared" si="1"/>
        <v>#DIV/0!</v>
      </c>
      <c r="E160" s="22" t="str">
        <f t="shared" ref="E160:F160" si="160">IF(A160&lt;&gt;"", (B160 - B159) / B159, "")</f>
        <v/>
      </c>
      <c r="F160" s="22" t="str">
        <f t="shared" si="160"/>
        <v/>
      </c>
      <c r="H160" s="22" t="str">
        <f t="shared" si="4"/>
        <v/>
      </c>
    </row>
    <row r="161" ht="15.75" customHeight="1">
      <c r="A161" s="31" t="str">
        <f>'EQUITY BACKTEST'!A164</f>
        <v/>
      </c>
      <c r="B161" s="22" t="str">
        <f>'EQUITY BACKTEST'!B164</f>
        <v/>
      </c>
      <c r="C161" s="22" t="str">
        <f>1/'EQUITY BACKTEST'!E164</f>
        <v>#DIV/0!</v>
      </c>
      <c r="D161" s="22" t="str">
        <f t="shared" si="1"/>
        <v>#DIV/0!</v>
      </c>
      <c r="E161" s="22" t="str">
        <f t="shared" ref="E161:F161" si="161">IF(A161&lt;&gt;"", (B161 - B160) / B160, "")</f>
        <v/>
      </c>
      <c r="F161" s="22" t="str">
        <f t="shared" si="161"/>
        <v/>
      </c>
      <c r="H161" s="22" t="str">
        <f t="shared" si="4"/>
        <v/>
      </c>
    </row>
    <row r="162" ht="15.75" customHeight="1">
      <c r="A162" s="31" t="str">
        <f>'EQUITY BACKTEST'!A165</f>
        <v/>
      </c>
      <c r="B162" s="22" t="str">
        <f>'EQUITY BACKTEST'!B165</f>
        <v/>
      </c>
      <c r="C162" s="22" t="str">
        <f>1/'EQUITY BACKTEST'!E165</f>
        <v>#DIV/0!</v>
      </c>
      <c r="D162" s="22" t="str">
        <f t="shared" si="1"/>
        <v>#DIV/0!</v>
      </c>
      <c r="E162" s="22" t="str">
        <f t="shared" ref="E162:F162" si="162">IF(A162&lt;&gt;"", (B162 - B161) / B161, "")</f>
        <v/>
      </c>
      <c r="F162" s="22" t="str">
        <f t="shared" si="162"/>
        <v/>
      </c>
      <c r="H162" s="22" t="str">
        <f t="shared" si="4"/>
        <v/>
      </c>
    </row>
    <row r="163" ht="15.75" customHeight="1">
      <c r="A163" s="31" t="str">
        <f>'EQUITY BACKTEST'!A166</f>
        <v/>
      </c>
      <c r="B163" s="22" t="str">
        <f>'EQUITY BACKTEST'!B166</f>
        <v/>
      </c>
      <c r="C163" s="22" t="str">
        <f>1/'EQUITY BACKTEST'!E166</f>
        <v>#DIV/0!</v>
      </c>
      <c r="D163" s="22" t="str">
        <f t="shared" si="1"/>
        <v>#DIV/0!</v>
      </c>
      <c r="E163" s="22" t="str">
        <f t="shared" ref="E163:F163" si="163">IF(A163&lt;&gt;"", (B163 - B162) / B162, "")</f>
        <v/>
      </c>
      <c r="F163" s="22" t="str">
        <f t="shared" si="163"/>
        <v/>
      </c>
      <c r="H163" s="22" t="str">
        <f t="shared" si="4"/>
        <v/>
      </c>
    </row>
    <row r="164" ht="15.75" customHeight="1">
      <c r="A164" s="31" t="str">
        <f>'EQUITY BACKTEST'!A167</f>
        <v/>
      </c>
      <c r="B164" s="22" t="str">
        <f>'EQUITY BACKTEST'!B167</f>
        <v/>
      </c>
      <c r="C164" s="22" t="str">
        <f>1/'EQUITY BACKTEST'!E167</f>
        <v>#DIV/0!</v>
      </c>
      <c r="D164" s="22" t="str">
        <f t="shared" si="1"/>
        <v>#DIV/0!</v>
      </c>
      <c r="E164" s="22" t="str">
        <f t="shared" ref="E164:F164" si="164">IF(A164&lt;&gt;"", (B164 - B163) / B163, "")</f>
        <v/>
      </c>
      <c r="F164" s="22" t="str">
        <f t="shared" si="164"/>
        <v/>
      </c>
      <c r="H164" s="22" t="str">
        <f t="shared" si="4"/>
        <v/>
      </c>
    </row>
    <row r="165" ht="15.75" customHeight="1">
      <c r="A165" s="31" t="str">
        <f>'EQUITY BACKTEST'!A168</f>
        <v/>
      </c>
      <c r="B165" s="22" t="str">
        <f>'EQUITY BACKTEST'!B168</f>
        <v/>
      </c>
      <c r="C165" s="22" t="str">
        <f>1/'EQUITY BACKTEST'!E168</f>
        <v>#DIV/0!</v>
      </c>
      <c r="D165" s="22" t="str">
        <f t="shared" si="1"/>
        <v>#DIV/0!</v>
      </c>
      <c r="E165" s="22" t="str">
        <f t="shared" ref="E165:F165" si="165">IF(A165&lt;&gt;"", (B165 - B164) / B164, "")</f>
        <v/>
      </c>
      <c r="F165" s="22" t="str">
        <f t="shared" si="165"/>
        <v/>
      </c>
      <c r="H165" s="22" t="str">
        <f t="shared" si="4"/>
        <v/>
      </c>
    </row>
    <row r="166" ht="15.75" customHeight="1">
      <c r="A166" s="31" t="str">
        <f>'EQUITY BACKTEST'!A169</f>
        <v/>
      </c>
      <c r="B166" s="22" t="str">
        <f>'EQUITY BACKTEST'!B169</f>
        <v/>
      </c>
      <c r="C166" s="22" t="str">
        <f>1/'EQUITY BACKTEST'!E169</f>
        <v>#DIV/0!</v>
      </c>
      <c r="D166" s="22" t="str">
        <f t="shared" si="1"/>
        <v>#DIV/0!</v>
      </c>
      <c r="E166" s="22" t="str">
        <f t="shared" ref="E166:F166" si="166">IF(A166&lt;&gt;"", (B166 - B165) / B165, "")</f>
        <v/>
      </c>
      <c r="F166" s="22" t="str">
        <f t="shared" si="166"/>
        <v/>
      </c>
      <c r="H166" s="22" t="str">
        <f t="shared" si="4"/>
        <v/>
      </c>
    </row>
    <row r="167" ht="15.75" customHeight="1">
      <c r="A167" s="31" t="str">
        <f>'EQUITY BACKTEST'!A170</f>
        <v/>
      </c>
      <c r="B167" s="22" t="str">
        <f>'EQUITY BACKTEST'!B170</f>
        <v/>
      </c>
      <c r="C167" s="22" t="str">
        <f>1/'EQUITY BACKTEST'!E170</f>
        <v>#DIV/0!</v>
      </c>
      <c r="D167" s="22" t="str">
        <f t="shared" si="1"/>
        <v>#DIV/0!</v>
      </c>
      <c r="E167" s="22" t="str">
        <f t="shared" ref="E167:F167" si="167">IF(A167&lt;&gt;"", (B167 - B166) / B166, "")</f>
        <v/>
      </c>
      <c r="F167" s="22" t="str">
        <f t="shared" si="167"/>
        <v/>
      </c>
      <c r="H167" s="22" t="str">
        <f t="shared" si="4"/>
        <v/>
      </c>
    </row>
    <row r="168" ht="15.75" customHeight="1">
      <c r="A168" s="31" t="str">
        <f>'EQUITY BACKTEST'!A171</f>
        <v/>
      </c>
      <c r="B168" s="22" t="str">
        <f>'EQUITY BACKTEST'!B171</f>
        <v/>
      </c>
      <c r="C168" s="22" t="str">
        <f>1/'EQUITY BACKTEST'!E171</f>
        <v>#DIV/0!</v>
      </c>
      <c r="D168" s="22" t="str">
        <f t="shared" si="1"/>
        <v>#DIV/0!</v>
      </c>
      <c r="E168" s="22" t="str">
        <f t="shared" ref="E168:F168" si="168">IF(A168&lt;&gt;"", (B168 - B167) / B167, "")</f>
        <v/>
      </c>
      <c r="F168" s="22" t="str">
        <f t="shared" si="168"/>
        <v/>
      </c>
      <c r="H168" s="22" t="str">
        <f t="shared" si="4"/>
        <v/>
      </c>
    </row>
    <row r="169" ht="15.75" customHeight="1">
      <c r="A169" s="31" t="str">
        <f>'EQUITY BACKTEST'!A172</f>
        <v/>
      </c>
      <c r="B169" s="22" t="str">
        <f>'EQUITY BACKTEST'!B172</f>
        <v/>
      </c>
      <c r="C169" s="22" t="str">
        <f>1/'EQUITY BACKTEST'!E172</f>
        <v>#DIV/0!</v>
      </c>
      <c r="D169" s="22" t="str">
        <f t="shared" si="1"/>
        <v>#DIV/0!</v>
      </c>
      <c r="E169" s="22" t="str">
        <f t="shared" ref="E169:F169" si="169">IF(A169&lt;&gt;"", (B169 - B168) / B168, "")</f>
        <v/>
      </c>
      <c r="F169" s="22" t="str">
        <f t="shared" si="169"/>
        <v/>
      </c>
      <c r="H169" s="22" t="str">
        <f t="shared" si="4"/>
        <v/>
      </c>
    </row>
    <row r="170" ht="15.75" customHeight="1">
      <c r="A170" s="31" t="str">
        <f>'EQUITY BACKTEST'!A173</f>
        <v/>
      </c>
      <c r="B170" s="22" t="str">
        <f>'EQUITY BACKTEST'!B173</f>
        <v/>
      </c>
      <c r="C170" s="22" t="str">
        <f>1/'EQUITY BACKTEST'!E173</f>
        <v>#DIV/0!</v>
      </c>
      <c r="D170" s="22" t="str">
        <f t="shared" si="1"/>
        <v>#DIV/0!</v>
      </c>
      <c r="E170" s="22" t="str">
        <f t="shared" ref="E170:F170" si="170">IF(A170&lt;&gt;"", (B170 - B169) / B169, "")</f>
        <v/>
      </c>
      <c r="F170" s="22" t="str">
        <f t="shared" si="170"/>
        <v/>
      </c>
      <c r="H170" s="22" t="str">
        <f t="shared" si="4"/>
        <v/>
      </c>
    </row>
    <row r="171" ht="15.75" customHeight="1">
      <c r="A171" s="31" t="str">
        <f>'EQUITY BACKTEST'!A174</f>
        <v/>
      </c>
      <c r="B171" s="22" t="str">
        <f>'EQUITY BACKTEST'!B174</f>
        <v/>
      </c>
      <c r="C171" s="22" t="str">
        <f>1/'EQUITY BACKTEST'!E174</f>
        <v>#DIV/0!</v>
      </c>
      <c r="D171" s="22" t="str">
        <f t="shared" si="1"/>
        <v>#DIV/0!</v>
      </c>
      <c r="E171" s="22" t="str">
        <f t="shared" ref="E171:F171" si="171">IF(A171&lt;&gt;"", (B171 - B170) / B170, "")</f>
        <v/>
      </c>
      <c r="F171" s="22" t="str">
        <f t="shared" si="171"/>
        <v/>
      </c>
      <c r="H171" s="22" t="str">
        <f t="shared" si="4"/>
        <v/>
      </c>
    </row>
    <row r="172" ht="15.75" customHeight="1">
      <c r="A172" s="31" t="str">
        <f>'EQUITY BACKTEST'!A175</f>
        <v/>
      </c>
      <c r="B172" s="22" t="str">
        <f>'EQUITY BACKTEST'!B175</f>
        <v/>
      </c>
      <c r="C172" s="22" t="str">
        <f>1/'EQUITY BACKTEST'!E175</f>
        <v>#DIV/0!</v>
      </c>
      <c r="D172" s="22" t="str">
        <f t="shared" si="1"/>
        <v>#DIV/0!</v>
      </c>
      <c r="E172" s="22" t="str">
        <f t="shared" ref="E172:F172" si="172">IF(A172&lt;&gt;"", (B172 - B171) / B171, "")</f>
        <v/>
      </c>
      <c r="F172" s="22" t="str">
        <f t="shared" si="172"/>
        <v/>
      </c>
      <c r="H172" s="22" t="str">
        <f t="shared" si="4"/>
        <v/>
      </c>
    </row>
    <row r="173" ht="15.75" customHeight="1">
      <c r="A173" s="31" t="str">
        <f>'EQUITY BACKTEST'!A176</f>
        <v/>
      </c>
      <c r="B173" s="22" t="str">
        <f>'EQUITY BACKTEST'!B176</f>
        <v/>
      </c>
      <c r="C173" s="22" t="str">
        <f>1/'EQUITY BACKTEST'!E176</f>
        <v>#DIV/0!</v>
      </c>
      <c r="D173" s="22" t="str">
        <f t="shared" si="1"/>
        <v>#DIV/0!</v>
      </c>
      <c r="E173" s="22" t="str">
        <f t="shared" ref="E173:F173" si="173">IF(A173&lt;&gt;"", (B173 - B172) / B172, "")</f>
        <v/>
      </c>
      <c r="F173" s="22" t="str">
        <f t="shared" si="173"/>
        <v/>
      </c>
      <c r="H173" s="22" t="str">
        <f t="shared" si="4"/>
        <v/>
      </c>
    </row>
    <row r="174" ht="15.75" customHeight="1">
      <c r="A174" s="31" t="str">
        <f>'EQUITY BACKTEST'!A177</f>
        <v/>
      </c>
      <c r="B174" s="22" t="str">
        <f>'EQUITY BACKTEST'!B177</f>
        <v/>
      </c>
      <c r="C174" s="22" t="str">
        <f>1/'EQUITY BACKTEST'!E177</f>
        <v>#DIV/0!</v>
      </c>
      <c r="D174" s="22" t="str">
        <f t="shared" si="1"/>
        <v>#DIV/0!</v>
      </c>
      <c r="E174" s="22" t="str">
        <f t="shared" ref="E174:F174" si="174">IF(A174&lt;&gt;"", (B174 - B173) / B173, "")</f>
        <v/>
      </c>
      <c r="F174" s="22" t="str">
        <f t="shared" si="174"/>
        <v/>
      </c>
      <c r="H174" s="22" t="str">
        <f t="shared" si="4"/>
        <v/>
      </c>
    </row>
    <row r="175" ht="15.75" customHeight="1">
      <c r="A175" s="31" t="str">
        <f>'EQUITY BACKTEST'!A178</f>
        <v/>
      </c>
      <c r="B175" s="22" t="str">
        <f>'EQUITY BACKTEST'!B178</f>
        <v/>
      </c>
      <c r="C175" s="22" t="str">
        <f>1/'EQUITY BACKTEST'!E178</f>
        <v>#DIV/0!</v>
      </c>
      <c r="D175" s="22" t="str">
        <f t="shared" si="1"/>
        <v>#DIV/0!</v>
      </c>
      <c r="E175" s="22" t="str">
        <f t="shared" ref="E175:F175" si="175">IF(A175&lt;&gt;"", (B175 - B174) / B174, "")</f>
        <v/>
      </c>
      <c r="F175" s="22" t="str">
        <f t="shared" si="175"/>
        <v/>
      </c>
      <c r="H175" s="22" t="str">
        <f t="shared" si="4"/>
        <v/>
      </c>
    </row>
    <row r="176" ht="15.75" customHeight="1">
      <c r="A176" s="31" t="str">
        <f>'EQUITY BACKTEST'!A179</f>
        <v/>
      </c>
      <c r="B176" s="22" t="str">
        <f>'EQUITY BACKTEST'!B179</f>
        <v/>
      </c>
      <c r="C176" s="22" t="str">
        <f>1/'EQUITY BACKTEST'!E179</f>
        <v>#DIV/0!</v>
      </c>
      <c r="D176" s="22" t="str">
        <f t="shared" si="1"/>
        <v>#DIV/0!</v>
      </c>
      <c r="E176" s="22" t="str">
        <f t="shared" ref="E176:F176" si="176">IF(A176&lt;&gt;"", (B176 - B175) / B175, "")</f>
        <v/>
      </c>
      <c r="F176" s="22" t="str">
        <f t="shared" si="176"/>
        <v/>
      </c>
      <c r="H176" s="22" t="str">
        <f t="shared" si="4"/>
        <v/>
      </c>
    </row>
    <row r="177" ht="15.75" customHeight="1">
      <c r="A177" s="31" t="str">
        <f>'EQUITY BACKTEST'!A180</f>
        <v/>
      </c>
      <c r="B177" s="22" t="str">
        <f>'EQUITY BACKTEST'!B180</f>
        <v/>
      </c>
      <c r="C177" s="22" t="str">
        <f>1/'EQUITY BACKTEST'!E180</f>
        <v>#DIV/0!</v>
      </c>
      <c r="D177" s="22" t="str">
        <f t="shared" si="1"/>
        <v>#DIV/0!</v>
      </c>
      <c r="E177" s="22" t="str">
        <f t="shared" ref="E177:F177" si="177">IF(A177&lt;&gt;"", (B177 - B176) / B176, "")</f>
        <v/>
      </c>
      <c r="F177" s="22" t="str">
        <f t="shared" si="177"/>
        <v/>
      </c>
      <c r="H177" s="22" t="str">
        <f t="shared" si="4"/>
        <v/>
      </c>
    </row>
    <row r="178" ht="15.75" customHeight="1">
      <c r="A178" s="31" t="str">
        <f>'EQUITY BACKTEST'!A181</f>
        <v/>
      </c>
      <c r="B178" s="22" t="str">
        <f>'EQUITY BACKTEST'!B181</f>
        <v/>
      </c>
      <c r="C178" s="22" t="str">
        <f>1/'EQUITY BACKTEST'!E181</f>
        <v>#DIV/0!</v>
      </c>
      <c r="D178" s="22" t="str">
        <f t="shared" si="1"/>
        <v>#DIV/0!</v>
      </c>
      <c r="E178" s="22" t="str">
        <f t="shared" ref="E178:F178" si="178">IF(A178&lt;&gt;"", (B178 - B177) / B177, "")</f>
        <v/>
      </c>
      <c r="F178" s="22" t="str">
        <f t="shared" si="178"/>
        <v/>
      </c>
      <c r="H178" s="22" t="str">
        <f t="shared" si="4"/>
        <v/>
      </c>
    </row>
    <row r="179" ht="15.75" customHeight="1">
      <c r="A179" s="31" t="str">
        <f>'EQUITY BACKTEST'!A182</f>
        <v/>
      </c>
      <c r="B179" s="22" t="str">
        <f>'EQUITY BACKTEST'!B182</f>
        <v/>
      </c>
      <c r="C179" s="22" t="str">
        <f>1/'EQUITY BACKTEST'!E182</f>
        <v>#DIV/0!</v>
      </c>
      <c r="D179" s="22" t="str">
        <f t="shared" si="1"/>
        <v>#DIV/0!</v>
      </c>
      <c r="E179" s="22" t="str">
        <f t="shared" ref="E179:F179" si="179">IF(A179&lt;&gt;"", (B179 - B178) / B178, "")</f>
        <v/>
      </c>
      <c r="F179" s="22" t="str">
        <f t="shared" si="179"/>
        <v/>
      </c>
      <c r="H179" s="22" t="str">
        <f t="shared" si="4"/>
        <v/>
      </c>
    </row>
    <row r="180" ht="15.75" customHeight="1">
      <c r="A180" s="31" t="str">
        <f>'EQUITY BACKTEST'!A183</f>
        <v/>
      </c>
      <c r="B180" s="22" t="str">
        <f>'EQUITY BACKTEST'!B183</f>
        <v/>
      </c>
      <c r="C180" s="22" t="str">
        <f>1/'EQUITY BACKTEST'!E183</f>
        <v>#DIV/0!</v>
      </c>
      <c r="D180" s="22" t="str">
        <f t="shared" si="1"/>
        <v>#DIV/0!</v>
      </c>
      <c r="E180" s="22" t="str">
        <f t="shared" ref="E180:F180" si="180">IF(A180&lt;&gt;"", (B180 - B179) / B179, "")</f>
        <v/>
      </c>
      <c r="F180" s="22" t="str">
        <f t="shared" si="180"/>
        <v/>
      </c>
      <c r="H180" s="22" t="str">
        <f t="shared" si="4"/>
        <v/>
      </c>
    </row>
    <row r="181" ht="15.75" customHeight="1">
      <c r="A181" s="31" t="str">
        <f>'EQUITY BACKTEST'!A184</f>
        <v/>
      </c>
      <c r="B181" s="22" t="str">
        <f>'EQUITY BACKTEST'!B184</f>
        <v/>
      </c>
      <c r="C181" s="22" t="str">
        <f>1/'EQUITY BACKTEST'!E184</f>
        <v>#DIV/0!</v>
      </c>
      <c r="D181" s="22" t="str">
        <f t="shared" si="1"/>
        <v>#DIV/0!</v>
      </c>
      <c r="E181" s="22" t="str">
        <f t="shared" ref="E181:F181" si="181">IF(A181&lt;&gt;"", (B181 - B180) / B180, "")</f>
        <v/>
      </c>
      <c r="F181" s="22" t="str">
        <f t="shared" si="181"/>
        <v/>
      </c>
      <c r="H181" s="22" t="str">
        <f t="shared" si="4"/>
        <v/>
      </c>
    </row>
    <row r="182" ht="15.75" customHeight="1">
      <c r="A182" s="31" t="str">
        <f>'EQUITY BACKTEST'!A185</f>
        <v/>
      </c>
      <c r="B182" s="22" t="str">
        <f>'EQUITY BACKTEST'!B185</f>
        <v/>
      </c>
      <c r="C182" s="22" t="str">
        <f>1/'EQUITY BACKTEST'!E185</f>
        <v>#DIV/0!</v>
      </c>
      <c r="D182" s="22" t="str">
        <f t="shared" si="1"/>
        <v>#DIV/0!</v>
      </c>
      <c r="E182" s="22" t="str">
        <f t="shared" ref="E182:F182" si="182">IF(A182&lt;&gt;"", (B182 - B181) / B181, "")</f>
        <v/>
      </c>
      <c r="F182" s="22" t="str">
        <f t="shared" si="182"/>
        <v/>
      </c>
      <c r="H182" s="22" t="str">
        <f t="shared" si="4"/>
        <v/>
      </c>
    </row>
    <row r="183" ht="15.75" customHeight="1">
      <c r="A183" s="31" t="str">
        <f>'EQUITY BACKTEST'!A186</f>
        <v/>
      </c>
      <c r="B183" s="22" t="str">
        <f>'EQUITY BACKTEST'!B186</f>
        <v/>
      </c>
      <c r="C183" s="22" t="str">
        <f>1/'EQUITY BACKTEST'!E186</f>
        <v>#DIV/0!</v>
      </c>
      <c r="D183" s="22" t="str">
        <f t="shared" si="1"/>
        <v>#DIV/0!</v>
      </c>
      <c r="E183" s="22" t="str">
        <f t="shared" ref="E183:F183" si="183">IF(A183&lt;&gt;"", (B183 - B182) / B182, "")</f>
        <v/>
      </c>
      <c r="F183" s="22" t="str">
        <f t="shared" si="183"/>
        <v/>
      </c>
      <c r="H183" s="22" t="str">
        <f t="shared" si="4"/>
        <v/>
      </c>
    </row>
    <row r="184" ht="15.75" customHeight="1">
      <c r="A184" s="31" t="str">
        <f>'EQUITY BACKTEST'!A187</f>
        <v/>
      </c>
      <c r="B184" s="22" t="str">
        <f>'EQUITY BACKTEST'!B187</f>
        <v/>
      </c>
      <c r="C184" s="22" t="str">
        <f>1/'EQUITY BACKTEST'!E187</f>
        <v>#DIV/0!</v>
      </c>
      <c r="D184" s="22" t="str">
        <f t="shared" si="1"/>
        <v>#DIV/0!</v>
      </c>
      <c r="E184" s="22" t="str">
        <f t="shared" ref="E184:F184" si="184">IF(A184&lt;&gt;"", (B184 - B183) / B183, "")</f>
        <v/>
      </c>
      <c r="F184" s="22" t="str">
        <f t="shared" si="184"/>
        <v/>
      </c>
      <c r="H184" s="22" t="str">
        <f t="shared" si="4"/>
        <v/>
      </c>
    </row>
    <row r="185" ht="15.75" customHeight="1">
      <c r="A185" s="31" t="str">
        <f>'EQUITY BACKTEST'!A188</f>
        <v/>
      </c>
      <c r="B185" s="22" t="str">
        <f>'EQUITY BACKTEST'!B188</f>
        <v/>
      </c>
      <c r="C185" s="22" t="str">
        <f>1/'EQUITY BACKTEST'!E188</f>
        <v>#DIV/0!</v>
      </c>
      <c r="D185" s="22" t="str">
        <f t="shared" si="1"/>
        <v>#DIV/0!</v>
      </c>
      <c r="E185" s="22" t="str">
        <f t="shared" ref="E185:F185" si="185">IF(A185&lt;&gt;"", (B185 - B184) / B184, "")</f>
        <v/>
      </c>
      <c r="F185" s="22" t="str">
        <f t="shared" si="185"/>
        <v/>
      </c>
      <c r="H185" s="22" t="str">
        <f t="shared" si="4"/>
        <v/>
      </c>
    </row>
    <row r="186" ht="15.75" customHeight="1">
      <c r="A186" s="31" t="str">
        <f>'EQUITY BACKTEST'!A189</f>
        <v/>
      </c>
      <c r="B186" s="22" t="str">
        <f>'EQUITY BACKTEST'!B189</f>
        <v/>
      </c>
      <c r="C186" s="22" t="str">
        <f>1/'EQUITY BACKTEST'!E189</f>
        <v>#DIV/0!</v>
      </c>
      <c r="D186" s="22" t="str">
        <f t="shared" si="1"/>
        <v>#DIV/0!</v>
      </c>
      <c r="E186" s="22" t="str">
        <f t="shared" ref="E186:F186" si="186">IF(A186&lt;&gt;"", (B186 - B185) / B185, "")</f>
        <v/>
      </c>
      <c r="F186" s="22" t="str">
        <f t="shared" si="186"/>
        <v/>
      </c>
      <c r="H186" s="22" t="str">
        <f t="shared" si="4"/>
        <v/>
      </c>
    </row>
    <row r="187" ht="15.75" customHeight="1">
      <c r="A187" s="31" t="str">
        <f>'EQUITY BACKTEST'!A190</f>
        <v/>
      </c>
      <c r="B187" s="22" t="str">
        <f>'EQUITY BACKTEST'!B190</f>
        <v/>
      </c>
      <c r="C187" s="22" t="str">
        <f>1/'EQUITY BACKTEST'!E190</f>
        <v>#DIV/0!</v>
      </c>
      <c r="D187" s="22" t="str">
        <f t="shared" si="1"/>
        <v>#DIV/0!</v>
      </c>
      <c r="E187" s="22" t="str">
        <f t="shared" ref="E187:F187" si="187">IF(A187&lt;&gt;"", (B187 - B186) / B186, "")</f>
        <v/>
      </c>
      <c r="F187" s="22" t="str">
        <f t="shared" si="187"/>
        <v/>
      </c>
      <c r="H187" s="22" t="str">
        <f t="shared" si="4"/>
        <v/>
      </c>
    </row>
    <row r="188" ht="15.75" customHeight="1">
      <c r="A188" s="31" t="str">
        <f>'EQUITY BACKTEST'!A191</f>
        <v/>
      </c>
      <c r="B188" s="22" t="str">
        <f>'EQUITY BACKTEST'!B191</f>
        <v/>
      </c>
      <c r="C188" s="22" t="str">
        <f>1/'EQUITY BACKTEST'!E191</f>
        <v>#DIV/0!</v>
      </c>
      <c r="D188" s="22" t="str">
        <f t="shared" si="1"/>
        <v>#DIV/0!</v>
      </c>
      <c r="E188" s="22" t="str">
        <f t="shared" ref="E188:F188" si="188">IF(A188&lt;&gt;"", (B188 - B187) / B187, "")</f>
        <v/>
      </c>
      <c r="F188" s="22" t="str">
        <f t="shared" si="188"/>
        <v/>
      </c>
      <c r="H188" s="22" t="str">
        <f t="shared" si="4"/>
        <v/>
      </c>
    </row>
    <row r="189" ht="15.75" customHeight="1">
      <c r="A189" s="31" t="str">
        <f>'EQUITY BACKTEST'!A192</f>
        <v/>
      </c>
      <c r="B189" s="22" t="str">
        <f>'EQUITY BACKTEST'!B192</f>
        <v/>
      </c>
      <c r="C189" s="22" t="str">
        <f>1/'EQUITY BACKTEST'!E192</f>
        <v>#DIV/0!</v>
      </c>
      <c r="D189" s="22" t="str">
        <f t="shared" si="1"/>
        <v>#DIV/0!</v>
      </c>
      <c r="E189" s="22" t="str">
        <f t="shared" ref="E189:F189" si="189">IF(A189&lt;&gt;"", (B189 - B188) / B188, "")</f>
        <v/>
      </c>
      <c r="F189" s="22" t="str">
        <f t="shared" si="189"/>
        <v/>
      </c>
      <c r="H189" s="22" t="str">
        <f t="shared" si="4"/>
        <v/>
      </c>
    </row>
    <row r="190" ht="15.75" customHeight="1">
      <c r="A190" s="31" t="str">
        <f>'EQUITY BACKTEST'!A193</f>
        <v/>
      </c>
      <c r="B190" s="22" t="str">
        <f>'EQUITY BACKTEST'!B193</f>
        <v/>
      </c>
      <c r="C190" s="22" t="str">
        <f>1/'EQUITY BACKTEST'!E193</f>
        <v>#DIV/0!</v>
      </c>
      <c r="D190" s="22" t="str">
        <f t="shared" si="1"/>
        <v>#DIV/0!</v>
      </c>
      <c r="E190" s="22" t="str">
        <f t="shared" ref="E190:F190" si="190">IF(A190&lt;&gt;"", (B190 - B189) / B189, "")</f>
        <v/>
      </c>
      <c r="F190" s="22" t="str">
        <f t="shared" si="190"/>
        <v/>
      </c>
      <c r="H190" s="22" t="str">
        <f t="shared" si="4"/>
        <v/>
      </c>
    </row>
    <row r="191" ht="15.75" customHeight="1">
      <c r="A191" s="31" t="str">
        <f>'EQUITY BACKTEST'!A194</f>
        <v/>
      </c>
      <c r="B191" s="22" t="str">
        <f>'EQUITY BACKTEST'!B194</f>
        <v/>
      </c>
      <c r="C191" s="22" t="str">
        <f>1/'EQUITY BACKTEST'!E194</f>
        <v>#DIV/0!</v>
      </c>
      <c r="D191" s="22" t="str">
        <f t="shared" si="1"/>
        <v>#DIV/0!</v>
      </c>
      <c r="E191" s="22" t="str">
        <f t="shared" ref="E191:F191" si="191">IF(A191&lt;&gt;"", (B191 - B190) / B190, "")</f>
        <v/>
      </c>
      <c r="F191" s="22" t="str">
        <f t="shared" si="191"/>
        <v/>
      </c>
      <c r="H191" s="22" t="str">
        <f t="shared" si="4"/>
        <v/>
      </c>
    </row>
    <row r="192" ht="15.75" customHeight="1">
      <c r="A192" s="31" t="str">
        <f>'EQUITY BACKTEST'!A195</f>
        <v/>
      </c>
      <c r="B192" s="22" t="str">
        <f>'EQUITY BACKTEST'!B195</f>
        <v/>
      </c>
      <c r="C192" s="22" t="str">
        <f>1/'EQUITY BACKTEST'!E195</f>
        <v>#DIV/0!</v>
      </c>
      <c r="D192" s="22" t="str">
        <f t="shared" si="1"/>
        <v>#DIV/0!</v>
      </c>
      <c r="E192" s="22" t="str">
        <f t="shared" ref="E192:F192" si="192">IF(A192&lt;&gt;"", (B192 - B191) / B191, "")</f>
        <v/>
      </c>
      <c r="F192" s="22" t="str">
        <f t="shared" si="192"/>
        <v/>
      </c>
      <c r="H192" s="22" t="str">
        <f t="shared" si="4"/>
        <v/>
      </c>
    </row>
    <row r="193" ht="15.75" customHeight="1">
      <c r="A193" s="31" t="str">
        <f>'EQUITY BACKTEST'!A196</f>
        <v/>
      </c>
      <c r="B193" s="22" t="str">
        <f>'EQUITY BACKTEST'!B196</f>
        <v/>
      </c>
      <c r="C193" s="22" t="str">
        <f>1/'EQUITY BACKTEST'!E196</f>
        <v>#DIV/0!</v>
      </c>
      <c r="D193" s="22" t="str">
        <f t="shared" si="1"/>
        <v>#DIV/0!</v>
      </c>
      <c r="E193" s="22" t="str">
        <f t="shared" ref="E193:F193" si="193">IF(A193&lt;&gt;"", (B193 - B192) / B192, "")</f>
        <v/>
      </c>
      <c r="F193" s="22" t="str">
        <f t="shared" si="193"/>
        <v/>
      </c>
      <c r="H193" s="22" t="str">
        <f t="shared" si="4"/>
        <v/>
      </c>
    </row>
    <row r="194" ht="15.75" customHeight="1">
      <c r="A194" s="31" t="str">
        <f>'EQUITY BACKTEST'!A197</f>
        <v/>
      </c>
      <c r="B194" s="22" t="str">
        <f>'EQUITY BACKTEST'!B197</f>
        <v/>
      </c>
      <c r="C194" s="22" t="str">
        <f>1/'EQUITY BACKTEST'!E197</f>
        <v>#DIV/0!</v>
      </c>
      <c r="D194" s="22" t="str">
        <f t="shared" si="1"/>
        <v>#DIV/0!</v>
      </c>
      <c r="E194" s="22" t="str">
        <f t="shared" ref="E194:F194" si="194">IF(A194&lt;&gt;"", (B194 - B193) / B193, "")</f>
        <v/>
      </c>
      <c r="F194" s="22" t="str">
        <f t="shared" si="194"/>
        <v/>
      </c>
      <c r="H194" s="22" t="str">
        <f t="shared" si="4"/>
        <v/>
      </c>
    </row>
    <row r="195" ht="15.75" customHeight="1">
      <c r="A195" s="31" t="str">
        <f>'EQUITY BACKTEST'!A198</f>
        <v/>
      </c>
      <c r="B195" s="22" t="str">
        <f>'EQUITY BACKTEST'!B198</f>
        <v/>
      </c>
      <c r="C195" s="22" t="str">
        <f>1/'EQUITY BACKTEST'!E198</f>
        <v>#DIV/0!</v>
      </c>
      <c r="D195" s="22" t="str">
        <f t="shared" si="1"/>
        <v>#DIV/0!</v>
      </c>
      <c r="E195" s="22" t="str">
        <f t="shared" ref="E195:F195" si="195">IF(A195&lt;&gt;"", (B195 - B194) / B194, "")</f>
        <v/>
      </c>
      <c r="F195" s="22" t="str">
        <f t="shared" si="195"/>
        <v/>
      </c>
      <c r="H195" s="22" t="str">
        <f t="shared" si="4"/>
        <v/>
      </c>
    </row>
    <row r="196" ht="15.75" customHeight="1">
      <c r="A196" s="31" t="str">
        <f>'EQUITY BACKTEST'!A199</f>
        <v/>
      </c>
      <c r="B196" s="22" t="str">
        <f>'EQUITY BACKTEST'!B199</f>
        <v/>
      </c>
      <c r="C196" s="22" t="str">
        <f>1/'EQUITY BACKTEST'!E199</f>
        <v>#DIV/0!</v>
      </c>
      <c r="D196" s="22" t="str">
        <f t="shared" si="1"/>
        <v>#DIV/0!</v>
      </c>
      <c r="E196" s="22" t="str">
        <f t="shared" ref="E196:F196" si="196">IF(A196&lt;&gt;"", (B196 - B195) / B195, "")</f>
        <v/>
      </c>
      <c r="F196" s="22" t="str">
        <f t="shared" si="196"/>
        <v/>
      </c>
      <c r="H196" s="22" t="str">
        <f t="shared" si="4"/>
        <v/>
      </c>
    </row>
    <row r="197" ht="15.75" customHeight="1">
      <c r="A197" s="31" t="str">
        <f>'EQUITY BACKTEST'!A200</f>
        <v/>
      </c>
      <c r="B197" s="22" t="str">
        <f>'EQUITY BACKTEST'!B200</f>
        <v/>
      </c>
      <c r="C197" s="22" t="str">
        <f>1/'EQUITY BACKTEST'!E200</f>
        <v>#DIV/0!</v>
      </c>
      <c r="D197" s="22" t="str">
        <f t="shared" si="1"/>
        <v>#DIV/0!</v>
      </c>
      <c r="E197" s="22" t="str">
        <f t="shared" ref="E197:F197" si="197">IF(A197&lt;&gt;"", (B197 - B196) / B196, "")</f>
        <v/>
      </c>
      <c r="F197" s="22" t="str">
        <f t="shared" si="197"/>
        <v/>
      </c>
      <c r="H197" s="22" t="str">
        <f t="shared" si="4"/>
        <v/>
      </c>
    </row>
    <row r="198" ht="15.75" customHeight="1">
      <c r="A198" s="31" t="str">
        <f>'EQUITY BACKTEST'!A201</f>
        <v/>
      </c>
      <c r="B198" s="22" t="str">
        <f>'EQUITY BACKTEST'!B201</f>
        <v/>
      </c>
      <c r="C198" s="22" t="str">
        <f>1/'EQUITY BACKTEST'!E201</f>
        <v>#DIV/0!</v>
      </c>
      <c r="D198" s="22" t="str">
        <f t="shared" si="1"/>
        <v>#DIV/0!</v>
      </c>
      <c r="E198" s="22" t="str">
        <f t="shared" ref="E198:F198" si="198">IF(A198&lt;&gt;"", (B198 - B197) / B197, "")</f>
        <v/>
      </c>
      <c r="F198" s="22" t="str">
        <f t="shared" si="198"/>
        <v/>
      </c>
      <c r="H198" s="22" t="str">
        <f t="shared" si="4"/>
        <v/>
      </c>
    </row>
    <row r="199" ht="15.75" customHeight="1">
      <c r="A199" s="31" t="str">
        <f>'EQUITY BACKTEST'!A202</f>
        <v/>
      </c>
      <c r="B199" s="22" t="str">
        <f>'EQUITY BACKTEST'!B202</f>
        <v/>
      </c>
      <c r="C199" s="22" t="str">
        <f>1/'EQUITY BACKTEST'!E202</f>
        <v>#DIV/0!</v>
      </c>
      <c r="D199" s="22" t="str">
        <f t="shared" si="1"/>
        <v>#DIV/0!</v>
      </c>
      <c r="E199" s="22" t="str">
        <f t="shared" ref="E199:F199" si="199">IF(A199&lt;&gt;"", (B199 - B198) / B198, "")</f>
        <v/>
      </c>
      <c r="F199" s="22" t="str">
        <f t="shared" si="199"/>
        <v/>
      </c>
      <c r="H199" s="22" t="str">
        <f t="shared" si="4"/>
        <v/>
      </c>
    </row>
    <row r="200" ht="15.75" customHeight="1">
      <c r="A200" s="31" t="str">
        <f>'EQUITY BACKTEST'!A203</f>
        <v/>
      </c>
      <c r="B200" s="22" t="str">
        <f>'EQUITY BACKTEST'!B203</f>
        <v/>
      </c>
      <c r="C200" s="22" t="str">
        <f>1/'EQUITY BACKTEST'!E203</f>
        <v>#DIV/0!</v>
      </c>
      <c r="D200" s="22" t="str">
        <f t="shared" si="1"/>
        <v>#DIV/0!</v>
      </c>
      <c r="E200" s="22" t="str">
        <f t="shared" ref="E200:F200" si="200">IF(A200&lt;&gt;"", (B200 - B199) / B199, "")</f>
        <v/>
      </c>
      <c r="F200" s="22" t="str">
        <f t="shared" si="200"/>
        <v/>
      </c>
      <c r="H200" s="22" t="str">
        <f t="shared" si="4"/>
        <v/>
      </c>
    </row>
    <row r="201" ht="15.75" customHeight="1">
      <c r="A201" s="31" t="str">
        <f>'EQUITY BACKTEST'!A204</f>
        <v/>
      </c>
      <c r="B201" s="22" t="str">
        <f>'EQUITY BACKTEST'!B204</f>
        <v/>
      </c>
      <c r="C201" s="22" t="str">
        <f>1/'EQUITY BACKTEST'!E204</f>
        <v>#DIV/0!</v>
      </c>
      <c r="D201" s="22" t="str">
        <f t="shared" si="1"/>
        <v>#DIV/0!</v>
      </c>
      <c r="E201" s="22" t="str">
        <f t="shared" ref="E201:F201" si="201">IF(A201&lt;&gt;"", (B201 - B200) / B200, "")</f>
        <v/>
      </c>
      <c r="F201" s="22" t="str">
        <f t="shared" si="201"/>
        <v/>
      </c>
      <c r="H201" s="22" t="str">
        <f t="shared" si="4"/>
        <v/>
      </c>
    </row>
    <row r="202" ht="15.75" customHeight="1">
      <c r="A202" s="31" t="str">
        <f>'EQUITY BACKTEST'!A205</f>
        <v/>
      </c>
      <c r="B202" s="22" t="str">
        <f>'EQUITY BACKTEST'!B205</f>
        <v/>
      </c>
      <c r="C202" s="22" t="str">
        <f>1/'EQUITY BACKTEST'!E205</f>
        <v>#DIV/0!</v>
      </c>
      <c r="D202" s="22" t="str">
        <f t="shared" si="1"/>
        <v>#DIV/0!</v>
      </c>
      <c r="E202" s="22" t="str">
        <f t="shared" ref="E202:F202" si="202">IF(A202&lt;&gt;"", (B202 - B201) / B201, "")</f>
        <v/>
      </c>
      <c r="F202" s="22" t="str">
        <f t="shared" si="202"/>
        <v/>
      </c>
      <c r="H202" s="22" t="str">
        <f t="shared" si="4"/>
        <v/>
      </c>
    </row>
    <row r="203" ht="15.75" customHeight="1">
      <c r="A203" s="31" t="str">
        <f>'EQUITY BACKTEST'!A206</f>
        <v/>
      </c>
      <c r="B203" s="22" t="str">
        <f>'EQUITY BACKTEST'!B206</f>
        <v/>
      </c>
      <c r="C203" s="22" t="str">
        <f>1/'EQUITY BACKTEST'!E206</f>
        <v>#DIV/0!</v>
      </c>
      <c r="D203" s="22" t="str">
        <f t="shared" si="1"/>
        <v>#DIV/0!</v>
      </c>
      <c r="E203" s="22" t="str">
        <f t="shared" ref="E203:F203" si="203">IF(A203&lt;&gt;"", (B203 - B202) / B202, "")</f>
        <v/>
      </c>
      <c r="F203" s="22" t="str">
        <f t="shared" si="203"/>
        <v/>
      </c>
      <c r="H203" s="22" t="str">
        <f t="shared" si="4"/>
        <v/>
      </c>
    </row>
    <row r="204" ht="15.75" customHeight="1">
      <c r="A204" s="31" t="str">
        <f>'EQUITY BACKTEST'!A207</f>
        <v/>
      </c>
      <c r="B204" s="22" t="str">
        <f>'EQUITY BACKTEST'!B207</f>
        <v/>
      </c>
      <c r="C204" s="22" t="str">
        <f>1/'EQUITY BACKTEST'!E207</f>
        <v>#DIV/0!</v>
      </c>
      <c r="D204" s="22" t="str">
        <f t="shared" si="1"/>
        <v>#DIV/0!</v>
      </c>
      <c r="E204" s="22" t="str">
        <f t="shared" ref="E204:F204" si="204">IF(A204&lt;&gt;"", (B204 - B203) / B203, "")</f>
        <v/>
      </c>
      <c r="F204" s="22" t="str">
        <f t="shared" si="204"/>
        <v/>
      </c>
      <c r="H204" s="22" t="str">
        <f t="shared" si="4"/>
        <v/>
      </c>
    </row>
    <row r="205" ht="15.75" customHeight="1">
      <c r="A205" s="31" t="str">
        <f>'EQUITY BACKTEST'!A208</f>
        <v/>
      </c>
      <c r="B205" s="22" t="str">
        <f>'EQUITY BACKTEST'!B208</f>
        <v/>
      </c>
      <c r="C205" s="22" t="str">
        <f>1/'EQUITY BACKTEST'!E208</f>
        <v>#DIV/0!</v>
      </c>
      <c r="D205" s="22" t="str">
        <f t="shared" si="1"/>
        <v>#DIV/0!</v>
      </c>
      <c r="E205" s="22" t="str">
        <f t="shared" ref="E205:F205" si="205">IF(A205&lt;&gt;"", (B205 - B204) / B204, "")</f>
        <v/>
      </c>
      <c r="F205" s="22" t="str">
        <f t="shared" si="205"/>
        <v/>
      </c>
      <c r="H205" s="22" t="str">
        <f t="shared" si="4"/>
        <v/>
      </c>
    </row>
    <row r="206" ht="15.75" customHeight="1">
      <c r="A206" s="31" t="str">
        <f>'EQUITY BACKTEST'!A209</f>
        <v/>
      </c>
      <c r="B206" s="22" t="str">
        <f>'EQUITY BACKTEST'!B209</f>
        <v/>
      </c>
      <c r="C206" s="22" t="str">
        <f>1/'EQUITY BACKTEST'!E209</f>
        <v>#DIV/0!</v>
      </c>
      <c r="D206" s="22" t="str">
        <f t="shared" si="1"/>
        <v>#DIV/0!</v>
      </c>
      <c r="E206" s="22" t="str">
        <f t="shared" ref="E206:F206" si="206">IF(A206&lt;&gt;"", (B206 - B205) / B205, "")</f>
        <v/>
      </c>
      <c r="F206" s="22" t="str">
        <f t="shared" si="206"/>
        <v/>
      </c>
      <c r="H206" s="22" t="str">
        <f t="shared" si="4"/>
        <v/>
      </c>
    </row>
    <row r="207" ht="15.75" customHeight="1">
      <c r="A207" s="31" t="str">
        <f>'EQUITY BACKTEST'!A210</f>
        <v/>
      </c>
      <c r="B207" s="22" t="str">
        <f>'EQUITY BACKTEST'!B210</f>
        <v/>
      </c>
      <c r="C207" s="22" t="str">
        <f>1/'EQUITY BACKTEST'!E210</f>
        <v>#DIV/0!</v>
      </c>
      <c r="D207" s="22" t="str">
        <f t="shared" si="1"/>
        <v>#DIV/0!</v>
      </c>
      <c r="E207" s="22" t="str">
        <f t="shared" ref="E207:F207" si="207">IF(A207&lt;&gt;"", (B207 - B206) / B206, "")</f>
        <v/>
      </c>
      <c r="F207" s="22" t="str">
        <f t="shared" si="207"/>
        <v/>
      </c>
      <c r="H207" s="22" t="str">
        <f t="shared" si="4"/>
        <v/>
      </c>
    </row>
    <row r="208" ht="15.75" customHeight="1">
      <c r="A208" s="31" t="str">
        <f>'EQUITY BACKTEST'!A211</f>
        <v/>
      </c>
      <c r="B208" s="22" t="str">
        <f>'EQUITY BACKTEST'!B211</f>
        <v/>
      </c>
      <c r="C208" s="22" t="str">
        <f>1/'EQUITY BACKTEST'!E211</f>
        <v>#DIV/0!</v>
      </c>
      <c r="D208" s="22" t="str">
        <f t="shared" si="1"/>
        <v>#DIV/0!</v>
      </c>
      <c r="E208" s="22" t="str">
        <f t="shared" ref="E208:F208" si="208">IF(A208&lt;&gt;"", (B208 - B207) / B207, "")</f>
        <v/>
      </c>
      <c r="F208" s="22" t="str">
        <f t="shared" si="208"/>
        <v/>
      </c>
      <c r="H208" s="22" t="str">
        <f t="shared" si="4"/>
        <v/>
      </c>
    </row>
    <row r="209" ht="15.75" customHeight="1">
      <c r="A209" s="31" t="str">
        <f>'EQUITY BACKTEST'!A212</f>
        <v/>
      </c>
      <c r="B209" s="22" t="str">
        <f>'EQUITY BACKTEST'!B212</f>
        <v/>
      </c>
      <c r="C209" s="22" t="str">
        <f>1/'EQUITY BACKTEST'!E212</f>
        <v>#DIV/0!</v>
      </c>
      <c r="D209" s="22" t="str">
        <f t="shared" si="1"/>
        <v>#DIV/0!</v>
      </c>
      <c r="E209" s="22" t="str">
        <f t="shared" ref="E209:F209" si="209">IF(A209&lt;&gt;"", (B209 - B208) / B208, "")</f>
        <v/>
      </c>
      <c r="F209" s="22" t="str">
        <f t="shared" si="209"/>
        <v/>
      </c>
      <c r="H209" s="22" t="str">
        <f t="shared" si="4"/>
        <v/>
      </c>
    </row>
    <row r="210" ht="15.75" customHeight="1">
      <c r="A210" s="31" t="str">
        <f>'EQUITY BACKTEST'!A213</f>
        <v/>
      </c>
      <c r="B210" s="22" t="str">
        <f>'EQUITY BACKTEST'!B213</f>
        <v/>
      </c>
      <c r="C210" s="22" t="str">
        <f>1/'EQUITY BACKTEST'!E213</f>
        <v>#DIV/0!</v>
      </c>
      <c r="D210" s="22" t="str">
        <f t="shared" si="1"/>
        <v>#DIV/0!</v>
      </c>
      <c r="E210" s="22" t="str">
        <f t="shared" ref="E210:F210" si="210">IF(A210&lt;&gt;"", (B210 - B209) / B209, "")</f>
        <v/>
      </c>
      <c r="F210" s="22" t="str">
        <f t="shared" si="210"/>
        <v/>
      </c>
      <c r="H210" s="22" t="str">
        <f t="shared" si="4"/>
        <v/>
      </c>
    </row>
    <row r="211" ht="15.75" customHeight="1">
      <c r="A211" s="31" t="str">
        <f>'EQUITY BACKTEST'!A214</f>
        <v/>
      </c>
      <c r="B211" s="22" t="str">
        <f>'EQUITY BACKTEST'!B214</f>
        <v/>
      </c>
      <c r="C211" s="22" t="str">
        <f>1/'EQUITY BACKTEST'!E214</f>
        <v>#DIV/0!</v>
      </c>
      <c r="D211" s="22" t="str">
        <f t="shared" si="1"/>
        <v>#DIV/0!</v>
      </c>
      <c r="E211" s="22" t="str">
        <f t="shared" ref="E211:F211" si="211">IF(A211&lt;&gt;"", (B211 - B210) / B210, "")</f>
        <v/>
      </c>
      <c r="F211" s="22" t="str">
        <f t="shared" si="211"/>
        <v/>
      </c>
      <c r="H211" s="22" t="str">
        <f t="shared" si="4"/>
        <v/>
      </c>
    </row>
    <row r="212" ht="15.75" customHeight="1">
      <c r="A212" s="31" t="str">
        <f>'EQUITY BACKTEST'!A215</f>
        <v/>
      </c>
      <c r="B212" s="22" t="str">
        <f>'EQUITY BACKTEST'!B215</f>
        <v/>
      </c>
      <c r="C212" s="22" t="str">
        <f>1/'EQUITY BACKTEST'!E215</f>
        <v>#DIV/0!</v>
      </c>
      <c r="D212" s="22" t="str">
        <f t="shared" si="1"/>
        <v>#DIV/0!</v>
      </c>
      <c r="E212" s="22" t="str">
        <f t="shared" ref="E212:F212" si="212">IF(A212&lt;&gt;"", (B212 - B211) / B211, "")</f>
        <v/>
      </c>
      <c r="F212" s="22" t="str">
        <f t="shared" si="212"/>
        <v/>
      </c>
      <c r="H212" s="22" t="str">
        <f t="shared" si="4"/>
        <v/>
      </c>
    </row>
    <row r="213" ht="15.75" customHeight="1">
      <c r="A213" s="31" t="str">
        <f>'EQUITY BACKTEST'!A216</f>
        <v/>
      </c>
      <c r="B213" s="22" t="str">
        <f>'EQUITY BACKTEST'!B216</f>
        <v/>
      </c>
      <c r="C213" s="22" t="str">
        <f>1/'EQUITY BACKTEST'!E216</f>
        <v>#DIV/0!</v>
      </c>
      <c r="D213" s="22" t="str">
        <f t="shared" si="1"/>
        <v>#DIV/0!</v>
      </c>
      <c r="E213" s="22" t="str">
        <f t="shared" ref="E213:F213" si="213">IF(A213&lt;&gt;"", (B213 - B212) / B212, "")</f>
        <v/>
      </c>
      <c r="F213" s="22" t="str">
        <f t="shared" si="213"/>
        <v/>
      </c>
      <c r="H213" s="22" t="str">
        <f t="shared" si="4"/>
        <v/>
      </c>
    </row>
    <row r="214" ht="15.75" customHeight="1">
      <c r="A214" s="31" t="str">
        <f>'EQUITY BACKTEST'!A217</f>
        <v/>
      </c>
      <c r="B214" s="22" t="str">
        <f>'EQUITY BACKTEST'!B217</f>
        <v/>
      </c>
      <c r="C214" s="22" t="str">
        <f>1/'EQUITY BACKTEST'!E217</f>
        <v>#DIV/0!</v>
      </c>
      <c r="D214" s="22" t="str">
        <f t="shared" si="1"/>
        <v>#DIV/0!</v>
      </c>
      <c r="E214" s="22" t="str">
        <f t="shared" ref="E214:F214" si="214">IF(A214&lt;&gt;"", (B214 - B213) / B213, "")</f>
        <v/>
      </c>
      <c r="F214" s="22" t="str">
        <f t="shared" si="214"/>
        <v/>
      </c>
      <c r="H214" s="22" t="str">
        <f t="shared" si="4"/>
        <v/>
      </c>
    </row>
    <row r="215" ht="15.75" customHeight="1">
      <c r="A215" s="31" t="str">
        <f>'EQUITY BACKTEST'!A218</f>
        <v/>
      </c>
      <c r="B215" s="22" t="str">
        <f>'EQUITY BACKTEST'!B218</f>
        <v/>
      </c>
      <c r="C215" s="22" t="str">
        <f>1/'EQUITY BACKTEST'!E218</f>
        <v>#DIV/0!</v>
      </c>
      <c r="D215" s="22" t="str">
        <f t="shared" si="1"/>
        <v>#DIV/0!</v>
      </c>
      <c r="E215" s="22" t="str">
        <f t="shared" ref="E215:F215" si="215">IF(A215&lt;&gt;"", (B215 - B214) / B214, "")</f>
        <v/>
      </c>
      <c r="F215" s="22" t="str">
        <f t="shared" si="215"/>
        <v/>
      </c>
      <c r="H215" s="22" t="str">
        <f t="shared" si="4"/>
        <v/>
      </c>
    </row>
    <row r="216" ht="15.75" customHeight="1">
      <c r="A216" s="31" t="str">
        <f>'EQUITY BACKTEST'!A219</f>
        <v/>
      </c>
      <c r="B216" s="22" t="str">
        <f>'EQUITY BACKTEST'!B219</f>
        <v/>
      </c>
      <c r="C216" s="22" t="str">
        <f>1/'EQUITY BACKTEST'!E219</f>
        <v>#DIV/0!</v>
      </c>
      <c r="D216" s="22" t="str">
        <f t="shared" si="1"/>
        <v>#DIV/0!</v>
      </c>
      <c r="E216" s="22" t="str">
        <f t="shared" ref="E216:F216" si="216">IF(A216&lt;&gt;"", (B216 - B215) / B215, "")</f>
        <v/>
      </c>
      <c r="F216" s="22" t="str">
        <f t="shared" si="216"/>
        <v/>
      </c>
      <c r="H216" s="22" t="str">
        <f t="shared" si="4"/>
        <v/>
      </c>
    </row>
    <row r="217" ht="15.75" customHeight="1">
      <c r="A217" s="31" t="str">
        <f>'EQUITY BACKTEST'!A220</f>
        <v/>
      </c>
      <c r="B217" s="22" t="str">
        <f>'EQUITY BACKTEST'!B220</f>
        <v/>
      </c>
      <c r="C217" s="22" t="str">
        <f>1/'EQUITY BACKTEST'!E220</f>
        <v>#DIV/0!</v>
      </c>
      <c r="D217" s="22" t="str">
        <f t="shared" si="1"/>
        <v>#DIV/0!</v>
      </c>
      <c r="E217" s="22" t="str">
        <f t="shared" ref="E217:F217" si="217">IF(A217&lt;&gt;"", (B217 - B216) / B216, "")</f>
        <v/>
      </c>
      <c r="F217" s="22" t="str">
        <f t="shared" si="217"/>
        <v/>
      </c>
      <c r="H217" s="22" t="str">
        <f t="shared" si="4"/>
        <v/>
      </c>
    </row>
    <row r="218" ht="15.75" customHeight="1">
      <c r="A218" s="31" t="str">
        <f>'EQUITY BACKTEST'!A221</f>
        <v/>
      </c>
      <c r="B218" s="22" t="str">
        <f>'EQUITY BACKTEST'!B221</f>
        <v/>
      </c>
      <c r="C218" s="22" t="str">
        <f>1/'EQUITY BACKTEST'!E221</f>
        <v>#DIV/0!</v>
      </c>
      <c r="D218" s="22" t="str">
        <f t="shared" si="1"/>
        <v>#DIV/0!</v>
      </c>
      <c r="E218" s="22" t="str">
        <f t="shared" ref="E218:F218" si="218">IF(A218&lt;&gt;"", (B218 - B217) / B217, "")</f>
        <v/>
      </c>
      <c r="F218" s="22" t="str">
        <f t="shared" si="218"/>
        <v/>
      </c>
      <c r="H218" s="22" t="str">
        <f t="shared" si="4"/>
        <v/>
      </c>
    </row>
    <row r="219" ht="15.75" customHeight="1">
      <c r="A219" s="31" t="str">
        <f>'EQUITY BACKTEST'!A222</f>
        <v/>
      </c>
      <c r="B219" s="22" t="str">
        <f>'EQUITY BACKTEST'!B222</f>
        <v/>
      </c>
      <c r="C219" s="22" t="str">
        <f>1/'EQUITY BACKTEST'!E222</f>
        <v>#DIV/0!</v>
      </c>
      <c r="D219" s="22" t="str">
        <f t="shared" si="1"/>
        <v>#DIV/0!</v>
      </c>
      <c r="E219" s="22" t="str">
        <f t="shared" ref="E219:F219" si="219">IF(A219&lt;&gt;"", (B219 - B218) / B218, "")</f>
        <v/>
      </c>
      <c r="F219" s="22" t="str">
        <f t="shared" si="219"/>
        <v/>
      </c>
      <c r="H219" s="22" t="str">
        <f t="shared" si="4"/>
        <v/>
      </c>
    </row>
    <row r="220" ht="15.75" customHeight="1">
      <c r="A220" s="31" t="str">
        <f>'EQUITY BACKTEST'!A223</f>
        <v/>
      </c>
      <c r="B220" s="22" t="str">
        <f>'EQUITY BACKTEST'!B223</f>
        <v/>
      </c>
      <c r="C220" s="22" t="str">
        <f>1/'EQUITY BACKTEST'!E223</f>
        <v>#DIV/0!</v>
      </c>
      <c r="D220" s="22" t="str">
        <f t="shared" si="1"/>
        <v>#DIV/0!</v>
      </c>
      <c r="E220" s="22" t="str">
        <f t="shared" ref="E220:F220" si="220">IF(A220&lt;&gt;"", (B220 - B219) / B219, "")</f>
        <v/>
      </c>
      <c r="F220" s="22" t="str">
        <f t="shared" si="220"/>
        <v/>
      </c>
      <c r="H220" s="22" t="str">
        <f t="shared" si="4"/>
        <v/>
      </c>
    </row>
    <row r="221" ht="15.75" customHeight="1">
      <c r="A221" s="31" t="str">
        <f>'EQUITY BACKTEST'!A224</f>
        <v/>
      </c>
      <c r="B221" s="22" t="str">
        <f>'EQUITY BACKTEST'!B224</f>
        <v/>
      </c>
      <c r="C221" s="22" t="str">
        <f>1/'EQUITY BACKTEST'!E224</f>
        <v>#DIV/0!</v>
      </c>
      <c r="D221" s="22" t="str">
        <f t="shared" si="1"/>
        <v>#DIV/0!</v>
      </c>
      <c r="E221" s="22" t="str">
        <f t="shared" ref="E221:F221" si="221">IF(A221&lt;&gt;"", (B221 - B220) / B220, "")</f>
        <v/>
      </c>
      <c r="F221" s="22" t="str">
        <f t="shared" si="221"/>
        <v/>
      </c>
      <c r="H221" s="22" t="str">
        <f t="shared" si="4"/>
        <v/>
      </c>
    </row>
    <row r="222" ht="15.75" customHeight="1">
      <c r="A222" s="31" t="str">
        <f>'EQUITY BACKTEST'!A225</f>
        <v/>
      </c>
      <c r="B222" s="22" t="str">
        <f>'EQUITY BACKTEST'!B225</f>
        <v/>
      </c>
      <c r="C222" s="22" t="str">
        <f>1/'EQUITY BACKTEST'!E225</f>
        <v>#DIV/0!</v>
      </c>
      <c r="D222" s="22" t="str">
        <f t="shared" si="1"/>
        <v>#DIV/0!</v>
      </c>
      <c r="E222" s="22" t="str">
        <f t="shared" ref="E222:F222" si="222">IF(A222&lt;&gt;"", (B222 - B221) / B221, "")</f>
        <v/>
      </c>
      <c r="F222" s="22" t="str">
        <f t="shared" si="222"/>
        <v/>
      </c>
      <c r="H222" s="22" t="str">
        <f t="shared" si="4"/>
        <v/>
      </c>
    </row>
    <row r="223" ht="15.75" customHeight="1">
      <c r="A223" s="31" t="str">
        <f>'EQUITY BACKTEST'!A226</f>
        <v/>
      </c>
      <c r="B223" s="22" t="str">
        <f>'EQUITY BACKTEST'!B226</f>
        <v/>
      </c>
      <c r="C223" s="22" t="str">
        <f>1/'EQUITY BACKTEST'!E226</f>
        <v>#DIV/0!</v>
      </c>
      <c r="D223" s="22" t="str">
        <f t="shared" si="1"/>
        <v>#DIV/0!</v>
      </c>
      <c r="E223" s="22" t="str">
        <f t="shared" ref="E223:F223" si="223">IF(A223&lt;&gt;"", (B223 - B222) / B222, "")</f>
        <v/>
      </c>
      <c r="F223" s="22" t="str">
        <f t="shared" si="223"/>
        <v/>
      </c>
      <c r="H223" s="22" t="str">
        <f t="shared" si="4"/>
        <v/>
      </c>
    </row>
    <row r="224" ht="15.75" customHeight="1">
      <c r="A224" s="31" t="str">
        <f>'EQUITY BACKTEST'!A227</f>
        <v/>
      </c>
      <c r="B224" s="22" t="str">
        <f>'EQUITY BACKTEST'!B227</f>
        <v/>
      </c>
      <c r="C224" s="22" t="str">
        <f>1/'EQUITY BACKTEST'!E227</f>
        <v>#DIV/0!</v>
      </c>
      <c r="D224" s="22" t="str">
        <f t="shared" si="1"/>
        <v>#DIV/0!</v>
      </c>
      <c r="E224" s="22" t="str">
        <f t="shared" ref="E224:F224" si="224">IF(A224&lt;&gt;"", (B224 - B223) / B223, "")</f>
        <v/>
      </c>
      <c r="F224" s="22" t="str">
        <f t="shared" si="224"/>
        <v/>
      </c>
      <c r="H224" s="22" t="str">
        <f t="shared" si="4"/>
        <v/>
      </c>
    </row>
    <row r="225" ht="15.75" customHeight="1">
      <c r="A225" s="31" t="str">
        <f>'EQUITY BACKTEST'!A228</f>
        <v/>
      </c>
      <c r="B225" s="22" t="str">
        <f>'EQUITY BACKTEST'!B228</f>
        <v/>
      </c>
      <c r="C225" s="22" t="str">
        <f>1/'EQUITY BACKTEST'!E228</f>
        <v>#DIV/0!</v>
      </c>
      <c r="D225" s="22" t="str">
        <f t="shared" si="1"/>
        <v>#DIV/0!</v>
      </c>
      <c r="E225" s="22" t="str">
        <f t="shared" ref="E225:F225" si="225">IF(A225&lt;&gt;"", (B225 - B224) / B224, "")</f>
        <v/>
      </c>
      <c r="F225" s="22" t="str">
        <f t="shared" si="225"/>
        <v/>
      </c>
      <c r="H225" s="22" t="str">
        <f t="shared" si="4"/>
        <v/>
      </c>
    </row>
    <row r="226" ht="15.75" customHeight="1">
      <c r="A226" s="31" t="str">
        <f>'EQUITY BACKTEST'!A229</f>
        <v/>
      </c>
      <c r="B226" s="22" t="str">
        <f>'EQUITY BACKTEST'!B229</f>
        <v/>
      </c>
      <c r="C226" s="22" t="str">
        <f>1/'EQUITY BACKTEST'!E229</f>
        <v>#DIV/0!</v>
      </c>
      <c r="D226" s="22" t="str">
        <f t="shared" si="1"/>
        <v>#DIV/0!</v>
      </c>
      <c r="E226" s="22" t="str">
        <f t="shared" ref="E226:F226" si="226">IF(A226&lt;&gt;"", (B226 - B225) / B225, "")</f>
        <v/>
      </c>
      <c r="F226" s="22" t="str">
        <f t="shared" si="226"/>
        <v/>
      </c>
      <c r="H226" s="22" t="str">
        <f t="shared" si="4"/>
        <v/>
      </c>
    </row>
    <row r="227" ht="15.75" customHeight="1">
      <c r="A227" s="31" t="str">
        <f>'EQUITY BACKTEST'!A230</f>
        <v/>
      </c>
      <c r="B227" s="22" t="str">
        <f>'EQUITY BACKTEST'!B230</f>
        <v/>
      </c>
      <c r="C227" s="22" t="str">
        <f>1/'EQUITY BACKTEST'!E230</f>
        <v>#DIV/0!</v>
      </c>
      <c r="D227" s="22" t="str">
        <f t="shared" si="1"/>
        <v>#DIV/0!</v>
      </c>
      <c r="E227" s="22" t="str">
        <f t="shared" ref="E227:F227" si="227">IF(A227&lt;&gt;"", (B227 - B226) / B226, "")</f>
        <v/>
      </c>
      <c r="F227" s="22" t="str">
        <f t="shared" si="227"/>
        <v/>
      </c>
      <c r="H227" s="22" t="str">
        <f t="shared" si="4"/>
        <v/>
      </c>
    </row>
    <row r="228" ht="15.75" customHeight="1">
      <c r="A228" s="31" t="str">
        <f>'EQUITY BACKTEST'!A231</f>
        <v/>
      </c>
      <c r="B228" s="22" t="str">
        <f>'EQUITY BACKTEST'!B231</f>
        <v/>
      </c>
      <c r="C228" s="22" t="str">
        <f>1/'EQUITY BACKTEST'!E231</f>
        <v>#DIV/0!</v>
      </c>
      <c r="D228" s="22" t="str">
        <f t="shared" si="1"/>
        <v>#DIV/0!</v>
      </c>
      <c r="E228" s="22" t="str">
        <f t="shared" ref="E228:F228" si="228">IF(A228&lt;&gt;"", (B228 - B227) / B227, "")</f>
        <v/>
      </c>
      <c r="F228" s="22" t="str">
        <f t="shared" si="228"/>
        <v/>
      </c>
      <c r="H228" s="22" t="str">
        <f t="shared" si="4"/>
        <v/>
      </c>
    </row>
    <row r="229" ht="15.75" customHeight="1">
      <c r="A229" s="31" t="str">
        <f>'EQUITY BACKTEST'!A232</f>
        <v/>
      </c>
      <c r="B229" s="22" t="str">
        <f>'EQUITY BACKTEST'!B232</f>
        <v/>
      </c>
      <c r="C229" s="22" t="str">
        <f>1/'EQUITY BACKTEST'!E232</f>
        <v>#DIV/0!</v>
      </c>
      <c r="D229" s="22" t="str">
        <f t="shared" si="1"/>
        <v>#DIV/0!</v>
      </c>
      <c r="E229" s="22" t="str">
        <f t="shared" ref="E229:F229" si="229">IF(A229&lt;&gt;"", (B229 - B228) / B228, "")</f>
        <v/>
      </c>
      <c r="F229" s="22" t="str">
        <f t="shared" si="229"/>
        <v/>
      </c>
      <c r="H229" s="22" t="str">
        <f t="shared" si="4"/>
        <v/>
      </c>
    </row>
    <row r="230" ht="15.75" customHeight="1">
      <c r="A230" s="31" t="str">
        <f>'EQUITY BACKTEST'!A233</f>
        <v/>
      </c>
      <c r="B230" s="22" t="str">
        <f>'EQUITY BACKTEST'!B233</f>
        <v/>
      </c>
      <c r="C230" s="22" t="str">
        <f>1/'EQUITY BACKTEST'!E233</f>
        <v>#DIV/0!</v>
      </c>
      <c r="D230" s="22" t="str">
        <f t="shared" si="1"/>
        <v>#DIV/0!</v>
      </c>
      <c r="E230" s="22" t="str">
        <f t="shared" ref="E230:F230" si="230">IF(A230&lt;&gt;"", (B230 - B229) / B229, "")</f>
        <v/>
      </c>
      <c r="F230" s="22" t="str">
        <f t="shared" si="230"/>
        <v/>
      </c>
      <c r="H230" s="22" t="str">
        <f t="shared" si="4"/>
        <v/>
      </c>
    </row>
    <row r="231" ht="15.75" customHeight="1">
      <c r="A231" s="31" t="str">
        <f>'EQUITY BACKTEST'!A234</f>
        <v/>
      </c>
      <c r="B231" s="22" t="str">
        <f>'EQUITY BACKTEST'!B234</f>
        <v/>
      </c>
      <c r="C231" s="22" t="str">
        <f>1/'EQUITY BACKTEST'!E234</f>
        <v>#DIV/0!</v>
      </c>
      <c r="D231" s="22" t="str">
        <f t="shared" si="1"/>
        <v>#DIV/0!</v>
      </c>
      <c r="E231" s="22" t="str">
        <f t="shared" ref="E231:F231" si="231">IF(A231&lt;&gt;"", (B231 - B230) / B230, "")</f>
        <v/>
      </c>
      <c r="F231" s="22" t="str">
        <f t="shared" si="231"/>
        <v/>
      </c>
      <c r="H231" s="22" t="str">
        <f t="shared" si="4"/>
        <v/>
      </c>
    </row>
    <row r="232" ht="15.75" customHeight="1">
      <c r="A232" s="31" t="str">
        <f>'EQUITY BACKTEST'!A235</f>
        <v/>
      </c>
      <c r="B232" s="22" t="str">
        <f>'EQUITY BACKTEST'!B235</f>
        <v/>
      </c>
      <c r="C232" s="22" t="str">
        <f>1/'EQUITY BACKTEST'!E235</f>
        <v>#DIV/0!</v>
      </c>
      <c r="D232" s="22" t="str">
        <f t="shared" si="1"/>
        <v>#DIV/0!</v>
      </c>
      <c r="E232" s="22" t="str">
        <f t="shared" ref="E232:F232" si="232">IF(A232&lt;&gt;"", (B232 - B231) / B231, "")</f>
        <v/>
      </c>
      <c r="F232" s="22" t="str">
        <f t="shared" si="232"/>
        <v/>
      </c>
      <c r="H232" s="22" t="str">
        <f t="shared" si="4"/>
        <v/>
      </c>
    </row>
    <row r="233" ht="15.75" customHeight="1">
      <c r="A233" s="31" t="str">
        <f>'EQUITY BACKTEST'!A236</f>
        <v/>
      </c>
      <c r="B233" s="22" t="str">
        <f>'EQUITY BACKTEST'!B236</f>
        <v/>
      </c>
      <c r="C233" s="22" t="str">
        <f>1/'EQUITY BACKTEST'!E236</f>
        <v>#DIV/0!</v>
      </c>
      <c r="D233" s="22" t="str">
        <f t="shared" si="1"/>
        <v>#DIV/0!</v>
      </c>
      <c r="E233" s="22" t="str">
        <f t="shared" ref="E233:F233" si="233">IF(A233&lt;&gt;"", (B233 - B232) / B232, "")</f>
        <v/>
      </c>
      <c r="F233" s="22" t="str">
        <f t="shared" si="233"/>
        <v/>
      </c>
      <c r="H233" s="22" t="str">
        <f t="shared" si="4"/>
        <v/>
      </c>
    </row>
    <row r="234" ht="15.75" customHeight="1">
      <c r="A234" s="31" t="str">
        <f>'EQUITY BACKTEST'!A237</f>
        <v/>
      </c>
      <c r="B234" s="22" t="str">
        <f>'EQUITY BACKTEST'!B237</f>
        <v/>
      </c>
      <c r="C234" s="22" t="str">
        <f>1/'EQUITY BACKTEST'!E237</f>
        <v>#DIV/0!</v>
      </c>
      <c r="D234" s="22" t="str">
        <f t="shared" si="1"/>
        <v>#DIV/0!</v>
      </c>
      <c r="E234" s="22" t="str">
        <f t="shared" ref="E234:F234" si="234">IF(A234&lt;&gt;"", (B234 - B233) / B233, "")</f>
        <v/>
      </c>
      <c r="F234" s="22" t="str">
        <f t="shared" si="234"/>
        <v/>
      </c>
      <c r="H234" s="22" t="str">
        <f t="shared" si="4"/>
        <v/>
      </c>
    </row>
    <row r="235" ht="15.75" customHeight="1">
      <c r="A235" s="31" t="str">
        <f>'EQUITY BACKTEST'!A238</f>
        <v/>
      </c>
      <c r="B235" s="22" t="str">
        <f>'EQUITY BACKTEST'!B238</f>
        <v/>
      </c>
      <c r="C235" s="22" t="str">
        <f>1/'EQUITY BACKTEST'!E238</f>
        <v>#DIV/0!</v>
      </c>
      <c r="D235" s="22" t="str">
        <f t="shared" si="1"/>
        <v>#DIV/0!</v>
      </c>
      <c r="E235" s="22" t="str">
        <f t="shared" ref="E235:F235" si="235">IF(A235&lt;&gt;"", (B235 - B234) / B234, "")</f>
        <v/>
      </c>
      <c r="F235" s="22" t="str">
        <f t="shared" si="235"/>
        <v/>
      </c>
      <c r="H235" s="22" t="str">
        <f t="shared" si="4"/>
        <v/>
      </c>
    </row>
    <row r="236" ht="15.75" customHeight="1">
      <c r="A236" s="31" t="str">
        <f>'EQUITY BACKTEST'!A239</f>
        <v/>
      </c>
      <c r="B236" s="22" t="str">
        <f>'EQUITY BACKTEST'!B239</f>
        <v/>
      </c>
      <c r="C236" s="22" t="str">
        <f>1/'EQUITY BACKTEST'!E239</f>
        <v>#DIV/0!</v>
      </c>
      <c r="D236" s="22" t="str">
        <f t="shared" si="1"/>
        <v>#DIV/0!</v>
      </c>
      <c r="E236" s="22" t="str">
        <f t="shared" ref="E236:F236" si="236">IF(A236&lt;&gt;"", (B236 - B235) / B235, "")</f>
        <v/>
      </c>
      <c r="F236" s="22" t="str">
        <f t="shared" si="236"/>
        <v/>
      </c>
      <c r="H236" s="22" t="str">
        <f t="shared" si="4"/>
        <v/>
      </c>
    </row>
    <row r="237" ht="15.75" customHeight="1">
      <c r="A237" s="31" t="str">
        <f>'EQUITY BACKTEST'!A240</f>
        <v/>
      </c>
      <c r="B237" s="22" t="str">
        <f>'EQUITY BACKTEST'!B240</f>
        <v/>
      </c>
      <c r="C237" s="22" t="str">
        <f>1/'EQUITY BACKTEST'!E240</f>
        <v>#DIV/0!</v>
      </c>
      <c r="D237" s="22" t="str">
        <f t="shared" si="1"/>
        <v>#DIV/0!</v>
      </c>
      <c r="E237" s="22" t="str">
        <f t="shared" ref="E237:F237" si="237">IF(A237&lt;&gt;"", (B237 - B236) / B236, "")</f>
        <v/>
      </c>
      <c r="F237" s="22" t="str">
        <f t="shared" si="237"/>
        <v/>
      </c>
      <c r="H237" s="22" t="str">
        <f t="shared" si="4"/>
        <v/>
      </c>
    </row>
    <row r="238" ht="15.75" customHeight="1">
      <c r="A238" s="31" t="str">
        <f>'EQUITY BACKTEST'!A241</f>
        <v/>
      </c>
      <c r="B238" s="22" t="str">
        <f>'EQUITY BACKTEST'!B241</f>
        <v/>
      </c>
      <c r="C238" s="22" t="str">
        <f>1/'EQUITY BACKTEST'!E241</f>
        <v>#DIV/0!</v>
      </c>
      <c r="D238" s="22" t="str">
        <f t="shared" si="1"/>
        <v>#DIV/0!</v>
      </c>
      <c r="E238" s="22" t="str">
        <f t="shared" ref="E238:F238" si="238">IF(A238&lt;&gt;"", (B238 - B237) / B237, "")</f>
        <v/>
      </c>
      <c r="F238" s="22" t="str">
        <f t="shared" si="238"/>
        <v/>
      </c>
      <c r="H238" s="22" t="str">
        <f t="shared" si="4"/>
        <v/>
      </c>
    </row>
    <row r="239" ht="15.75" customHeight="1">
      <c r="A239" s="31" t="str">
        <f>'EQUITY BACKTEST'!A242</f>
        <v/>
      </c>
      <c r="B239" s="22" t="str">
        <f>'EQUITY BACKTEST'!B242</f>
        <v/>
      </c>
      <c r="C239" s="22" t="str">
        <f>1/'EQUITY BACKTEST'!E242</f>
        <v>#DIV/0!</v>
      </c>
      <c r="D239" s="22" t="str">
        <f t="shared" si="1"/>
        <v>#DIV/0!</v>
      </c>
      <c r="E239" s="22" t="str">
        <f t="shared" ref="E239:F239" si="239">IF(A239&lt;&gt;"", (B239 - B238) / B238, "")</f>
        <v/>
      </c>
      <c r="F239" s="22" t="str">
        <f t="shared" si="239"/>
        <v/>
      </c>
      <c r="H239" s="22" t="str">
        <f t="shared" si="4"/>
        <v/>
      </c>
    </row>
    <row r="240" ht="15.75" customHeight="1">
      <c r="A240" s="31" t="str">
        <f>'EQUITY BACKTEST'!A243</f>
        <v/>
      </c>
      <c r="B240" s="22" t="str">
        <f>'EQUITY BACKTEST'!B243</f>
        <v/>
      </c>
      <c r="C240" s="22" t="str">
        <f>1/'EQUITY BACKTEST'!E243</f>
        <v>#DIV/0!</v>
      </c>
      <c r="D240" s="22" t="str">
        <f t="shared" si="1"/>
        <v>#DIV/0!</v>
      </c>
      <c r="E240" s="22" t="str">
        <f t="shared" ref="E240:F240" si="240">IF(A240&lt;&gt;"", (B240 - B239) / B239, "")</f>
        <v/>
      </c>
      <c r="F240" s="22" t="str">
        <f t="shared" si="240"/>
        <v/>
      </c>
      <c r="H240" s="22" t="str">
        <f t="shared" si="4"/>
        <v/>
      </c>
    </row>
    <row r="241" ht="15.75" customHeight="1">
      <c r="A241" s="31" t="str">
        <f>'EQUITY BACKTEST'!A244</f>
        <v/>
      </c>
      <c r="B241" s="22" t="str">
        <f>'EQUITY BACKTEST'!B244</f>
        <v/>
      </c>
      <c r="C241" s="22" t="str">
        <f>1/'EQUITY BACKTEST'!E244</f>
        <v>#DIV/0!</v>
      </c>
      <c r="D241" s="22" t="str">
        <f t="shared" si="1"/>
        <v>#DIV/0!</v>
      </c>
      <c r="E241" s="22" t="str">
        <f t="shared" ref="E241:F241" si="241">IF(A241&lt;&gt;"", (B241 - B240) / B240, "")</f>
        <v/>
      </c>
      <c r="F241" s="22" t="str">
        <f t="shared" si="241"/>
        <v/>
      </c>
      <c r="H241" s="22" t="str">
        <f t="shared" si="4"/>
        <v/>
      </c>
    </row>
    <row r="242" ht="15.75" customHeight="1">
      <c r="A242" s="31" t="str">
        <f>'EQUITY BACKTEST'!A245</f>
        <v/>
      </c>
      <c r="B242" s="22" t="str">
        <f>'EQUITY BACKTEST'!B245</f>
        <v/>
      </c>
      <c r="C242" s="22" t="str">
        <f>1/'EQUITY BACKTEST'!E245</f>
        <v>#DIV/0!</v>
      </c>
      <c r="D242" s="22" t="str">
        <f t="shared" si="1"/>
        <v>#DIV/0!</v>
      </c>
      <c r="E242" s="22" t="str">
        <f t="shared" ref="E242:F242" si="242">IF(A242&lt;&gt;"", (B242 - B241) / B241, "")</f>
        <v/>
      </c>
      <c r="F242" s="22" t="str">
        <f t="shared" si="242"/>
        <v/>
      </c>
      <c r="H242" s="22" t="str">
        <f t="shared" si="4"/>
        <v/>
      </c>
    </row>
    <row r="243" ht="15.75" customHeight="1">
      <c r="A243" s="31" t="str">
        <f>'EQUITY BACKTEST'!A246</f>
        <v/>
      </c>
      <c r="B243" s="22" t="str">
        <f>'EQUITY BACKTEST'!B246</f>
        <v/>
      </c>
      <c r="C243" s="22" t="str">
        <f>1/'EQUITY BACKTEST'!E246</f>
        <v>#DIV/0!</v>
      </c>
      <c r="D243" s="22" t="str">
        <f t="shared" si="1"/>
        <v>#DIV/0!</v>
      </c>
      <c r="E243" s="22" t="str">
        <f t="shared" ref="E243:F243" si="243">IF(A243&lt;&gt;"", (B243 - B242) / B242, "")</f>
        <v/>
      </c>
      <c r="F243" s="22" t="str">
        <f t="shared" si="243"/>
        <v/>
      </c>
      <c r="H243" s="22" t="str">
        <f t="shared" si="4"/>
        <v/>
      </c>
    </row>
    <row r="244" ht="15.75" customHeight="1">
      <c r="A244" s="31" t="str">
        <f>'EQUITY BACKTEST'!A247</f>
        <v/>
      </c>
      <c r="B244" s="22" t="str">
        <f>'EQUITY BACKTEST'!B247</f>
        <v/>
      </c>
      <c r="C244" s="22" t="str">
        <f>1/'EQUITY BACKTEST'!E247</f>
        <v>#DIV/0!</v>
      </c>
      <c r="D244" s="22" t="str">
        <f t="shared" si="1"/>
        <v>#DIV/0!</v>
      </c>
      <c r="E244" s="22" t="str">
        <f t="shared" ref="E244:F244" si="244">IF(A244&lt;&gt;"", (B244 - B243) / B243, "")</f>
        <v/>
      </c>
      <c r="F244" s="22" t="str">
        <f t="shared" si="244"/>
        <v/>
      </c>
      <c r="H244" s="22" t="str">
        <f t="shared" si="4"/>
        <v/>
      </c>
    </row>
    <row r="245" ht="15.75" customHeight="1">
      <c r="A245" s="31" t="str">
        <f>'EQUITY BACKTEST'!A248</f>
        <v/>
      </c>
      <c r="B245" s="22" t="str">
        <f>'EQUITY BACKTEST'!B248</f>
        <v/>
      </c>
      <c r="C245" s="22" t="str">
        <f>1/'EQUITY BACKTEST'!E248</f>
        <v>#DIV/0!</v>
      </c>
      <c r="D245" s="22" t="str">
        <f t="shared" si="1"/>
        <v>#DIV/0!</v>
      </c>
      <c r="E245" s="22" t="str">
        <f t="shared" ref="E245:F245" si="245">IF(A245&lt;&gt;"", (B245 - B244) / B244, "")</f>
        <v/>
      </c>
      <c r="F245" s="22" t="str">
        <f t="shared" si="245"/>
        <v/>
      </c>
      <c r="H245" s="22" t="str">
        <f t="shared" si="4"/>
        <v/>
      </c>
    </row>
    <row r="246" ht="15.75" customHeight="1">
      <c r="A246" s="31" t="str">
        <f>'EQUITY BACKTEST'!A249</f>
        <v/>
      </c>
      <c r="B246" s="22" t="str">
        <f>'EQUITY BACKTEST'!B249</f>
        <v/>
      </c>
      <c r="C246" s="22" t="str">
        <f>1/'EQUITY BACKTEST'!E249</f>
        <v>#DIV/0!</v>
      </c>
      <c r="D246" s="22" t="str">
        <f t="shared" si="1"/>
        <v>#DIV/0!</v>
      </c>
      <c r="E246" s="22" t="str">
        <f t="shared" ref="E246:F246" si="246">IF(A246&lt;&gt;"", (B246 - B245) / B245, "")</f>
        <v/>
      </c>
      <c r="F246" s="22" t="str">
        <f t="shared" si="246"/>
        <v/>
      </c>
      <c r="H246" s="22" t="str">
        <f t="shared" si="4"/>
        <v/>
      </c>
    </row>
    <row r="247" ht="15.75" customHeight="1">
      <c r="A247" s="31" t="str">
        <f>'EQUITY BACKTEST'!A250</f>
        <v/>
      </c>
      <c r="B247" s="22" t="str">
        <f>'EQUITY BACKTEST'!B250</f>
        <v/>
      </c>
      <c r="C247" s="22" t="str">
        <f>1/'EQUITY BACKTEST'!E250</f>
        <v>#DIV/0!</v>
      </c>
      <c r="D247" s="22" t="str">
        <f t="shared" si="1"/>
        <v>#DIV/0!</v>
      </c>
      <c r="E247" s="22" t="str">
        <f t="shared" ref="E247:F247" si="247">IF(A247&lt;&gt;"", (B247 - B246) / B246, "")</f>
        <v/>
      </c>
      <c r="F247" s="22" t="str">
        <f t="shared" si="247"/>
        <v/>
      </c>
      <c r="H247" s="22" t="str">
        <f t="shared" si="4"/>
        <v/>
      </c>
    </row>
    <row r="248" ht="15.75" customHeight="1">
      <c r="A248" s="31" t="str">
        <f>'EQUITY BACKTEST'!A251</f>
        <v/>
      </c>
      <c r="B248" s="22" t="str">
        <f>'EQUITY BACKTEST'!B251</f>
        <v/>
      </c>
      <c r="C248" s="22" t="str">
        <f>1/'EQUITY BACKTEST'!E251</f>
        <v>#DIV/0!</v>
      </c>
      <c r="D248" s="22" t="str">
        <f t="shared" si="1"/>
        <v>#DIV/0!</v>
      </c>
      <c r="E248" s="22" t="str">
        <f t="shared" ref="E248:F248" si="248">IF(A248&lt;&gt;"", (B248 - B247) / B247, "")</f>
        <v/>
      </c>
      <c r="F248" s="22" t="str">
        <f t="shared" si="248"/>
        <v/>
      </c>
      <c r="H248" s="22" t="str">
        <f t="shared" si="4"/>
        <v/>
      </c>
    </row>
    <row r="249" ht="15.75" customHeight="1">
      <c r="A249" s="31" t="str">
        <f>'EQUITY BACKTEST'!A252</f>
        <v/>
      </c>
      <c r="B249" s="22" t="str">
        <f>'EQUITY BACKTEST'!B252</f>
        <v/>
      </c>
      <c r="C249" s="22" t="str">
        <f>1/'EQUITY BACKTEST'!E252</f>
        <v>#DIV/0!</v>
      </c>
      <c r="D249" s="22" t="str">
        <f t="shared" si="1"/>
        <v>#DIV/0!</v>
      </c>
      <c r="E249" s="22" t="str">
        <f t="shared" ref="E249:F249" si="249">IF(A249&lt;&gt;"", (B249 - B248) / B248, "")</f>
        <v/>
      </c>
      <c r="F249" s="22" t="str">
        <f t="shared" si="249"/>
        <v/>
      </c>
      <c r="H249" s="22" t="str">
        <f t="shared" si="4"/>
        <v/>
      </c>
    </row>
    <row r="250" ht="15.75" customHeight="1">
      <c r="A250" s="31" t="str">
        <f>'EQUITY BACKTEST'!A253</f>
        <v/>
      </c>
      <c r="B250" s="22" t="str">
        <f>'EQUITY BACKTEST'!B253</f>
        <v/>
      </c>
      <c r="C250" s="22" t="str">
        <f>1/'EQUITY BACKTEST'!E253</f>
        <v>#DIV/0!</v>
      </c>
      <c r="D250" s="22" t="str">
        <f t="shared" si="1"/>
        <v>#DIV/0!</v>
      </c>
      <c r="E250" s="22" t="str">
        <f t="shared" ref="E250:F250" si="250">IF(A250&lt;&gt;"", (B250 - B249) / B249, "")</f>
        <v/>
      </c>
      <c r="F250" s="22" t="str">
        <f t="shared" si="250"/>
        <v/>
      </c>
      <c r="H250" s="22" t="str">
        <f t="shared" si="4"/>
        <v/>
      </c>
    </row>
    <row r="251" ht="15.75" customHeight="1">
      <c r="A251" s="31" t="str">
        <f>'EQUITY BACKTEST'!A254</f>
        <v/>
      </c>
      <c r="B251" s="22" t="str">
        <f>'EQUITY BACKTEST'!B254</f>
        <v/>
      </c>
      <c r="C251" s="22" t="str">
        <f>1/'EQUITY BACKTEST'!E254</f>
        <v>#DIV/0!</v>
      </c>
      <c r="D251" s="22" t="str">
        <f t="shared" si="1"/>
        <v>#DIV/0!</v>
      </c>
      <c r="E251" s="22" t="str">
        <f t="shared" ref="E251:F251" si="251">IF(A251&lt;&gt;"", (B251 - B250) / B250, "")</f>
        <v/>
      </c>
      <c r="F251" s="22" t="str">
        <f t="shared" si="251"/>
        <v/>
      </c>
      <c r="H251" s="22" t="str">
        <f t="shared" si="4"/>
        <v/>
      </c>
    </row>
    <row r="252" ht="15.75" customHeight="1">
      <c r="A252" s="31" t="str">
        <f>'EQUITY BACKTEST'!A255</f>
        <v/>
      </c>
      <c r="B252" s="22" t="str">
        <f>'EQUITY BACKTEST'!B255</f>
        <v/>
      </c>
      <c r="C252" s="22" t="str">
        <f>1/'EQUITY BACKTEST'!E255</f>
        <v>#DIV/0!</v>
      </c>
      <c r="D252" s="22" t="str">
        <f t="shared" si="1"/>
        <v>#DIV/0!</v>
      </c>
      <c r="E252" s="22" t="str">
        <f t="shared" ref="E252:F252" si="252">IF(A252&lt;&gt;"", (B252 - B251) / B251, "")</f>
        <v/>
      </c>
      <c r="F252" s="22" t="str">
        <f t="shared" si="252"/>
        <v/>
      </c>
      <c r="H252" s="22" t="str">
        <f t="shared" si="4"/>
        <v/>
      </c>
    </row>
    <row r="253" ht="15.75" customHeight="1">
      <c r="A253" s="31" t="str">
        <f>'EQUITY BACKTEST'!A256</f>
        <v/>
      </c>
      <c r="B253" s="22" t="str">
        <f>'EQUITY BACKTEST'!B256</f>
        <v/>
      </c>
      <c r="C253" s="22" t="str">
        <f>1/'EQUITY BACKTEST'!E256</f>
        <v>#DIV/0!</v>
      </c>
      <c r="D253" s="22" t="str">
        <f t="shared" si="1"/>
        <v>#DIV/0!</v>
      </c>
      <c r="E253" s="22" t="str">
        <f t="shared" ref="E253:F253" si="253">IF(A253&lt;&gt;"", (B253 - B252) / B252, "")</f>
        <v/>
      </c>
      <c r="F253" s="22" t="str">
        <f t="shared" si="253"/>
        <v/>
      </c>
      <c r="H253" s="22" t="str">
        <f t="shared" si="4"/>
        <v/>
      </c>
    </row>
    <row r="254" ht="15.75" customHeight="1">
      <c r="A254" s="31" t="str">
        <f>'EQUITY BACKTEST'!A257</f>
        <v/>
      </c>
      <c r="B254" s="22" t="str">
        <f>'EQUITY BACKTEST'!B257</f>
        <v/>
      </c>
      <c r="C254" s="22" t="str">
        <f>1/'EQUITY BACKTEST'!E257</f>
        <v>#DIV/0!</v>
      </c>
      <c r="D254" s="22" t="str">
        <f t="shared" si="1"/>
        <v>#DIV/0!</v>
      </c>
      <c r="E254" s="22" t="str">
        <f t="shared" ref="E254:F254" si="254">IF(A254&lt;&gt;"", (B254 - B253) / B253, "")</f>
        <v/>
      </c>
      <c r="F254" s="22" t="str">
        <f t="shared" si="254"/>
        <v/>
      </c>
      <c r="H254" s="22" t="str">
        <f t="shared" si="4"/>
        <v/>
      </c>
    </row>
    <row r="255" ht="15.75" customHeight="1">
      <c r="A255" s="31" t="str">
        <f>'EQUITY BACKTEST'!A258</f>
        <v/>
      </c>
      <c r="B255" s="22" t="str">
        <f>'EQUITY BACKTEST'!B258</f>
        <v/>
      </c>
      <c r="C255" s="22" t="str">
        <f>1/'EQUITY BACKTEST'!E258</f>
        <v>#DIV/0!</v>
      </c>
      <c r="D255" s="22" t="str">
        <f t="shared" si="1"/>
        <v>#DIV/0!</v>
      </c>
      <c r="E255" s="22" t="str">
        <f t="shared" ref="E255:F255" si="255">IF(A255&lt;&gt;"", (B255 - B254) / B254, "")</f>
        <v/>
      </c>
      <c r="F255" s="22" t="str">
        <f t="shared" si="255"/>
        <v/>
      </c>
      <c r="H255" s="22" t="str">
        <f t="shared" si="4"/>
        <v/>
      </c>
    </row>
    <row r="256" ht="15.75" customHeight="1">
      <c r="A256" s="31" t="str">
        <f>'EQUITY BACKTEST'!A259</f>
        <v/>
      </c>
      <c r="B256" s="22" t="str">
        <f>'EQUITY BACKTEST'!B259</f>
        <v/>
      </c>
      <c r="C256" s="22" t="str">
        <f>1/'EQUITY BACKTEST'!E259</f>
        <v>#DIV/0!</v>
      </c>
      <c r="D256" s="22" t="str">
        <f t="shared" si="1"/>
        <v>#DIV/0!</v>
      </c>
      <c r="E256" s="22" t="str">
        <f t="shared" ref="E256:F256" si="256">IF(A256&lt;&gt;"", (B256 - B255) / B255, "")</f>
        <v/>
      </c>
      <c r="F256" s="22" t="str">
        <f t="shared" si="256"/>
        <v/>
      </c>
      <c r="H256" s="22" t="str">
        <f t="shared" si="4"/>
        <v/>
      </c>
    </row>
    <row r="257" ht="15.75" customHeight="1">
      <c r="A257" s="31" t="str">
        <f>'EQUITY BACKTEST'!A260</f>
        <v/>
      </c>
      <c r="B257" s="22" t="str">
        <f>'EQUITY BACKTEST'!B260</f>
        <v/>
      </c>
      <c r="C257" s="22" t="str">
        <f>1/'EQUITY BACKTEST'!E260</f>
        <v>#DIV/0!</v>
      </c>
      <c r="D257" s="22" t="str">
        <f t="shared" si="1"/>
        <v>#DIV/0!</v>
      </c>
      <c r="E257" s="22" t="str">
        <f t="shared" ref="E257:F257" si="257">IF(A257&lt;&gt;"", (B257 - B256) / B256, "")</f>
        <v/>
      </c>
      <c r="F257" s="22" t="str">
        <f t="shared" si="257"/>
        <v/>
      </c>
      <c r="H257" s="22" t="str">
        <f t="shared" si="4"/>
        <v/>
      </c>
    </row>
    <row r="258" ht="15.75" customHeight="1">
      <c r="A258" s="31" t="str">
        <f>'EQUITY BACKTEST'!A261</f>
        <v/>
      </c>
      <c r="B258" s="22" t="str">
        <f>'EQUITY BACKTEST'!B261</f>
        <v/>
      </c>
      <c r="C258" s="22" t="str">
        <f>1/'EQUITY BACKTEST'!E261</f>
        <v>#DIV/0!</v>
      </c>
      <c r="D258" s="22" t="str">
        <f t="shared" si="1"/>
        <v>#DIV/0!</v>
      </c>
      <c r="E258" s="22" t="str">
        <f t="shared" ref="E258:F258" si="258">IF(A258&lt;&gt;"", (B258 - B257) / B257, "")</f>
        <v/>
      </c>
      <c r="F258" s="22" t="str">
        <f t="shared" si="258"/>
        <v/>
      </c>
      <c r="H258" s="22" t="str">
        <f t="shared" si="4"/>
        <v/>
      </c>
    </row>
    <row r="259" ht="15.75" customHeight="1">
      <c r="A259" s="31" t="str">
        <f>'EQUITY BACKTEST'!A262</f>
        <v/>
      </c>
      <c r="B259" s="22" t="str">
        <f>'EQUITY BACKTEST'!B262</f>
        <v/>
      </c>
      <c r="C259" s="22" t="str">
        <f>1/'EQUITY BACKTEST'!E262</f>
        <v>#DIV/0!</v>
      </c>
      <c r="D259" s="22" t="str">
        <f t="shared" si="1"/>
        <v>#DIV/0!</v>
      </c>
      <c r="E259" s="22" t="str">
        <f t="shared" ref="E259:F259" si="259">IF(A259&lt;&gt;"", (B259 - B258) / B258, "")</f>
        <v/>
      </c>
      <c r="F259" s="22" t="str">
        <f t="shared" si="259"/>
        <v/>
      </c>
      <c r="H259" s="22" t="str">
        <f t="shared" si="4"/>
        <v/>
      </c>
    </row>
    <row r="260" ht="15.75" customHeight="1">
      <c r="A260" s="31" t="str">
        <f>'EQUITY BACKTEST'!A263</f>
        <v/>
      </c>
      <c r="B260" s="22" t="str">
        <f>'EQUITY BACKTEST'!B263</f>
        <v/>
      </c>
      <c r="C260" s="22" t="str">
        <f>1/'EQUITY BACKTEST'!E263</f>
        <v>#DIV/0!</v>
      </c>
      <c r="D260" s="22" t="str">
        <f t="shared" si="1"/>
        <v>#DIV/0!</v>
      </c>
      <c r="E260" s="22" t="str">
        <f t="shared" ref="E260:F260" si="260">IF(A260&lt;&gt;"", (B260 - B259) / B259, "")</f>
        <v/>
      </c>
      <c r="F260" s="22" t="str">
        <f t="shared" si="260"/>
        <v/>
      </c>
      <c r="H260" s="22" t="str">
        <f t="shared" si="4"/>
        <v/>
      </c>
    </row>
    <row r="261" ht="15.75" customHeight="1">
      <c r="A261" s="31" t="str">
        <f>'EQUITY BACKTEST'!A264</f>
        <v/>
      </c>
      <c r="B261" s="22" t="str">
        <f>'EQUITY BACKTEST'!B264</f>
        <v/>
      </c>
      <c r="C261" s="22" t="str">
        <f>1/'EQUITY BACKTEST'!E264</f>
        <v>#DIV/0!</v>
      </c>
      <c r="D261" s="22" t="str">
        <f t="shared" si="1"/>
        <v>#DIV/0!</v>
      </c>
      <c r="E261" s="22" t="str">
        <f t="shared" ref="E261:F261" si="261">IF(A261&lt;&gt;"", (B261 - B260) / B260, "")</f>
        <v/>
      </c>
      <c r="F261" s="22" t="str">
        <f t="shared" si="261"/>
        <v/>
      </c>
      <c r="H261" s="22" t="str">
        <f t="shared" si="4"/>
        <v/>
      </c>
    </row>
    <row r="262" ht="15.75" customHeight="1">
      <c r="A262" s="31" t="str">
        <f>'EQUITY BACKTEST'!A265</f>
        <v/>
      </c>
      <c r="B262" s="22" t="str">
        <f>'EQUITY BACKTEST'!B265</f>
        <v/>
      </c>
      <c r="C262" s="22" t="str">
        <f>1/'EQUITY BACKTEST'!E265</f>
        <v>#DIV/0!</v>
      </c>
      <c r="D262" s="22" t="str">
        <f t="shared" si="1"/>
        <v>#DIV/0!</v>
      </c>
      <c r="E262" s="22" t="str">
        <f t="shared" ref="E262:F262" si="262">IF(A262&lt;&gt;"", (B262 - B261) / B261, "")</f>
        <v/>
      </c>
      <c r="F262" s="22" t="str">
        <f t="shared" si="262"/>
        <v/>
      </c>
      <c r="H262" s="22" t="str">
        <f t="shared" si="4"/>
        <v/>
      </c>
    </row>
    <row r="263" ht="15.75" customHeight="1">
      <c r="A263" s="31" t="str">
        <f>'EQUITY BACKTEST'!A266</f>
        <v/>
      </c>
      <c r="B263" s="22" t="str">
        <f>'EQUITY BACKTEST'!B266</f>
        <v/>
      </c>
      <c r="C263" s="22" t="str">
        <f>1/'EQUITY BACKTEST'!E266</f>
        <v>#DIV/0!</v>
      </c>
      <c r="D263" s="22" t="str">
        <f t="shared" si="1"/>
        <v>#DIV/0!</v>
      </c>
      <c r="E263" s="22" t="str">
        <f t="shared" ref="E263:F263" si="263">IF(A263&lt;&gt;"", (B263 - B262) / B262, "")</f>
        <v/>
      </c>
      <c r="F263" s="22" t="str">
        <f t="shared" si="263"/>
        <v/>
      </c>
      <c r="H263" s="22" t="str">
        <f t="shared" si="4"/>
        <v/>
      </c>
    </row>
    <row r="264" ht="15.75" customHeight="1">
      <c r="A264" s="31" t="str">
        <f>'EQUITY BACKTEST'!A267</f>
        <v/>
      </c>
      <c r="B264" s="22" t="str">
        <f>'EQUITY BACKTEST'!B267</f>
        <v/>
      </c>
      <c r="C264" s="22" t="str">
        <f>1/'EQUITY BACKTEST'!E267</f>
        <v>#DIV/0!</v>
      </c>
      <c r="D264" s="22" t="str">
        <f t="shared" si="1"/>
        <v>#DIV/0!</v>
      </c>
      <c r="E264" s="22" t="str">
        <f t="shared" ref="E264:F264" si="264">IF(A264&lt;&gt;"", (B264 - B263) / B263, "")</f>
        <v/>
      </c>
      <c r="F264" s="22" t="str">
        <f t="shared" si="264"/>
        <v/>
      </c>
      <c r="H264" s="22" t="str">
        <f t="shared" si="4"/>
        <v/>
      </c>
    </row>
    <row r="265" ht="15.75" customHeight="1">
      <c r="A265" s="31" t="str">
        <f>'EQUITY BACKTEST'!A268</f>
        <v/>
      </c>
      <c r="B265" s="22" t="str">
        <f>'EQUITY BACKTEST'!B268</f>
        <v/>
      </c>
      <c r="C265" s="22" t="str">
        <f>1/'EQUITY BACKTEST'!E268</f>
        <v>#DIV/0!</v>
      </c>
      <c r="D265" s="22" t="str">
        <f t="shared" si="1"/>
        <v>#DIV/0!</v>
      </c>
      <c r="E265" s="22" t="str">
        <f t="shared" ref="E265:F265" si="265">IF(A265&lt;&gt;"", (B265 - B264) / B264, "")</f>
        <v/>
      </c>
      <c r="F265" s="22" t="str">
        <f t="shared" si="265"/>
        <v/>
      </c>
      <c r="H265" s="22" t="str">
        <f t="shared" si="4"/>
        <v/>
      </c>
    </row>
    <row r="266" ht="15.75" customHeight="1">
      <c r="A266" s="31" t="str">
        <f>'EQUITY BACKTEST'!A269</f>
        <v/>
      </c>
      <c r="B266" s="22" t="str">
        <f>'EQUITY BACKTEST'!B269</f>
        <v/>
      </c>
      <c r="C266" s="22" t="str">
        <f>1/'EQUITY BACKTEST'!E269</f>
        <v>#DIV/0!</v>
      </c>
      <c r="D266" s="22" t="str">
        <f t="shared" si="1"/>
        <v>#DIV/0!</v>
      </c>
      <c r="E266" s="22" t="str">
        <f t="shared" ref="E266:F266" si="266">IF(A266&lt;&gt;"", (B266 - B265) / B265, "")</f>
        <v/>
      </c>
      <c r="F266" s="22" t="str">
        <f t="shared" si="266"/>
        <v/>
      </c>
      <c r="H266" s="22" t="str">
        <f t="shared" si="4"/>
        <v/>
      </c>
    </row>
    <row r="267" ht="15.75" customHeight="1">
      <c r="A267" s="31" t="str">
        <f>'EQUITY BACKTEST'!A270</f>
        <v/>
      </c>
      <c r="B267" s="22" t="str">
        <f>'EQUITY BACKTEST'!B270</f>
        <v/>
      </c>
      <c r="C267" s="22" t="str">
        <f>1/'EQUITY BACKTEST'!E270</f>
        <v>#DIV/0!</v>
      </c>
      <c r="D267" s="22" t="str">
        <f t="shared" si="1"/>
        <v>#DIV/0!</v>
      </c>
      <c r="E267" s="22" t="str">
        <f t="shared" ref="E267:F267" si="267">IF(A267&lt;&gt;"", (B267 - B266) / B266, "")</f>
        <v/>
      </c>
      <c r="F267" s="22" t="str">
        <f t="shared" si="267"/>
        <v/>
      </c>
      <c r="H267" s="22" t="str">
        <f t="shared" si="4"/>
        <v/>
      </c>
    </row>
    <row r="268" ht="15.75" customHeight="1">
      <c r="A268" s="31" t="str">
        <f>'EQUITY BACKTEST'!A271</f>
        <v/>
      </c>
      <c r="B268" s="22" t="str">
        <f>'EQUITY BACKTEST'!B271</f>
        <v/>
      </c>
      <c r="C268" s="22" t="str">
        <f>1/'EQUITY BACKTEST'!E271</f>
        <v>#DIV/0!</v>
      </c>
      <c r="D268" s="22" t="str">
        <f t="shared" si="1"/>
        <v>#DIV/0!</v>
      </c>
      <c r="E268" s="22" t="str">
        <f t="shared" ref="E268:F268" si="268">IF(A268&lt;&gt;"", (B268 - B267) / B267, "")</f>
        <v/>
      </c>
      <c r="F268" s="22" t="str">
        <f t="shared" si="268"/>
        <v/>
      </c>
      <c r="H268" s="22" t="str">
        <f t="shared" si="4"/>
        <v/>
      </c>
    </row>
    <row r="269" ht="15.75" customHeight="1">
      <c r="A269" s="31" t="str">
        <f>'EQUITY BACKTEST'!A272</f>
        <v/>
      </c>
      <c r="B269" s="22" t="str">
        <f>'EQUITY BACKTEST'!B272</f>
        <v/>
      </c>
      <c r="C269" s="22" t="str">
        <f>1/'EQUITY BACKTEST'!E272</f>
        <v>#DIV/0!</v>
      </c>
      <c r="D269" s="22" t="str">
        <f t="shared" si="1"/>
        <v>#DIV/0!</v>
      </c>
      <c r="E269" s="22" t="str">
        <f t="shared" ref="E269:F269" si="269">IF(A269&lt;&gt;"", (B269 - B268) / B268, "")</f>
        <v/>
      </c>
      <c r="F269" s="22" t="str">
        <f t="shared" si="269"/>
        <v/>
      </c>
      <c r="H269" s="22" t="str">
        <f t="shared" si="4"/>
        <v/>
      </c>
    </row>
    <row r="270" ht="15.75" customHeight="1">
      <c r="A270" s="31" t="str">
        <f>'EQUITY BACKTEST'!A273</f>
        <v/>
      </c>
      <c r="B270" s="22" t="str">
        <f>'EQUITY BACKTEST'!B273</f>
        <v/>
      </c>
      <c r="C270" s="22" t="str">
        <f>1/'EQUITY BACKTEST'!E273</f>
        <v>#DIV/0!</v>
      </c>
      <c r="D270" s="22" t="str">
        <f t="shared" si="1"/>
        <v>#DIV/0!</v>
      </c>
      <c r="E270" s="22" t="str">
        <f t="shared" ref="E270:F270" si="270">IF(A270&lt;&gt;"", (B270 - B269) / B269, "")</f>
        <v/>
      </c>
      <c r="F270" s="22" t="str">
        <f t="shared" si="270"/>
        <v/>
      </c>
      <c r="H270" s="22" t="str">
        <f t="shared" si="4"/>
        <v/>
      </c>
    </row>
    <row r="271" ht="15.75" customHeight="1">
      <c r="A271" s="31" t="str">
        <f>'EQUITY BACKTEST'!A274</f>
        <v/>
      </c>
      <c r="B271" s="22" t="str">
        <f>'EQUITY BACKTEST'!B274</f>
        <v/>
      </c>
      <c r="C271" s="22" t="str">
        <f>1/'EQUITY BACKTEST'!E274</f>
        <v>#DIV/0!</v>
      </c>
      <c r="D271" s="22" t="str">
        <f t="shared" si="1"/>
        <v>#DIV/0!</v>
      </c>
      <c r="E271" s="22" t="str">
        <f t="shared" ref="E271:F271" si="271">IF(A271&lt;&gt;"", (B271 - B270) / B270, "")</f>
        <v/>
      </c>
      <c r="F271" s="22" t="str">
        <f t="shared" si="271"/>
        <v/>
      </c>
      <c r="H271" s="22" t="str">
        <f t="shared" si="4"/>
        <v/>
      </c>
    </row>
    <row r="272" ht="15.75" customHeight="1">
      <c r="A272" s="31" t="str">
        <f>'EQUITY BACKTEST'!A275</f>
        <v/>
      </c>
      <c r="B272" s="22" t="str">
        <f>'EQUITY BACKTEST'!B275</f>
        <v/>
      </c>
      <c r="C272" s="22" t="str">
        <f>1/'EQUITY BACKTEST'!E275</f>
        <v>#DIV/0!</v>
      </c>
      <c r="D272" s="22" t="str">
        <f t="shared" si="1"/>
        <v>#DIV/0!</v>
      </c>
      <c r="E272" s="22" t="str">
        <f t="shared" ref="E272:F272" si="272">IF(A272&lt;&gt;"", (B272 - B271) / B271, "")</f>
        <v/>
      </c>
      <c r="F272" s="22" t="str">
        <f t="shared" si="272"/>
        <v/>
      </c>
      <c r="H272" s="22" t="str">
        <f t="shared" si="4"/>
        <v/>
      </c>
    </row>
    <row r="273" ht="15.75" customHeight="1">
      <c r="A273" s="31" t="str">
        <f>'EQUITY BACKTEST'!A276</f>
        <v/>
      </c>
      <c r="B273" s="22" t="str">
        <f>'EQUITY BACKTEST'!B276</f>
        <v/>
      </c>
      <c r="C273" s="22" t="str">
        <f>1/'EQUITY BACKTEST'!E276</f>
        <v>#DIV/0!</v>
      </c>
      <c r="D273" s="22" t="str">
        <f t="shared" si="1"/>
        <v>#DIV/0!</v>
      </c>
      <c r="E273" s="22" t="str">
        <f t="shared" ref="E273:F273" si="273">IF(A273&lt;&gt;"", (B273 - B272) / B272, "")</f>
        <v/>
      </c>
      <c r="F273" s="22" t="str">
        <f t="shared" si="273"/>
        <v/>
      </c>
      <c r="H273" s="22" t="str">
        <f t="shared" si="4"/>
        <v/>
      </c>
    </row>
    <row r="274" ht="15.75" customHeight="1">
      <c r="A274" s="31" t="str">
        <f>'EQUITY BACKTEST'!A277</f>
        <v/>
      </c>
      <c r="B274" s="22" t="str">
        <f>'EQUITY BACKTEST'!B277</f>
        <v/>
      </c>
      <c r="C274" s="22" t="str">
        <f>1/'EQUITY BACKTEST'!E277</f>
        <v>#DIV/0!</v>
      </c>
      <c r="D274" s="22" t="str">
        <f t="shared" si="1"/>
        <v>#DIV/0!</v>
      </c>
      <c r="E274" s="22" t="str">
        <f t="shared" ref="E274:F274" si="274">IF(A274&lt;&gt;"", (B274 - B273) / B273, "")</f>
        <v/>
      </c>
      <c r="F274" s="22" t="str">
        <f t="shared" si="274"/>
        <v/>
      </c>
      <c r="H274" s="22" t="str">
        <f t="shared" si="4"/>
        <v/>
      </c>
    </row>
    <row r="275" ht="15.75" customHeight="1">
      <c r="A275" s="31" t="str">
        <f>'EQUITY BACKTEST'!A278</f>
        <v/>
      </c>
      <c r="B275" s="22" t="str">
        <f>'EQUITY BACKTEST'!B278</f>
        <v/>
      </c>
      <c r="C275" s="22" t="str">
        <f>1/'EQUITY BACKTEST'!E278</f>
        <v>#DIV/0!</v>
      </c>
      <c r="D275" s="22" t="str">
        <f t="shared" si="1"/>
        <v>#DIV/0!</v>
      </c>
      <c r="E275" s="22" t="str">
        <f t="shared" ref="E275:F275" si="275">IF(A275&lt;&gt;"", (B275 - B274) / B274, "")</f>
        <v/>
      </c>
      <c r="F275" s="22" t="str">
        <f t="shared" si="275"/>
        <v/>
      </c>
      <c r="H275" s="22" t="str">
        <f t="shared" si="4"/>
        <v/>
      </c>
    </row>
    <row r="276" ht="15.75" customHeight="1">
      <c r="A276" s="31" t="str">
        <f>'EQUITY BACKTEST'!A279</f>
        <v/>
      </c>
      <c r="B276" s="22" t="str">
        <f>'EQUITY BACKTEST'!B279</f>
        <v/>
      </c>
      <c r="C276" s="22" t="str">
        <f>1/'EQUITY BACKTEST'!E279</f>
        <v>#DIV/0!</v>
      </c>
      <c r="D276" s="22" t="str">
        <f t="shared" si="1"/>
        <v>#DIV/0!</v>
      </c>
      <c r="E276" s="22" t="str">
        <f t="shared" ref="E276:F276" si="276">IF(A276&lt;&gt;"", (B276 - B275) / B275, "")</f>
        <v/>
      </c>
      <c r="F276" s="22" t="str">
        <f t="shared" si="276"/>
        <v/>
      </c>
      <c r="H276" s="22" t="str">
        <f t="shared" si="4"/>
        <v/>
      </c>
    </row>
    <row r="277" ht="15.75" customHeight="1">
      <c r="A277" s="31" t="str">
        <f>'EQUITY BACKTEST'!A280</f>
        <v/>
      </c>
      <c r="B277" s="22" t="str">
        <f>'EQUITY BACKTEST'!B280</f>
        <v/>
      </c>
      <c r="C277" s="22" t="str">
        <f>1/'EQUITY BACKTEST'!E280</f>
        <v>#DIV/0!</v>
      </c>
      <c r="D277" s="22" t="str">
        <f t="shared" si="1"/>
        <v>#DIV/0!</v>
      </c>
      <c r="E277" s="22" t="str">
        <f t="shared" ref="E277:F277" si="277">IF(A277&lt;&gt;"", (B277 - B276) / B276, "")</f>
        <v/>
      </c>
      <c r="F277" s="22" t="str">
        <f t="shared" si="277"/>
        <v/>
      </c>
      <c r="H277" s="22" t="str">
        <f t="shared" si="4"/>
        <v/>
      </c>
    </row>
    <row r="278" ht="15.75" customHeight="1">
      <c r="A278" s="31" t="str">
        <f>'EQUITY BACKTEST'!A281</f>
        <v/>
      </c>
      <c r="B278" s="22" t="str">
        <f>'EQUITY BACKTEST'!B281</f>
        <v/>
      </c>
      <c r="C278" s="22" t="str">
        <f>1/'EQUITY BACKTEST'!E281</f>
        <v>#DIV/0!</v>
      </c>
      <c r="D278" s="22" t="str">
        <f t="shared" si="1"/>
        <v>#DIV/0!</v>
      </c>
      <c r="E278" s="22" t="str">
        <f t="shared" ref="E278:F278" si="278">IF(A278&lt;&gt;"", (B278 - B277) / B277, "")</f>
        <v/>
      </c>
      <c r="F278" s="22" t="str">
        <f t="shared" si="278"/>
        <v/>
      </c>
      <c r="H278" s="22" t="str">
        <f t="shared" si="4"/>
        <v/>
      </c>
    </row>
    <row r="279" ht="15.75" customHeight="1">
      <c r="A279" s="31" t="str">
        <f>'EQUITY BACKTEST'!A282</f>
        <v/>
      </c>
      <c r="B279" s="22" t="str">
        <f>'EQUITY BACKTEST'!B282</f>
        <v/>
      </c>
      <c r="C279" s="22" t="str">
        <f>1/'EQUITY BACKTEST'!E282</f>
        <v>#DIV/0!</v>
      </c>
      <c r="D279" s="22" t="str">
        <f t="shared" si="1"/>
        <v>#DIV/0!</v>
      </c>
      <c r="E279" s="22" t="str">
        <f t="shared" ref="E279:F279" si="279">IF(A279&lt;&gt;"", (B279 - B278) / B278, "")</f>
        <v/>
      </c>
      <c r="F279" s="22" t="str">
        <f t="shared" si="279"/>
        <v/>
      </c>
      <c r="H279" s="22" t="str">
        <f t="shared" si="4"/>
        <v/>
      </c>
    </row>
    <row r="280" ht="15.75" customHeight="1">
      <c r="A280" s="31" t="str">
        <f>'EQUITY BACKTEST'!A283</f>
        <v/>
      </c>
      <c r="B280" s="22" t="str">
        <f>'EQUITY BACKTEST'!B283</f>
        <v/>
      </c>
      <c r="C280" s="22" t="str">
        <f>1/'EQUITY BACKTEST'!E283</f>
        <v>#DIV/0!</v>
      </c>
      <c r="D280" s="22" t="str">
        <f t="shared" si="1"/>
        <v>#DIV/0!</v>
      </c>
      <c r="E280" s="22" t="str">
        <f t="shared" ref="E280:F280" si="280">IF(A280&lt;&gt;"", (B280 - B279) / B279, "")</f>
        <v/>
      </c>
      <c r="F280" s="22" t="str">
        <f t="shared" si="280"/>
        <v/>
      </c>
      <c r="H280" s="22" t="str">
        <f t="shared" si="4"/>
        <v/>
      </c>
    </row>
    <row r="281" ht="15.75" customHeight="1">
      <c r="A281" s="31" t="str">
        <f>'EQUITY BACKTEST'!A284</f>
        <v/>
      </c>
      <c r="B281" s="22" t="str">
        <f>'EQUITY BACKTEST'!B284</f>
        <v/>
      </c>
      <c r="C281" s="22" t="str">
        <f>1/'EQUITY BACKTEST'!E284</f>
        <v>#DIV/0!</v>
      </c>
      <c r="D281" s="22" t="str">
        <f t="shared" si="1"/>
        <v>#DIV/0!</v>
      </c>
      <c r="E281" s="22" t="str">
        <f t="shared" ref="E281:F281" si="281">IF(A281&lt;&gt;"", (B281 - B280) / B280, "")</f>
        <v/>
      </c>
      <c r="F281" s="22" t="str">
        <f t="shared" si="281"/>
        <v/>
      </c>
      <c r="H281" s="22" t="str">
        <f t="shared" si="4"/>
        <v/>
      </c>
    </row>
    <row r="282" ht="15.75" customHeight="1">
      <c r="A282" s="31" t="str">
        <f>'EQUITY BACKTEST'!A285</f>
        <v/>
      </c>
      <c r="B282" s="22" t="str">
        <f>'EQUITY BACKTEST'!B285</f>
        <v/>
      </c>
      <c r="C282" s="22" t="str">
        <f>1/'EQUITY BACKTEST'!E285</f>
        <v>#DIV/0!</v>
      </c>
      <c r="D282" s="22" t="str">
        <f t="shared" si="1"/>
        <v>#DIV/0!</v>
      </c>
      <c r="E282" s="22" t="str">
        <f t="shared" ref="E282:F282" si="282">IF(A282&lt;&gt;"", (B282 - B281) / B281, "")</f>
        <v/>
      </c>
      <c r="F282" s="22" t="str">
        <f t="shared" si="282"/>
        <v/>
      </c>
      <c r="H282" s="22" t="str">
        <f t="shared" si="4"/>
        <v/>
      </c>
    </row>
    <row r="283" ht="15.75" customHeight="1">
      <c r="A283" s="31" t="str">
        <f>'EQUITY BACKTEST'!A286</f>
        <v/>
      </c>
      <c r="B283" s="22" t="str">
        <f>'EQUITY BACKTEST'!B286</f>
        <v/>
      </c>
      <c r="C283" s="22" t="str">
        <f>1/'EQUITY BACKTEST'!E286</f>
        <v>#DIV/0!</v>
      </c>
      <c r="D283" s="22" t="str">
        <f t="shared" si="1"/>
        <v>#DIV/0!</v>
      </c>
      <c r="E283" s="22" t="str">
        <f t="shared" ref="E283:F283" si="283">IF(A283&lt;&gt;"", (B283 - B282) / B282, "")</f>
        <v/>
      </c>
      <c r="F283" s="22" t="str">
        <f t="shared" si="283"/>
        <v/>
      </c>
      <c r="H283" s="22" t="str">
        <f t="shared" si="4"/>
        <v/>
      </c>
    </row>
    <row r="284" ht="15.75" customHeight="1">
      <c r="A284" s="31" t="str">
        <f>'EQUITY BACKTEST'!A287</f>
        <v/>
      </c>
      <c r="B284" s="22" t="str">
        <f>'EQUITY BACKTEST'!B287</f>
        <v/>
      </c>
      <c r="C284" s="22" t="str">
        <f>1/'EQUITY BACKTEST'!E287</f>
        <v>#DIV/0!</v>
      </c>
      <c r="D284" s="22" t="str">
        <f t="shared" si="1"/>
        <v>#DIV/0!</v>
      </c>
      <c r="E284" s="22" t="str">
        <f t="shared" ref="E284:F284" si="284">IF(A284&lt;&gt;"", (B284 - B283) / B283, "")</f>
        <v/>
      </c>
      <c r="F284" s="22" t="str">
        <f t="shared" si="284"/>
        <v/>
      </c>
      <c r="H284" s="22" t="str">
        <f t="shared" si="4"/>
        <v/>
      </c>
    </row>
    <row r="285" ht="15.75" customHeight="1">
      <c r="A285" s="31" t="str">
        <f>'EQUITY BACKTEST'!A288</f>
        <v/>
      </c>
      <c r="B285" s="22" t="str">
        <f>'EQUITY BACKTEST'!B288</f>
        <v/>
      </c>
      <c r="C285" s="22" t="str">
        <f>1/'EQUITY BACKTEST'!E288</f>
        <v>#DIV/0!</v>
      </c>
      <c r="D285" s="22" t="str">
        <f t="shared" si="1"/>
        <v>#DIV/0!</v>
      </c>
      <c r="E285" s="22" t="str">
        <f t="shared" ref="E285:F285" si="285">IF(A285&lt;&gt;"", (B285 - B284) / B284, "")</f>
        <v/>
      </c>
      <c r="F285" s="22" t="str">
        <f t="shared" si="285"/>
        <v/>
      </c>
      <c r="H285" s="22" t="str">
        <f t="shared" si="4"/>
        <v/>
      </c>
    </row>
    <row r="286" ht="15.75" customHeight="1">
      <c r="A286" s="31" t="str">
        <f>'EQUITY BACKTEST'!A289</f>
        <v/>
      </c>
      <c r="B286" s="22" t="str">
        <f>'EQUITY BACKTEST'!B289</f>
        <v/>
      </c>
      <c r="C286" s="22" t="str">
        <f>1/'EQUITY BACKTEST'!E289</f>
        <v>#DIV/0!</v>
      </c>
      <c r="D286" s="22" t="str">
        <f t="shared" si="1"/>
        <v>#DIV/0!</v>
      </c>
      <c r="E286" s="22" t="str">
        <f t="shared" ref="E286:F286" si="286">IF(A286&lt;&gt;"", (B286 - B285) / B285, "")</f>
        <v/>
      </c>
      <c r="F286" s="22" t="str">
        <f t="shared" si="286"/>
        <v/>
      </c>
      <c r="H286" s="22" t="str">
        <f t="shared" si="4"/>
        <v/>
      </c>
    </row>
    <row r="287" ht="15.75" customHeight="1">
      <c r="A287" s="31" t="str">
        <f>'EQUITY BACKTEST'!A290</f>
        <v/>
      </c>
      <c r="B287" s="22" t="str">
        <f>'EQUITY BACKTEST'!B290</f>
        <v/>
      </c>
      <c r="C287" s="22" t="str">
        <f>1/'EQUITY BACKTEST'!E290</f>
        <v>#DIV/0!</v>
      </c>
      <c r="D287" s="22" t="str">
        <f t="shared" si="1"/>
        <v>#DIV/0!</v>
      </c>
      <c r="E287" s="22" t="str">
        <f t="shared" ref="E287:F287" si="287">IF(A287&lt;&gt;"", (B287 - B286) / B286, "")</f>
        <v/>
      </c>
      <c r="F287" s="22" t="str">
        <f t="shared" si="287"/>
        <v/>
      </c>
      <c r="H287" s="22" t="str">
        <f t="shared" si="4"/>
        <v/>
      </c>
    </row>
    <row r="288" ht="15.75" customHeight="1">
      <c r="A288" s="31" t="str">
        <f>'EQUITY BACKTEST'!A291</f>
        <v/>
      </c>
      <c r="B288" s="22" t="str">
        <f>'EQUITY BACKTEST'!B291</f>
        <v/>
      </c>
      <c r="C288" s="22" t="str">
        <f>1/'EQUITY BACKTEST'!E291</f>
        <v>#DIV/0!</v>
      </c>
      <c r="D288" s="22" t="str">
        <f t="shared" si="1"/>
        <v>#DIV/0!</v>
      </c>
      <c r="E288" s="22" t="str">
        <f t="shared" ref="E288:F288" si="288">IF(A288&lt;&gt;"", (B288 - B287) / B287, "")</f>
        <v/>
      </c>
      <c r="F288" s="22" t="str">
        <f t="shared" si="288"/>
        <v/>
      </c>
      <c r="H288" s="22" t="str">
        <f t="shared" si="4"/>
        <v/>
      </c>
    </row>
    <row r="289" ht="15.75" customHeight="1">
      <c r="A289" s="31" t="str">
        <f>'EQUITY BACKTEST'!A292</f>
        <v/>
      </c>
      <c r="B289" s="22" t="str">
        <f>'EQUITY BACKTEST'!B292</f>
        <v/>
      </c>
      <c r="C289" s="22" t="str">
        <f>1/'EQUITY BACKTEST'!E292</f>
        <v>#DIV/0!</v>
      </c>
      <c r="D289" s="22" t="str">
        <f t="shared" si="1"/>
        <v>#DIV/0!</v>
      </c>
      <c r="E289" s="22" t="str">
        <f t="shared" ref="E289:F289" si="289">IF(A289&lt;&gt;"", (B289 - B288) / B288, "")</f>
        <v/>
      </c>
      <c r="F289" s="22" t="str">
        <f t="shared" si="289"/>
        <v/>
      </c>
      <c r="H289" s="22" t="str">
        <f t="shared" si="4"/>
        <v/>
      </c>
    </row>
    <row r="290" ht="15.75" customHeight="1">
      <c r="A290" s="31" t="str">
        <f>'EQUITY BACKTEST'!A293</f>
        <v/>
      </c>
      <c r="B290" s="22" t="str">
        <f>'EQUITY BACKTEST'!B293</f>
        <v/>
      </c>
      <c r="C290" s="22" t="str">
        <f>1/'EQUITY BACKTEST'!E293</f>
        <v>#DIV/0!</v>
      </c>
      <c r="D290" s="22" t="str">
        <f t="shared" si="1"/>
        <v>#DIV/0!</v>
      </c>
      <c r="E290" s="22" t="str">
        <f t="shared" ref="E290:F290" si="290">IF(A290&lt;&gt;"", (B290 - B289) / B289, "")</f>
        <v/>
      </c>
      <c r="F290" s="22" t="str">
        <f t="shared" si="290"/>
        <v/>
      </c>
      <c r="H290" s="22" t="str">
        <f t="shared" si="4"/>
        <v/>
      </c>
    </row>
    <row r="291" ht="15.75" customHeight="1">
      <c r="A291" s="31" t="str">
        <f>'EQUITY BACKTEST'!A294</f>
        <v/>
      </c>
      <c r="B291" s="22" t="str">
        <f>'EQUITY BACKTEST'!B294</f>
        <v/>
      </c>
      <c r="C291" s="22" t="str">
        <f>1/'EQUITY BACKTEST'!E294</f>
        <v>#DIV/0!</v>
      </c>
      <c r="D291" s="22" t="str">
        <f t="shared" si="1"/>
        <v>#DIV/0!</v>
      </c>
      <c r="E291" s="22" t="str">
        <f t="shared" ref="E291:F291" si="291">IF(A291&lt;&gt;"", (B291 - B290) / B290, "")</f>
        <v/>
      </c>
      <c r="F291" s="22" t="str">
        <f t="shared" si="291"/>
        <v/>
      </c>
      <c r="H291" s="22" t="str">
        <f t="shared" si="4"/>
        <v/>
      </c>
    </row>
    <row r="292" ht="15.75" customHeight="1">
      <c r="A292" s="31" t="str">
        <f>'EQUITY BACKTEST'!A295</f>
        <v/>
      </c>
      <c r="B292" s="22" t="str">
        <f>'EQUITY BACKTEST'!B295</f>
        <v/>
      </c>
      <c r="C292" s="22" t="str">
        <f>1/'EQUITY BACKTEST'!E295</f>
        <v>#DIV/0!</v>
      </c>
      <c r="D292" s="22" t="str">
        <f t="shared" si="1"/>
        <v>#DIV/0!</v>
      </c>
      <c r="E292" s="22" t="str">
        <f t="shared" ref="E292:F292" si="292">IF(A292&lt;&gt;"", (B292 - B291) / B291, "")</f>
        <v/>
      </c>
      <c r="F292" s="22" t="str">
        <f t="shared" si="292"/>
        <v/>
      </c>
      <c r="H292" s="22" t="str">
        <f t="shared" si="4"/>
        <v/>
      </c>
    </row>
    <row r="293" ht="15.75" customHeight="1">
      <c r="A293" s="31" t="str">
        <f>'EQUITY BACKTEST'!A296</f>
        <v/>
      </c>
      <c r="B293" s="22" t="str">
        <f>'EQUITY BACKTEST'!B296</f>
        <v/>
      </c>
      <c r="C293" s="22" t="str">
        <f>1/'EQUITY BACKTEST'!E296</f>
        <v>#DIV/0!</v>
      </c>
      <c r="D293" s="22" t="str">
        <f t="shared" si="1"/>
        <v>#DIV/0!</v>
      </c>
      <c r="E293" s="22" t="str">
        <f t="shared" ref="E293:F293" si="293">IF(A293&lt;&gt;"", (B293 - B292) / B292, "")</f>
        <v/>
      </c>
      <c r="F293" s="22" t="str">
        <f t="shared" si="293"/>
        <v/>
      </c>
      <c r="H293" s="22" t="str">
        <f t="shared" si="4"/>
        <v/>
      </c>
    </row>
    <row r="294" ht="15.75" customHeight="1">
      <c r="A294" s="31" t="str">
        <f>'EQUITY BACKTEST'!A297</f>
        <v/>
      </c>
      <c r="B294" s="22" t="str">
        <f>'EQUITY BACKTEST'!B297</f>
        <v/>
      </c>
      <c r="C294" s="22" t="str">
        <f>1/'EQUITY BACKTEST'!E297</f>
        <v>#DIV/0!</v>
      </c>
      <c r="D294" s="22" t="str">
        <f t="shared" si="1"/>
        <v>#DIV/0!</v>
      </c>
      <c r="E294" s="22" t="str">
        <f t="shared" ref="E294:F294" si="294">IF(A294&lt;&gt;"", (B294 - B293) / B293, "")</f>
        <v/>
      </c>
      <c r="F294" s="22" t="str">
        <f t="shared" si="294"/>
        <v/>
      </c>
      <c r="H294" s="22" t="str">
        <f t="shared" si="4"/>
        <v/>
      </c>
    </row>
    <row r="295" ht="15.75" customHeight="1">
      <c r="A295" s="31" t="str">
        <f>'EQUITY BACKTEST'!A298</f>
        <v/>
      </c>
      <c r="B295" s="22" t="str">
        <f>'EQUITY BACKTEST'!B298</f>
        <v/>
      </c>
      <c r="C295" s="22" t="str">
        <f>1/'EQUITY BACKTEST'!E298</f>
        <v>#DIV/0!</v>
      </c>
      <c r="D295" s="22" t="str">
        <f t="shared" si="1"/>
        <v>#DIV/0!</v>
      </c>
      <c r="E295" s="22" t="str">
        <f t="shared" ref="E295:F295" si="295">IF(A295&lt;&gt;"", (B295 - B294) / B294, "")</f>
        <v/>
      </c>
      <c r="F295" s="22" t="str">
        <f t="shared" si="295"/>
        <v/>
      </c>
      <c r="H295" s="22" t="str">
        <f t="shared" si="4"/>
        <v/>
      </c>
    </row>
    <row r="296" ht="15.75" customHeight="1">
      <c r="A296" s="31" t="str">
        <f>'EQUITY BACKTEST'!A299</f>
        <v/>
      </c>
      <c r="B296" s="22" t="str">
        <f>'EQUITY BACKTEST'!B299</f>
        <v/>
      </c>
      <c r="C296" s="22" t="str">
        <f>1/'EQUITY BACKTEST'!E299</f>
        <v>#DIV/0!</v>
      </c>
      <c r="D296" s="22" t="str">
        <f t="shared" si="1"/>
        <v>#DIV/0!</v>
      </c>
      <c r="E296" s="22" t="str">
        <f t="shared" ref="E296:F296" si="296">IF(A296&lt;&gt;"", (B296 - B295) / B295, "")</f>
        <v/>
      </c>
      <c r="F296" s="22" t="str">
        <f t="shared" si="296"/>
        <v/>
      </c>
      <c r="H296" s="22" t="str">
        <f t="shared" si="4"/>
        <v/>
      </c>
    </row>
    <row r="297" ht="15.75" customHeight="1">
      <c r="A297" s="31" t="str">
        <f>'EQUITY BACKTEST'!A300</f>
        <v/>
      </c>
      <c r="B297" s="22" t="str">
        <f>'EQUITY BACKTEST'!B300</f>
        <v/>
      </c>
      <c r="C297" s="22" t="str">
        <f>1/'EQUITY BACKTEST'!E300</f>
        <v>#DIV/0!</v>
      </c>
      <c r="D297" s="22" t="str">
        <f t="shared" si="1"/>
        <v>#DIV/0!</v>
      </c>
      <c r="E297" s="22" t="str">
        <f t="shared" ref="E297:F297" si="297">IF(A297&lt;&gt;"", (B297 - B296) / B296, "")</f>
        <v/>
      </c>
      <c r="F297" s="22" t="str">
        <f t="shared" si="297"/>
        <v/>
      </c>
      <c r="H297" s="22" t="str">
        <f t="shared" si="4"/>
        <v/>
      </c>
    </row>
    <row r="298" ht="15.75" customHeight="1">
      <c r="A298" s="31" t="str">
        <f>'EQUITY BACKTEST'!A301</f>
        <v/>
      </c>
      <c r="B298" s="22" t="str">
        <f>'EQUITY BACKTEST'!B301</f>
        <v/>
      </c>
      <c r="C298" s="22" t="str">
        <f>1/'EQUITY BACKTEST'!E301</f>
        <v>#DIV/0!</v>
      </c>
      <c r="D298" s="22" t="str">
        <f t="shared" si="1"/>
        <v>#DIV/0!</v>
      </c>
      <c r="E298" s="22" t="str">
        <f t="shared" ref="E298:F298" si="298">IF(A298&lt;&gt;"", (B298 - B297) / B297, "")</f>
        <v/>
      </c>
      <c r="F298" s="22" t="str">
        <f t="shared" si="298"/>
        <v/>
      </c>
      <c r="H298" s="22" t="str">
        <f t="shared" si="4"/>
        <v/>
      </c>
    </row>
    <row r="299" ht="15.75" customHeight="1">
      <c r="A299" s="31" t="str">
        <f>'EQUITY BACKTEST'!A302</f>
        <v/>
      </c>
      <c r="B299" s="22" t="str">
        <f>'EQUITY BACKTEST'!B302</f>
        <v/>
      </c>
      <c r="C299" s="22" t="str">
        <f>1/'EQUITY BACKTEST'!E302</f>
        <v>#DIV/0!</v>
      </c>
      <c r="D299" s="22" t="str">
        <f t="shared" si="1"/>
        <v>#DIV/0!</v>
      </c>
      <c r="E299" s="22" t="str">
        <f t="shared" ref="E299:F299" si="299">IF(A299&lt;&gt;"", (B299 - B298) / B298, "")</f>
        <v/>
      </c>
      <c r="F299" s="22" t="str">
        <f t="shared" si="299"/>
        <v/>
      </c>
      <c r="H299" s="22" t="str">
        <f t="shared" si="4"/>
        <v/>
      </c>
    </row>
    <row r="300" ht="15.75" customHeight="1">
      <c r="A300" s="31" t="str">
        <f>'EQUITY BACKTEST'!A303</f>
        <v/>
      </c>
      <c r="B300" s="22" t="str">
        <f>'EQUITY BACKTEST'!B303</f>
        <v/>
      </c>
      <c r="C300" s="22" t="str">
        <f>1/'EQUITY BACKTEST'!E303</f>
        <v>#DIV/0!</v>
      </c>
      <c r="D300" s="22" t="str">
        <f t="shared" si="1"/>
        <v>#DIV/0!</v>
      </c>
      <c r="E300" s="22" t="str">
        <f t="shared" ref="E300:F300" si="300">IF(A300&lt;&gt;"", (B300 - B299) / B299, "")</f>
        <v/>
      </c>
      <c r="F300" s="22" t="str">
        <f t="shared" si="300"/>
        <v/>
      </c>
      <c r="H300" s="22" t="str">
        <f t="shared" si="4"/>
        <v/>
      </c>
    </row>
    <row r="301" ht="15.75" customHeight="1">
      <c r="A301" s="31" t="str">
        <f>'EQUITY BACKTEST'!A304</f>
        <v/>
      </c>
      <c r="B301" s="22" t="str">
        <f>'EQUITY BACKTEST'!B304</f>
        <v/>
      </c>
      <c r="C301" s="22" t="str">
        <f>1/'EQUITY BACKTEST'!E304</f>
        <v>#DIV/0!</v>
      </c>
      <c r="D301" s="22" t="str">
        <f t="shared" si="1"/>
        <v>#DIV/0!</v>
      </c>
      <c r="E301" s="22" t="str">
        <f t="shared" ref="E301:F301" si="301">IF(A301&lt;&gt;"", (B301 - B300) / B300, "")</f>
        <v/>
      </c>
      <c r="F301" s="22" t="str">
        <f t="shared" si="301"/>
        <v/>
      </c>
      <c r="H301" s="22" t="str">
        <f t="shared" si="4"/>
        <v/>
      </c>
    </row>
    <row r="302" ht="15.75" customHeight="1">
      <c r="A302" s="31" t="str">
        <f>'EQUITY BACKTEST'!A305</f>
        <v/>
      </c>
      <c r="B302" s="22" t="str">
        <f>'EQUITY BACKTEST'!B305</f>
        <v/>
      </c>
      <c r="C302" s="22" t="str">
        <f>1/'EQUITY BACKTEST'!E305</f>
        <v>#DIV/0!</v>
      </c>
      <c r="D302" s="22" t="str">
        <f t="shared" si="1"/>
        <v>#DIV/0!</v>
      </c>
      <c r="E302" s="22" t="str">
        <f t="shared" ref="E302:F302" si="302">IF(A302&lt;&gt;"", (B302 - B301) / B301, "")</f>
        <v/>
      </c>
      <c r="F302" s="22" t="str">
        <f t="shared" si="302"/>
        <v/>
      </c>
      <c r="H302" s="22" t="str">
        <f t="shared" si="4"/>
        <v/>
      </c>
    </row>
    <row r="303" ht="15.75" customHeight="1">
      <c r="A303" s="31" t="str">
        <f>'EQUITY BACKTEST'!A306</f>
        <v/>
      </c>
      <c r="B303" s="22" t="str">
        <f>'EQUITY BACKTEST'!B306</f>
        <v/>
      </c>
      <c r="C303" s="22" t="str">
        <f>1/'EQUITY BACKTEST'!E306</f>
        <v>#DIV/0!</v>
      </c>
      <c r="D303" s="22" t="str">
        <f t="shared" si="1"/>
        <v>#DIV/0!</v>
      </c>
      <c r="E303" s="22" t="str">
        <f t="shared" ref="E303:F303" si="303">IF(A303&lt;&gt;"", (B303 - B302) / B302, "")</f>
        <v/>
      </c>
      <c r="F303" s="22" t="str">
        <f t="shared" si="303"/>
        <v/>
      </c>
      <c r="H303" s="22" t="str">
        <f t="shared" si="4"/>
        <v/>
      </c>
    </row>
    <row r="304" ht="15.75" customHeight="1">
      <c r="A304" s="31" t="str">
        <f>'EQUITY BACKTEST'!A307</f>
        <v/>
      </c>
      <c r="B304" s="22" t="str">
        <f>'EQUITY BACKTEST'!B307</f>
        <v/>
      </c>
      <c r="C304" s="22" t="str">
        <f>1/'EQUITY BACKTEST'!E307</f>
        <v>#DIV/0!</v>
      </c>
      <c r="D304" s="22" t="str">
        <f t="shared" si="1"/>
        <v>#DIV/0!</v>
      </c>
      <c r="E304" s="22" t="str">
        <f t="shared" ref="E304:F304" si="304">IF(A304&lt;&gt;"", (B304 - B303) / B303, "")</f>
        <v/>
      </c>
      <c r="F304" s="22" t="str">
        <f t="shared" si="304"/>
        <v/>
      </c>
      <c r="H304" s="22" t="str">
        <f t="shared" si="4"/>
        <v/>
      </c>
    </row>
    <row r="305" ht="15.75" customHeight="1">
      <c r="A305" s="31" t="str">
        <f>'EQUITY BACKTEST'!A308</f>
        <v/>
      </c>
      <c r="B305" s="22" t="str">
        <f>'EQUITY BACKTEST'!B308</f>
        <v/>
      </c>
      <c r="C305" s="22" t="str">
        <f>1/'EQUITY BACKTEST'!E308</f>
        <v>#DIV/0!</v>
      </c>
      <c r="D305" s="22" t="str">
        <f t="shared" si="1"/>
        <v>#DIV/0!</v>
      </c>
      <c r="E305" s="22" t="str">
        <f t="shared" ref="E305:F305" si="305">IF(A305&lt;&gt;"", (B305 - B304) / B304, "")</f>
        <v/>
      </c>
      <c r="F305" s="22" t="str">
        <f t="shared" si="305"/>
        <v/>
      </c>
      <c r="H305" s="22" t="str">
        <f t="shared" si="4"/>
        <v/>
      </c>
    </row>
    <row r="306" ht="15.75" customHeight="1">
      <c r="A306" s="31" t="str">
        <f>'EQUITY BACKTEST'!A309</f>
        <v/>
      </c>
      <c r="B306" s="22" t="str">
        <f>'EQUITY BACKTEST'!B309</f>
        <v/>
      </c>
      <c r="C306" s="22" t="str">
        <f>1/'EQUITY BACKTEST'!E309</f>
        <v>#DIV/0!</v>
      </c>
      <c r="D306" s="22" t="str">
        <f t="shared" si="1"/>
        <v>#DIV/0!</v>
      </c>
      <c r="E306" s="22" t="str">
        <f t="shared" ref="E306:F306" si="306">IF(A306&lt;&gt;"", (B306 - B305) / B305, "")</f>
        <v/>
      </c>
      <c r="F306" s="22" t="str">
        <f t="shared" si="306"/>
        <v/>
      </c>
      <c r="H306" s="22" t="str">
        <f t="shared" si="4"/>
        <v/>
      </c>
    </row>
    <row r="307" ht="15.75" customHeight="1">
      <c r="A307" s="31" t="str">
        <f>'EQUITY BACKTEST'!A310</f>
        <v/>
      </c>
      <c r="B307" s="22" t="str">
        <f>'EQUITY BACKTEST'!B310</f>
        <v/>
      </c>
      <c r="C307" s="22" t="str">
        <f>1/'EQUITY BACKTEST'!E310</f>
        <v>#DIV/0!</v>
      </c>
      <c r="D307" s="22" t="str">
        <f t="shared" si="1"/>
        <v>#DIV/0!</v>
      </c>
      <c r="E307" s="22" t="str">
        <f t="shared" ref="E307:F307" si="307">IF(A307&lt;&gt;"", (B307 - B306) / B306, "")</f>
        <v/>
      </c>
      <c r="F307" s="22" t="str">
        <f t="shared" si="307"/>
        <v/>
      </c>
      <c r="H307" s="22" t="str">
        <f t="shared" si="4"/>
        <v/>
      </c>
    </row>
    <row r="308" ht="15.75" customHeight="1">
      <c r="A308" s="31" t="str">
        <f>'EQUITY BACKTEST'!A311</f>
        <v/>
      </c>
      <c r="B308" s="22" t="str">
        <f>'EQUITY BACKTEST'!B311</f>
        <v/>
      </c>
      <c r="C308" s="22" t="str">
        <f>1/'EQUITY BACKTEST'!E311</f>
        <v>#DIV/0!</v>
      </c>
      <c r="D308" s="22" t="str">
        <f t="shared" si="1"/>
        <v>#DIV/0!</v>
      </c>
      <c r="E308" s="22" t="str">
        <f t="shared" ref="E308:F308" si="308">IF(A308&lt;&gt;"", (B308 - B307) / B307, "")</f>
        <v/>
      </c>
      <c r="F308" s="22" t="str">
        <f t="shared" si="308"/>
        <v/>
      </c>
      <c r="H308" s="22" t="str">
        <f t="shared" si="4"/>
        <v/>
      </c>
    </row>
    <row r="309" ht="15.75" customHeight="1">
      <c r="A309" s="31" t="str">
        <f>'EQUITY BACKTEST'!A312</f>
        <v/>
      </c>
      <c r="B309" s="22" t="str">
        <f>'EQUITY BACKTEST'!B312</f>
        <v/>
      </c>
      <c r="C309" s="22" t="str">
        <f>1/'EQUITY BACKTEST'!E312</f>
        <v>#DIV/0!</v>
      </c>
      <c r="D309" s="22" t="str">
        <f t="shared" si="1"/>
        <v>#DIV/0!</v>
      </c>
      <c r="E309" s="22" t="str">
        <f t="shared" ref="E309:F309" si="309">IF(A309&lt;&gt;"", (B309 - B308) / B308, "")</f>
        <v/>
      </c>
      <c r="F309" s="22" t="str">
        <f t="shared" si="309"/>
        <v/>
      </c>
      <c r="H309" s="22" t="str">
        <f t="shared" si="4"/>
        <v/>
      </c>
    </row>
    <row r="310" ht="15.75" customHeight="1">
      <c r="A310" s="31" t="str">
        <f>'EQUITY BACKTEST'!A313</f>
        <v/>
      </c>
      <c r="B310" s="22" t="str">
        <f>'EQUITY BACKTEST'!B313</f>
        <v/>
      </c>
      <c r="C310" s="22" t="str">
        <f>1/'EQUITY BACKTEST'!E313</f>
        <v>#DIV/0!</v>
      </c>
      <c r="D310" s="22" t="str">
        <f t="shared" si="1"/>
        <v>#DIV/0!</v>
      </c>
      <c r="E310" s="22" t="str">
        <f t="shared" ref="E310:F310" si="310">IF(A310&lt;&gt;"", (B310 - B309) / B309, "")</f>
        <v/>
      </c>
      <c r="F310" s="22" t="str">
        <f t="shared" si="310"/>
        <v/>
      </c>
      <c r="H310" s="22" t="str">
        <f t="shared" si="4"/>
        <v/>
      </c>
    </row>
    <row r="311" ht="15.75" customHeight="1">
      <c r="A311" s="31" t="str">
        <f>'EQUITY BACKTEST'!A314</f>
        <v/>
      </c>
      <c r="B311" s="22" t="str">
        <f>'EQUITY BACKTEST'!B314</f>
        <v/>
      </c>
      <c r="C311" s="22" t="str">
        <f>1/'EQUITY BACKTEST'!E314</f>
        <v>#DIV/0!</v>
      </c>
      <c r="D311" s="22" t="str">
        <f t="shared" si="1"/>
        <v>#DIV/0!</v>
      </c>
      <c r="E311" s="22" t="str">
        <f t="shared" ref="E311:F311" si="311">IF(A311&lt;&gt;"", (B311 - B310) / B310, "")</f>
        <v/>
      </c>
      <c r="F311" s="22" t="str">
        <f t="shared" si="311"/>
        <v/>
      </c>
      <c r="H311" s="22" t="str">
        <f t="shared" si="4"/>
        <v/>
      </c>
    </row>
    <row r="312" ht="15.75" customHeight="1">
      <c r="A312" s="31" t="str">
        <f>'EQUITY BACKTEST'!A315</f>
        <v/>
      </c>
      <c r="B312" s="22" t="str">
        <f>'EQUITY BACKTEST'!B315</f>
        <v/>
      </c>
      <c r="C312" s="22" t="str">
        <f>1/'EQUITY BACKTEST'!E315</f>
        <v>#DIV/0!</v>
      </c>
      <c r="D312" s="22" t="str">
        <f t="shared" si="1"/>
        <v>#DIV/0!</v>
      </c>
      <c r="E312" s="22" t="str">
        <f t="shared" ref="E312:F312" si="312">IF(A312&lt;&gt;"", (B312 - B311) / B311, "")</f>
        <v/>
      </c>
      <c r="F312" s="22" t="str">
        <f t="shared" si="312"/>
        <v/>
      </c>
      <c r="H312" s="22" t="str">
        <f t="shared" si="4"/>
        <v/>
      </c>
    </row>
    <row r="313" ht="15.75" customHeight="1">
      <c r="A313" s="31" t="str">
        <f>'EQUITY BACKTEST'!A316</f>
        <v/>
      </c>
      <c r="B313" s="22" t="str">
        <f>'EQUITY BACKTEST'!B316</f>
        <v/>
      </c>
      <c r="C313" s="22" t="str">
        <f>1/'EQUITY BACKTEST'!E316</f>
        <v>#DIV/0!</v>
      </c>
      <c r="D313" s="22" t="str">
        <f t="shared" si="1"/>
        <v>#DIV/0!</v>
      </c>
      <c r="E313" s="22" t="str">
        <f t="shared" ref="E313:F313" si="313">IF(A313&lt;&gt;"", (B313 - B312) / B312, "")</f>
        <v/>
      </c>
      <c r="F313" s="22" t="str">
        <f t="shared" si="313"/>
        <v/>
      </c>
      <c r="H313" s="22" t="str">
        <f t="shared" si="4"/>
        <v/>
      </c>
    </row>
    <row r="314" ht="15.75" customHeight="1">
      <c r="A314" s="31" t="str">
        <f>'EQUITY BACKTEST'!A317</f>
        <v/>
      </c>
      <c r="B314" s="22" t="str">
        <f>'EQUITY BACKTEST'!B317</f>
        <v/>
      </c>
      <c r="C314" s="22" t="str">
        <f>1/'EQUITY BACKTEST'!E317</f>
        <v>#DIV/0!</v>
      </c>
      <c r="D314" s="22" t="str">
        <f t="shared" si="1"/>
        <v>#DIV/0!</v>
      </c>
      <c r="E314" s="22" t="str">
        <f t="shared" ref="E314:F314" si="314">IF(A314&lt;&gt;"", (B314 - B313) / B313, "")</f>
        <v/>
      </c>
      <c r="F314" s="22" t="str">
        <f t="shared" si="314"/>
        <v/>
      </c>
      <c r="H314" s="22" t="str">
        <f t="shared" si="4"/>
        <v/>
      </c>
    </row>
    <row r="315" ht="15.75" customHeight="1">
      <c r="A315" s="31" t="str">
        <f>'EQUITY BACKTEST'!A318</f>
        <v/>
      </c>
      <c r="B315" s="22" t="str">
        <f>'EQUITY BACKTEST'!B318</f>
        <v/>
      </c>
      <c r="C315" s="22" t="str">
        <f>1/'EQUITY BACKTEST'!E318</f>
        <v>#DIV/0!</v>
      </c>
      <c r="D315" s="22" t="str">
        <f t="shared" si="1"/>
        <v>#DIV/0!</v>
      </c>
      <c r="E315" s="22" t="str">
        <f t="shared" ref="E315:F315" si="315">IF(A315&lt;&gt;"", (B315 - B314) / B314, "")</f>
        <v/>
      </c>
      <c r="F315" s="22" t="str">
        <f t="shared" si="315"/>
        <v/>
      </c>
      <c r="H315" s="22" t="str">
        <f t="shared" si="4"/>
        <v/>
      </c>
    </row>
    <row r="316" ht="15.75" customHeight="1">
      <c r="A316" s="31" t="str">
        <f>'EQUITY BACKTEST'!A319</f>
        <v/>
      </c>
      <c r="B316" s="22" t="str">
        <f>'EQUITY BACKTEST'!B319</f>
        <v/>
      </c>
      <c r="C316" s="22" t="str">
        <f>1/'EQUITY BACKTEST'!E319</f>
        <v>#DIV/0!</v>
      </c>
      <c r="D316" s="22" t="str">
        <f t="shared" si="1"/>
        <v>#DIV/0!</v>
      </c>
      <c r="E316" s="22" t="str">
        <f t="shared" ref="E316:F316" si="316">IF(A316&lt;&gt;"", (B316 - B315) / B315, "")</f>
        <v/>
      </c>
      <c r="F316" s="22" t="str">
        <f t="shared" si="316"/>
        <v/>
      </c>
      <c r="H316" s="22" t="str">
        <f t="shared" si="4"/>
        <v/>
      </c>
    </row>
    <row r="317" ht="15.75" customHeight="1">
      <c r="A317" s="31" t="str">
        <f>'EQUITY BACKTEST'!A320</f>
        <v/>
      </c>
      <c r="B317" s="22" t="str">
        <f>'EQUITY BACKTEST'!B320</f>
        <v/>
      </c>
      <c r="C317" s="22" t="str">
        <f>1/'EQUITY BACKTEST'!E320</f>
        <v>#DIV/0!</v>
      </c>
      <c r="D317" s="22" t="str">
        <f t="shared" si="1"/>
        <v>#DIV/0!</v>
      </c>
      <c r="E317" s="22" t="str">
        <f t="shared" ref="E317:F317" si="317">IF(A317&lt;&gt;"", (B317 - B316) / B316, "")</f>
        <v/>
      </c>
      <c r="F317" s="22" t="str">
        <f t="shared" si="317"/>
        <v/>
      </c>
      <c r="H317" s="22" t="str">
        <f t="shared" si="4"/>
        <v/>
      </c>
    </row>
    <row r="318" ht="15.75" customHeight="1">
      <c r="A318" s="31" t="str">
        <f>'EQUITY BACKTEST'!A321</f>
        <v/>
      </c>
      <c r="B318" s="22" t="str">
        <f>'EQUITY BACKTEST'!B321</f>
        <v/>
      </c>
      <c r="C318" s="22" t="str">
        <f>1/'EQUITY BACKTEST'!E321</f>
        <v>#DIV/0!</v>
      </c>
      <c r="D318" s="22" t="str">
        <f t="shared" si="1"/>
        <v>#DIV/0!</v>
      </c>
      <c r="E318" s="22" t="str">
        <f t="shared" ref="E318:F318" si="318">IF(A318&lt;&gt;"", (B318 - B317) / B317, "")</f>
        <v/>
      </c>
      <c r="F318" s="22" t="str">
        <f t="shared" si="318"/>
        <v/>
      </c>
      <c r="H318" s="22" t="str">
        <f t="shared" si="4"/>
        <v/>
      </c>
    </row>
    <row r="319" ht="15.75" customHeight="1">
      <c r="A319" s="31" t="str">
        <f>'EQUITY BACKTEST'!A322</f>
        <v/>
      </c>
      <c r="B319" s="22" t="str">
        <f>'EQUITY BACKTEST'!B322</f>
        <v/>
      </c>
      <c r="C319" s="22" t="str">
        <f>1/'EQUITY BACKTEST'!E322</f>
        <v>#DIV/0!</v>
      </c>
      <c r="D319" s="22" t="str">
        <f t="shared" si="1"/>
        <v>#DIV/0!</v>
      </c>
      <c r="E319" s="22" t="str">
        <f t="shared" ref="E319:F319" si="319">IF(A319&lt;&gt;"", (B319 - B318) / B318, "")</f>
        <v/>
      </c>
      <c r="F319" s="22" t="str">
        <f t="shared" si="319"/>
        <v/>
      </c>
      <c r="H319" s="22" t="str">
        <f t="shared" si="4"/>
        <v/>
      </c>
    </row>
    <row r="320" ht="15.75" customHeight="1">
      <c r="A320" s="31" t="str">
        <f>'EQUITY BACKTEST'!A323</f>
        <v/>
      </c>
      <c r="B320" s="22" t="str">
        <f>'EQUITY BACKTEST'!B323</f>
        <v/>
      </c>
      <c r="C320" s="22" t="str">
        <f>1/'EQUITY BACKTEST'!E323</f>
        <v>#DIV/0!</v>
      </c>
      <c r="D320" s="22" t="str">
        <f t="shared" si="1"/>
        <v>#DIV/0!</v>
      </c>
      <c r="E320" s="22" t="str">
        <f t="shared" ref="E320:F320" si="320">IF(A320&lt;&gt;"", (B320 - B319) / B319, "")</f>
        <v/>
      </c>
      <c r="F320" s="22" t="str">
        <f t="shared" si="320"/>
        <v/>
      </c>
      <c r="H320" s="22" t="str">
        <f t="shared" si="4"/>
        <v/>
      </c>
    </row>
    <row r="321" ht="15.75" customHeight="1">
      <c r="A321" s="31" t="str">
        <f>'EQUITY BACKTEST'!A324</f>
        <v/>
      </c>
      <c r="B321" s="22" t="str">
        <f>'EQUITY BACKTEST'!B324</f>
        <v/>
      </c>
      <c r="C321" s="22" t="str">
        <f>1/'EQUITY BACKTEST'!E324</f>
        <v>#DIV/0!</v>
      </c>
      <c r="D321" s="22" t="str">
        <f t="shared" si="1"/>
        <v>#DIV/0!</v>
      </c>
      <c r="E321" s="22" t="str">
        <f t="shared" ref="E321:F321" si="321">IF(A321&lt;&gt;"", (B321 - B320) / B320, "")</f>
        <v/>
      </c>
      <c r="F321" s="22" t="str">
        <f t="shared" si="321"/>
        <v/>
      </c>
      <c r="H321" s="22" t="str">
        <f t="shared" si="4"/>
        <v/>
      </c>
    </row>
    <row r="322" ht="15.75" customHeight="1">
      <c r="A322" s="31" t="str">
        <f>'EQUITY BACKTEST'!A325</f>
        <v/>
      </c>
      <c r="B322" s="22" t="str">
        <f>'EQUITY BACKTEST'!B325</f>
        <v/>
      </c>
      <c r="C322" s="22" t="str">
        <f>1/'EQUITY BACKTEST'!E325</f>
        <v>#DIV/0!</v>
      </c>
      <c r="D322" s="22" t="str">
        <f t="shared" si="1"/>
        <v>#DIV/0!</v>
      </c>
      <c r="E322" s="22" t="str">
        <f t="shared" ref="E322:F322" si="322">IF(A322&lt;&gt;"", (B322 - B321) / B321, "")</f>
        <v/>
      </c>
      <c r="F322" s="22" t="str">
        <f t="shared" si="322"/>
        <v/>
      </c>
      <c r="H322" s="22" t="str">
        <f t="shared" si="4"/>
        <v/>
      </c>
    </row>
    <row r="323" ht="15.75" customHeight="1">
      <c r="A323" s="31" t="str">
        <f>'EQUITY BACKTEST'!A326</f>
        <v/>
      </c>
      <c r="B323" s="22" t="str">
        <f>'EQUITY BACKTEST'!B326</f>
        <v/>
      </c>
      <c r="C323" s="22" t="str">
        <f>1/'EQUITY BACKTEST'!E326</f>
        <v>#DIV/0!</v>
      </c>
      <c r="D323" s="22" t="str">
        <f t="shared" si="1"/>
        <v>#DIV/0!</v>
      </c>
      <c r="E323" s="22" t="str">
        <f t="shared" ref="E323:F323" si="323">IF(A323&lt;&gt;"", (B323 - B322) / B322, "")</f>
        <v/>
      </c>
      <c r="F323" s="22" t="str">
        <f t="shared" si="323"/>
        <v/>
      </c>
      <c r="H323" s="22" t="str">
        <f t="shared" si="4"/>
        <v/>
      </c>
    </row>
    <row r="324" ht="15.75" customHeight="1">
      <c r="A324" s="31" t="str">
        <f>'EQUITY BACKTEST'!A327</f>
        <v/>
      </c>
      <c r="B324" s="22" t="str">
        <f>'EQUITY BACKTEST'!B327</f>
        <v/>
      </c>
      <c r="C324" s="22" t="str">
        <f>1/'EQUITY BACKTEST'!E327</f>
        <v>#DIV/0!</v>
      </c>
      <c r="D324" s="22" t="str">
        <f t="shared" si="1"/>
        <v>#DIV/0!</v>
      </c>
      <c r="E324" s="22" t="str">
        <f t="shared" ref="E324:F324" si="324">IF(A324&lt;&gt;"", (B324 - B323) / B323, "")</f>
        <v/>
      </c>
      <c r="F324" s="22" t="str">
        <f t="shared" si="324"/>
        <v/>
      </c>
      <c r="H324" s="22" t="str">
        <f t="shared" si="4"/>
        <v/>
      </c>
    </row>
    <row r="325" ht="15.75" customHeight="1">
      <c r="A325" s="31" t="str">
        <f>'EQUITY BACKTEST'!A328</f>
        <v/>
      </c>
      <c r="B325" s="22" t="str">
        <f>'EQUITY BACKTEST'!B328</f>
        <v/>
      </c>
      <c r="C325" s="22" t="str">
        <f>1/'EQUITY BACKTEST'!E328</f>
        <v>#DIV/0!</v>
      </c>
      <c r="D325" s="22" t="str">
        <f t="shared" si="1"/>
        <v>#DIV/0!</v>
      </c>
      <c r="E325" s="22" t="str">
        <f t="shared" ref="E325:F325" si="325">IF(A325&lt;&gt;"", (B325 - B324) / B324, "")</f>
        <v/>
      </c>
      <c r="F325" s="22" t="str">
        <f t="shared" si="325"/>
        <v/>
      </c>
      <c r="H325" s="22" t="str">
        <f t="shared" si="4"/>
        <v/>
      </c>
    </row>
    <row r="326" ht="15.75" customHeight="1">
      <c r="A326" s="31" t="str">
        <f>'EQUITY BACKTEST'!A329</f>
        <v/>
      </c>
      <c r="B326" s="22" t="str">
        <f>'EQUITY BACKTEST'!B329</f>
        <v/>
      </c>
      <c r="C326" s="22" t="str">
        <f>1/'EQUITY BACKTEST'!E329</f>
        <v>#DIV/0!</v>
      </c>
      <c r="D326" s="22" t="str">
        <f t="shared" si="1"/>
        <v>#DIV/0!</v>
      </c>
      <c r="E326" s="22" t="str">
        <f t="shared" ref="E326:F326" si="326">IF(A326&lt;&gt;"", (B326 - B325) / B325, "")</f>
        <v/>
      </c>
      <c r="F326" s="22" t="str">
        <f t="shared" si="326"/>
        <v/>
      </c>
      <c r="H326" s="22" t="str">
        <f t="shared" si="4"/>
        <v/>
      </c>
    </row>
    <row r="327" ht="15.75" customHeight="1">
      <c r="A327" s="31" t="str">
        <f>'EQUITY BACKTEST'!A330</f>
        <v/>
      </c>
      <c r="B327" s="22" t="str">
        <f>'EQUITY BACKTEST'!B330</f>
        <v/>
      </c>
      <c r="C327" s="22" t="str">
        <f>1/'EQUITY BACKTEST'!E330</f>
        <v>#DIV/0!</v>
      </c>
      <c r="D327" s="22" t="str">
        <f t="shared" si="1"/>
        <v>#DIV/0!</v>
      </c>
      <c r="E327" s="22" t="str">
        <f t="shared" ref="E327:F327" si="327">IF(A327&lt;&gt;"", (B327 - B326) / B326, "")</f>
        <v/>
      </c>
      <c r="F327" s="22" t="str">
        <f t="shared" si="327"/>
        <v/>
      </c>
      <c r="H327" s="22" t="str">
        <f t="shared" si="4"/>
        <v/>
      </c>
    </row>
    <row r="328" ht="15.75" customHeight="1">
      <c r="A328" s="31" t="str">
        <f>'EQUITY BACKTEST'!A331</f>
        <v/>
      </c>
      <c r="B328" s="22" t="str">
        <f>'EQUITY BACKTEST'!B331</f>
        <v/>
      </c>
      <c r="C328" s="22" t="str">
        <f>1/'EQUITY BACKTEST'!E331</f>
        <v>#DIV/0!</v>
      </c>
      <c r="D328" s="22" t="str">
        <f t="shared" si="1"/>
        <v>#DIV/0!</v>
      </c>
      <c r="E328" s="22" t="str">
        <f t="shared" ref="E328:F328" si="328">IF(A328&lt;&gt;"", (B328 - B327) / B327, "")</f>
        <v/>
      </c>
      <c r="F328" s="22" t="str">
        <f t="shared" si="328"/>
        <v/>
      </c>
      <c r="H328" s="22" t="str">
        <f t="shared" si="4"/>
        <v/>
      </c>
    </row>
    <row r="329" ht="15.75" customHeight="1">
      <c r="A329" s="31" t="str">
        <f>'EQUITY BACKTEST'!A332</f>
        <v/>
      </c>
      <c r="B329" s="22" t="str">
        <f>'EQUITY BACKTEST'!B332</f>
        <v/>
      </c>
      <c r="C329" s="22" t="str">
        <f>1/'EQUITY BACKTEST'!E332</f>
        <v>#DIV/0!</v>
      </c>
      <c r="D329" s="22" t="str">
        <f t="shared" si="1"/>
        <v>#DIV/0!</v>
      </c>
      <c r="E329" s="22" t="str">
        <f t="shared" ref="E329:F329" si="329">IF(A329&lt;&gt;"", (B329 - B328) / B328, "")</f>
        <v/>
      </c>
      <c r="F329" s="22" t="str">
        <f t="shared" si="329"/>
        <v/>
      </c>
      <c r="H329" s="22" t="str">
        <f t="shared" si="4"/>
        <v/>
      </c>
    </row>
    <row r="330" ht="15.75" customHeight="1">
      <c r="A330" s="31" t="str">
        <f>'EQUITY BACKTEST'!A333</f>
        <v/>
      </c>
      <c r="B330" s="22" t="str">
        <f>'EQUITY BACKTEST'!B333</f>
        <v/>
      </c>
      <c r="C330" s="22" t="str">
        <f>1/'EQUITY BACKTEST'!E333</f>
        <v>#DIV/0!</v>
      </c>
      <c r="D330" s="22" t="str">
        <f t="shared" si="1"/>
        <v>#DIV/0!</v>
      </c>
      <c r="E330" s="22" t="str">
        <f t="shared" ref="E330:F330" si="330">IF(A330&lt;&gt;"", (B330 - B329) / B329, "")</f>
        <v/>
      </c>
      <c r="F330" s="22" t="str">
        <f t="shared" si="330"/>
        <v/>
      </c>
      <c r="H330" s="22" t="str">
        <f t="shared" si="4"/>
        <v/>
      </c>
    </row>
    <row r="331" ht="15.75" customHeight="1">
      <c r="A331" s="31" t="str">
        <f>'EQUITY BACKTEST'!A334</f>
        <v/>
      </c>
      <c r="B331" s="22" t="str">
        <f>'EQUITY BACKTEST'!B334</f>
        <v/>
      </c>
      <c r="C331" s="22" t="str">
        <f>1/'EQUITY BACKTEST'!E334</f>
        <v>#DIV/0!</v>
      </c>
      <c r="D331" s="22" t="str">
        <f t="shared" si="1"/>
        <v>#DIV/0!</v>
      </c>
      <c r="E331" s="22" t="str">
        <f t="shared" ref="E331:F331" si="331">IF(A331&lt;&gt;"", (B331 - B330) / B330, "")</f>
        <v/>
      </c>
      <c r="F331" s="22" t="str">
        <f t="shared" si="331"/>
        <v/>
      </c>
      <c r="H331" s="22" t="str">
        <f t="shared" si="4"/>
        <v/>
      </c>
    </row>
    <row r="332" ht="15.75" customHeight="1">
      <c r="A332" s="31" t="str">
        <f>'EQUITY BACKTEST'!A335</f>
        <v/>
      </c>
      <c r="B332" s="22" t="str">
        <f>'EQUITY BACKTEST'!B335</f>
        <v/>
      </c>
      <c r="C332" s="22" t="str">
        <f>1/'EQUITY BACKTEST'!E335</f>
        <v>#DIV/0!</v>
      </c>
      <c r="D332" s="22" t="str">
        <f t="shared" si="1"/>
        <v>#DIV/0!</v>
      </c>
      <c r="E332" s="22" t="str">
        <f t="shared" ref="E332:F332" si="332">IF(A332&lt;&gt;"", (B332 - B331) / B331, "")</f>
        <v/>
      </c>
      <c r="F332" s="22" t="str">
        <f t="shared" si="332"/>
        <v/>
      </c>
      <c r="H332" s="22" t="str">
        <f t="shared" si="4"/>
        <v/>
      </c>
    </row>
    <row r="333" ht="15.75" customHeight="1">
      <c r="A333" s="31" t="str">
        <f>'EQUITY BACKTEST'!A336</f>
        <v/>
      </c>
      <c r="B333" s="22" t="str">
        <f>'EQUITY BACKTEST'!B336</f>
        <v/>
      </c>
      <c r="C333" s="22" t="str">
        <f>1/'EQUITY BACKTEST'!E336</f>
        <v>#DIV/0!</v>
      </c>
      <c r="D333" s="22" t="str">
        <f t="shared" si="1"/>
        <v>#DIV/0!</v>
      </c>
      <c r="E333" s="22" t="str">
        <f t="shared" ref="E333:F333" si="333">IF(A333&lt;&gt;"", (B333 - B332) / B332, "")</f>
        <v/>
      </c>
      <c r="F333" s="22" t="str">
        <f t="shared" si="333"/>
        <v/>
      </c>
      <c r="H333" s="22" t="str">
        <f t="shared" si="4"/>
        <v/>
      </c>
    </row>
    <row r="334" ht="15.75" customHeight="1">
      <c r="A334" s="31" t="str">
        <f>'EQUITY BACKTEST'!A337</f>
        <v/>
      </c>
      <c r="B334" s="22" t="str">
        <f>'EQUITY BACKTEST'!B337</f>
        <v/>
      </c>
      <c r="C334" s="22" t="str">
        <f>1/'EQUITY BACKTEST'!E337</f>
        <v>#DIV/0!</v>
      </c>
      <c r="D334" s="22" t="str">
        <f t="shared" si="1"/>
        <v>#DIV/0!</v>
      </c>
      <c r="E334" s="22" t="str">
        <f t="shared" ref="E334:F334" si="334">IF(A334&lt;&gt;"", (B334 - B333) / B333, "")</f>
        <v/>
      </c>
      <c r="F334" s="22" t="str">
        <f t="shared" si="334"/>
        <v/>
      </c>
      <c r="H334" s="22" t="str">
        <f t="shared" si="4"/>
        <v/>
      </c>
    </row>
    <row r="335" ht="15.75" customHeight="1">
      <c r="A335" s="31" t="str">
        <f>'EQUITY BACKTEST'!A338</f>
        <v/>
      </c>
      <c r="B335" s="22" t="str">
        <f>'EQUITY BACKTEST'!B338</f>
        <v/>
      </c>
      <c r="C335" s="22" t="str">
        <f>1/'EQUITY BACKTEST'!E338</f>
        <v>#DIV/0!</v>
      </c>
      <c r="D335" s="22" t="str">
        <f t="shared" si="1"/>
        <v>#DIV/0!</v>
      </c>
      <c r="E335" s="22" t="str">
        <f t="shared" ref="E335:F335" si="335">IF(A335&lt;&gt;"", (B335 - B334) / B334, "")</f>
        <v/>
      </c>
      <c r="F335" s="22" t="str">
        <f t="shared" si="335"/>
        <v/>
      </c>
      <c r="H335" s="22" t="str">
        <f t="shared" si="4"/>
        <v/>
      </c>
    </row>
    <row r="336" ht="15.75" customHeight="1">
      <c r="A336" s="31" t="str">
        <f>'EQUITY BACKTEST'!A339</f>
        <v/>
      </c>
      <c r="B336" s="22" t="str">
        <f>'EQUITY BACKTEST'!B339</f>
        <v/>
      </c>
      <c r="C336" s="22" t="str">
        <f>1/'EQUITY BACKTEST'!E339</f>
        <v>#DIV/0!</v>
      </c>
      <c r="D336" s="22" t="str">
        <f t="shared" si="1"/>
        <v>#DIV/0!</v>
      </c>
      <c r="E336" s="22" t="str">
        <f t="shared" ref="E336:F336" si="336">IF(A336&lt;&gt;"", (B336 - B335) / B335, "")</f>
        <v/>
      </c>
      <c r="F336" s="22" t="str">
        <f t="shared" si="336"/>
        <v/>
      </c>
      <c r="H336" s="22" t="str">
        <f t="shared" si="4"/>
        <v/>
      </c>
    </row>
    <row r="337" ht="15.75" customHeight="1">
      <c r="A337" s="31" t="str">
        <f>'EQUITY BACKTEST'!A340</f>
        <v/>
      </c>
      <c r="B337" s="22" t="str">
        <f>'EQUITY BACKTEST'!B340</f>
        <v/>
      </c>
      <c r="C337" s="22" t="str">
        <f>1/'EQUITY BACKTEST'!E340</f>
        <v>#DIV/0!</v>
      </c>
      <c r="D337" s="22" t="str">
        <f t="shared" si="1"/>
        <v>#DIV/0!</v>
      </c>
      <c r="E337" s="22" t="str">
        <f t="shared" ref="E337:F337" si="337">IF(A337&lt;&gt;"", (B337 - B336) / B336, "")</f>
        <v/>
      </c>
      <c r="F337" s="22" t="str">
        <f t="shared" si="337"/>
        <v/>
      </c>
      <c r="H337" s="22" t="str">
        <f t="shared" si="4"/>
        <v/>
      </c>
    </row>
    <row r="338" ht="15.75" customHeight="1">
      <c r="A338" s="31" t="str">
        <f>'EQUITY BACKTEST'!A341</f>
        <v/>
      </c>
      <c r="B338" s="22" t="str">
        <f>'EQUITY BACKTEST'!B341</f>
        <v/>
      </c>
      <c r="C338" s="22" t="str">
        <f>1/'EQUITY BACKTEST'!E341</f>
        <v>#DIV/0!</v>
      </c>
      <c r="D338" s="22" t="str">
        <f t="shared" si="1"/>
        <v>#DIV/0!</v>
      </c>
      <c r="E338" s="22" t="str">
        <f t="shared" ref="E338:F338" si="338">IF(A338&lt;&gt;"", (B338 - B337) / B337, "")</f>
        <v/>
      </c>
      <c r="F338" s="22" t="str">
        <f t="shared" si="338"/>
        <v/>
      </c>
      <c r="H338" s="22" t="str">
        <f t="shared" si="4"/>
        <v/>
      </c>
    </row>
    <row r="339" ht="15.75" customHeight="1">
      <c r="A339" s="31" t="str">
        <f>'EQUITY BACKTEST'!A342</f>
        <v/>
      </c>
      <c r="B339" s="22" t="str">
        <f>'EQUITY BACKTEST'!B342</f>
        <v/>
      </c>
      <c r="C339" s="22" t="str">
        <f>1/'EQUITY BACKTEST'!E342</f>
        <v>#DIV/0!</v>
      </c>
      <c r="D339" s="22" t="str">
        <f t="shared" si="1"/>
        <v>#DIV/0!</v>
      </c>
      <c r="E339" s="22" t="str">
        <f t="shared" ref="E339:F339" si="339">IF(A339&lt;&gt;"", (B339 - B338) / B338, "")</f>
        <v/>
      </c>
      <c r="F339" s="22" t="str">
        <f t="shared" si="339"/>
        <v/>
      </c>
      <c r="H339" s="22" t="str">
        <f t="shared" si="4"/>
        <v/>
      </c>
    </row>
    <row r="340" ht="15.75" customHeight="1">
      <c r="A340" s="31" t="str">
        <f>'EQUITY BACKTEST'!A343</f>
        <v/>
      </c>
      <c r="B340" s="22" t="str">
        <f>'EQUITY BACKTEST'!B343</f>
        <v/>
      </c>
      <c r="C340" s="22" t="str">
        <f>1/'EQUITY BACKTEST'!E343</f>
        <v>#DIV/0!</v>
      </c>
      <c r="D340" s="22" t="str">
        <f t="shared" si="1"/>
        <v>#DIV/0!</v>
      </c>
      <c r="E340" s="22" t="str">
        <f t="shared" ref="E340:F340" si="340">IF(A340&lt;&gt;"", (B340 - B339) / B339, "")</f>
        <v/>
      </c>
      <c r="F340" s="22" t="str">
        <f t="shared" si="340"/>
        <v/>
      </c>
      <c r="H340" s="22" t="str">
        <f t="shared" si="4"/>
        <v/>
      </c>
    </row>
    <row r="341" ht="15.75" customHeight="1">
      <c r="A341" s="31" t="str">
        <f>'EQUITY BACKTEST'!A344</f>
        <v/>
      </c>
      <c r="B341" s="22" t="str">
        <f>'EQUITY BACKTEST'!B344</f>
        <v/>
      </c>
      <c r="C341" s="22" t="str">
        <f>1/'EQUITY BACKTEST'!E344</f>
        <v>#DIV/0!</v>
      </c>
      <c r="D341" s="22" t="str">
        <f t="shared" si="1"/>
        <v>#DIV/0!</v>
      </c>
      <c r="E341" s="22" t="str">
        <f t="shared" ref="E341:F341" si="341">IF(A341&lt;&gt;"", (B341 - B340) / B340, "")</f>
        <v/>
      </c>
      <c r="F341" s="22" t="str">
        <f t="shared" si="341"/>
        <v/>
      </c>
      <c r="H341" s="22" t="str">
        <f t="shared" si="4"/>
        <v/>
      </c>
    </row>
    <row r="342" ht="15.75" customHeight="1">
      <c r="A342" s="31" t="str">
        <f>'EQUITY BACKTEST'!A345</f>
        <v/>
      </c>
      <c r="B342" s="22" t="str">
        <f>'EQUITY BACKTEST'!B345</f>
        <v/>
      </c>
      <c r="C342" s="22" t="str">
        <f>1/'EQUITY BACKTEST'!E345</f>
        <v>#DIV/0!</v>
      </c>
      <c r="D342" s="22" t="str">
        <f t="shared" si="1"/>
        <v>#DIV/0!</v>
      </c>
      <c r="E342" s="22" t="str">
        <f t="shared" ref="E342:F342" si="342">IF(A342&lt;&gt;"", (B342 - B341) / B341, "")</f>
        <v/>
      </c>
      <c r="F342" s="22" t="str">
        <f t="shared" si="342"/>
        <v/>
      </c>
      <c r="H342" s="22" t="str">
        <f t="shared" si="4"/>
        <v/>
      </c>
    </row>
    <row r="343" ht="15.75" customHeight="1">
      <c r="A343" s="31" t="str">
        <f>'EQUITY BACKTEST'!A346</f>
        <v/>
      </c>
      <c r="B343" s="22" t="str">
        <f>'EQUITY BACKTEST'!B346</f>
        <v/>
      </c>
      <c r="C343" s="22" t="str">
        <f>1/'EQUITY BACKTEST'!E346</f>
        <v>#DIV/0!</v>
      </c>
      <c r="D343" s="22" t="str">
        <f t="shared" si="1"/>
        <v>#DIV/0!</v>
      </c>
      <c r="E343" s="22" t="str">
        <f t="shared" ref="E343:F343" si="343">IF(A343&lt;&gt;"", (B343 - B342) / B342, "")</f>
        <v/>
      </c>
      <c r="F343" s="22" t="str">
        <f t="shared" si="343"/>
        <v/>
      </c>
      <c r="H343" s="22" t="str">
        <f t="shared" si="4"/>
        <v/>
      </c>
    </row>
    <row r="344" ht="15.75" customHeight="1">
      <c r="A344" s="31" t="str">
        <f>'EQUITY BACKTEST'!A347</f>
        <v/>
      </c>
      <c r="B344" s="22" t="str">
        <f>'EQUITY BACKTEST'!B347</f>
        <v/>
      </c>
      <c r="C344" s="22" t="str">
        <f>1/'EQUITY BACKTEST'!E347</f>
        <v>#DIV/0!</v>
      </c>
      <c r="D344" s="22" t="str">
        <f t="shared" si="1"/>
        <v>#DIV/0!</v>
      </c>
      <c r="E344" s="22" t="str">
        <f t="shared" ref="E344:F344" si="344">IF(A344&lt;&gt;"", (B344 - B343) / B343, "")</f>
        <v/>
      </c>
      <c r="F344" s="22" t="str">
        <f t="shared" si="344"/>
        <v/>
      </c>
      <c r="H344" s="22" t="str">
        <f t="shared" si="4"/>
        <v/>
      </c>
    </row>
    <row r="345" ht="15.75" customHeight="1">
      <c r="A345" s="31" t="str">
        <f>'EQUITY BACKTEST'!A348</f>
        <v/>
      </c>
      <c r="B345" s="22" t="str">
        <f>'EQUITY BACKTEST'!B348</f>
        <v/>
      </c>
      <c r="C345" s="22" t="str">
        <f>1/'EQUITY BACKTEST'!E348</f>
        <v>#DIV/0!</v>
      </c>
      <c r="D345" s="22" t="str">
        <f t="shared" si="1"/>
        <v>#DIV/0!</v>
      </c>
      <c r="E345" s="22" t="str">
        <f t="shared" ref="E345:F345" si="345">IF(A345&lt;&gt;"", (B345 - B344) / B344, "")</f>
        <v/>
      </c>
      <c r="F345" s="22" t="str">
        <f t="shared" si="345"/>
        <v/>
      </c>
      <c r="H345" s="22" t="str">
        <f t="shared" si="4"/>
        <v/>
      </c>
    </row>
    <row r="346" ht="15.75" customHeight="1">
      <c r="A346" s="31" t="str">
        <f>'EQUITY BACKTEST'!A349</f>
        <v/>
      </c>
      <c r="B346" s="22" t="str">
        <f>'EQUITY BACKTEST'!B349</f>
        <v/>
      </c>
      <c r="C346" s="22" t="str">
        <f>1/'EQUITY BACKTEST'!E349</f>
        <v>#DIV/0!</v>
      </c>
      <c r="D346" s="22" t="str">
        <f t="shared" si="1"/>
        <v>#DIV/0!</v>
      </c>
      <c r="E346" s="22" t="str">
        <f t="shared" ref="E346:F346" si="346">IF(A346&lt;&gt;"", (B346 - B345) / B345, "")</f>
        <v/>
      </c>
      <c r="F346" s="22" t="str">
        <f t="shared" si="346"/>
        <v/>
      </c>
      <c r="H346" s="22" t="str">
        <f t="shared" si="4"/>
        <v/>
      </c>
    </row>
    <row r="347" ht="15.75" customHeight="1">
      <c r="A347" s="31" t="str">
        <f>'EQUITY BACKTEST'!A350</f>
        <v/>
      </c>
      <c r="B347" s="22" t="str">
        <f>'EQUITY BACKTEST'!B350</f>
        <v/>
      </c>
      <c r="C347" s="22" t="str">
        <f>1/'EQUITY BACKTEST'!E350</f>
        <v>#DIV/0!</v>
      </c>
      <c r="D347" s="22" t="str">
        <f t="shared" si="1"/>
        <v>#DIV/0!</v>
      </c>
      <c r="E347" s="22" t="str">
        <f t="shared" ref="E347:F347" si="347">IF(A347&lt;&gt;"", (B347 - B346) / B346, "")</f>
        <v/>
      </c>
      <c r="F347" s="22" t="str">
        <f t="shared" si="347"/>
        <v/>
      </c>
      <c r="H347" s="22" t="str">
        <f t="shared" si="4"/>
        <v/>
      </c>
    </row>
    <row r="348" ht="15.75" customHeight="1">
      <c r="A348" s="31" t="str">
        <f>'EQUITY BACKTEST'!A351</f>
        <v/>
      </c>
      <c r="B348" s="22" t="str">
        <f>'EQUITY BACKTEST'!B351</f>
        <v/>
      </c>
      <c r="C348" s="22" t="str">
        <f>1/'EQUITY BACKTEST'!E351</f>
        <v>#DIV/0!</v>
      </c>
      <c r="D348" s="22" t="str">
        <f t="shared" si="1"/>
        <v>#DIV/0!</v>
      </c>
      <c r="E348" s="22" t="str">
        <f t="shared" ref="E348:F348" si="348">IF(A348&lt;&gt;"", (B348 - B347) / B347, "")</f>
        <v/>
      </c>
      <c r="F348" s="22" t="str">
        <f t="shared" si="348"/>
        <v/>
      </c>
      <c r="H348" s="22" t="str">
        <f t="shared" si="4"/>
        <v/>
      </c>
    </row>
    <row r="349" ht="15.75" customHeight="1">
      <c r="A349" s="31" t="str">
        <f>'EQUITY BACKTEST'!A352</f>
        <v/>
      </c>
      <c r="B349" s="22" t="str">
        <f>'EQUITY BACKTEST'!B352</f>
        <v/>
      </c>
      <c r="C349" s="22" t="str">
        <f>1/'EQUITY BACKTEST'!E352</f>
        <v>#DIV/0!</v>
      </c>
      <c r="D349" s="22" t="str">
        <f t="shared" si="1"/>
        <v>#DIV/0!</v>
      </c>
      <c r="E349" s="22" t="str">
        <f t="shared" ref="E349:F349" si="349">IF(A349&lt;&gt;"", (B349 - B348) / B348, "")</f>
        <v/>
      </c>
      <c r="F349" s="22" t="str">
        <f t="shared" si="349"/>
        <v/>
      </c>
      <c r="H349" s="22" t="str">
        <f t="shared" si="4"/>
        <v/>
      </c>
    </row>
    <row r="350" ht="15.75" customHeight="1">
      <c r="A350" s="31" t="str">
        <f>'EQUITY BACKTEST'!A353</f>
        <v/>
      </c>
      <c r="B350" s="22" t="str">
        <f>'EQUITY BACKTEST'!B353</f>
        <v/>
      </c>
      <c r="C350" s="22" t="str">
        <f>1/'EQUITY BACKTEST'!E353</f>
        <v>#DIV/0!</v>
      </c>
      <c r="D350" s="22" t="str">
        <f t="shared" si="1"/>
        <v>#DIV/0!</v>
      </c>
      <c r="E350" s="22" t="str">
        <f t="shared" ref="E350:F350" si="350">IF(A350&lt;&gt;"", (B350 - B349) / B349, "")</f>
        <v/>
      </c>
      <c r="F350" s="22" t="str">
        <f t="shared" si="350"/>
        <v/>
      </c>
      <c r="H350" s="22" t="str">
        <f t="shared" si="4"/>
        <v/>
      </c>
    </row>
    <row r="351" ht="15.75" customHeight="1">
      <c r="A351" s="31" t="str">
        <f>'EQUITY BACKTEST'!A354</f>
        <v/>
      </c>
      <c r="B351" s="22" t="str">
        <f>'EQUITY BACKTEST'!B354</f>
        <v/>
      </c>
      <c r="C351" s="22" t="str">
        <f>1/'EQUITY BACKTEST'!E354</f>
        <v>#DIV/0!</v>
      </c>
      <c r="D351" s="22" t="str">
        <f t="shared" si="1"/>
        <v>#DIV/0!</v>
      </c>
      <c r="E351" s="22" t="str">
        <f t="shared" ref="E351:F351" si="351">IF(A351&lt;&gt;"", (B351 - B350) / B350, "")</f>
        <v/>
      </c>
      <c r="F351" s="22" t="str">
        <f t="shared" si="351"/>
        <v/>
      </c>
      <c r="H351" s="22" t="str">
        <f t="shared" si="4"/>
        <v/>
      </c>
    </row>
    <row r="352" ht="15.75" customHeight="1">
      <c r="A352" s="31" t="str">
        <f>'EQUITY BACKTEST'!A355</f>
        <v/>
      </c>
      <c r="B352" s="22" t="str">
        <f>'EQUITY BACKTEST'!B355</f>
        <v/>
      </c>
      <c r="C352" s="22" t="str">
        <f>1/'EQUITY BACKTEST'!E355</f>
        <v>#DIV/0!</v>
      </c>
      <c r="D352" s="22" t="str">
        <f t="shared" si="1"/>
        <v>#DIV/0!</v>
      </c>
      <c r="E352" s="22" t="str">
        <f t="shared" ref="E352:F352" si="352">IF(A352&lt;&gt;"", (B352 - B351) / B351, "")</f>
        <v/>
      </c>
      <c r="F352" s="22" t="str">
        <f t="shared" si="352"/>
        <v/>
      </c>
      <c r="H352" s="22" t="str">
        <f t="shared" si="4"/>
        <v/>
      </c>
    </row>
    <row r="353" ht="15.75" customHeight="1">
      <c r="A353" s="31" t="str">
        <f>'EQUITY BACKTEST'!A356</f>
        <v/>
      </c>
      <c r="B353" s="22" t="str">
        <f>'EQUITY BACKTEST'!B356</f>
        <v/>
      </c>
      <c r="C353" s="22" t="str">
        <f>1/'EQUITY BACKTEST'!E356</f>
        <v>#DIV/0!</v>
      </c>
      <c r="D353" s="22" t="str">
        <f t="shared" si="1"/>
        <v>#DIV/0!</v>
      </c>
      <c r="E353" s="22" t="str">
        <f t="shared" ref="E353:F353" si="353">IF(A353&lt;&gt;"", (B353 - B352) / B352, "")</f>
        <v/>
      </c>
      <c r="F353" s="22" t="str">
        <f t="shared" si="353"/>
        <v/>
      </c>
      <c r="H353" s="22" t="str">
        <f t="shared" si="4"/>
        <v/>
      </c>
    </row>
    <row r="354" ht="15.75" customHeight="1">
      <c r="A354" s="31" t="str">
        <f>'EQUITY BACKTEST'!A357</f>
        <v/>
      </c>
      <c r="B354" s="22" t="str">
        <f>'EQUITY BACKTEST'!B357</f>
        <v/>
      </c>
      <c r="C354" s="22" t="str">
        <f>1/'EQUITY BACKTEST'!E357</f>
        <v>#DIV/0!</v>
      </c>
      <c r="D354" s="22" t="str">
        <f t="shared" si="1"/>
        <v>#DIV/0!</v>
      </c>
      <c r="E354" s="22" t="str">
        <f t="shared" ref="E354:F354" si="354">IF(A354&lt;&gt;"", (B354 - B353) / B353, "")</f>
        <v/>
      </c>
      <c r="F354" s="22" t="str">
        <f t="shared" si="354"/>
        <v/>
      </c>
      <c r="H354" s="22" t="str">
        <f t="shared" si="4"/>
        <v/>
      </c>
    </row>
    <row r="355" ht="15.75" customHeight="1">
      <c r="A355" s="31" t="str">
        <f>'EQUITY BACKTEST'!A358</f>
        <v/>
      </c>
      <c r="B355" s="22" t="str">
        <f>'EQUITY BACKTEST'!B358</f>
        <v/>
      </c>
      <c r="C355" s="22" t="str">
        <f>1/'EQUITY BACKTEST'!E358</f>
        <v>#DIV/0!</v>
      </c>
      <c r="D355" s="22" t="str">
        <f t="shared" si="1"/>
        <v>#DIV/0!</v>
      </c>
      <c r="E355" s="22" t="str">
        <f t="shared" ref="E355:F355" si="355">IF(A355&lt;&gt;"", (B355 - B354) / B354, "")</f>
        <v/>
      </c>
      <c r="F355" s="22" t="str">
        <f t="shared" si="355"/>
        <v/>
      </c>
      <c r="H355" s="22" t="str">
        <f t="shared" si="4"/>
        <v/>
      </c>
    </row>
    <row r="356" ht="15.75" customHeight="1">
      <c r="A356" s="31" t="str">
        <f>'EQUITY BACKTEST'!A359</f>
        <v/>
      </c>
      <c r="B356" s="22" t="str">
        <f>'EQUITY BACKTEST'!B359</f>
        <v/>
      </c>
      <c r="C356" s="22" t="str">
        <f>1/'EQUITY BACKTEST'!E359</f>
        <v>#DIV/0!</v>
      </c>
      <c r="D356" s="22" t="str">
        <f t="shared" si="1"/>
        <v>#DIV/0!</v>
      </c>
      <c r="E356" s="22" t="str">
        <f t="shared" ref="E356:F356" si="356">IF(A356&lt;&gt;"", (B356 - B355) / B355, "")</f>
        <v/>
      </c>
      <c r="F356" s="22" t="str">
        <f t="shared" si="356"/>
        <v/>
      </c>
      <c r="H356" s="22" t="str">
        <f t="shared" si="4"/>
        <v/>
      </c>
    </row>
    <row r="357" ht="15.75" customHeight="1">
      <c r="A357" s="31" t="str">
        <f>'EQUITY BACKTEST'!A360</f>
        <v/>
      </c>
      <c r="B357" s="22" t="str">
        <f>'EQUITY BACKTEST'!B360</f>
        <v/>
      </c>
      <c r="C357" s="22" t="str">
        <f>1/'EQUITY BACKTEST'!E360</f>
        <v>#DIV/0!</v>
      </c>
      <c r="D357" s="22" t="str">
        <f t="shared" si="1"/>
        <v>#DIV/0!</v>
      </c>
      <c r="E357" s="22" t="str">
        <f t="shared" ref="E357:F357" si="357">IF(A357&lt;&gt;"", (B357 - B356) / B356, "")</f>
        <v/>
      </c>
      <c r="F357" s="22" t="str">
        <f t="shared" si="357"/>
        <v/>
      </c>
      <c r="H357" s="22" t="str">
        <f t="shared" si="4"/>
        <v/>
      </c>
    </row>
    <row r="358" ht="15.75" customHeight="1">
      <c r="A358" s="31" t="str">
        <f>'EQUITY BACKTEST'!A361</f>
        <v/>
      </c>
      <c r="B358" s="22" t="str">
        <f>'EQUITY BACKTEST'!B361</f>
        <v/>
      </c>
      <c r="C358" s="22" t="str">
        <f>1/'EQUITY BACKTEST'!E361</f>
        <v>#DIV/0!</v>
      </c>
      <c r="D358" s="22" t="str">
        <f t="shared" si="1"/>
        <v>#DIV/0!</v>
      </c>
      <c r="E358" s="22" t="str">
        <f t="shared" ref="E358:F358" si="358">IF(A358&lt;&gt;"", (B358 - B357) / B357, "")</f>
        <v/>
      </c>
      <c r="F358" s="22" t="str">
        <f t="shared" si="358"/>
        <v/>
      </c>
      <c r="H358" s="22" t="str">
        <f t="shared" si="4"/>
        <v/>
      </c>
    </row>
    <row r="359" ht="15.75" customHeight="1">
      <c r="A359" s="31" t="str">
        <f>'EQUITY BACKTEST'!A362</f>
        <v/>
      </c>
      <c r="B359" s="22" t="str">
        <f>'EQUITY BACKTEST'!B362</f>
        <v/>
      </c>
      <c r="C359" s="22" t="str">
        <f>1/'EQUITY BACKTEST'!E362</f>
        <v>#DIV/0!</v>
      </c>
      <c r="D359" s="22" t="str">
        <f t="shared" si="1"/>
        <v>#DIV/0!</v>
      </c>
      <c r="E359" s="22" t="str">
        <f t="shared" ref="E359:F359" si="359">IF(A359&lt;&gt;"", (B359 - B358) / B358, "")</f>
        <v/>
      </c>
      <c r="F359" s="22" t="str">
        <f t="shared" si="359"/>
        <v/>
      </c>
      <c r="H359" s="22" t="str">
        <f t="shared" si="4"/>
        <v/>
      </c>
    </row>
    <row r="360" ht="15.75" customHeight="1">
      <c r="A360" s="31" t="str">
        <f>'EQUITY BACKTEST'!A363</f>
        <v/>
      </c>
      <c r="B360" s="22" t="str">
        <f>'EQUITY BACKTEST'!B363</f>
        <v/>
      </c>
      <c r="C360" s="22" t="str">
        <f>1/'EQUITY BACKTEST'!E363</f>
        <v>#DIV/0!</v>
      </c>
      <c r="D360" s="22" t="str">
        <f t="shared" si="1"/>
        <v>#DIV/0!</v>
      </c>
      <c r="E360" s="22" t="str">
        <f t="shared" ref="E360:F360" si="360">IF(A360&lt;&gt;"", (B360 - B359) / B359, "")</f>
        <v/>
      </c>
      <c r="F360" s="22" t="str">
        <f t="shared" si="360"/>
        <v/>
      </c>
      <c r="H360" s="22" t="str">
        <f t="shared" si="4"/>
        <v/>
      </c>
    </row>
    <row r="361" ht="15.75" customHeight="1">
      <c r="A361" s="31" t="str">
        <f>'EQUITY BACKTEST'!A364</f>
        <v/>
      </c>
      <c r="B361" s="22" t="str">
        <f>'EQUITY BACKTEST'!B364</f>
        <v/>
      </c>
      <c r="C361" s="22" t="str">
        <f>1/'EQUITY BACKTEST'!E364</f>
        <v>#DIV/0!</v>
      </c>
      <c r="D361" s="22" t="str">
        <f t="shared" si="1"/>
        <v>#DIV/0!</v>
      </c>
      <c r="E361" s="22" t="str">
        <f t="shared" ref="E361:F361" si="361">IF(A361&lt;&gt;"", (B361 - B360) / B360, "")</f>
        <v/>
      </c>
      <c r="F361" s="22" t="str">
        <f t="shared" si="361"/>
        <v/>
      </c>
      <c r="H361" s="22" t="str">
        <f t="shared" si="4"/>
        <v/>
      </c>
    </row>
    <row r="362" ht="15.75" customHeight="1">
      <c r="A362" s="31" t="str">
        <f>'EQUITY BACKTEST'!A365</f>
        <v/>
      </c>
      <c r="B362" s="22" t="str">
        <f>'EQUITY BACKTEST'!B365</f>
        <v/>
      </c>
      <c r="C362" s="22" t="str">
        <f>1/'EQUITY BACKTEST'!E365</f>
        <v>#DIV/0!</v>
      </c>
      <c r="D362" s="22" t="str">
        <f t="shared" si="1"/>
        <v>#DIV/0!</v>
      </c>
      <c r="E362" s="22" t="str">
        <f t="shared" ref="E362:F362" si="362">IF(A362&lt;&gt;"", (B362 - B361) / B361, "")</f>
        <v/>
      </c>
      <c r="F362" s="22" t="str">
        <f t="shared" si="362"/>
        <v/>
      </c>
      <c r="H362" s="22" t="str">
        <f t="shared" si="4"/>
        <v/>
      </c>
    </row>
    <row r="363" ht="15.75" customHeight="1">
      <c r="A363" s="31" t="str">
        <f>'EQUITY BACKTEST'!A366</f>
        <v/>
      </c>
      <c r="B363" s="22" t="str">
        <f>'EQUITY BACKTEST'!B366</f>
        <v/>
      </c>
      <c r="C363" s="22" t="str">
        <f>1/'EQUITY BACKTEST'!E366</f>
        <v>#DIV/0!</v>
      </c>
      <c r="D363" s="22" t="str">
        <f t="shared" si="1"/>
        <v>#DIV/0!</v>
      </c>
      <c r="E363" s="22" t="str">
        <f t="shared" ref="E363:F363" si="363">IF(A363&lt;&gt;"", (B363 - B362) / B362, "")</f>
        <v/>
      </c>
      <c r="F363" s="22" t="str">
        <f t="shared" si="363"/>
        <v/>
      </c>
      <c r="H363" s="22" t="str">
        <f t="shared" si="4"/>
        <v/>
      </c>
    </row>
    <row r="364" ht="15.75" customHeight="1">
      <c r="A364" s="31" t="str">
        <f>'EQUITY BACKTEST'!A367</f>
        <v/>
      </c>
      <c r="B364" s="22" t="str">
        <f>'EQUITY BACKTEST'!B367</f>
        <v/>
      </c>
      <c r="C364" s="22" t="str">
        <f>1/'EQUITY BACKTEST'!E367</f>
        <v>#DIV/0!</v>
      </c>
      <c r="D364" s="22" t="str">
        <f t="shared" si="1"/>
        <v>#DIV/0!</v>
      </c>
      <c r="E364" s="22" t="str">
        <f t="shared" ref="E364:F364" si="364">IF(A364&lt;&gt;"", (B364 - B363) / B363, "")</f>
        <v/>
      </c>
      <c r="F364" s="22" t="str">
        <f t="shared" si="364"/>
        <v/>
      </c>
      <c r="H364" s="22" t="str">
        <f t="shared" si="4"/>
        <v/>
      </c>
    </row>
    <row r="365" ht="15.75" customHeight="1">
      <c r="A365" s="31" t="str">
        <f>'EQUITY BACKTEST'!A368</f>
        <v/>
      </c>
      <c r="B365" s="22" t="str">
        <f>'EQUITY BACKTEST'!B368</f>
        <v/>
      </c>
      <c r="C365" s="22" t="str">
        <f>1/'EQUITY BACKTEST'!E368</f>
        <v>#DIV/0!</v>
      </c>
      <c r="D365" s="22" t="str">
        <f t="shared" si="1"/>
        <v>#DIV/0!</v>
      </c>
      <c r="E365" s="22" t="str">
        <f t="shared" ref="E365:F365" si="365">IF(A365&lt;&gt;"", (B365 - B364) / B364, "")</f>
        <v/>
      </c>
      <c r="F365" s="22" t="str">
        <f t="shared" si="365"/>
        <v/>
      </c>
      <c r="H365" s="22" t="str">
        <f t="shared" si="4"/>
        <v/>
      </c>
    </row>
    <row r="366" ht="15.75" customHeight="1">
      <c r="A366" s="31" t="str">
        <f>'EQUITY BACKTEST'!A369</f>
        <v/>
      </c>
      <c r="B366" s="22" t="str">
        <f>'EQUITY BACKTEST'!B369</f>
        <v/>
      </c>
      <c r="C366" s="22" t="str">
        <f>1/'EQUITY BACKTEST'!E369</f>
        <v>#DIV/0!</v>
      </c>
      <c r="D366" s="22" t="str">
        <f t="shared" si="1"/>
        <v>#DIV/0!</v>
      </c>
      <c r="E366" s="22" t="str">
        <f t="shared" ref="E366:F366" si="366">IF(A366&lt;&gt;"", (B366 - B365) / B365, "")</f>
        <v/>
      </c>
      <c r="F366" s="22" t="str">
        <f t="shared" si="366"/>
        <v/>
      </c>
      <c r="H366" s="22" t="str">
        <f t="shared" si="4"/>
        <v/>
      </c>
    </row>
    <row r="367" ht="15.75" customHeight="1">
      <c r="A367" s="31" t="str">
        <f>'EQUITY BACKTEST'!A370</f>
        <v/>
      </c>
      <c r="B367" s="22" t="str">
        <f>'EQUITY BACKTEST'!B370</f>
        <v/>
      </c>
      <c r="C367" s="22" t="str">
        <f>1/'EQUITY BACKTEST'!E370</f>
        <v>#DIV/0!</v>
      </c>
      <c r="D367" s="22" t="str">
        <f t="shared" si="1"/>
        <v>#DIV/0!</v>
      </c>
      <c r="E367" s="22" t="str">
        <f t="shared" ref="E367:F367" si="367">IF(A367&lt;&gt;"", (B367 - B366) / B366, "")</f>
        <v/>
      </c>
      <c r="F367" s="22" t="str">
        <f t="shared" si="367"/>
        <v/>
      </c>
      <c r="H367" s="22" t="str">
        <f t="shared" si="4"/>
        <v/>
      </c>
    </row>
    <row r="368" ht="15.75" customHeight="1">
      <c r="A368" s="31" t="str">
        <f>'EQUITY BACKTEST'!A371</f>
        <v/>
      </c>
      <c r="B368" s="22" t="str">
        <f>'EQUITY BACKTEST'!B371</f>
        <v/>
      </c>
      <c r="C368" s="22" t="str">
        <f>1/'EQUITY BACKTEST'!E371</f>
        <v>#DIV/0!</v>
      </c>
      <c r="D368" s="22" t="str">
        <f t="shared" si="1"/>
        <v>#DIV/0!</v>
      </c>
      <c r="E368" s="22" t="str">
        <f t="shared" ref="E368:F368" si="368">IF(A368&lt;&gt;"", (B368 - B367) / B367, "")</f>
        <v/>
      </c>
      <c r="F368" s="22" t="str">
        <f t="shared" si="368"/>
        <v/>
      </c>
      <c r="H368" s="22" t="str">
        <f t="shared" si="4"/>
        <v/>
      </c>
    </row>
    <row r="369" ht="15.75" customHeight="1">
      <c r="A369" s="31" t="str">
        <f>'EQUITY BACKTEST'!A372</f>
        <v/>
      </c>
      <c r="B369" s="22" t="str">
        <f>'EQUITY BACKTEST'!B372</f>
        <v/>
      </c>
      <c r="C369" s="22" t="str">
        <f>1/'EQUITY BACKTEST'!E372</f>
        <v>#DIV/0!</v>
      </c>
      <c r="D369" s="22" t="str">
        <f t="shared" si="1"/>
        <v>#DIV/0!</v>
      </c>
      <c r="E369" s="22" t="str">
        <f t="shared" ref="E369:F369" si="369">IF(A369&lt;&gt;"", (B369 - B368) / B368, "")</f>
        <v/>
      </c>
      <c r="F369" s="22" t="str">
        <f t="shared" si="369"/>
        <v/>
      </c>
      <c r="H369" s="22" t="str">
        <f t="shared" si="4"/>
        <v/>
      </c>
    </row>
    <row r="370" ht="15.75" customHeight="1">
      <c r="A370" s="31" t="str">
        <f>'EQUITY BACKTEST'!A373</f>
        <v/>
      </c>
      <c r="B370" s="22" t="str">
        <f>'EQUITY BACKTEST'!B373</f>
        <v/>
      </c>
      <c r="C370" s="22" t="str">
        <f>1/'EQUITY BACKTEST'!E373</f>
        <v>#DIV/0!</v>
      </c>
      <c r="D370" s="22" t="str">
        <f t="shared" si="1"/>
        <v>#DIV/0!</v>
      </c>
      <c r="E370" s="22" t="str">
        <f t="shared" ref="E370:F370" si="370">IF(A370&lt;&gt;"", (B370 - B369) / B369, "")</f>
        <v/>
      </c>
      <c r="F370" s="22" t="str">
        <f t="shared" si="370"/>
        <v/>
      </c>
      <c r="H370" s="22" t="str">
        <f t="shared" si="4"/>
        <v/>
      </c>
    </row>
    <row r="371" ht="15.75" customHeight="1">
      <c r="A371" s="31" t="str">
        <f>'EQUITY BACKTEST'!A374</f>
        <v/>
      </c>
      <c r="B371" s="22" t="str">
        <f>'EQUITY BACKTEST'!B374</f>
        <v/>
      </c>
      <c r="C371" s="22" t="str">
        <f>1/'EQUITY BACKTEST'!E374</f>
        <v>#DIV/0!</v>
      </c>
      <c r="D371" s="22" t="str">
        <f t="shared" si="1"/>
        <v>#DIV/0!</v>
      </c>
      <c r="E371" s="22" t="str">
        <f t="shared" ref="E371:F371" si="371">IF(A371&lt;&gt;"", (B371 - B370) / B370, "")</f>
        <v/>
      </c>
      <c r="F371" s="22" t="str">
        <f t="shared" si="371"/>
        <v/>
      </c>
      <c r="H371" s="22" t="str">
        <f t="shared" si="4"/>
        <v/>
      </c>
    </row>
    <row r="372" ht="15.75" customHeight="1">
      <c r="A372" s="31" t="str">
        <f>'EQUITY BACKTEST'!A375</f>
        <v/>
      </c>
      <c r="B372" s="22" t="str">
        <f>'EQUITY BACKTEST'!B375</f>
        <v/>
      </c>
      <c r="C372" s="22" t="str">
        <f>1/'EQUITY BACKTEST'!E375</f>
        <v>#DIV/0!</v>
      </c>
      <c r="D372" s="22" t="str">
        <f t="shared" si="1"/>
        <v>#DIV/0!</v>
      </c>
      <c r="E372" s="22" t="str">
        <f t="shared" ref="E372:F372" si="372">IF(A372&lt;&gt;"", (B372 - B371) / B371, "")</f>
        <v/>
      </c>
      <c r="F372" s="22" t="str">
        <f t="shared" si="372"/>
        <v/>
      </c>
      <c r="H372" s="22" t="str">
        <f t="shared" si="4"/>
        <v/>
      </c>
    </row>
    <row r="373" ht="15.75" customHeight="1">
      <c r="A373" s="31" t="str">
        <f>'EQUITY BACKTEST'!A376</f>
        <v/>
      </c>
      <c r="B373" s="22" t="str">
        <f>'EQUITY BACKTEST'!B376</f>
        <v/>
      </c>
      <c r="C373" s="22" t="str">
        <f>1/'EQUITY BACKTEST'!E376</f>
        <v>#DIV/0!</v>
      </c>
      <c r="D373" s="22" t="str">
        <f t="shared" si="1"/>
        <v>#DIV/0!</v>
      </c>
      <c r="E373" s="22" t="str">
        <f t="shared" ref="E373:F373" si="373">IF(A373&lt;&gt;"", (B373 - B372) / B372, "")</f>
        <v/>
      </c>
      <c r="F373" s="22" t="str">
        <f t="shared" si="373"/>
        <v/>
      </c>
      <c r="H373" s="22" t="str">
        <f t="shared" si="4"/>
        <v/>
      </c>
    </row>
    <row r="374" ht="15.75" customHeight="1">
      <c r="A374" s="31" t="str">
        <f>'EQUITY BACKTEST'!A377</f>
        <v/>
      </c>
      <c r="B374" s="22" t="str">
        <f>'EQUITY BACKTEST'!B377</f>
        <v/>
      </c>
      <c r="C374" s="22" t="str">
        <f>1/'EQUITY BACKTEST'!E377</f>
        <v>#DIV/0!</v>
      </c>
      <c r="D374" s="22" t="str">
        <f t="shared" si="1"/>
        <v>#DIV/0!</v>
      </c>
      <c r="E374" s="22" t="str">
        <f t="shared" ref="E374:F374" si="374">IF(A374&lt;&gt;"", (B374 - B373) / B373, "")</f>
        <v/>
      </c>
      <c r="F374" s="22" t="str">
        <f t="shared" si="374"/>
        <v/>
      </c>
      <c r="H374" s="22" t="str">
        <f t="shared" si="4"/>
        <v/>
      </c>
    </row>
    <row r="375" ht="15.75" customHeight="1">
      <c r="A375" s="31" t="str">
        <f>'EQUITY BACKTEST'!A378</f>
        <v/>
      </c>
      <c r="B375" s="22" t="str">
        <f>'EQUITY BACKTEST'!B378</f>
        <v/>
      </c>
      <c r="C375" s="22" t="str">
        <f>1/'EQUITY BACKTEST'!E378</f>
        <v>#DIV/0!</v>
      </c>
      <c r="D375" s="22" t="str">
        <f t="shared" si="1"/>
        <v>#DIV/0!</v>
      </c>
      <c r="E375" s="22" t="str">
        <f t="shared" ref="E375:F375" si="375">IF(A375&lt;&gt;"", (B375 - B374) / B374, "")</f>
        <v/>
      </c>
      <c r="F375" s="22" t="str">
        <f t="shared" si="375"/>
        <v/>
      </c>
      <c r="H375" s="22" t="str">
        <f t="shared" si="4"/>
        <v/>
      </c>
    </row>
    <row r="376" ht="15.75" customHeight="1">
      <c r="A376" s="31" t="str">
        <f>'EQUITY BACKTEST'!A379</f>
        <v/>
      </c>
      <c r="B376" s="22" t="str">
        <f>'EQUITY BACKTEST'!B379</f>
        <v/>
      </c>
      <c r="C376" s="22" t="str">
        <f>1/'EQUITY BACKTEST'!E379</f>
        <v>#DIV/0!</v>
      </c>
      <c r="D376" s="22" t="str">
        <f t="shared" si="1"/>
        <v>#DIV/0!</v>
      </c>
      <c r="E376" s="22" t="str">
        <f t="shared" ref="E376:F376" si="376">IF(A376&lt;&gt;"", (B376 - B375) / B375, "")</f>
        <v/>
      </c>
      <c r="F376" s="22" t="str">
        <f t="shared" si="376"/>
        <v/>
      </c>
      <c r="H376" s="22" t="str">
        <f t="shared" si="4"/>
        <v/>
      </c>
    </row>
    <row r="377" ht="15.75" customHeight="1">
      <c r="A377" s="31" t="str">
        <f>'EQUITY BACKTEST'!A380</f>
        <v/>
      </c>
      <c r="B377" s="22" t="str">
        <f>'EQUITY BACKTEST'!B380</f>
        <v/>
      </c>
      <c r="C377" s="22" t="str">
        <f>1/'EQUITY BACKTEST'!E380</f>
        <v>#DIV/0!</v>
      </c>
      <c r="D377" s="22" t="str">
        <f t="shared" si="1"/>
        <v>#DIV/0!</v>
      </c>
      <c r="E377" s="22" t="str">
        <f t="shared" ref="E377:F377" si="377">IF(A377&lt;&gt;"", (B377 - B376) / B376, "")</f>
        <v/>
      </c>
      <c r="F377" s="22" t="str">
        <f t="shared" si="377"/>
        <v/>
      </c>
      <c r="H377" s="22" t="str">
        <f t="shared" si="4"/>
        <v/>
      </c>
    </row>
    <row r="378" ht="15.75" customHeight="1">
      <c r="A378" s="31" t="str">
        <f>'EQUITY BACKTEST'!A381</f>
        <v/>
      </c>
      <c r="B378" s="22" t="str">
        <f>'EQUITY BACKTEST'!B381</f>
        <v/>
      </c>
      <c r="C378" s="22" t="str">
        <f>1/'EQUITY BACKTEST'!E381</f>
        <v>#DIV/0!</v>
      </c>
      <c r="D378" s="22" t="str">
        <f t="shared" si="1"/>
        <v>#DIV/0!</v>
      </c>
      <c r="E378" s="22" t="str">
        <f t="shared" ref="E378:F378" si="378">IF(A378&lt;&gt;"", (B378 - B377) / B377, "")</f>
        <v/>
      </c>
      <c r="F378" s="22" t="str">
        <f t="shared" si="378"/>
        <v/>
      </c>
      <c r="H378" s="22" t="str">
        <f t="shared" si="4"/>
        <v/>
      </c>
    </row>
    <row r="379" ht="15.75" customHeight="1">
      <c r="A379" s="31" t="str">
        <f>'EQUITY BACKTEST'!A382</f>
        <v/>
      </c>
      <c r="B379" s="22" t="str">
        <f>'EQUITY BACKTEST'!B382</f>
        <v/>
      </c>
      <c r="C379" s="22" t="str">
        <f>1/'EQUITY BACKTEST'!E382</f>
        <v>#DIV/0!</v>
      </c>
      <c r="D379" s="22" t="str">
        <f t="shared" si="1"/>
        <v>#DIV/0!</v>
      </c>
      <c r="E379" s="22" t="str">
        <f t="shared" ref="E379:F379" si="379">IF(A379&lt;&gt;"", (B379 - B378) / B378, "")</f>
        <v/>
      </c>
      <c r="F379" s="22" t="str">
        <f t="shared" si="379"/>
        <v/>
      </c>
      <c r="H379" s="22" t="str">
        <f t="shared" si="4"/>
        <v/>
      </c>
    </row>
    <row r="380" ht="15.75" customHeight="1">
      <c r="A380" s="31" t="str">
        <f>'EQUITY BACKTEST'!A383</f>
        <v/>
      </c>
      <c r="B380" s="22" t="str">
        <f>'EQUITY BACKTEST'!B383</f>
        <v/>
      </c>
      <c r="C380" s="22" t="str">
        <f>1/'EQUITY BACKTEST'!E383</f>
        <v>#DIV/0!</v>
      </c>
      <c r="D380" s="22" t="str">
        <f t="shared" si="1"/>
        <v>#DIV/0!</v>
      </c>
      <c r="E380" s="22" t="str">
        <f t="shared" ref="E380:F380" si="380">IF(A380&lt;&gt;"", (B380 - B379) / B379, "")</f>
        <v/>
      </c>
      <c r="F380" s="22" t="str">
        <f t="shared" si="380"/>
        <v/>
      </c>
      <c r="H380" s="22" t="str">
        <f t="shared" si="4"/>
        <v/>
      </c>
    </row>
    <row r="381" ht="15.75" customHeight="1">
      <c r="A381" s="31" t="str">
        <f>'EQUITY BACKTEST'!A384</f>
        <v/>
      </c>
      <c r="B381" s="22" t="str">
        <f>'EQUITY BACKTEST'!B384</f>
        <v/>
      </c>
      <c r="C381" s="22" t="str">
        <f>1/'EQUITY BACKTEST'!E384</f>
        <v>#DIV/0!</v>
      </c>
      <c r="D381" s="22" t="str">
        <f t="shared" si="1"/>
        <v>#DIV/0!</v>
      </c>
      <c r="E381" s="22" t="str">
        <f t="shared" ref="E381:F381" si="381">IF(A381&lt;&gt;"", (B381 - B380) / B380, "")</f>
        <v/>
      </c>
      <c r="F381" s="22" t="str">
        <f t="shared" si="381"/>
        <v/>
      </c>
      <c r="H381" s="22" t="str">
        <f t="shared" si="4"/>
        <v/>
      </c>
    </row>
    <row r="382" ht="15.75" customHeight="1">
      <c r="A382" s="31" t="str">
        <f>'EQUITY BACKTEST'!A385</f>
        <v/>
      </c>
      <c r="B382" s="22" t="str">
        <f>'EQUITY BACKTEST'!B385</f>
        <v/>
      </c>
      <c r="C382" s="22" t="str">
        <f>1/'EQUITY BACKTEST'!E385</f>
        <v>#DIV/0!</v>
      </c>
      <c r="D382" s="22" t="str">
        <f t="shared" si="1"/>
        <v>#DIV/0!</v>
      </c>
      <c r="E382" s="22" t="str">
        <f t="shared" ref="E382:F382" si="382">IF(A382&lt;&gt;"", (B382 - B381) / B381, "")</f>
        <v/>
      </c>
      <c r="F382" s="22" t="str">
        <f t="shared" si="382"/>
        <v/>
      </c>
      <c r="H382" s="22" t="str">
        <f t="shared" si="4"/>
        <v/>
      </c>
    </row>
    <row r="383" ht="15.75" customHeight="1">
      <c r="A383" s="31" t="str">
        <f>'EQUITY BACKTEST'!A386</f>
        <v/>
      </c>
      <c r="B383" s="22" t="str">
        <f>'EQUITY BACKTEST'!B386</f>
        <v/>
      </c>
      <c r="C383" s="22" t="str">
        <f>1/'EQUITY BACKTEST'!E386</f>
        <v>#DIV/0!</v>
      </c>
      <c r="D383" s="22" t="str">
        <f t="shared" si="1"/>
        <v>#DIV/0!</v>
      </c>
      <c r="E383" s="22" t="str">
        <f t="shared" ref="E383:F383" si="383">IF(A383&lt;&gt;"", (B383 - B382) / B382, "")</f>
        <v/>
      </c>
      <c r="F383" s="22" t="str">
        <f t="shared" si="383"/>
        <v/>
      </c>
      <c r="H383" s="22" t="str">
        <f t="shared" si="4"/>
        <v/>
      </c>
    </row>
    <row r="384" ht="15.75" customHeight="1">
      <c r="A384" s="31" t="str">
        <f>'EQUITY BACKTEST'!A387</f>
        <v/>
      </c>
      <c r="B384" s="22" t="str">
        <f>'EQUITY BACKTEST'!B387</f>
        <v/>
      </c>
      <c r="C384" s="22" t="str">
        <f>1/'EQUITY BACKTEST'!E387</f>
        <v>#DIV/0!</v>
      </c>
      <c r="D384" s="22" t="str">
        <f t="shared" si="1"/>
        <v>#DIV/0!</v>
      </c>
      <c r="E384" s="22" t="str">
        <f t="shared" ref="E384:F384" si="384">IF(A384&lt;&gt;"", (B384 - B383) / B383, "")</f>
        <v/>
      </c>
      <c r="F384" s="22" t="str">
        <f t="shared" si="384"/>
        <v/>
      </c>
      <c r="H384" s="22" t="str">
        <f t="shared" si="4"/>
        <v/>
      </c>
    </row>
    <row r="385" ht="15.75" customHeight="1">
      <c r="A385" s="31" t="str">
        <f>'EQUITY BACKTEST'!A388</f>
        <v/>
      </c>
      <c r="B385" s="22" t="str">
        <f>'EQUITY BACKTEST'!B388</f>
        <v/>
      </c>
      <c r="C385" s="22" t="str">
        <f>1/'EQUITY BACKTEST'!E388</f>
        <v>#DIV/0!</v>
      </c>
      <c r="D385" s="22" t="str">
        <f t="shared" si="1"/>
        <v>#DIV/0!</v>
      </c>
      <c r="E385" s="22" t="str">
        <f t="shared" ref="E385:F385" si="385">IF(A385&lt;&gt;"", (B385 - B384) / B384, "")</f>
        <v/>
      </c>
      <c r="F385" s="22" t="str">
        <f t="shared" si="385"/>
        <v/>
      </c>
      <c r="H385" s="22" t="str">
        <f t="shared" si="4"/>
        <v/>
      </c>
    </row>
    <row r="386" ht="15.75" customHeight="1">
      <c r="A386" s="31" t="str">
        <f>'EQUITY BACKTEST'!A389</f>
        <v/>
      </c>
      <c r="B386" s="22" t="str">
        <f>'EQUITY BACKTEST'!B389</f>
        <v/>
      </c>
      <c r="C386" s="22" t="str">
        <f>1/'EQUITY BACKTEST'!E389</f>
        <v>#DIV/0!</v>
      </c>
      <c r="D386" s="22" t="str">
        <f t="shared" si="1"/>
        <v>#DIV/0!</v>
      </c>
      <c r="E386" s="22" t="str">
        <f t="shared" ref="E386:F386" si="386">IF(A386&lt;&gt;"", (B386 - B385) / B385, "")</f>
        <v/>
      </c>
      <c r="F386" s="22" t="str">
        <f t="shared" si="386"/>
        <v/>
      </c>
      <c r="H386" s="22" t="str">
        <f t="shared" si="4"/>
        <v/>
      </c>
    </row>
    <row r="387" ht="15.75" customHeight="1">
      <c r="A387" s="31" t="str">
        <f>'EQUITY BACKTEST'!A390</f>
        <v/>
      </c>
      <c r="B387" s="22" t="str">
        <f>'EQUITY BACKTEST'!B390</f>
        <v/>
      </c>
      <c r="C387" s="22" t="str">
        <f>1/'EQUITY BACKTEST'!E390</f>
        <v>#DIV/0!</v>
      </c>
      <c r="D387" s="22" t="str">
        <f t="shared" si="1"/>
        <v>#DIV/0!</v>
      </c>
      <c r="E387" s="22" t="str">
        <f t="shared" ref="E387:F387" si="387">IF(A387&lt;&gt;"", (B387 - B386) / B386, "")</f>
        <v/>
      </c>
      <c r="F387" s="22" t="str">
        <f t="shared" si="387"/>
        <v/>
      </c>
      <c r="H387" s="22" t="str">
        <f t="shared" si="4"/>
        <v/>
      </c>
    </row>
    <row r="388" ht="15.75" customHeight="1">
      <c r="A388" s="31" t="str">
        <f>'EQUITY BACKTEST'!A391</f>
        <v/>
      </c>
      <c r="B388" s="22" t="str">
        <f>'EQUITY BACKTEST'!B391</f>
        <v/>
      </c>
      <c r="C388" s="22" t="str">
        <f>1/'EQUITY BACKTEST'!E391</f>
        <v>#DIV/0!</v>
      </c>
      <c r="D388" s="22" t="str">
        <f t="shared" si="1"/>
        <v>#DIV/0!</v>
      </c>
      <c r="E388" s="22" t="str">
        <f t="shared" ref="E388:F388" si="388">IF(A388&lt;&gt;"", (B388 - B387) / B387, "")</f>
        <v/>
      </c>
      <c r="F388" s="22" t="str">
        <f t="shared" si="388"/>
        <v/>
      </c>
      <c r="H388" s="22" t="str">
        <f t="shared" si="4"/>
        <v/>
      </c>
    </row>
    <row r="389" ht="15.75" customHeight="1">
      <c r="A389" s="31" t="str">
        <f>'EQUITY BACKTEST'!A392</f>
        <v/>
      </c>
      <c r="B389" s="22" t="str">
        <f>'EQUITY BACKTEST'!B392</f>
        <v/>
      </c>
      <c r="C389" s="22" t="str">
        <f>1/'EQUITY BACKTEST'!E392</f>
        <v>#DIV/0!</v>
      </c>
      <c r="D389" s="22" t="str">
        <f t="shared" si="1"/>
        <v>#DIV/0!</v>
      </c>
      <c r="E389" s="22" t="str">
        <f t="shared" ref="E389:F389" si="389">IF(A389&lt;&gt;"", (B389 - B388) / B388, "")</f>
        <v/>
      </c>
      <c r="F389" s="22" t="str">
        <f t="shared" si="389"/>
        <v/>
      </c>
      <c r="H389" s="22" t="str">
        <f t="shared" si="4"/>
        <v/>
      </c>
    </row>
    <row r="390" ht="15.75" customHeight="1">
      <c r="A390" s="31" t="str">
        <f>'EQUITY BACKTEST'!A393</f>
        <v/>
      </c>
      <c r="B390" s="22" t="str">
        <f>'EQUITY BACKTEST'!B393</f>
        <v/>
      </c>
      <c r="C390" s="22" t="str">
        <f>1/'EQUITY BACKTEST'!E393</f>
        <v>#DIV/0!</v>
      </c>
      <c r="D390" s="22" t="str">
        <f t="shared" si="1"/>
        <v>#DIV/0!</v>
      </c>
      <c r="E390" s="22" t="str">
        <f t="shared" ref="E390:F390" si="390">IF(A390&lt;&gt;"", (B390 - B389) / B389, "")</f>
        <v/>
      </c>
      <c r="F390" s="22" t="str">
        <f t="shared" si="390"/>
        <v/>
      </c>
      <c r="H390" s="22" t="str">
        <f t="shared" si="4"/>
        <v/>
      </c>
    </row>
    <row r="391" ht="15.75" customHeight="1">
      <c r="A391" s="31" t="str">
        <f>'EQUITY BACKTEST'!A394</f>
        <v/>
      </c>
      <c r="B391" s="22" t="str">
        <f>'EQUITY BACKTEST'!B394</f>
        <v/>
      </c>
      <c r="C391" s="22" t="str">
        <f>1/'EQUITY BACKTEST'!E394</f>
        <v>#DIV/0!</v>
      </c>
      <c r="D391" s="22" t="str">
        <f t="shared" si="1"/>
        <v>#DIV/0!</v>
      </c>
      <c r="E391" s="22" t="str">
        <f t="shared" ref="E391:F391" si="391">IF(A391&lt;&gt;"", (B391 - B390) / B390, "")</f>
        <v/>
      </c>
      <c r="F391" s="22" t="str">
        <f t="shared" si="391"/>
        <v/>
      </c>
      <c r="H391" s="22" t="str">
        <f t="shared" si="4"/>
        <v/>
      </c>
    </row>
    <row r="392" ht="15.75" customHeight="1">
      <c r="A392" s="31" t="str">
        <f>'EQUITY BACKTEST'!A395</f>
        <v/>
      </c>
      <c r="B392" s="22" t="str">
        <f>'EQUITY BACKTEST'!B395</f>
        <v/>
      </c>
      <c r="C392" s="22" t="str">
        <f>1/'EQUITY BACKTEST'!E395</f>
        <v>#DIV/0!</v>
      </c>
      <c r="D392" s="22" t="str">
        <f t="shared" si="1"/>
        <v>#DIV/0!</v>
      </c>
      <c r="E392" s="22" t="str">
        <f t="shared" ref="E392:F392" si="392">IF(A392&lt;&gt;"", (B392 - B391) / B391, "")</f>
        <v/>
      </c>
      <c r="F392" s="22" t="str">
        <f t="shared" si="392"/>
        <v/>
      </c>
      <c r="H392" s="22" t="str">
        <f t="shared" si="4"/>
        <v/>
      </c>
    </row>
    <row r="393" ht="15.75" customHeight="1">
      <c r="A393" s="31" t="str">
        <f>'EQUITY BACKTEST'!A396</f>
        <v/>
      </c>
      <c r="B393" s="22" t="str">
        <f>'EQUITY BACKTEST'!B396</f>
        <v/>
      </c>
      <c r="C393" s="22" t="str">
        <f>1/'EQUITY BACKTEST'!E396</f>
        <v>#DIV/0!</v>
      </c>
      <c r="D393" s="22" t="str">
        <f t="shared" si="1"/>
        <v>#DIV/0!</v>
      </c>
      <c r="E393" s="22" t="str">
        <f t="shared" ref="E393:F393" si="393">IF(A393&lt;&gt;"", (B393 - B392) / B392, "")</f>
        <v/>
      </c>
      <c r="F393" s="22" t="str">
        <f t="shared" si="393"/>
        <v/>
      </c>
      <c r="H393" s="22" t="str">
        <f t="shared" si="4"/>
        <v/>
      </c>
    </row>
    <row r="394" ht="15.75" customHeight="1">
      <c r="A394" s="31" t="str">
        <f>'EQUITY BACKTEST'!A397</f>
        <v/>
      </c>
      <c r="B394" s="22" t="str">
        <f>'EQUITY BACKTEST'!B397</f>
        <v/>
      </c>
      <c r="C394" s="22" t="str">
        <f>1/'EQUITY BACKTEST'!E397</f>
        <v>#DIV/0!</v>
      </c>
      <c r="D394" s="22" t="str">
        <f t="shared" si="1"/>
        <v>#DIV/0!</v>
      </c>
      <c r="E394" s="22" t="str">
        <f t="shared" ref="E394:F394" si="394">IF(A394&lt;&gt;"", (B394 - B393) / B393, "")</f>
        <v/>
      </c>
      <c r="F394" s="22" t="str">
        <f t="shared" si="394"/>
        <v/>
      </c>
      <c r="H394" s="22" t="str">
        <f t="shared" si="4"/>
        <v/>
      </c>
    </row>
    <row r="395" ht="15.75" customHeight="1">
      <c r="A395" s="31" t="str">
        <f>'EQUITY BACKTEST'!A398</f>
        <v/>
      </c>
      <c r="B395" s="22" t="str">
        <f>'EQUITY BACKTEST'!B398</f>
        <v/>
      </c>
      <c r="C395" s="22" t="str">
        <f>1/'EQUITY BACKTEST'!E398</f>
        <v>#DIV/0!</v>
      </c>
      <c r="D395" s="22" t="str">
        <f t="shared" si="1"/>
        <v>#DIV/0!</v>
      </c>
      <c r="E395" s="22" t="str">
        <f t="shared" ref="E395:F395" si="395">IF(A395&lt;&gt;"", (B395 - B394) / B394, "")</f>
        <v/>
      </c>
      <c r="F395" s="22" t="str">
        <f t="shared" si="395"/>
        <v/>
      </c>
      <c r="H395" s="22" t="str">
        <f t="shared" si="4"/>
        <v/>
      </c>
    </row>
    <row r="396" ht="15.75" customHeight="1">
      <c r="A396" s="31" t="str">
        <f>'EQUITY BACKTEST'!A399</f>
        <v/>
      </c>
      <c r="B396" s="22" t="str">
        <f>'EQUITY BACKTEST'!B399</f>
        <v/>
      </c>
      <c r="C396" s="22" t="str">
        <f>1/'EQUITY BACKTEST'!E399</f>
        <v>#DIV/0!</v>
      </c>
      <c r="D396" s="22" t="str">
        <f t="shared" si="1"/>
        <v>#DIV/0!</v>
      </c>
      <c r="E396" s="22" t="str">
        <f t="shared" ref="E396:F396" si="396">IF(A396&lt;&gt;"", (B396 - B395) / B395, "")</f>
        <v/>
      </c>
      <c r="F396" s="22" t="str">
        <f t="shared" si="396"/>
        <v/>
      </c>
      <c r="H396" s="22" t="str">
        <f t="shared" si="4"/>
        <v/>
      </c>
    </row>
    <row r="397" ht="15.75" customHeight="1">
      <c r="A397" s="31" t="str">
        <f>'EQUITY BACKTEST'!A400</f>
        <v/>
      </c>
      <c r="B397" s="22" t="str">
        <f>'EQUITY BACKTEST'!B400</f>
        <v/>
      </c>
      <c r="C397" s="22" t="str">
        <f>1/'EQUITY BACKTEST'!E400</f>
        <v>#DIV/0!</v>
      </c>
      <c r="D397" s="22" t="str">
        <f t="shared" si="1"/>
        <v>#DIV/0!</v>
      </c>
      <c r="E397" s="22" t="str">
        <f t="shared" ref="E397:F397" si="397">IF(A397&lt;&gt;"", (B397 - B396) / B396, "")</f>
        <v/>
      </c>
      <c r="F397" s="22" t="str">
        <f t="shared" si="397"/>
        <v/>
      </c>
      <c r="H397" s="22" t="str">
        <f t="shared" si="4"/>
        <v/>
      </c>
    </row>
    <row r="398" ht="15.75" customHeight="1">
      <c r="A398" s="31" t="str">
        <f>'EQUITY BACKTEST'!A401</f>
        <v/>
      </c>
      <c r="B398" s="22" t="str">
        <f>'EQUITY BACKTEST'!B401</f>
        <v/>
      </c>
      <c r="C398" s="22" t="str">
        <f>1/'EQUITY BACKTEST'!E401</f>
        <v>#DIV/0!</v>
      </c>
      <c r="D398" s="22" t="str">
        <f t="shared" si="1"/>
        <v>#DIV/0!</v>
      </c>
      <c r="E398" s="22" t="str">
        <f t="shared" ref="E398:F398" si="398">IF(A398&lt;&gt;"", (B398 - B397) / B397, "")</f>
        <v/>
      </c>
      <c r="F398" s="22" t="str">
        <f t="shared" si="398"/>
        <v/>
      </c>
      <c r="H398" s="22" t="str">
        <f t="shared" si="4"/>
        <v/>
      </c>
    </row>
    <row r="399" ht="15.75" customHeight="1">
      <c r="A399" s="31" t="str">
        <f>'EQUITY BACKTEST'!A402</f>
        <v/>
      </c>
      <c r="B399" s="22" t="str">
        <f>'EQUITY BACKTEST'!B402</f>
        <v/>
      </c>
      <c r="C399" s="22" t="str">
        <f>1/'EQUITY BACKTEST'!E402</f>
        <v>#DIV/0!</v>
      </c>
      <c r="D399" s="22" t="str">
        <f t="shared" si="1"/>
        <v>#DIV/0!</v>
      </c>
      <c r="E399" s="22" t="str">
        <f t="shared" ref="E399:F399" si="399">IF(A399&lt;&gt;"", (B399 - B398) / B398, "")</f>
        <v/>
      </c>
      <c r="F399" s="22" t="str">
        <f t="shared" si="399"/>
        <v/>
      </c>
      <c r="H399" s="22" t="str">
        <f t="shared" si="4"/>
        <v/>
      </c>
    </row>
    <row r="400" ht="15.75" customHeight="1">
      <c r="A400" s="31" t="str">
        <f>'EQUITY BACKTEST'!A403</f>
        <v/>
      </c>
      <c r="B400" s="22" t="str">
        <f>'EQUITY BACKTEST'!B403</f>
        <v/>
      </c>
      <c r="C400" s="22" t="str">
        <f>1/'EQUITY BACKTEST'!E403</f>
        <v>#DIV/0!</v>
      </c>
      <c r="D400" s="22" t="str">
        <f t="shared" si="1"/>
        <v>#DIV/0!</v>
      </c>
      <c r="E400" s="22" t="str">
        <f t="shared" ref="E400:F400" si="400">IF(A400&lt;&gt;"", (B400 - B399) / B399, "")</f>
        <v/>
      </c>
      <c r="F400" s="22" t="str">
        <f t="shared" si="400"/>
        <v/>
      </c>
      <c r="H400" s="22" t="str">
        <f t="shared" si="4"/>
        <v/>
      </c>
    </row>
    <row r="401" ht="15.75" customHeight="1">
      <c r="A401" s="31" t="str">
        <f>'EQUITY BACKTEST'!A404</f>
        <v/>
      </c>
      <c r="B401" s="22" t="str">
        <f>'EQUITY BACKTEST'!B404</f>
        <v/>
      </c>
      <c r="C401" s="22" t="str">
        <f>1/'EQUITY BACKTEST'!E404</f>
        <v>#DIV/0!</v>
      </c>
      <c r="D401" s="22" t="str">
        <f t="shared" si="1"/>
        <v>#DIV/0!</v>
      </c>
      <c r="E401" s="22" t="str">
        <f t="shared" ref="E401:F401" si="401">IF(A401&lt;&gt;"", (B401 - B400) / B400, "")</f>
        <v/>
      </c>
      <c r="F401" s="22" t="str">
        <f t="shared" si="401"/>
        <v/>
      </c>
      <c r="H401" s="22" t="str">
        <f t="shared" si="4"/>
        <v/>
      </c>
    </row>
    <row r="402" ht="15.75" customHeight="1">
      <c r="A402" s="31" t="str">
        <f>'EQUITY BACKTEST'!A405</f>
        <v/>
      </c>
      <c r="B402" s="22" t="str">
        <f>'EQUITY BACKTEST'!B405</f>
        <v/>
      </c>
      <c r="C402" s="22" t="str">
        <f>1/'EQUITY BACKTEST'!E405</f>
        <v>#DIV/0!</v>
      </c>
      <c r="D402" s="22" t="str">
        <f t="shared" si="1"/>
        <v>#DIV/0!</v>
      </c>
      <c r="E402" s="22" t="str">
        <f t="shared" ref="E402:F402" si="402">IF(A402&lt;&gt;"", (B402 - B401) / B401, "")</f>
        <v/>
      </c>
      <c r="F402" s="22" t="str">
        <f t="shared" si="402"/>
        <v/>
      </c>
      <c r="H402" s="22" t="str">
        <f t="shared" si="4"/>
        <v/>
      </c>
    </row>
    <row r="403" ht="15.75" customHeight="1">
      <c r="A403" s="31" t="str">
        <f>'EQUITY BACKTEST'!A406</f>
        <v/>
      </c>
      <c r="B403" s="22" t="str">
        <f>'EQUITY BACKTEST'!B406</f>
        <v/>
      </c>
      <c r="C403" s="22" t="str">
        <f>1/'EQUITY BACKTEST'!E406</f>
        <v>#DIV/0!</v>
      </c>
      <c r="D403" s="22" t="str">
        <f t="shared" si="1"/>
        <v>#DIV/0!</v>
      </c>
      <c r="E403" s="22" t="str">
        <f t="shared" ref="E403:F403" si="403">IF(A403&lt;&gt;"", (B403 - B402) / B402, "")</f>
        <v/>
      </c>
      <c r="F403" s="22" t="str">
        <f t="shared" si="403"/>
        <v/>
      </c>
      <c r="H403" s="22" t="str">
        <f t="shared" si="4"/>
        <v/>
      </c>
    </row>
    <row r="404" ht="15.75" customHeight="1">
      <c r="A404" s="31" t="str">
        <f>'EQUITY BACKTEST'!A407</f>
        <v/>
      </c>
      <c r="B404" s="22" t="str">
        <f>'EQUITY BACKTEST'!B407</f>
        <v/>
      </c>
      <c r="C404" s="22" t="str">
        <f>1/'EQUITY BACKTEST'!E407</f>
        <v>#DIV/0!</v>
      </c>
      <c r="D404" s="22" t="str">
        <f t="shared" si="1"/>
        <v>#DIV/0!</v>
      </c>
      <c r="E404" s="22" t="str">
        <f t="shared" ref="E404:F404" si="404">IF(A404&lt;&gt;"", (B404 - B403) / B403, "")</f>
        <v/>
      </c>
      <c r="F404" s="22" t="str">
        <f t="shared" si="404"/>
        <v/>
      </c>
      <c r="H404" s="22" t="str">
        <f t="shared" si="4"/>
        <v/>
      </c>
    </row>
    <row r="405" ht="15.75" customHeight="1">
      <c r="A405" s="31" t="str">
        <f>'EQUITY BACKTEST'!A408</f>
        <v/>
      </c>
      <c r="B405" s="22" t="str">
        <f>'EQUITY BACKTEST'!B408</f>
        <v/>
      </c>
      <c r="C405" s="22" t="str">
        <f>1/'EQUITY BACKTEST'!E408</f>
        <v>#DIV/0!</v>
      </c>
      <c r="D405" s="22" t="str">
        <f t="shared" si="1"/>
        <v>#DIV/0!</v>
      </c>
      <c r="E405" s="22" t="str">
        <f t="shared" ref="E405:F405" si="405">IF(A405&lt;&gt;"", (B405 - B404) / B404, "")</f>
        <v/>
      </c>
      <c r="F405" s="22" t="str">
        <f t="shared" si="405"/>
        <v/>
      </c>
      <c r="H405" s="22" t="str">
        <f t="shared" si="4"/>
        <v/>
      </c>
    </row>
    <row r="406" ht="15.75" customHeight="1">
      <c r="A406" s="31" t="str">
        <f>'EQUITY BACKTEST'!A409</f>
        <v/>
      </c>
      <c r="B406" s="22" t="str">
        <f>'EQUITY BACKTEST'!B409</f>
        <v/>
      </c>
      <c r="C406" s="22" t="str">
        <f>1/'EQUITY BACKTEST'!E409</f>
        <v>#DIV/0!</v>
      </c>
      <c r="D406" s="22" t="str">
        <f t="shared" si="1"/>
        <v>#DIV/0!</v>
      </c>
      <c r="E406" s="22" t="str">
        <f t="shared" ref="E406:F406" si="406">IF(A406&lt;&gt;"", (B406 - B405) / B405, "")</f>
        <v/>
      </c>
      <c r="F406" s="22" t="str">
        <f t="shared" si="406"/>
        <v/>
      </c>
      <c r="H406" s="22" t="str">
        <f t="shared" si="4"/>
        <v/>
      </c>
    </row>
    <row r="407" ht="15.75" customHeight="1">
      <c r="A407" s="31" t="str">
        <f>'EQUITY BACKTEST'!A410</f>
        <v/>
      </c>
      <c r="B407" s="22" t="str">
        <f>'EQUITY BACKTEST'!B410</f>
        <v/>
      </c>
      <c r="C407" s="22" t="str">
        <f>1/'EQUITY BACKTEST'!E410</f>
        <v>#DIV/0!</v>
      </c>
      <c r="D407" s="22" t="str">
        <f t="shared" si="1"/>
        <v>#DIV/0!</v>
      </c>
      <c r="E407" s="22" t="str">
        <f t="shared" ref="E407:F407" si="407">IF(A407&lt;&gt;"", (B407 - B406) / B406, "")</f>
        <v/>
      </c>
      <c r="F407" s="22" t="str">
        <f t="shared" si="407"/>
        <v/>
      </c>
      <c r="H407" s="22" t="str">
        <f t="shared" si="4"/>
        <v/>
      </c>
    </row>
    <row r="408" ht="15.75" customHeight="1">
      <c r="A408" s="31" t="str">
        <f>'EQUITY BACKTEST'!A411</f>
        <v/>
      </c>
      <c r="B408" s="22" t="str">
        <f>'EQUITY BACKTEST'!B411</f>
        <v/>
      </c>
      <c r="C408" s="22" t="str">
        <f>1/'EQUITY BACKTEST'!E411</f>
        <v>#DIV/0!</v>
      </c>
      <c r="D408" s="22" t="str">
        <f t="shared" si="1"/>
        <v>#DIV/0!</v>
      </c>
      <c r="E408" s="22" t="str">
        <f t="shared" ref="E408:F408" si="408">IF(A408&lt;&gt;"", (B408 - B407) / B407, "")</f>
        <v/>
      </c>
      <c r="F408" s="22" t="str">
        <f t="shared" si="408"/>
        <v/>
      </c>
      <c r="H408" s="22" t="str">
        <f t="shared" si="4"/>
        <v/>
      </c>
    </row>
    <row r="409" ht="15.75" customHeight="1">
      <c r="A409" s="31" t="str">
        <f>'EQUITY BACKTEST'!A412</f>
        <v/>
      </c>
      <c r="B409" s="22" t="str">
        <f>'EQUITY BACKTEST'!B412</f>
        <v/>
      </c>
      <c r="C409" s="22" t="str">
        <f>1/'EQUITY BACKTEST'!E412</f>
        <v>#DIV/0!</v>
      </c>
      <c r="D409" s="22" t="str">
        <f t="shared" si="1"/>
        <v>#DIV/0!</v>
      </c>
      <c r="E409" s="22" t="str">
        <f t="shared" ref="E409:F409" si="409">IF(A409&lt;&gt;"", (B409 - B408) / B408, "")</f>
        <v/>
      </c>
      <c r="F409" s="22" t="str">
        <f t="shared" si="409"/>
        <v/>
      </c>
      <c r="H409" s="22" t="str">
        <f t="shared" si="4"/>
        <v/>
      </c>
    </row>
    <row r="410" ht="15.75" customHeight="1">
      <c r="A410" s="31" t="str">
        <f>'EQUITY BACKTEST'!A413</f>
        <v/>
      </c>
      <c r="B410" s="22" t="str">
        <f>'EQUITY BACKTEST'!B413</f>
        <v/>
      </c>
      <c r="C410" s="22" t="str">
        <f>1/'EQUITY BACKTEST'!E413</f>
        <v>#DIV/0!</v>
      </c>
      <c r="D410" s="22" t="str">
        <f t="shared" si="1"/>
        <v>#DIV/0!</v>
      </c>
      <c r="E410" s="22" t="str">
        <f t="shared" ref="E410:F410" si="410">IF(A410&lt;&gt;"", (B410 - B409) / B409, "")</f>
        <v/>
      </c>
      <c r="F410" s="22" t="str">
        <f t="shared" si="410"/>
        <v/>
      </c>
      <c r="H410" s="22" t="str">
        <f t="shared" si="4"/>
        <v/>
      </c>
    </row>
    <row r="411" ht="15.75" customHeight="1">
      <c r="A411" s="31" t="str">
        <f>'EQUITY BACKTEST'!A414</f>
        <v/>
      </c>
      <c r="B411" s="22" t="str">
        <f>'EQUITY BACKTEST'!B414</f>
        <v/>
      </c>
      <c r="C411" s="22" t="str">
        <f>1/'EQUITY BACKTEST'!E414</f>
        <v>#DIV/0!</v>
      </c>
      <c r="D411" s="22" t="str">
        <f t="shared" si="1"/>
        <v>#DIV/0!</v>
      </c>
      <c r="E411" s="22" t="str">
        <f t="shared" ref="E411:F411" si="411">IF(A411&lt;&gt;"", (B411 - B410) / B410, "")</f>
        <v/>
      </c>
      <c r="F411" s="22" t="str">
        <f t="shared" si="411"/>
        <v/>
      </c>
      <c r="H411" s="22" t="str">
        <f t="shared" si="4"/>
        <v/>
      </c>
    </row>
    <row r="412" ht="15.75" customHeight="1">
      <c r="A412" s="31" t="str">
        <f>'EQUITY BACKTEST'!A415</f>
        <v/>
      </c>
      <c r="B412" s="22" t="str">
        <f>'EQUITY BACKTEST'!B415</f>
        <v/>
      </c>
      <c r="C412" s="22" t="str">
        <f>1/'EQUITY BACKTEST'!E415</f>
        <v>#DIV/0!</v>
      </c>
      <c r="D412" s="22" t="str">
        <f t="shared" si="1"/>
        <v>#DIV/0!</v>
      </c>
      <c r="E412" s="22" t="str">
        <f t="shared" ref="E412:F412" si="412">IF(A412&lt;&gt;"", (B412 - B411) / B411, "")</f>
        <v/>
      </c>
      <c r="F412" s="22" t="str">
        <f t="shared" si="412"/>
        <v/>
      </c>
      <c r="H412" s="22" t="str">
        <f t="shared" si="4"/>
        <v/>
      </c>
    </row>
    <row r="413" ht="15.75" customHeight="1">
      <c r="A413" s="31" t="str">
        <f>'EQUITY BACKTEST'!A416</f>
        <v/>
      </c>
      <c r="B413" s="22" t="str">
        <f>'EQUITY BACKTEST'!B416</f>
        <v/>
      </c>
      <c r="C413" s="22" t="str">
        <f>1/'EQUITY BACKTEST'!E416</f>
        <v>#DIV/0!</v>
      </c>
      <c r="D413" s="22" t="str">
        <f t="shared" si="1"/>
        <v>#DIV/0!</v>
      </c>
      <c r="E413" s="22" t="str">
        <f t="shared" ref="E413:F413" si="413">IF(A413&lt;&gt;"", (B413 - B412) / B412, "")</f>
        <v/>
      </c>
      <c r="F413" s="22" t="str">
        <f t="shared" si="413"/>
        <v/>
      </c>
      <c r="H413" s="22" t="str">
        <f t="shared" si="4"/>
        <v/>
      </c>
    </row>
    <row r="414" ht="15.75" customHeight="1">
      <c r="A414" s="31" t="str">
        <f>'EQUITY BACKTEST'!A417</f>
        <v/>
      </c>
      <c r="B414" s="22" t="str">
        <f>'EQUITY BACKTEST'!B417</f>
        <v/>
      </c>
      <c r="C414" s="22" t="str">
        <f>1/'EQUITY BACKTEST'!E417</f>
        <v>#DIV/0!</v>
      </c>
      <c r="D414" s="22" t="str">
        <f t="shared" si="1"/>
        <v>#DIV/0!</v>
      </c>
      <c r="E414" s="22" t="str">
        <f t="shared" ref="E414:F414" si="414">IF(A414&lt;&gt;"", (B414 - B413) / B413, "")</f>
        <v/>
      </c>
      <c r="F414" s="22" t="str">
        <f t="shared" si="414"/>
        <v/>
      </c>
      <c r="H414" s="22" t="str">
        <f t="shared" si="4"/>
        <v/>
      </c>
    </row>
    <row r="415" ht="15.75" customHeight="1">
      <c r="A415" s="31" t="str">
        <f>'EQUITY BACKTEST'!A418</f>
        <v/>
      </c>
      <c r="B415" s="22" t="str">
        <f>'EQUITY BACKTEST'!B418</f>
        <v/>
      </c>
      <c r="C415" s="22" t="str">
        <f>1/'EQUITY BACKTEST'!E418</f>
        <v>#DIV/0!</v>
      </c>
      <c r="D415" s="22" t="str">
        <f t="shared" si="1"/>
        <v>#DIV/0!</v>
      </c>
      <c r="E415" s="22" t="str">
        <f t="shared" ref="E415:F415" si="415">IF(A415&lt;&gt;"", (B415 - B414) / B414, "")</f>
        <v/>
      </c>
      <c r="F415" s="22" t="str">
        <f t="shared" si="415"/>
        <v/>
      </c>
      <c r="H415" s="22" t="str">
        <f t="shared" si="4"/>
        <v/>
      </c>
    </row>
    <row r="416" ht="15.75" customHeight="1">
      <c r="A416" s="31" t="str">
        <f>'EQUITY BACKTEST'!A419</f>
        <v/>
      </c>
      <c r="B416" s="22" t="str">
        <f>'EQUITY BACKTEST'!B419</f>
        <v/>
      </c>
      <c r="C416" s="22" t="str">
        <f>1/'EQUITY BACKTEST'!E419</f>
        <v>#DIV/0!</v>
      </c>
      <c r="D416" s="22" t="str">
        <f t="shared" si="1"/>
        <v>#DIV/0!</v>
      </c>
      <c r="E416" s="22" t="str">
        <f t="shared" ref="E416:F416" si="416">IF(A416&lt;&gt;"", (B416 - B415) / B415, "")</f>
        <v/>
      </c>
      <c r="F416" s="22" t="str">
        <f t="shared" si="416"/>
        <v/>
      </c>
      <c r="H416" s="22" t="str">
        <f t="shared" si="4"/>
        <v/>
      </c>
    </row>
    <row r="417" ht="15.75" customHeight="1">
      <c r="A417" s="31" t="str">
        <f>'EQUITY BACKTEST'!A420</f>
        <v/>
      </c>
      <c r="B417" s="22" t="str">
        <f>'EQUITY BACKTEST'!B420</f>
        <v/>
      </c>
      <c r="C417" s="22" t="str">
        <f>1/'EQUITY BACKTEST'!E420</f>
        <v>#DIV/0!</v>
      </c>
      <c r="D417" s="22" t="str">
        <f t="shared" si="1"/>
        <v>#DIV/0!</v>
      </c>
      <c r="E417" s="22" t="str">
        <f t="shared" ref="E417:F417" si="417">IF(A417&lt;&gt;"", (B417 - B416) / B416, "")</f>
        <v/>
      </c>
      <c r="F417" s="22" t="str">
        <f t="shared" si="417"/>
        <v/>
      </c>
      <c r="H417" s="22" t="str">
        <f t="shared" si="4"/>
        <v/>
      </c>
    </row>
    <row r="418" ht="15.75" customHeight="1">
      <c r="A418" s="31" t="str">
        <f>'EQUITY BACKTEST'!A421</f>
        <v/>
      </c>
      <c r="B418" s="22" t="str">
        <f>'EQUITY BACKTEST'!B421</f>
        <v/>
      </c>
      <c r="C418" s="22" t="str">
        <f>1/'EQUITY BACKTEST'!E421</f>
        <v>#DIV/0!</v>
      </c>
      <c r="D418" s="22" t="str">
        <f t="shared" si="1"/>
        <v>#DIV/0!</v>
      </c>
      <c r="E418" s="22" t="str">
        <f t="shared" ref="E418:F418" si="418">IF(A418&lt;&gt;"", (B418 - B417) / B417, "")</f>
        <v/>
      </c>
      <c r="F418" s="22" t="str">
        <f t="shared" si="418"/>
        <v/>
      </c>
      <c r="H418" s="22" t="str">
        <f t="shared" si="4"/>
        <v/>
      </c>
    </row>
    <row r="419" ht="15.75" customHeight="1">
      <c r="A419" s="31" t="str">
        <f>'EQUITY BACKTEST'!A422</f>
        <v/>
      </c>
      <c r="B419" s="22" t="str">
        <f>'EQUITY BACKTEST'!B422</f>
        <v/>
      </c>
      <c r="C419" s="22" t="str">
        <f>1/'EQUITY BACKTEST'!E422</f>
        <v>#DIV/0!</v>
      </c>
      <c r="D419" s="22" t="str">
        <f t="shared" si="1"/>
        <v>#DIV/0!</v>
      </c>
      <c r="E419" s="22" t="str">
        <f t="shared" ref="E419:F419" si="419">IF(A419&lt;&gt;"", (B419 - B418) / B418, "")</f>
        <v/>
      </c>
      <c r="F419" s="22" t="str">
        <f t="shared" si="419"/>
        <v/>
      </c>
      <c r="H419" s="22" t="str">
        <f t="shared" si="4"/>
        <v/>
      </c>
    </row>
    <row r="420" ht="15.75" customHeight="1">
      <c r="A420" s="31" t="str">
        <f>'EQUITY BACKTEST'!A423</f>
        <v/>
      </c>
      <c r="B420" s="22" t="str">
        <f>'EQUITY BACKTEST'!B423</f>
        <v/>
      </c>
      <c r="C420" s="22" t="str">
        <f>1/'EQUITY BACKTEST'!E423</f>
        <v>#DIV/0!</v>
      </c>
      <c r="D420" s="22" t="str">
        <f t="shared" si="1"/>
        <v>#DIV/0!</v>
      </c>
      <c r="E420" s="22" t="str">
        <f t="shared" ref="E420:F420" si="420">IF(A420&lt;&gt;"", (B420 - B419) / B419, "")</f>
        <v/>
      </c>
      <c r="F420" s="22" t="str">
        <f t="shared" si="420"/>
        <v/>
      </c>
      <c r="H420" s="22" t="str">
        <f t="shared" si="4"/>
        <v/>
      </c>
    </row>
    <row r="421" ht="15.75" customHeight="1">
      <c r="A421" s="31" t="str">
        <f>'EQUITY BACKTEST'!A424</f>
        <v/>
      </c>
      <c r="B421" s="22" t="str">
        <f>'EQUITY BACKTEST'!B424</f>
        <v/>
      </c>
      <c r="C421" s="22" t="str">
        <f>1/'EQUITY BACKTEST'!E424</f>
        <v>#DIV/0!</v>
      </c>
      <c r="D421" s="22" t="str">
        <f t="shared" si="1"/>
        <v>#DIV/0!</v>
      </c>
      <c r="E421" s="22" t="str">
        <f t="shared" ref="E421:F421" si="421">IF(A421&lt;&gt;"", (B421 - B420) / B420, "")</f>
        <v/>
      </c>
      <c r="F421" s="22" t="str">
        <f t="shared" si="421"/>
        <v/>
      </c>
      <c r="H421" s="22" t="str">
        <f t="shared" si="4"/>
        <v/>
      </c>
    </row>
    <row r="422" ht="15.75" customHeight="1">
      <c r="A422" s="31" t="str">
        <f>'EQUITY BACKTEST'!A425</f>
        <v/>
      </c>
      <c r="B422" s="22" t="str">
        <f>'EQUITY BACKTEST'!B425</f>
        <v/>
      </c>
      <c r="C422" s="22" t="str">
        <f>1/'EQUITY BACKTEST'!E425</f>
        <v>#DIV/0!</v>
      </c>
      <c r="D422" s="22" t="str">
        <f t="shared" si="1"/>
        <v>#DIV/0!</v>
      </c>
      <c r="E422" s="22" t="str">
        <f t="shared" ref="E422:F422" si="422">IF(A422&lt;&gt;"", (B422 - B421) / B421, "")</f>
        <v/>
      </c>
      <c r="F422" s="22" t="str">
        <f t="shared" si="422"/>
        <v/>
      </c>
      <c r="H422" s="22" t="str">
        <f t="shared" si="4"/>
        <v/>
      </c>
    </row>
    <row r="423" ht="15.75" customHeight="1">
      <c r="A423" s="31" t="str">
        <f>'EQUITY BACKTEST'!A426</f>
        <v/>
      </c>
      <c r="B423" s="22" t="str">
        <f>'EQUITY BACKTEST'!B426</f>
        <v/>
      </c>
      <c r="C423" s="22" t="str">
        <f>1/'EQUITY BACKTEST'!E426</f>
        <v>#DIV/0!</v>
      </c>
      <c r="D423" s="22" t="str">
        <f t="shared" si="1"/>
        <v>#DIV/0!</v>
      </c>
      <c r="E423" s="22" t="str">
        <f t="shared" ref="E423:F423" si="423">IF(A423&lt;&gt;"", (B423 - B422) / B422, "")</f>
        <v/>
      </c>
      <c r="F423" s="22" t="str">
        <f t="shared" si="423"/>
        <v/>
      </c>
      <c r="H423" s="22" t="str">
        <f t="shared" si="4"/>
        <v/>
      </c>
    </row>
    <row r="424" ht="15.75" customHeight="1">
      <c r="A424" s="31" t="str">
        <f>'EQUITY BACKTEST'!A427</f>
        <v/>
      </c>
      <c r="B424" s="22" t="str">
        <f>'EQUITY BACKTEST'!B427</f>
        <v/>
      </c>
      <c r="C424" s="22" t="str">
        <f>1/'EQUITY BACKTEST'!E427</f>
        <v>#DIV/0!</v>
      </c>
      <c r="D424" s="22" t="str">
        <f t="shared" si="1"/>
        <v>#DIV/0!</v>
      </c>
      <c r="E424" s="22" t="str">
        <f t="shared" ref="E424:F424" si="424">IF(A424&lt;&gt;"", (B424 - B423) / B423, "")</f>
        <v/>
      </c>
      <c r="F424" s="22" t="str">
        <f t="shared" si="424"/>
        <v/>
      </c>
      <c r="H424" s="22" t="str">
        <f t="shared" si="4"/>
        <v/>
      </c>
    </row>
    <row r="425" ht="15.75" customHeight="1">
      <c r="A425" s="31" t="str">
        <f>'EQUITY BACKTEST'!A428</f>
        <v/>
      </c>
      <c r="B425" s="22" t="str">
        <f>'EQUITY BACKTEST'!B428</f>
        <v/>
      </c>
      <c r="C425" s="22" t="str">
        <f>1/'EQUITY BACKTEST'!E428</f>
        <v>#DIV/0!</v>
      </c>
      <c r="D425" s="22" t="str">
        <f t="shared" si="1"/>
        <v>#DIV/0!</v>
      </c>
      <c r="E425" s="22" t="str">
        <f t="shared" ref="E425:F425" si="425">IF(A425&lt;&gt;"", (B425 - B424) / B424, "")</f>
        <v/>
      </c>
      <c r="F425" s="22" t="str">
        <f t="shared" si="425"/>
        <v/>
      </c>
      <c r="H425" s="22" t="str">
        <f t="shared" si="4"/>
        <v/>
      </c>
    </row>
    <row r="426" ht="15.75" customHeight="1">
      <c r="A426" s="31" t="str">
        <f>'EQUITY BACKTEST'!A429</f>
        <v/>
      </c>
      <c r="B426" s="22" t="str">
        <f>'EQUITY BACKTEST'!B429</f>
        <v/>
      </c>
      <c r="C426" s="22" t="str">
        <f>1/'EQUITY BACKTEST'!E429</f>
        <v>#DIV/0!</v>
      </c>
      <c r="D426" s="22" t="str">
        <f t="shared" si="1"/>
        <v>#DIV/0!</v>
      </c>
      <c r="E426" s="22" t="str">
        <f t="shared" ref="E426:F426" si="426">IF(A426&lt;&gt;"", (B426 - B425) / B425, "")</f>
        <v/>
      </c>
      <c r="F426" s="22" t="str">
        <f t="shared" si="426"/>
        <v/>
      </c>
      <c r="H426" s="22" t="str">
        <f t="shared" si="4"/>
        <v/>
      </c>
    </row>
    <row r="427" ht="15.75" customHeight="1">
      <c r="A427" s="31" t="str">
        <f>'EQUITY BACKTEST'!A430</f>
        <v/>
      </c>
      <c r="B427" s="22" t="str">
        <f>'EQUITY BACKTEST'!B430</f>
        <v/>
      </c>
      <c r="C427" s="22" t="str">
        <f>1/'EQUITY BACKTEST'!E430</f>
        <v>#DIV/0!</v>
      </c>
      <c r="D427" s="22" t="str">
        <f t="shared" si="1"/>
        <v>#DIV/0!</v>
      </c>
      <c r="E427" s="22" t="str">
        <f t="shared" ref="E427:F427" si="427">IF(A427&lt;&gt;"", (B427 - B426) / B426, "")</f>
        <v/>
      </c>
      <c r="F427" s="22" t="str">
        <f t="shared" si="427"/>
        <v/>
      </c>
      <c r="H427" s="22" t="str">
        <f t="shared" si="4"/>
        <v/>
      </c>
    </row>
    <row r="428" ht="15.75" customHeight="1">
      <c r="A428" s="31" t="str">
        <f>'EQUITY BACKTEST'!A431</f>
        <v/>
      </c>
      <c r="B428" s="22" t="str">
        <f>'EQUITY BACKTEST'!B431</f>
        <v/>
      </c>
      <c r="C428" s="22" t="str">
        <f>1/'EQUITY BACKTEST'!E431</f>
        <v>#DIV/0!</v>
      </c>
      <c r="D428" s="22" t="str">
        <f t="shared" si="1"/>
        <v>#DIV/0!</v>
      </c>
      <c r="E428" s="22" t="str">
        <f t="shared" ref="E428:F428" si="428">IF(A428&lt;&gt;"", (B428 - B427) / B427, "")</f>
        <v/>
      </c>
      <c r="F428" s="22" t="str">
        <f t="shared" si="428"/>
        <v/>
      </c>
      <c r="H428" s="22" t="str">
        <f t="shared" si="4"/>
        <v/>
      </c>
    </row>
    <row r="429" ht="15.75" customHeight="1">
      <c r="A429" s="31" t="str">
        <f>'EQUITY BACKTEST'!A432</f>
        <v/>
      </c>
      <c r="B429" s="22" t="str">
        <f>'EQUITY BACKTEST'!B432</f>
        <v/>
      </c>
      <c r="C429" s="22" t="str">
        <f>1/'EQUITY BACKTEST'!E432</f>
        <v>#DIV/0!</v>
      </c>
      <c r="D429" s="22" t="str">
        <f t="shared" si="1"/>
        <v>#DIV/0!</v>
      </c>
      <c r="E429" s="22" t="str">
        <f t="shared" ref="E429:F429" si="429">IF(A429&lt;&gt;"", (B429 - B428) / B428, "")</f>
        <v/>
      </c>
      <c r="F429" s="22" t="str">
        <f t="shared" si="429"/>
        <v/>
      </c>
      <c r="H429" s="22" t="str">
        <f t="shared" si="4"/>
        <v/>
      </c>
    </row>
    <row r="430" ht="15.75" customHeight="1">
      <c r="A430" s="31" t="str">
        <f>'EQUITY BACKTEST'!A433</f>
        <v/>
      </c>
      <c r="B430" s="22" t="str">
        <f>'EQUITY BACKTEST'!B433</f>
        <v/>
      </c>
      <c r="C430" s="22" t="str">
        <f>1/'EQUITY BACKTEST'!E433</f>
        <v>#DIV/0!</v>
      </c>
      <c r="D430" s="22" t="str">
        <f t="shared" si="1"/>
        <v>#DIV/0!</v>
      </c>
      <c r="E430" s="22" t="str">
        <f t="shared" ref="E430:F430" si="430">IF(A430&lt;&gt;"", (B430 - B429) / B429, "")</f>
        <v/>
      </c>
      <c r="F430" s="22" t="str">
        <f t="shared" si="430"/>
        <v/>
      </c>
      <c r="H430" s="22" t="str">
        <f t="shared" si="4"/>
        <v/>
      </c>
    </row>
    <row r="431" ht="15.75" customHeight="1">
      <c r="A431" s="31" t="str">
        <f>'EQUITY BACKTEST'!A434</f>
        <v/>
      </c>
      <c r="B431" s="22" t="str">
        <f>'EQUITY BACKTEST'!B434</f>
        <v/>
      </c>
      <c r="C431" s="22" t="str">
        <f>1/'EQUITY BACKTEST'!E434</f>
        <v>#DIV/0!</v>
      </c>
      <c r="D431" s="22" t="str">
        <f t="shared" si="1"/>
        <v>#DIV/0!</v>
      </c>
      <c r="E431" s="22" t="str">
        <f t="shared" ref="E431:F431" si="431">IF(A431&lt;&gt;"", (B431 - B430) / B430, "")</f>
        <v/>
      </c>
      <c r="F431" s="22" t="str">
        <f t="shared" si="431"/>
        <v/>
      </c>
      <c r="H431" s="22" t="str">
        <f t="shared" si="4"/>
        <v/>
      </c>
    </row>
    <row r="432" ht="15.75" customHeight="1">
      <c r="A432" s="31" t="str">
        <f>'EQUITY BACKTEST'!A435</f>
        <v/>
      </c>
      <c r="B432" s="22" t="str">
        <f>'EQUITY BACKTEST'!B435</f>
        <v/>
      </c>
      <c r="C432" s="22" t="str">
        <f>1/'EQUITY BACKTEST'!E435</f>
        <v>#DIV/0!</v>
      </c>
      <c r="D432" s="22" t="str">
        <f t="shared" si="1"/>
        <v>#DIV/0!</v>
      </c>
      <c r="E432" s="22" t="str">
        <f t="shared" ref="E432:F432" si="432">IF(A432&lt;&gt;"", (B432 - B431) / B431, "")</f>
        <v/>
      </c>
      <c r="F432" s="22" t="str">
        <f t="shared" si="432"/>
        <v/>
      </c>
      <c r="H432" s="22" t="str">
        <f t="shared" si="4"/>
        <v/>
      </c>
    </row>
    <row r="433" ht="15.75" customHeight="1">
      <c r="A433" s="31" t="str">
        <f>'EQUITY BACKTEST'!A436</f>
        <v/>
      </c>
      <c r="B433" s="22" t="str">
        <f>'EQUITY BACKTEST'!B436</f>
        <v/>
      </c>
      <c r="C433" s="22" t="str">
        <f>1/'EQUITY BACKTEST'!E436</f>
        <v>#DIV/0!</v>
      </c>
      <c r="D433" s="22" t="str">
        <f t="shared" si="1"/>
        <v>#DIV/0!</v>
      </c>
      <c r="E433" s="22" t="str">
        <f t="shared" ref="E433:F433" si="433">IF(A433&lt;&gt;"", (B433 - B432) / B432, "")</f>
        <v/>
      </c>
      <c r="F433" s="22" t="str">
        <f t="shared" si="433"/>
        <v/>
      </c>
      <c r="H433" s="22" t="str">
        <f t="shared" si="4"/>
        <v/>
      </c>
    </row>
    <row r="434" ht="15.75" customHeight="1">
      <c r="A434" s="31" t="str">
        <f>'EQUITY BACKTEST'!A437</f>
        <v/>
      </c>
      <c r="B434" s="22" t="str">
        <f>'EQUITY BACKTEST'!B437</f>
        <v/>
      </c>
      <c r="C434" s="22" t="str">
        <f>1/'EQUITY BACKTEST'!E437</f>
        <v>#DIV/0!</v>
      </c>
      <c r="D434" s="22" t="str">
        <f t="shared" si="1"/>
        <v>#DIV/0!</v>
      </c>
      <c r="E434" s="22" t="str">
        <f t="shared" ref="E434:F434" si="434">IF(A434&lt;&gt;"", (B434 - B433) / B433, "")</f>
        <v/>
      </c>
      <c r="F434" s="22" t="str">
        <f t="shared" si="434"/>
        <v/>
      </c>
      <c r="H434" s="22" t="str">
        <f t="shared" si="4"/>
        <v/>
      </c>
    </row>
    <row r="435" ht="15.75" customHeight="1">
      <c r="A435" s="31" t="str">
        <f>'EQUITY BACKTEST'!A438</f>
        <v/>
      </c>
      <c r="B435" s="22" t="str">
        <f>'EQUITY BACKTEST'!B438</f>
        <v/>
      </c>
      <c r="C435" s="22" t="str">
        <f>1/'EQUITY BACKTEST'!E438</f>
        <v>#DIV/0!</v>
      </c>
      <c r="D435" s="22" t="str">
        <f t="shared" si="1"/>
        <v>#DIV/0!</v>
      </c>
      <c r="E435" s="22" t="str">
        <f t="shared" ref="E435:F435" si="435">IF(A435&lt;&gt;"", (B435 - B434) / B434, "")</f>
        <v/>
      </c>
      <c r="F435" s="22" t="str">
        <f t="shared" si="435"/>
        <v/>
      </c>
      <c r="H435" s="22" t="str">
        <f t="shared" si="4"/>
        <v/>
      </c>
    </row>
    <row r="436" ht="15.75" customHeight="1">
      <c r="A436" s="31" t="str">
        <f>'EQUITY BACKTEST'!A439</f>
        <v/>
      </c>
      <c r="B436" s="22" t="str">
        <f>'EQUITY BACKTEST'!B439</f>
        <v/>
      </c>
      <c r="C436" s="22" t="str">
        <f>1/'EQUITY BACKTEST'!E439</f>
        <v>#DIV/0!</v>
      </c>
      <c r="D436" s="22" t="str">
        <f t="shared" si="1"/>
        <v>#DIV/0!</v>
      </c>
      <c r="E436" s="22" t="str">
        <f t="shared" ref="E436:F436" si="436">IF(A436&lt;&gt;"", (B436 - B435) / B435, "")</f>
        <v/>
      </c>
      <c r="F436" s="22" t="str">
        <f t="shared" si="436"/>
        <v/>
      </c>
      <c r="H436" s="22" t="str">
        <f t="shared" si="4"/>
        <v/>
      </c>
    </row>
    <row r="437" ht="15.75" customHeight="1">
      <c r="A437" s="31" t="str">
        <f>'EQUITY BACKTEST'!A440</f>
        <v/>
      </c>
      <c r="B437" s="22" t="str">
        <f>'EQUITY BACKTEST'!B440</f>
        <v/>
      </c>
      <c r="C437" s="22" t="str">
        <f>1/'EQUITY BACKTEST'!E440</f>
        <v>#DIV/0!</v>
      </c>
      <c r="D437" s="22" t="str">
        <f t="shared" si="1"/>
        <v>#DIV/0!</v>
      </c>
      <c r="E437" s="22" t="str">
        <f t="shared" ref="E437:F437" si="437">IF(A437&lt;&gt;"", (B437 - B436) / B436, "")</f>
        <v/>
      </c>
      <c r="F437" s="22" t="str">
        <f t="shared" si="437"/>
        <v/>
      </c>
      <c r="H437" s="22" t="str">
        <f t="shared" si="4"/>
        <v/>
      </c>
    </row>
    <row r="438" ht="15.75" customHeight="1">
      <c r="A438" s="31" t="str">
        <f>'EQUITY BACKTEST'!A441</f>
        <v/>
      </c>
      <c r="B438" s="22" t="str">
        <f>'EQUITY BACKTEST'!B441</f>
        <v/>
      </c>
      <c r="C438" s="22" t="str">
        <f>1/'EQUITY BACKTEST'!E441</f>
        <v>#DIV/0!</v>
      </c>
      <c r="D438" s="22" t="str">
        <f t="shared" si="1"/>
        <v>#DIV/0!</v>
      </c>
      <c r="E438" s="22" t="str">
        <f t="shared" ref="E438:F438" si="438">IF(A438&lt;&gt;"", (B438 - B437) / B437, "")</f>
        <v/>
      </c>
      <c r="F438" s="22" t="str">
        <f t="shared" si="438"/>
        <v/>
      </c>
      <c r="H438" s="22" t="str">
        <f t="shared" si="4"/>
        <v/>
      </c>
    </row>
    <row r="439" ht="15.75" customHeight="1">
      <c r="A439" s="31" t="str">
        <f>'EQUITY BACKTEST'!A442</f>
        <v/>
      </c>
      <c r="B439" s="22" t="str">
        <f>'EQUITY BACKTEST'!B442</f>
        <v/>
      </c>
      <c r="C439" s="22" t="str">
        <f>1/'EQUITY BACKTEST'!E442</f>
        <v>#DIV/0!</v>
      </c>
      <c r="D439" s="22" t="str">
        <f t="shared" si="1"/>
        <v>#DIV/0!</v>
      </c>
      <c r="E439" s="22" t="str">
        <f t="shared" ref="E439:F439" si="439">IF(A439&lt;&gt;"", (B439 - B438) / B438, "")</f>
        <v/>
      </c>
      <c r="F439" s="22" t="str">
        <f t="shared" si="439"/>
        <v/>
      </c>
      <c r="H439" s="22" t="str">
        <f t="shared" si="4"/>
        <v/>
      </c>
    </row>
    <row r="440" ht="15.75" customHeight="1">
      <c r="A440" s="31" t="str">
        <f>'EQUITY BACKTEST'!A443</f>
        <v/>
      </c>
      <c r="B440" s="22" t="str">
        <f>'EQUITY BACKTEST'!B443</f>
        <v/>
      </c>
      <c r="C440" s="22" t="str">
        <f>1/'EQUITY BACKTEST'!E443</f>
        <v>#DIV/0!</v>
      </c>
      <c r="D440" s="22" t="str">
        <f t="shared" si="1"/>
        <v>#DIV/0!</v>
      </c>
      <c r="E440" s="22" t="str">
        <f t="shared" ref="E440:F440" si="440">IF(A440&lt;&gt;"", (B440 - B439) / B439, "")</f>
        <v/>
      </c>
      <c r="F440" s="22" t="str">
        <f t="shared" si="440"/>
        <v/>
      </c>
      <c r="H440" s="22" t="str">
        <f t="shared" si="4"/>
        <v/>
      </c>
    </row>
    <row r="441" ht="15.75" customHeight="1">
      <c r="A441" s="31" t="str">
        <f>'EQUITY BACKTEST'!A444</f>
        <v/>
      </c>
      <c r="B441" s="22" t="str">
        <f>'EQUITY BACKTEST'!B444</f>
        <v/>
      </c>
      <c r="C441" s="22" t="str">
        <f>1/'EQUITY BACKTEST'!E444</f>
        <v>#DIV/0!</v>
      </c>
      <c r="D441" s="22" t="str">
        <f t="shared" si="1"/>
        <v>#DIV/0!</v>
      </c>
      <c r="E441" s="22" t="str">
        <f t="shared" ref="E441:F441" si="441">IF(A441&lt;&gt;"", (B441 - B440) / B440, "")</f>
        <v/>
      </c>
      <c r="F441" s="22" t="str">
        <f t="shared" si="441"/>
        <v/>
      </c>
      <c r="H441" s="22" t="str">
        <f t="shared" si="4"/>
        <v/>
      </c>
    </row>
    <row r="442" ht="15.75" customHeight="1">
      <c r="A442" s="31" t="str">
        <f>'EQUITY BACKTEST'!A445</f>
        <v/>
      </c>
      <c r="B442" s="22" t="str">
        <f>'EQUITY BACKTEST'!B445</f>
        <v/>
      </c>
      <c r="C442" s="22" t="str">
        <f>1/'EQUITY BACKTEST'!E445</f>
        <v>#DIV/0!</v>
      </c>
      <c r="D442" s="22" t="str">
        <f t="shared" si="1"/>
        <v>#DIV/0!</v>
      </c>
      <c r="E442" s="22" t="str">
        <f t="shared" ref="E442:F442" si="442">IF(A442&lt;&gt;"", (B442 - B441) / B441, "")</f>
        <v/>
      </c>
      <c r="F442" s="22" t="str">
        <f t="shared" si="442"/>
        <v/>
      </c>
      <c r="H442" s="22" t="str">
        <f t="shared" si="4"/>
        <v/>
      </c>
    </row>
    <row r="443" ht="15.75" customHeight="1">
      <c r="A443" s="31" t="str">
        <f>'EQUITY BACKTEST'!A446</f>
        <v/>
      </c>
      <c r="B443" s="22" t="str">
        <f>'EQUITY BACKTEST'!B446</f>
        <v/>
      </c>
      <c r="C443" s="22" t="str">
        <f>1/'EQUITY BACKTEST'!E446</f>
        <v>#DIV/0!</v>
      </c>
      <c r="D443" s="22" t="str">
        <f t="shared" si="1"/>
        <v>#DIV/0!</v>
      </c>
      <c r="E443" s="22" t="str">
        <f t="shared" ref="E443:F443" si="443">IF(A443&lt;&gt;"", (B443 - B442) / B442, "")</f>
        <v/>
      </c>
      <c r="F443" s="22" t="str">
        <f t="shared" si="443"/>
        <v/>
      </c>
      <c r="H443" s="22" t="str">
        <f t="shared" si="4"/>
        <v/>
      </c>
    </row>
    <row r="444" ht="15.75" customHeight="1">
      <c r="A444" s="31" t="str">
        <f>'EQUITY BACKTEST'!A447</f>
        <v/>
      </c>
      <c r="B444" s="22" t="str">
        <f>'EQUITY BACKTEST'!B447</f>
        <v/>
      </c>
      <c r="C444" s="22" t="str">
        <f>1/'EQUITY BACKTEST'!E447</f>
        <v>#DIV/0!</v>
      </c>
      <c r="D444" s="22" t="str">
        <f t="shared" si="1"/>
        <v>#DIV/0!</v>
      </c>
      <c r="E444" s="22" t="str">
        <f t="shared" ref="E444:F444" si="444">IF(A444&lt;&gt;"", (B444 - B443) / B443, "")</f>
        <v/>
      </c>
      <c r="F444" s="22" t="str">
        <f t="shared" si="444"/>
        <v/>
      </c>
      <c r="H444" s="22" t="str">
        <f t="shared" si="4"/>
        <v/>
      </c>
    </row>
    <row r="445" ht="15.75" customHeight="1">
      <c r="A445" s="31" t="str">
        <f>'EQUITY BACKTEST'!A448</f>
        <v/>
      </c>
      <c r="B445" s="22" t="str">
        <f>'EQUITY BACKTEST'!B448</f>
        <v/>
      </c>
      <c r="C445" s="22" t="str">
        <f>1/'EQUITY BACKTEST'!E448</f>
        <v>#DIV/0!</v>
      </c>
      <c r="D445" s="22" t="str">
        <f t="shared" si="1"/>
        <v>#DIV/0!</v>
      </c>
      <c r="E445" s="22" t="str">
        <f t="shared" ref="E445:F445" si="445">IF(A445&lt;&gt;"", (B445 - B444) / B444, "")</f>
        <v/>
      </c>
      <c r="F445" s="22" t="str">
        <f t="shared" si="445"/>
        <v/>
      </c>
      <c r="H445" s="22" t="str">
        <f t="shared" si="4"/>
        <v/>
      </c>
    </row>
    <row r="446" ht="15.75" customHeight="1">
      <c r="A446" s="31" t="str">
        <f>'EQUITY BACKTEST'!A449</f>
        <v/>
      </c>
      <c r="B446" s="22" t="str">
        <f>'EQUITY BACKTEST'!B449</f>
        <v/>
      </c>
      <c r="C446" s="22" t="str">
        <f>1/'EQUITY BACKTEST'!E449</f>
        <v>#DIV/0!</v>
      </c>
      <c r="D446" s="22" t="str">
        <f t="shared" si="1"/>
        <v>#DIV/0!</v>
      </c>
      <c r="E446" s="22" t="str">
        <f t="shared" ref="E446:F446" si="446">IF(A446&lt;&gt;"", (B446 - B445) / B445, "")</f>
        <v/>
      </c>
      <c r="F446" s="22" t="str">
        <f t="shared" si="446"/>
        <v/>
      </c>
      <c r="H446" s="22" t="str">
        <f t="shared" si="4"/>
        <v/>
      </c>
    </row>
    <row r="447" ht="15.75" customHeight="1">
      <c r="A447" s="31" t="str">
        <f>'EQUITY BACKTEST'!A450</f>
        <v/>
      </c>
      <c r="B447" s="22" t="str">
        <f>'EQUITY BACKTEST'!B450</f>
        <v/>
      </c>
      <c r="C447" s="22" t="str">
        <f>1/'EQUITY BACKTEST'!E450</f>
        <v>#DIV/0!</v>
      </c>
      <c r="D447" s="22" t="str">
        <f t="shared" si="1"/>
        <v>#DIV/0!</v>
      </c>
      <c r="E447" s="22" t="str">
        <f t="shared" ref="E447:F447" si="447">IF(A447&lt;&gt;"", (B447 - B446) / B446, "")</f>
        <v/>
      </c>
      <c r="F447" s="22" t="str">
        <f t="shared" si="447"/>
        <v/>
      </c>
      <c r="H447" s="22" t="str">
        <f t="shared" si="4"/>
        <v/>
      </c>
    </row>
    <row r="448" ht="15.75" customHeight="1">
      <c r="A448" s="31" t="str">
        <f>'EQUITY BACKTEST'!A451</f>
        <v/>
      </c>
      <c r="B448" s="22" t="str">
        <f>'EQUITY BACKTEST'!B451</f>
        <v/>
      </c>
      <c r="C448" s="22" t="str">
        <f>1/'EQUITY BACKTEST'!E451</f>
        <v>#DIV/0!</v>
      </c>
      <c r="D448" s="22" t="str">
        <f t="shared" si="1"/>
        <v>#DIV/0!</v>
      </c>
      <c r="E448" s="22" t="str">
        <f t="shared" ref="E448:F448" si="448">IF(A448&lt;&gt;"", (B448 - B447) / B447, "")</f>
        <v/>
      </c>
      <c r="F448" s="22" t="str">
        <f t="shared" si="448"/>
        <v/>
      </c>
      <c r="H448" s="22" t="str">
        <f t="shared" si="4"/>
        <v/>
      </c>
    </row>
    <row r="449" ht="15.75" customHeight="1">
      <c r="A449" s="31" t="str">
        <f>'EQUITY BACKTEST'!A452</f>
        <v/>
      </c>
      <c r="B449" s="22" t="str">
        <f>'EQUITY BACKTEST'!B452</f>
        <v/>
      </c>
      <c r="C449" s="22" t="str">
        <f>1/'EQUITY BACKTEST'!E452</f>
        <v>#DIV/0!</v>
      </c>
      <c r="D449" s="22" t="str">
        <f t="shared" si="1"/>
        <v>#DIV/0!</v>
      </c>
      <c r="E449" s="22" t="str">
        <f t="shared" ref="E449:F449" si="449">IF(A449&lt;&gt;"", (B449 - B448) / B448, "")</f>
        <v/>
      </c>
      <c r="F449" s="22" t="str">
        <f t="shared" si="449"/>
        <v/>
      </c>
      <c r="H449" s="22" t="str">
        <f t="shared" si="4"/>
        <v/>
      </c>
    </row>
    <row r="450" ht="15.75" customHeight="1">
      <c r="A450" s="31" t="str">
        <f>'EQUITY BACKTEST'!A453</f>
        <v/>
      </c>
      <c r="B450" s="22" t="str">
        <f>'EQUITY BACKTEST'!B453</f>
        <v/>
      </c>
      <c r="C450" s="22" t="str">
        <f>1/'EQUITY BACKTEST'!E453</f>
        <v>#DIV/0!</v>
      </c>
      <c r="D450" s="22" t="str">
        <f t="shared" si="1"/>
        <v>#DIV/0!</v>
      </c>
      <c r="E450" s="22" t="str">
        <f t="shared" ref="E450:F450" si="450">IF(A450&lt;&gt;"", (B450 - B449) / B449, "")</f>
        <v/>
      </c>
      <c r="F450" s="22" t="str">
        <f t="shared" si="450"/>
        <v/>
      </c>
      <c r="H450" s="22" t="str">
        <f t="shared" si="4"/>
        <v/>
      </c>
    </row>
    <row r="451" ht="15.75" customHeight="1">
      <c r="A451" s="31" t="str">
        <f>'EQUITY BACKTEST'!A454</f>
        <v/>
      </c>
      <c r="B451" s="22" t="str">
        <f>'EQUITY BACKTEST'!B454</f>
        <v/>
      </c>
      <c r="C451" s="22" t="str">
        <f>1/'EQUITY BACKTEST'!E454</f>
        <v>#DIV/0!</v>
      </c>
      <c r="D451" s="22" t="str">
        <f t="shared" si="1"/>
        <v>#DIV/0!</v>
      </c>
      <c r="E451" s="22" t="str">
        <f t="shared" ref="E451:F451" si="451">IF(A451&lt;&gt;"", (B451 - B450) / B450, "")</f>
        <v/>
      </c>
      <c r="F451" s="22" t="str">
        <f t="shared" si="451"/>
        <v/>
      </c>
      <c r="H451" s="22" t="str">
        <f t="shared" si="4"/>
        <v/>
      </c>
    </row>
    <row r="452" ht="15.75" customHeight="1">
      <c r="A452" s="31" t="str">
        <f>'EQUITY BACKTEST'!A455</f>
        <v/>
      </c>
      <c r="B452" s="22" t="str">
        <f>'EQUITY BACKTEST'!B455</f>
        <v/>
      </c>
      <c r="C452" s="22" t="str">
        <f>1/'EQUITY BACKTEST'!E455</f>
        <v>#DIV/0!</v>
      </c>
      <c r="D452" s="22" t="str">
        <f t="shared" si="1"/>
        <v>#DIV/0!</v>
      </c>
      <c r="E452" s="22" t="str">
        <f t="shared" ref="E452:F452" si="452">IF(A452&lt;&gt;"", (B452 - B451) / B451, "")</f>
        <v/>
      </c>
      <c r="F452" s="22" t="str">
        <f t="shared" si="452"/>
        <v/>
      </c>
      <c r="H452" s="22" t="str">
        <f t="shared" si="4"/>
        <v/>
      </c>
    </row>
    <row r="453" ht="15.75" customHeight="1">
      <c r="A453" s="31" t="str">
        <f>'EQUITY BACKTEST'!A456</f>
        <v/>
      </c>
      <c r="B453" s="22" t="str">
        <f>'EQUITY BACKTEST'!B456</f>
        <v/>
      </c>
      <c r="C453" s="22" t="str">
        <f>1/'EQUITY BACKTEST'!E456</f>
        <v>#DIV/0!</v>
      </c>
      <c r="D453" s="22" t="str">
        <f t="shared" si="1"/>
        <v>#DIV/0!</v>
      </c>
      <c r="E453" s="22" t="str">
        <f t="shared" ref="E453:F453" si="453">IF(A453&lt;&gt;"", (B453 - B452) / B452, "")</f>
        <v/>
      </c>
      <c r="F453" s="22" t="str">
        <f t="shared" si="453"/>
        <v/>
      </c>
      <c r="H453" s="22" t="str">
        <f t="shared" si="4"/>
        <v/>
      </c>
    </row>
    <row r="454" ht="15.75" customHeight="1">
      <c r="A454" s="31" t="str">
        <f>'EQUITY BACKTEST'!A457</f>
        <v/>
      </c>
      <c r="B454" s="22" t="str">
        <f>'EQUITY BACKTEST'!B457</f>
        <v/>
      </c>
      <c r="C454" s="22" t="str">
        <f>1/'EQUITY BACKTEST'!E457</f>
        <v>#DIV/0!</v>
      </c>
      <c r="D454" s="22" t="str">
        <f t="shared" si="1"/>
        <v>#DIV/0!</v>
      </c>
      <c r="E454" s="22" t="str">
        <f t="shared" ref="E454:F454" si="454">IF(A454&lt;&gt;"", (B454 - B453) / B453, "")</f>
        <v/>
      </c>
      <c r="F454" s="22" t="str">
        <f t="shared" si="454"/>
        <v/>
      </c>
      <c r="H454" s="22" t="str">
        <f t="shared" si="4"/>
        <v/>
      </c>
    </row>
    <row r="455" ht="15.75" customHeight="1">
      <c r="A455" s="31" t="str">
        <f>'EQUITY BACKTEST'!A458</f>
        <v/>
      </c>
      <c r="B455" s="22" t="str">
        <f>'EQUITY BACKTEST'!B458</f>
        <v/>
      </c>
      <c r="C455" s="22" t="str">
        <f>1/'EQUITY BACKTEST'!E458</f>
        <v>#DIV/0!</v>
      </c>
      <c r="D455" s="22" t="str">
        <f t="shared" si="1"/>
        <v>#DIV/0!</v>
      </c>
      <c r="E455" s="22" t="str">
        <f t="shared" ref="E455:F455" si="455">IF(A455&lt;&gt;"", (B455 - B454) / B454, "")</f>
        <v/>
      </c>
      <c r="F455" s="22" t="str">
        <f t="shared" si="455"/>
        <v/>
      </c>
      <c r="H455" s="22" t="str">
        <f t="shared" si="4"/>
        <v/>
      </c>
    </row>
    <row r="456" ht="15.75" customHeight="1">
      <c r="A456" s="31" t="str">
        <f>'EQUITY BACKTEST'!A459</f>
        <v/>
      </c>
      <c r="B456" s="22" t="str">
        <f>'EQUITY BACKTEST'!B459</f>
        <v/>
      </c>
      <c r="C456" s="22" t="str">
        <f>1/'EQUITY BACKTEST'!E459</f>
        <v>#DIV/0!</v>
      </c>
      <c r="D456" s="22" t="str">
        <f t="shared" si="1"/>
        <v>#DIV/0!</v>
      </c>
      <c r="E456" s="22" t="str">
        <f t="shared" ref="E456:F456" si="456">IF(A456&lt;&gt;"", (B456 - B455) / B455, "")</f>
        <v/>
      </c>
      <c r="F456" s="22" t="str">
        <f t="shared" si="456"/>
        <v/>
      </c>
      <c r="H456" s="22" t="str">
        <f t="shared" si="4"/>
        <v/>
      </c>
    </row>
    <row r="457" ht="15.75" customHeight="1">
      <c r="A457" s="31" t="str">
        <f>'EQUITY BACKTEST'!A460</f>
        <v/>
      </c>
      <c r="B457" s="22" t="str">
        <f>'EQUITY BACKTEST'!B460</f>
        <v/>
      </c>
      <c r="C457" s="22" t="str">
        <f>1/'EQUITY BACKTEST'!E460</f>
        <v>#DIV/0!</v>
      </c>
      <c r="D457" s="22" t="str">
        <f t="shared" si="1"/>
        <v>#DIV/0!</v>
      </c>
      <c r="E457" s="22" t="str">
        <f t="shared" ref="E457:F457" si="457">IF(A457&lt;&gt;"", (B457 - B456) / B456, "")</f>
        <v/>
      </c>
      <c r="F457" s="22" t="str">
        <f t="shared" si="457"/>
        <v/>
      </c>
      <c r="H457" s="22" t="str">
        <f t="shared" si="4"/>
        <v/>
      </c>
    </row>
    <row r="458" ht="15.75" customHeight="1">
      <c r="A458" s="31" t="str">
        <f>'EQUITY BACKTEST'!A461</f>
        <v/>
      </c>
      <c r="B458" s="22" t="str">
        <f>'EQUITY BACKTEST'!B461</f>
        <v/>
      </c>
      <c r="C458" s="22" t="str">
        <f>1/'EQUITY BACKTEST'!E461</f>
        <v>#DIV/0!</v>
      </c>
      <c r="D458" s="22" t="str">
        <f t="shared" si="1"/>
        <v>#DIV/0!</v>
      </c>
      <c r="E458" s="22" t="str">
        <f t="shared" ref="E458:F458" si="458">IF(A458&lt;&gt;"", (B458 - B457) / B457, "")</f>
        <v/>
      </c>
      <c r="F458" s="22" t="str">
        <f t="shared" si="458"/>
        <v/>
      </c>
      <c r="H458" s="22" t="str">
        <f t="shared" si="4"/>
        <v/>
      </c>
    </row>
    <row r="459" ht="15.75" customHeight="1">
      <c r="A459" s="31" t="str">
        <f>'EQUITY BACKTEST'!A462</f>
        <v/>
      </c>
      <c r="B459" s="22" t="str">
        <f>'EQUITY BACKTEST'!B462</f>
        <v/>
      </c>
      <c r="C459" s="22" t="str">
        <f>1/'EQUITY BACKTEST'!E462</f>
        <v>#DIV/0!</v>
      </c>
      <c r="D459" s="22" t="str">
        <f t="shared" si="1"/>
        <v>#DIV/0!</v>
      </c>
      <c r="E459" s="22" t="str">
        <f t="shared" ref="E459:F459" si="459">IF(A459&lt;&gt;"", (B459 - B458) / B458, "")</f>
        <v/>
      </c>
      <c r="F459" s="22" t="str">
        <f t="shared" si="459"/>
        <v/>
      </c>
      <c r="H459" s="22" t="str">
        <f t="shared" si="4"/>
        <v/>
      </c>
    </row>
    <row r="460" ht="15.75" customHeight="1">
      <c r="A460" s="31" t="str">
        <f>'EQUITY BACKTEST'!A463</f>
        <v/>
      </c>
      <c r="B460" s="22" t="str">
        <f>'EQUITY BACKTEST'!B463</f>
        <v/>
      </c>
      <c r="C460" s="22" t="str">
        <f>1/'EQUITY BACKTEST'!E463</f>
        <v>#DIV/0!</v>
      </c>
      <c r="D460" s="22" t="str">
        <f t="shared" si="1"/>
        <v>#DIV/0!</v>
      </c>
      <c r="E460" s="22" t="str">
        <f t="shared" ref="E460:F460" si="460">IF(A460&lt;&gt;"", (B460 - B459) / B459, "")</f>
        <v/>
      </c>
      <c r="F460" s="22" t="str">
        <f t="shared" si="460"/>
        <v/>
      </c>
      <c r="H460" s="22" t="str">
        <f t="shared" si="4"/>
        <v/>
      </c>
    </row>
    <row r="461" ht="15.75" customHeight="1">
      <c r="A461" s="31" t="str">
        <f>'EQUITY BACKTEST'!A464</f>
        <v/>
      </c>
      <c r="B461" s="22" t="str">
        <f>'EQUITY BACKTEST'!B464</f>
        <v/>
      </c>
      <c r="C461" s="22" t="str">
        <f>1/'EQUITY BACKTEST'!E464</f>
        <v>#DIV/0!</v>
      </c>
      <c r="D461" s="22" t="str">
        <f t="shared" si="1"/>
        <v>#DIV/0!</v>
      </c>
      <c r="E461" s="22" t="str">
        <f t="shared" ref="E461:F461" si="461">IF(A461&lt;&gt;"", (B461 - B460) / B460, "")</f>
        <v/>
      </c>
      <c r="F461" s="22" t="str">
        <f t="shared" si="461"/>
        <v/>
      </c>
      <c r="H461" s="22" t="str">
        <f t="shared" si="4"/>
        <v/>
      </c>
    </row>
    <row r="462" ht="15.75" customHeight="1">
      <c r="A462" s="31" t="str">
        <f>'EQUITY BACKTEST'!A465</f>
        <v/>
      </c>
      <c r="B462" s="22" t="str">
        <f>'EQUITY BACKTEST'!B465</f>
        <v/>
      </c>
      <c r="C462" s="22" t="str">
        <f>1/'EQUITY BACKTEST'!E465</f>
        <v>#DIV/0!</v>
      </c>
      <c r="D462" s="22" t="str">
        <f t="shared" si="1"/>
        <v>#DIV/0!</v>
      </c>
      <c r="E462" s="22" t="str">
        <f t="shared" ref="E462:F462" si="462">IF(A462&lt;&gt;"", (B462 - B461) / B461, "")</f>
        <v/>
      </c>
      <c r="F462" s="22" t="str">
        <f t="shared" si="462"/>
        <v/>
      </c>
      <c r="H462" s="22" t="str">
        <f t="shared" si="4"/>
        <v/>
      </c>
    </row>
    <row r="463" ht="15.75" customHeight="1">
      <c r="A463" s="31" t="str">
        <f>'EQUITY BACKTEST'!A466</f>
        <v/>
      </c>
      <c r="B463" s="22" t="str">
        <f>'EQUITY BACKTEST'!B466</f>
        <v/>
      </c>
      <c r="C463" s="22" t="str">
        <f>1/'EQUITY BACKTEST'!E466</f>
        <v>#DIV/0!</v>
      </c>
      <c r="D463" s="22" t="str">
        <f t="shared" si="1"/>
        <v>#DIV/0!</v>
      </c>
      <c r="E463" s="22" t="str">
        <f t="shared" ref="E463:F463" si="463">IF(A463&lt;&gt;"", (B463 - B462) / B462, "")</f>
        <v/>
      </c>
      <c r="F463" s="22" t="str">
        <f t="shared" si="463"/>
        <v/>
      </c>
      <c r="H463" s="22" t="str">
        <f t="shared" si="4"/>
        <v/>
      </c>
    </row>
    <row r="464" ht="15.75" customHeight="1">
      <c r="A464" s="31" t="str">
        <f>'EQUITY BACKTEST'!A467</f>
        <v/>
      </c>
      <c r="B464" s="22" t="str">
        <f>'EQUITY BACKTEST'!B467</f>
        <v/>
      </c>
      <c r="C464" s="22" t="str">
        <f>1/'EQUITY BACKTEST'!E467</f>
        <v>#DIV/0!</v>
      </c>
      <c r="D464" s="22" t="str">
        <f t="shared" si="1"/>
        <v>#DIV/0!</v>
      </c>
      <c r="E464" s="22" t="str">
        <f t="shared" ref="E464:F464" si="464">IF(A464&lt;&gt;"", (B464 - B463) / B463, "")</f>
        <v/>
      </c>
      <c r="F464" s="22" t="str">
        <f t="shared" si="464"/>
        <v/>
      </c>
      <c r="H464" s="22" t="str">
        <f t="shared" si="4"/>
        <v/>
      </c>
    </row>
    <row r="465" ht="15.75" customHeight="1">
      <c r="A465" s="31" t="str">
        <f>'EQUITY BACKTEST'!A468</f>
        <v/>
      </c>
      <c r="B465" s="22" t="str">
        <f>'EQUITY BACKTEST'!B468</f>
        <v/>
      </c>
      <c r="C465" s="22" t="str">
        <f>1/'EQUITY BACKTEST'!E468</f>
        <v>#DIV/0!</v>
      </c>
      <c r="D465" s="22" t="str">
        <f t="shared" si="1"/>
        <v>#DIV/0!</v>
      </c>
      <c r="E465" s="22" t="str">
        <f t="shared" ref="E465:F465" si="465">IF(A465&lt;&gt;"", (B465 - B464) / B464, "")</f>
        <v/>
      </c>
      <c r="F465" s="22" t="str">
        <f t="shared" si="465"/>
        <v/>
      </c>
      <c r="H465" s="22" t="str">
        <f t="shared" si="4"/>
        <v/>
      </c>
    </row>
    <row r="466" ht="15.75" customHeight="1">
      <c r="A466" s="31" t="str">
        <f>'EQUITY BACKTEST'!A469</f>
        <v/>
      </c>
      <c r="B466" s="22" t="str">
        <f>'EQUITY BACKTEST'!B469</f>
        <v/>
      </c>
      <c r="C466" s="22" t="str">
        <f>1/'EQUITY BACKTEST'!E469</f>
        <v>#DIV/0!</v>
      </c>
      <c r="D466" s="22" t="str">
        <f t="shared" si="1"/>
        <v>#DIV/0!</v>
      </c>
      <c r="E466" s="22" t="str">
        <f t="shared" ref="E466:F466" si="466">IF(A466&lt;&gt;"", (B466 - B465) / B465, "")</f>
        <v/>
      </c>
      <c r="F466" s="22" t="str">
        <f t="shared" si="466"/>
        <v/>
      </c>
      <c r="H466" s="22" t="str">
        <f t="shared" si="4"/>
        <v/>
      </c>
    </row>
    <row r="467" ht="15.75" customHeight="1">
      <c r="A467" s="31" t="str">
        <f>'EQUITY BACKTEST'!A470</f>
        <v/>
      </c>
      <c r="B467" s="22" t="str">
        <f>'EQUITY BACKTEST'!B470</f>
        <v/>
      </c>
      <c r="C467" s="22" t="str">
        <f>1/'EQUITY BACKTEST'!E470</f>
        <v>#DIV/0!</v>
      </c>
      <c r="D467" s="22" t="str">
        <f t="shared" si="1"/>
        <v>#DIV/0!</v>
      </c>
      <c r="E467" s="22" t="str">
        <f t="shared" ref="E467:F467" si="467">IF(A467&lt;&gt;"", (B467 - B466) / B466, "")</f>
        <v/>
      </c>
      <c r="F467" s="22" t="str">
        <f t="shared" si="467"/>
        <v/>
      </c>
      <c r="H467" s="22" t="str">
        <f t="shared" si="4"/>
        <v/>
      </c>
    </row>
    <row r="468" ht="15.75" customHeight="1">
      <c r="A468" s="31" t="str">
        <f>'EQUITY BACKTEST'!A471</f>
        <v/>
      </c>
      <c r="B468" s="22" t="str">
        <f>'EQUITY BACKTEST'!B471</f>
        <v/>
      </c>
      <c r="C468" s="22" t="str">
        <f>1/'EQUITY BACKTEST'!E471</f>
        <v>#DIV/0!</v>
      </c>
      <c r="D468" s="22" t="str">
        <f t="shared" si="1"/>
        <v>#DIV/0!</v>
      </c>
      <c r="E468" s="22" t="str">
        <f t="shared" ref="E468:F468" si="468">IF(A468&lt;&gt;"", (B468 - B467) / B467, "")</f>
        <v/>
      </c>
      <c r="F468" s="22" t="str">
        <f t="shared" si="468"/>
        <v/>
      </c>
      <c r="H468" s="22" t="str">
        <f t="shared" si="4"/>
        <v/>
      </c>
    </row>
    <row r="469" ht="15.75" customHeight="1">
      <c r="A469" s="31" t="str">
        <f>'EQUITY BACKTEST'!A472</f>
        <v/>
      </c>
      <c r="B469" s="22" t="str">
        <f>'EQUITY BACKTEST'!B472</f>
        <v/>
      </c>
      <c r="C469" s="22" t="str">
        <f>1/'EQUITY BACKTEST'!E472</f>
        <v>#DIV/0!</v>
      </c>
      <c r="D469" s="22" t="str">
        <f t="shared" si="1"/>
        <v>#DIV/0!</v>
      </c>
      <c r="E469" s="22" t="str">
        <f t="shared" ref="E469:F469" si="469">IF(A469&lt;&gt;"", (B469 - B468) / B468, "")</f>
        <v/>
      </c>
      <c r="F469" s="22" t="str">
        <f t="shared" si="469"/>
        <v/>
      </c>
      <c r="H469" s="22" t="str">
        <f t="shared" si="4"/>
        <v/>
      </c>
    </row>
    <row r="470" ht="15.75" customHeight="1">
      <c r="A470" s="31" t="str">
        <f>'EQUITY BACKTEST'!A473</f>
        <v/>
      </c>
      <c r="B470" s="22" t="str">
        <f>'EQUITY BACKTEST'!B473</f>
        <v/>
      </c>
      <c r="C470" s="22" t="str">
        <f>1/'EQUITY BACKTEST'!E473</f>
        <v>#DIV/0!</v>
      </c>
      <c r="D470" s="22" t="str">
        <f t="shared" si="1"/>
        <v>#DIV/0!</v>
      </c>
      <c r="E470" s="22" t="str">
        <f t="shared" ref="E470:F470" si="470">IF(A470&lt;&gt;"", (B470 - B469) / B469, "")</f>
        <v/>
      </c>
      <c r="F470" s="22" t="str">
        <f t="shared" si="470"/>
        <v/>
      </c>
      <c r="H470" s="22" t="str">
        <f t="shared" si="4"/>
        <v/>
      </c>
    </row>
    <row r="471" ht="15.75" customHeight="1">
      <c r="A471" s="31" t="str">
        <f>'EQUITY BACKTEST'!A474</f>
        <v/>
      </c>
      <c r="B471" s="22" t="str">
        <f>'EQUITY BACKTEST'!B474</f>
        <v/>
      </c>
      <c r="C471" s="22" t="str">
        <f>1/'EQUITY BACKTEST'!E474</f>
        <v>#DIV/0!</v>
      </c>
      <c r="D471" s="22" t="str">
        <f t="shared" si="1"/>
        <v>#DIV/0!</v>
      </c>
      <c r="E471" s="22" t="str">
        <f t="shared" ref="E471:F471" si="471">IF(A471&lt;&gt;"", (B471 - B470) / B470, "")</f>
        <v/>
      </c>
      <c r="F471" s="22" t="str">
        <f t="shared" si="471"/>
        <v/>
      </c>
      <c r="H471" s="22" t="str">
        <f t="shared" si="4"/>
        <v/>
      </c>
    </row>
    <row r="472" ht="15.75" customHeight="1">
      <c r="A472" s="31" t="str">
        <f>'EQUITY BACKTEST'!A475</f>
        <v/>
      </c>
      <c r="B472" s="22" t="str">
        <f>'EQUITY BACKTEST'!B475</f>
        <v/>
      </c>
      <c r="C472" s="22" t="str">
        <f>1/'EQUITY BACKTEST'!E475</f>
        <v>#DIV/0!</v>
      </c>
      <c r="D472" s="22" t="str">
        <f t="shared" si="1"/>
        <v>#DIV/0!</v>
      </c>
      <c r="E472" s="22" t="str">
        <f t="shared" ref="E472:F472" si="472">IF(A472&lt;&gt;"", (B472 - B471) / B471, "")</f>
        <v/>
      </c>
      <c r="F472" s="22" t="str">
        <f t="shared" si="472"/>
        <v/>
      </c>
      <c r="H472" s="22" t="str">
        <f t="shared" si="4"/>
        <v/>
      </c>
    </row>
    <row r="473" ht="15.75" customHeight="1">
      <c r="A473" s="31" t="str">
        <f>'EQUITY BACKTEST'!A476</f>
        <v/>
      </c>
      <c r="B473" s="22" t="str">
        <f>'EQUITY BACKTEST'!B476</f>
        <v/>
      </c>
      <c r="C473" s="22" t="str">
        <f>1/'EQUITY BACKTEST'!E476</f>
        <v>#DIV/0!</v>
      </c>
      <c r="D473" s="22" t="str">
        <f t="shared" si="1"/>
        <v>#DIV/0!</v>
      </c>
      <c r="E473" s="22" t="str">
        <f t="shared" ref="E473:F473" si="473">IF(A473&lt;&gt;"", (B473 - B472) / B472, "")</f>
        <v/>
      </c>
      <c r="F473" s="22" t="str">
        <f t="shared" si="473"/>
        <v/>
      </c>
      <c r="H473" s="22" t="str">
        <f t="shared" si="4"/>
        <v/>
      </c>
    </row>
    <row r="474" ht="15.75" customHeight="1">
      <c r="A474" s="31" t="str">
        <f>'EQUITY BACKTEST'!A477</f>
        <v/>
      </c>
      <c r="B474" s="22" t="str">
        <f>'EQUITY BACKTEST'!B477</f>
        <v/>
      </c>
      <c r="C474" s="22" t="str">
        <f>1/'EQUITY BACKTEST'!E477</f>
        <v>#DIV/0!</v>
      </c>
      <c r="D474" s="22" t="str">
        <f t="shared" si="1"/>
        <v>#DIV/0!</v>
      </c>
      <c r="E474" s="22" t="str">
        <f t="shared" ref="E474:F474" si="474">IF(A474&lt;&gt;"", (B474 - B473) / B473, "")</f>
        <v/>
      </c>
      <c r="F474" s="22" t="str">
        <f t="shared" si="474"/>
        <v/>
      </c>
      <c r="H474" s="22" t="str">
        <f t="shared" si="4"/>
        <v/>
      </c>
    </row>
    <row r="475" ht="15.75" customHeight="1">
      <c r="A475" s="31" t="str">
        <f>'EQUITY BACKTEST'!A478</f>
        <v/>
      </c>
      <c r="B475" s="22" t="str">
        <f>'EQUITY BACKTEST'!B478</f>
        <v/>
      </c>
      <c r="C475" s="22" t="str">
        <f>1/'EQUITY BACKTEST'!E478</f>
        <v>#DIV/0!</v>
      </c>
      <c r="D475" s="22" t="str">
        <f t="shared" si="1"/>
        <v>#DIV/0!</v>
      </c>
      <c r="E475" s="22" t="str">
        <f t="shared" ref="E475:F475" si="475">IF(A475&lt;&gt;"", (B475 - B474) / B474, "")</f>
        <v/>
      </c>
      <c r="F475" s="22" t="str">
        <f t="shared" si="475"/>
        <v/>
      </c>
      <c r="H475" s="22" t="str">
        <f t="shared" si="4"/>
        <v/>
      </c>
    </row>
    <row r="476" ht="15.75" customHeight="1">
      <c r="A476" s="31" t="str">
        <f>'EQUITY BACKTEST'!A479</f>
        <v/>
      </c>
      <c r="B476" s="22" t="str">
        <f>'EQUITY BACKTEST'!B479</f>
        <v/>
      </c>
      <c r="C476" s="22" t="str">
        <f>1/'EQUITY BACKTEST'!E479</f>
        <v>#DIV/0!</v>
      </c>
      <c r="D476" s="22" t="str">
        <f t="shared" si="1"/>
        <v>#DIV/0!</v>
      </c>
      <c r="E476" s="22" t="str">
        <f t="shared" ref="E476:F476" si="476">IF(A476&lt;&gt;"", (B476 - B475) / B475, "")</f>
        <v/>
      </c>
      <c r="F476" s="22" t="str">
        <f t="shared" si="476"/>
        <v/>
      </c>
      <c r="H476" s="22" t="str">
        <f t="shared" si="4"/>
        <v/>
      </c>
    </row>
    <row r="477" ht="15.75" customHeight="1">
      <c r="A477" s="31" t="str">
        <f>'EQUITY BACKTEST'!A480</f>
        <v/>
      </c>
      <c r="B477" s="22" t="str">
        <f>'EQUITY BACKTEST'!B480</f>
        <v/>
      </c>
      <c r="C477" s="22" t="str">
        <f>1/'EQUITY BACKTEST'!E480</f>
        <v>#DIV/0!</v>
      </c>
      <c r="D477" s="22" t="str">
        <f t="shared" si="1"/>
        <v>#DIV/0!</v>
      </c>
      <c r="E477" s="22" t="str">
        <f t="shared" ref="E477:F477" si="477">IF(A477&lt;&gt;"", (B477 - B476) / B476, "")</f>
        <v/>
      </c>
      <c r="F477" s="22" t="str">
        <f t="shared" si="477"/>
        <v/>
      </c>
      <c r="H477" s="22" t="str">
        <f t="shared" si="4"/>
        <v/>
      </c>
    </row>
    <row r="478" ht="15.75" customHeight="1">
      <c r="A478" s="31" t="str">
        <f>'EQUITY BACKTEST'!A481</f>
        <v/>
      </c>
      <c r="B478" s="22" t="str">
        <f>'EQUITY BACKTEST'!B481</f>
        <v/>
      </c>
      <c r="C478" s="22" t="str">
        <f>1/'EQUITY BACKTEST'!E481</f>
        <v>#DIV/0!</v>
      </c>
      <c r="D478" s="22" t="str">
        <f t="shared" si="1"/>
        <v>#DIV/0!</v>
      </c>
      <c r="E478" s="22" t="str">
        <f t="shared" ref="E478:F478" si="478">IF(A478&lt;&gt;"", (B478 - B477) / B477, "")</f>
        <v/>
      </c>
      <c r="F478" s="22" t="str">
        <f t="shared" si="478"/>
        <v/>
      </c>
      <c r="H478" s="22" t="str">
        <f t="shared" si="4"/>
        <v/>
      </c>
    </row>
    <row r="479" ht="15.75" customHeight="1">
      <c r="A479" s="31" t="str">
        <f>'EQUITY BACKTEST'!A482</f>
        <v/>
      </c>
      <c r="B479" s="22" t="str">
        <f>'EQUITY BACKTEST'!B482</f>
        <v/>
      </c>
      <c r="C479" s="22" t="str">
        <f>1/'EQUITY BACKTEST'!E482</f>
        <v>#DIV/0!</v>
      </c>
      <c r="D479" s="22" t="str">
        <f t="shared" si="1"/>
        <v>#DIV/0!</v>
      </c>
      <c r="E479" s="22" t="str">
        <f t="shared" ref="E479:F479" si="479">IF(A479&lt;&gt;"", (B479 - B478) / B478, "")</f>
        <v/>
      </c>
      <c r="F479" s="22" t="str">
        <f t="shared" si="479"/>
        <v/>
      </c>
      <c r="H479" s="22" t="str">
        <f t="shared" si="4"/>
        <v/>
      </c>
    </row>
    <row r="480" ht="15.75" customHeight="1">
      <c r="A480" s="31" t="str">
        <f>'EQUITY BACKTEST'!A483</f>
        <v/>
      </c>
      <c r="B480" s="22" t="str">
        <f>'EQUITY BACKTEST'!B483</f>
        <v/>
      </c>
      <c r="C480" s="22" t="str">
        <f>1/'EQUITY BACKTEST'!E483</f>
        <v>#DIV/0!</v>
      </c>
      <c r="D480" s="22" t="str">
        <f t="shared" si="1"/>
        <v>#DIV/0!</v>
      </c>
      <c r="E480" s="22" t="str">
        <f t="shared" ref="E480:F480" si="480">IF(A480&lt;&gt;"", (B480 - B479) / B479, "")</f>
        <v/>
      </c>
      <c r="F480" s="22" t="str">
        <f t="shared" si="480"/>
        <v/>
      </c>
      <c r="H480" s="22" t="str">
        <f t="shared" si="4"/>
        <v/>
      </c>
    </row>
    <row r="481" ht="15.75" customHeight="1">
      <c r="A481" s="31" t="str">
        <f>'EQUITY BACKTEST'!A484</f>
        <v/>
      </c>
      <c r="B481" s="22" t="str">
        <f>'EQUITY BACKTEST'!B484</f>
        <v/>
      </c>
      <c r="C481" s="22" t="str">
        <f>1/'EQUITY BACKTEST'!E484</f>
        <v>#DIV/0!</v>
      </c>
      <c r="D481" s="22" t="str">
        <f t="shared" si="1"/>
        <v>#DIV/0!</v>
      </c>
      <c r="E481" s="22" t="str">
        <f t="shared" ref="E481:F481" si="481">IF(A481&lt;&gt;"", (B481 - B480) / B480, "")</f>
        <v/>
      </c>
      <c r="F481" s="22" t="str">
        <f t="shared" si="481"/>
        <v/>
      </c>
      <c r="H481" s="22" t="str">
        <f t="shared" si="4"/>
        <v/>
      </c>
    </row>
    <row r="482" ht="15.75" customHeight="1">
      <c r="A482" s="31" t="str">
        <f>'EQUITY BACKTEST'!A485</f>
        <v/>
      </c>
      <c r="B482" s="22" t="str">
        <f>'EQUITY BACKTEST'!B485</f>
        <v/>
      </c>
      <c r="C482" s="22" t="str">
        <f>1/'EQUITY BACKTEST'!E485</f>
        <v>#DIV/0!</v>
      </c>
      <c r="D482" s="22" t="str">
        <f t="shared" si="1"/>
        <v>#DIV/0!</v>
      </c>
      <c r="E482" s="22" t="str">
        <f t="shared" ref="E482:F482" si="482">IF(A482&lt;&gt;"", (B482 - B481) / B481, "")</f>
        <v/>
      </c>
      <c r="F482" s="22" t="str">
        <f t="shared" si="482"/>
        <v/>
      </c>
      <c r="H482" s="22" t="str">
        <f t="shared" si="4"/>
        <v/>
      </c>
    </row>
    <row r="483" ht="15.75" customHeight="1">
      <c r="A483" s="31" t="str">
        <f>'EQUITY BACKTEST'!A486</f>
        <v/>
      </c>
      <c r="B483" s="22" t="str">
        <f>'EQUITY BACKTEST'!B486</f>
        <v/>
      </c>
      <c r="C483" s="22" t="str">
        <f>1/'EQUITY BACKTEST'!E486</f>
        <v>#DIV/0!</v>
      </c>
      <c r="D483" s="22" t="str">
        <f t="shared" si="1"/>
        <v>#DIV/0!</v>
      </c>
      <c r="E483" s="22" t="str">
        <f t="shared" ref="E483:F483" si="483">IF(A483&lt;&gt;"", (B483 - B482) / B482, "")</f>
        <v/>
      </c>
      <c r="F483" s="22" t="str">
        <f t="shared" si="483"/>
        <v/>
      </c>
      <c r="H483" s="22" t="str">
        <f t="shared" si="4"/>
        <v/>
      </c>
    </row>
    <row r="484" ht="15.75" customHeight="1">
      <c r="A484" s="31" t="str">
        <f>'EQUITY BACKTEST'!A487</f>
        <v/>
      </c>
      <c r="B484" s="22" t="str">
        <f>'EQUITY BACKTEST'!B487</f>
        <v/>
      </c>
      <c r="C484" s="22" t="str">
        <f>1/'EQUITY BACKTEST'!E487</f>
        <v>#DIV/0!</v>
      </c>
      <c r="D484" s="22" t="str">
        <f t="shared" si="1"/>
        <v>#DIV/0!</v>
      </c>
      <c r="E484" s="22" t="str">
        <f t="shared" ref="E484:F484" si="484">IF(A484&lt;&gt;"", (B484 - B483) / B483, "")</f>
        <v/>
      </c>
      <c r="F484" s="22" t="str">
        <f t="shared" si="484"/>
        <v/>
      </c>
      <c r="H484" s="22" t="str">
        <f t="shared" si="4"/>
        <v/>
      </c>
    </row>
    <row r="485" ht="15.75" customHeight="1">
      <c r="A485" s="31" t="str">
        <f>'EQUITY BACKTEST'!A488</f>
        <v/>
      </c>
      <c r="B485" s="22" t="str">
        <f>'EQUITY BACKTEST'!B488</f>
        <v/>
      </c>
      <c r="C485" s="22" t="str">
        <f>1/'EQUITY BACKTEST'!E488</f>
        <v>#DIV/0!</v>
      </c>
      <c r="D485" s="22" t="str">
        <f t="shared" si="1"/>
        <v>#DIV/0!</v>
      </c>
      <c r="E485" s="22" t="str">
        <f t="shared" ref="E485:F485" si="485">IF(A485&lt;&gt;"", (B485 - B484) / B484, "")</f>
        <v/>
      </c>
      <c r="F485" s="22" t="str">
        <f t="shared" si="485"/>
        <v/>
      </c>
      <c r="H485" s="22" t="str">
        <f t="shared" si="4"/>
        <v/>
      </c>
    </row>
    <row r="486" ht="15.75" customHeight="1">
      <c r="A486" s="31" t="str">
        <f>'EQUITY BACKTEST'!A489</f>
        <v/>
      </c>
      <c r="B486" s="22" t="str">
        <f>'EQUITY BACKTEST'!B489</f>
        <v/>
      </c>
      <c r="C486" s="22" t="str">
        <f>1/'EQUITY BACKTEST'!E489</f>
        <v>#DIV/0!</v>
      </c>
      <c r="D486" s="22" t="str">
        <f t="shared" si="1"/>
        <v>#DIV/0!</v>
      </c>
      <c r="E486" s="22" t="str">
        <f t="shared" ref="E486:F486" si="486">IF(A486&lt;&gt;"", (B486 - B485) / B485, "")</f>
        <v/>
      </c>
      <c r="F486" s="22" t="str">
        <f t="shared" si="486"/>
        <v/>
      </c>
      <c r="H486" s="22" t="str">
        <f t="shared" si="4"/>
        <v/>
      </c>
    </row>
    <row r="487" ht="15.75" customHeight="1">
      <c r="A487" s="31" t="str">
        <f>'EQUITY BACKTEST'!A490</f>
        <v/>
      </c>
      <c r="B487" s="22" t="str">
        <f>'EQUITY BACKTEST'!B490</f>
        <v/>
      </c>
      <c r="C487" s="22" t="str">
        <f>1/'EQUITY BACKTEST'!E490</f>
        <v>#DIV/0!</v>
      </c>
      <c r="D487" s="22" t="str">
        <f t="shared" si="1"/>
        <v>#DIV/0!</v>
      </c>
      <c r="E487" s="22" t="str">
        <f t="shared" ref="E487:F487" si="487">IF(A487&lt;&gt;"", (B487 - B486) / B486, "")</f>
        <v/>
      </c>
      <c r="F487" s="22" t="str">
        <f t="shared" si="487"/>
        <v/>
      </c>
      <c r="H487" s="22" t="str">
        <f t="shared" si="4"/>
        <v/>
      </c>
    </row>
    <row r="488" ht="15.75" customHeight="1">
      <c r="A488" s="31" t="str">
        <f>'EQUITY BACKTEST'!A491</f>
        <v/>
      </c>
      <c r="B488" s="22" t="str">
        <f>'EQUITY BACKTEST'!B491</f>
        <v/>
      </c>
      <c r="C488" s="22" t="str">
        <f>1/'EQUITY BACKTEST'!E491</f>
        <v>#DIV/0!</v>
      </c>
      <c r="D488" s="22" t="str">
        <f t="shared" si="1"/>
        <v>#DIV/0!</v>
      </c>
      <c r="E488" s="22" t="str">
        <f t="shared" ref="E488:F488" si="488">IF(A488&lt;&gt;"", (B488 - B487) / B487, "")</f>
        <v/>
      </c>
      <c r="F488" s="22" t="str">
        <f t="shared" si="488"/>
        <v/>
      </c>
      <c r="H488" s="22" t="str">
        <f t="shared" si="4"/>
        <v/>
      </c>
    </row>
    <row r="489" ht="15.75" customHeight="1">
      <c r="A489" s="31" t="str">
        <f>'EQUITY BACKTEST'!A492</f>
        <v/>
      </c>
      <c r="B489" s="22" t="str">
        <f>'EQUITY BACKTEST'!B492</f>
        <v/>
      </c>
      <c r="C489" s="22" t="str">
        <f>1/'EQUITY BACKTEST'!E492</f>
        <v>#DIV/0!</v>
      </c>
      <c r="D489" s="22" t="str">
        <f t="shared" si="1"/>
        <v>#DIV/0!</v>
      </c>
      <c r="E489" s="22" t="str">
        <f t="shared" ref="E489:F489" si="489">IF(A489&lt;&gt;"", (B489 - B488) / B488, "")</f>
        <v/>
      </c>
      <c r="F489" s="22" t="str">
        <f t="shared" si="489"/>
        <v/>
      </c>
      <c r="H489" s="22" t="str">
        <f t="shared" si="4"/>
        <v/>
      </c>
    </row>
    <row r="490" ht="15.75" customHeight="1">
      <c r="A490" s="31" t="str">
        <f>'EQUITY BACKTEST'!A493</f>
        <v/>
      </c>
      <c r="B490" s="22" t="str">
        <f>'EQUITY BACKTEST'!B493</f>
        <v/>
      </c>
      <c r="C490" s="22" t="str">
        <f>1/'EQUITY BACKTEST'!E493</f>
        <v>#DIV/0!</v>
      </c>
      <c r="D490" s="22" t="str">
        <f t="shared" si="1"/>
        <v>#DIV/0!</v>
      </c>
      <c r="E490" s="22" t="str">
        <f t="shared" ref="E490:F490" si="490">IF(A490&lt;&gt;"", (B490 - B489) / B489, "")</f>
        <v/>
      </c>
      <c r="F490" s="22" t="str">
        <f t="shared" si="490"/>
        <v/>
      </c>
      <c r="H490" s="22" t="str">
        <f t="shared" si="4"/>
        <v/>
      </c>
    </row>
    <row r="491" ht="15.75" customHeight="1">
      <c r="A491" s="31" t="str">
        <f>'EQUITY BACKTEST'!A494</f>
        <v/>
      </c>
      <c r="B491" s="22" t="str">
        <f>'EQUITY BACKTEST'!B494</f>
        <v/>
      </c>
      <c r="C491" s="22" t="str">
        <f>1/'EQUITY BACKTEST'!E494</f>
        <v>#DIV/0!</v>
      </c>
      <c r="D491" s="22" t="str">
        <f t="shared" si="1"/>
        <v>#DIV/0!</v>
      </c>
      <c r="E491" s="22" t="str">
        <f t="shared" ref="E491:F491" si="491">IF(A491&lt;&gt;"", (B491 - B490) / B490, "")</f>
        <v/>
      </c>
      <c r="F491" s="22" t="str">
        <f t="shared" si="491"/>
        <v/>
      </c>
      <c r="H491" s="22" t="str">
        <f t="shared" si="4"/>
        <v/>
      </c>
    </row>
    <row r="492" ht="15.75" customHeight="1">
      <c r="A492" s="31" t="str">
        <f>'EQUITY BACKTEST'!A495</f>
        <v/>
      </c>
      <c r="B492" s="22" t="str">
        <f>'EQUITY BACKTEST'!B495</f>
        <v/>
      </c>
      <c r="C492" s="22" t="str">
        <f>1/'EQUITY BACKTEST'!E495</f>
        <v>#DIV/0!</v>
      </c>
      <c r="D492" s="22" t="str">
        <f t="shared" si="1"/>
        <v>#DIV/0!</v>
      </c>
      <c r="E492" s="22" t="str">
        <f t="shared" ref="E492:F492" si="492">IF(A492&lt;&gt;"", (B492 - B491) / B491, "")</f>
        <v/>
      </c>
      <c r="F492" s="22" t="str">
        <f t="shared" si="492"/>
        <v/>
      </c>
      <c r="H492" s="22" t="str">
        <f t="shared" si="4"/>
        <v/>
      </c>
    </row>
    <row r="493" ht="15.75" customHeight="1">
      <c r="A493" s="31" t="str">
        <f>'EQUITY BACKTEST'!A496</f>
        <v/>
      </c>
      <c r="B493" s="22" t="str">
        <f>'EQUITY BACKTEST'!B496</f>
        <v/>
      </c>
      <c r="C493" s="22" t="str">
        <f>1/'EQUITY BACKTEST'!E496</f>
        <v>#DIV/0!</v>
      </c>
      <c r="D493" s="22" t="str">
        <f t="shared" si="1"/>
        <v>#DIV/0!</v>
      </c>
      <c r="E493" s="22" t="str">
        <f t="shared" ref="E493:F493" si="493">IF(A493&lt;&gt;"", (B493 - B492) / B492, "")</f>
        <v/>
      </c>
      <c r="F493" s="22" t="str">
        <f t="shared" si="493"/>
        <v/>
      </c>
      <c r="H493" s="22" t="str">
        <f t="shared" si="4"/>
        <v/>
      </c>
    </row>
    <row r="494" ht="15.75" customHeight="1">
      <c r="A494" s="31" t="str">
        <f>'EQUITY BACKTEST'!A497</f>
        <v/>
      </c>
      <c r="B494" s="22" t="str">
        <f>'EQUITY BACKTEST'!B497</f>
        <v/>
      </c>
      <c r="C494" s="22" t="str">
        <f>1/'EQUITY BACKTEST'!E497</f>
        <v>#DIV/0!</v>
      </c>
      <c r="D494" s="22" t="str">
        <f t="shared" si="1"/>
        <v>#DIV/0!</v>
      </c>
      <c r="E494" s="22" t="str">
        <f t="shared" ref="E494:F494" si="494">IF(A494&lt;&gt;"", (B494 - B493) / B493, "")</f>
        <v/>
      </c>
      <c r="F494" s="22" t="str">
        <f t="shared" si="494"/>
        <v/>
      </c>
      <c r="H494" s="22" t="str">
        <f t="shared" si="4"/>
        <v/>
      </c>
    </row>
    <row r="495" ht="15.75" customHeight="1">
      <c r="A495" s="31" t="str">
        <f>'EQUITY BACKTEST'!A498</f>
        <v/>
      </c>
      <c r="B495" s="22" t="str">
        <f>'EQUITY BACKTEST'!B498</f>
        <v/>
      </c>
      <c r="C495" s="22" t="str">
        <f>1/'EQUITY BACKTEST'!E498</f>
        <v>#DIV/0!</v>
      </c>
      <c r="D495" s="22" t="str">
        <f t="shared" si="1"/>
        <v>#DIV/0!</v>
      </c>
      <c r="E495" s="22" t="str">
        <f t="shared" ref="E495:F495" si="495">IF(A495&lt;&gt;"", (B495 - B494) / B494, "")</f>
        <v/>
      </c>
      <c r="F495" s="22" t="str">
        <f t="shared" si="495"/>
        <v/>
      </c>
      <c r="H495" s="22" t="str">
        <f t="shared" si="4"/>
        <v/>
      </c>
    </row>
    <row r="496" ht="15.75" customHeight="1">
      <c r="A496" s="31" t="str">
        <f>'EQUITY BACKTEST'!A499</f>
        <v/>
      </c>
      <c r="B496" s="22" t="str">
        <f>'EQUITY BACKTEST'!B499</f>
        <v/>
      </c>
      <c r="C496" s="22" t="str">
        <f>1/'EQUITY BACKTEST'!E499</f>
        <v>#DIV/0!</v>
      </c>
      <c r="D496" s="22" t="str">
        <f t="shared" si="1"/>
        <v>#DIV/0!</v>
      </c>
      <c r="E496" s="22" t="str">
        <f t="shared" ref="E496:F496" si="496">IF(A496&lt;&gt;"", (B496 - B495) / B495, "")</f>
        <v/>
      </c>
      <c r="F496" s="22" t="str">
        <f t="shared" si="496"/>
        <v/>
      </c>
      <c r="H496" s="22" t="str">
        <f t="shared" si="4"/>
        <v/>
      </c>
    </row>
    <row r="497" ht="15.75" customHeight="1">
      <c r="A497" s="31" t="str">
        <f>'EQUITY BACKTEST'!A500</f>
        <v/>
      </c>
      <c r="B497" s="22" t="str">
        <f>'EQUITY BACKTEST'!B500</f>
        <v/>
      </c>
      <c r="C497" s="22" t="str">
        <f>1/'EQUITY BACKTEST'!E500</f>
        <v>#DIV/0!</v>
      </c>
      <c r="D497" s="22" t="str">
        <f t="shared" si="1"/>
        <v>#DIV/0!</v>
      </c>
      <c r="E497" s="22" t="str">
        <f t="shared" ref="E497:F497" si="497">IF(A497&lt;&gt;"", (B497 - B496) / B496, "")</f>
        <v/>
      </c>
      <c r="F497" s="22" t="str">
        <f t="shared" si="497"/>
        <v/>
      </c>
      <c r="H497" s="22" t="str">
        <f t="shared" si="4"/>
        <v/>
      </c>
    </row>
    <row r="498" ht="15.75" customHeight="1">
      <c r="A498" s="31" t="str">
        <f>'EQUITY BACKTEST'!A501</f>
        <v/>
      </c>
      <c r="B498" s="22" t="str">
        <f>'EQUITY BACKTEST'!B501</f>
        <v/>
      </c>
      <c r="C498" s="22" t="str">
        <f>1/'EQUITY BACKTEST'!E501</f>
        <v>#DIV/0!</v>
      </c>
      <c r="D498" s="22" t="str">
        <f t="shared" si="1"/>
        <v>#DIV/0!</v>
      </c>
      <c r="E498" s="22" t="str">
        <f t="shared" ref="E498:F498" si="498">IF(A498&lt;&gt;"", (B498 - B497) / B497, "")</f>
        <v/>
      </c>
      <c r="F498" s="22" t="str">
        <f t="shared" si="498"/>
        <v/>
      </c>
      <c r="H498" s="22" t="str">
        <f t="shared" si="4"/>
        <v/>
      </c>
    </row>
    <row r="499" ht="15.75" customHeight="1">
      <c r="A499" s="31" t="str">
        <f>'EQUITY BACKTEST'!A502</f>
        <v/>
      </c>
      <c r="B499" s="22" t="str">
        <f>'EQUITY BACKTEST'!B502</f>
        <v/>
      </c>
      <c r="C499" s="22" t="str">
        <f>1/'EQUITY BACKTEST'!E502</f>
        <v>#DIV/0!</v>
      </c>
      <c r="D499" s="22" t="str">
        <f t="shared" si="1"/>
        <v>#DIV/0!</v>
      </c>
      <c r="E499" s="22" t="str">
        <f t="shared" ref="E499:F499" si="499">IF(A499&lt;&gt;"", (B499 - B498) / B498, "")</f>
        <v/>
      </c>
      <c r="F499" s="22" t="str">
        <f t="shared" si="499"/>
        <v/>
      </c>
      <c r="H499" s="22" t="str">
        <f t="shared" si="4"/>
        <v/>
      </c>
    </row>
    <row r="500" ht="15.75" customHeight="1">
      <c r="A500" s="31" t="str">
        <f>'EQUITY BACKTEST'!A503</f>
        <v/>
      </c>
      <c r="B500" s="22" t="str">
        <f>'EQUITY BACKTEST'!B503</f>
        <v/>
      </c>
      <c r="C500" s="22" t="str">
        <f>1/'EQUITY BACKTEST'!E503</f>
        <v>#DIV/0!</v>
      </c>
      <c r="D500" s="22" t="str">
        <f t="shared" si="1"/>
        <v>#DIV/0!</v>
      </c>
      <c r="E500" s="22" t="str">
        <f t="shared" ref="E500:F500" si="500">IF(A500&lt;&gt;"", (B500 - B499) / B499, "")</f>
        <v/>
      </c>
      <c r="F500" s="22" t="str">
        <f t="shared" si="500"/>
        <v/>
      </c>
      <c r="H500" s="22" t="str">
        <f t="shared" si="4"/>
        <v/>
      </c>
    </row>
    <row r="501" ht="15.75" customHeight="1">
      <c r="A501" s="31" t="str">
        <f>'EQUITY BACKTEST'!A504</f>
        <v/>
      </c>
      <c r="B501" s="22" t="str">
        <f>'EQUITY BACKTEST'!B504</f>
        <v/>
      </c>
      <c r="C501" s="22" t="str">
        <f>1/'EQUITY BACKTEST'!E504</f>
        <v>#DIV/0!</v>
      </c>
      <c r="D501" s="22" t="str">
        <f t="shared" si="1"/>
        <v>#DIV/0!</v>
      </c>
      <c r="E501" s="22" t="str">
        <f t="shared" ref="E501:F501" si="501">IF(A501&lt;&gt;"", (B501 - B500) / B500, "")</f>
        <v/>
      </c>
      <c r="F501" s="22" t="str">
        <f t="shared" si="501"/>
        <v/>
      </c>
      <c r="H501" s="22" t="str">
        <f t="shared" si="4"/>
        <v/>
      </c>
    </row>
    <row r="502" ht="15.75" customHeight="1">
      <c r="A502" s="31" t="str">
        <f>'EQUITY BACKTEST'!A505</f>
        <v/>
      </c>
      <c r="B502" s="22" t="str">
        <f>'EQUITY BACKTEST'!B505</f>
        <v/>
      </c>
      <c r="C502" s="22" t="str">
        <f>1/'EQUITY BACKTEST'!E505</f>
        <v>#DIV/0!</v>
      </c>
      <c r="D502" s="22" t="str">
        <f t="shared" si="1"/>
        <v>#DIV/0!</v>
      </c>
      <c r="E502" s="22" t="str">
        <f t="shared" ref="E502:F502" si="502">IF(A502&lt;&gt;"", (B502 - B501) / B501, "")</f>
        <v/>
      </c>
      <c r="F502" s="22" t="str">
        <f t="shared" si="502"/>
        <v/>
      </c>
      <c r="H502" s="22" t="str">
        <f t="shared" si="4"/>
        <v/>
      </c>
    </row>
    <row r="503" ht="15.75" customHeight="1">
      <c r="A503" s="31" t="str">
        <f>'EQUITY BACKTEST'!A506</f>
        <v/>
      </c>
      <c r="B503" s="22" t="str">
        <f>'EQUITY BACKTEST'!B506</f>
        <v/>
      </c>
      <c r="C503" s="22" t="str">
        <f>1/'EQUITY BACKTEST'!E506</f>
        <v>#DIV/0!</v>
      </c>
      <c r="D503" s="22" t="str">
        <f t="shared" si="1"/>
        <v>#DIV/0!</v>
      </c>
      <c r="E503" s="22" t="str">
        <f t="shared" ref="E503:F503" si="503">IF(A503&lt;&gt;"", (B503 - B502) / B502, "")</f>
        <v/>
      </c>
      <c r="F503" s="22" t="str">
        <f t="shared" si="503"/>
        <v/>
      </c>
      <c r="H503" s="22" t="str">
        <f t="shared" si="4"/>
        <v/>
      </c>
    </row>
    <row r="504" ht="15.75" customHeight="1">
      <c r="A504" s="31" t="str">
        <f>'EQUITY BACKTEST'!A507</f>
        <v/>
      </c>
      <c r="B504" s="22" t="str">
        <f>'EQUITY BACKTEST'!B507</f>
        <v/>
      </c>
      <c r="C504" s="22" t="str">
        <f>1/'EQUITY BACKTEST'!E507</f>
        <v>#DIV/0!</v>
      </c>
      <c r="D504" s="22" t="str">
        <f t="shared" si="1"/>
        <v>#DIV/0!</v>
      </c>
      <c r="E504" s="22" t="str">
        <f t="shared" ref="E504:F504" si="504">IF(A504&lt;&gt;"", (B504 - B503) / B503, "")</f>
        <v/>
      </c>
      <c r="F504" s="22" t="str">
        <f t="shared" si="504"/>
        <v/>
      </c>
      <c r="H504" s="22" t="str">
        <f t="shared" si="4"/>
        <v/>
      </c>
    </row>
    <row r="505" ht="15.75" customHeight="1">
      <c r="A505" s="31" t="str">
        <f>'EQUITY BACKTEST'!A508</f>
        <v/>
      </c>
      <c r="B505" s="22" t="str">
        <f>'EQUITY BACKTEST'!B508</f>
        <v/>
      </c>
      <c r="C505" s="22" t="str">
        <f>1/'EQUITY BACKTEST'!E508</f>
        <v>#DIV/0!</v>
      </c>
      <c r="D505" s="22" t="str">
        <f t="shared" si="1"/>
        <v>#DIV/0!</v>
      </c>
      <c r="E505" s="22" t="str">
        <f t="shared" ref="E505:F505" si="505">IF(A505&lt;&gt;"", (B505 - B504) / B504, "")</f>
        <v/>
      </c>
      <c r="F505" s="22" t="str">
        <f t="shared" si="505"/>
        <v/>
      </c>
      <c r="H505" s="22" t="str">
        <f t="shared" si="4"/>
        <v/>
      </c>
    </row>
    <row r="506" ht="15.75" customHeight="1">
      <c r="A506" s="31" t="str">
        <f>'EQUITY BACKTEST'!A509</f>
        <v/>
      </c>
      <c r="B506" s="22" t="str">
        <f>'EQUITY BACKTEST'!B509</f>
        <v/>
      </c>
      <c r="C506" s="22" t="str">
        <f>1/'EQUITY BACKTEST'!E509</f>
        <v>#DIV/0!</v>
      </c>
      <c r="D506" s="22" t="str">
        <f t="shared" si="1"/>
        <v>#DIV/0!</v>
      </c>
      <c r="E506" s="22" t="str">
        <f t="shared" ref="E506:F506" si="506">IF(A506&lt;&gt;"", (B506 - B505) / B505, "")</f>
        <v/>
      </c>
      <c r="F506" s="22" t="str">
        <f t="shared" si="506"/>
        <v/>
      </c>
      <c r="H506" s="22" t="str">
        <f t="shared" si="4"/>
        <v/>
      </c>
    </row>
    <row r="507" ht="15.75" customHeight="1">
      <c r="A507" s="31" t="str">
        <f>'EQUITY BACKTEST'!A510</f>
        <v/>
      </c>
      <c r="B507" s="22" t="str">
        <f>'EQUITY BACKTEST'!B510</f>
        <v/>
      </c>
      <c r="C507" s="22" t="str">
        <f>1/'EQUITY BACKTEST'!E510</f>
        <v>#DIV/0!</v>
      </c>
      <c r="D507" s="22" t="str">
        <f t="shared" si="1"/>
        <v>#DIV/0!</v>
      </c>
      <c r="E507" s="22" t="str">
        <f t="shared" ref="E507:F507" si="507">IF(A507&lt;&gt;"", (B507 - B506) / B506, "")</f>
        <v/>
      </c>
      <c r="F507" s="22" t="str">
        <f t="shared" si="507"/>
        <v/>
      </c>
      <c r="H507" s="22" t="str">
        <f t="shared" si="4"/>
        <v/>
      </c>
    </row>
    <row r="508" ht="15.75" customHeight="1">
      <c r="A508" s="31" t="str">
        <f>'EQUITY BACKTEST'!A511</f>
        <v/>
      </c>
      <c r="B508" s="22" t="str">
        <f>'EQUITY BACKTEST'!B511</f>
        <v/>
      </c>
      <c r="C508" s="22" t="str">
        <f>1/'EQUITY BACKTEST'!E511</f>
        <v>#DIV/0!</v>
      </c>
      <c r="D508" s="22" t="str">
        <f t="shared" si="1"/>
        <v>#DIV/0!</v>
      </c>
      <c r="E508" s="22" t="str">
        <f t="shared" ref="E508:F508" si="508">IF(A508&lt;&gt;"", (B508 - B507) / B507, "")</f>
        <v/>
      </c>
      <c r="F508" s="22" t="str">
        <f t="shared" si="508"/>
        <v/>
      </c>
      <c r="H508" s="22" t="str">
        <f t="shared" si="4"/>
        <v/>
      </c>
    </row>
    <row r="509" ht="15.75" customHeight="1">
      <c r="A509" s="31" t="str">
        <f>'EQUITY BACKTEST'!A512</f>
        <v/>
      </c>
      <c r="B509" s="22" t="str">
        <f>'EQUITY BACKTEST'!B512</f>
        <v/>
      </c>
      <c r="C509" s="22" t="str">
        <f>1/'EQUITY BACKTEST'!E512</f>
        <v>#DIV/0!</v>
      </c>
      <c r="D509" s="22" t="str">
        <f t="shared" si="1"/>
        <v>#DIV/0!</v>
      </c>
      <c r="E509" s="22" t="str">
        <f t="shared" ref="E509:F509" si="509">IF(A509&lt;&gt;"", (B509 - B508) / B508, "")</f>
        <v/>
      </c>
      <c r="F509" s="22" t="str">
        <f t="shared" si="509"/>
        <v/>
      </c>
      <c r="H509" s="22" t="str">
        <f t="shared" si="4"/>
        <v/>
      </c>
    </row>
    <row r="510" ht="15.75" customHeight="1">
      <c r="A510" s="31" t="str">
        <f>'EQUITY BACKTEST'!A513</f>
        <v/>
      </c>
      <c r="B510" s="22" t="str">
        <f>'EQUITY BACKTEST'!B513</f>
        <v/>
      </c>
      <c r="C510" s="22" t="str">
        <f>1/'EQUITY BACKTEST'!E513</f>
        <v>#DIV/0!</v>
      </c>
      <c r="D510" s="22" t="str">
        <f t="shared" si="1"/>
        <v>#DIV/0!</v>
      </c>
      <c r="E510" s="22" t="str">
        <f t="shared" ref="E510:F510" si="510">IF(A510&lt;&gt;"", (B510 - B509) / B509, "")</f>
        <v/>
      </c>
      <c r="F510" s="22" t="str">
        <f t="shared" si="510"/>
        <v/>
      </c>
      <c r="H510" s="22" t="str">
        <f t="shared" si="4"/>
        <v/>
      </c>
    </row>
    <row r="511" ht="15.75" customHeight="1">
      <c r="A511" s="31" t="str">
        <f>'EQUITY BACKTEST'!A514</f>
        <v/>
      </c>
      <c r="B511" s="22" t="str">
        <f>'EQUITY BACKTEST'!B514</f>
        <v/>
      </c>
      <c r="C511" s="22" t="str">
        <f>1/'EQUITY BACKTEST'!E514</f>
        <v>#DIV/0!</v>
      </c>
      <c r="D511" s="22" t="str">
        <f t="shared" si="1"/>
        <v>#DIV/0!</v>
      </c>
      <c r="E511" s="22" t="str">
        <f t="shared" ref="E511:F511" si="511">IF(A511&lt;&gt;"", (B511 - B510) / B510, "")</f>
        <v/>
      </c>
      <c r="F511" s="22" t="str">
        <f t="shared" si="511"/>
        <v/>
      </c>
      <c r="H511" s="22" t="str">
        <f t="shared" si="4"/>
        <v/>
      </c>
    </row>
    <row r="512" ht="15.75" customHeight="1">
      <c r="A512" s="31" t="str">
        <f>'EQUITY BACKTEST'!A515</f>
        <v/>
      </c>
      <c r="B512" s="22" t="str">
        <f>'EQUITY BACKTEST'!B515</f>
        <v/>
      </c>
      <c r="C512" s="22" t="str">
        <f>1/'EQUITY BACKTEST'!E515</f>
        <v>#DIV/0!</v>
      </c>
      <c r="D512" s="22" t="str">
        <f t="shared" si="1"/>
        <v>#DIV/0!</v>
      </c>
      <c r="E512" s="22" t="str">
        <f t="shared" ref="E512:F512" si="512">IF(A512&lt;&gt;"", (B512 - B511) / B511, "")</f>
        <v/>
      </c>
      <c r="F512" s="22" t="str">
        <f t="shared" si="512"/>
        <v/>
      </c>
      <c r="H512" s="22" t="str">
        <f t="shared" si="4"/>
        <v/>
      </c>
    </row>
    <row r="513" ht="15.75" customHeight="1">
      <c r="A513" s="31" t="str">
        <f>'EQUITY BACKTEST'!A516</f>
        <v/>
      </c>
      <c r="B513" s="22" t="str">
        <f>'EQUITY BACKTEST'!B516</f>
        <v/>
      </c>
      <c r="C513" s="22" t="str">
        <f>1/'EQUITY BACKTEST'!E516</f>
        <v>#DIV/0!</v>
      </c>
      <c r="D513" s="22" t="str">
        <f t="shared" si="1"/>
        <v>#DIV/0!</v>
      </c>
      <c r="E513" s="22" t="str">
        <f t="shared" ref="E513:F513" si="513">IF(A513&lt;&gt;"", (B513 - B512) / B512, "")</f>
        <v/>
      </c>
      <c r="F513" s="22" t="str">
        <f t="shared" si="513"/>
        <v/>
      </c>
      <c r="H513" s="22" t="str">
        <f t="shared" si="4"/>
        <v/>
      </c>
    </row>
    <row r="514" ht="15.75" customHeight="1">
      <c r="A514" s="31" t="str">
        <f>'EQUITY BACKTEST'!A517</f>
        <v/>
      </c>
      <c r="B514" s="22" t="str">
        <f>'EQUITY BACKTEST'!B517</f>
        <v/>
      </c>
      <c r="C514" s="22" t="str">
        <f>1/'EQUITY BACKTEST'!E517</f>
        <v>#DIV/0!</v>
      </c>
      <c r="D514" s="22" t="str">
        <f t="shared" si="1"/>
        <v>#DIV/0!</v>
      </c>
      <c r="E514" s="22" t="str">
        <f t="shared" ref="E514:F514" si="514">IF(A514&lt;&gt;"", (B514 - B513) / B513, "")</f>
        <v/>
      </c>
      <c r="F514" s="22" t="str">
        <f t="shared" si="514"/>
        <v/>
      </c>
      <c r="H514" s="22" t="str">
        <f t="shared" si="4"/>
        <v/>
      </c>
    </row>
    <row r="515" ht="15.75" customHeight="1">
      <c r="A515" s="31" t="str">
        <f>'EQUITY BACKTEST'!A518</f>
        <v/>
      </c>
      <c r="B515" s="22" t="str">
        <f>'EQUITY BACKTEST'!B518</f>
        <v/>
      </c>
      <c r="C515" s="22" t="str">
        <f>1/'EQUITY BACKTEST'!E518</f>
        <v>#DIV/0!</v>
      </c>
      <c r="D515" s="22" t="str">
        <f t="shared" si="1"/>
        <v>#DIV/0!</v>
      </c>
      <c r="E515" s="22" t="str">
        <f t="shared" ref="E515:F515" si="515">IF(A515&lt;&gt;"", (B515 - B514) / B514, "")</f>
        <v/>
      </c>
      <c r="F515" s="22" t="str">
        <f t="shared" si="515"/>
        <v/>
      </c>
      <c r="H515" s="22" t="str">
        <f t="shared" si="4"/>
        <v/>
      </c>
    </row>
    <row r="516" ht="15.75" customHeight="1">
      <c r="A516" s="31" t="str">
        <f>'EQUITY BACKTEST'!A519</f>
        <v/>
      </c>
      <c r="B516" s="22" t="str">
        <f>'EQUITY BACKTEST'!B519</f>
        <v/>
      </c>
      <c r="C516" s="22" t="str">
        <f>1/'EQUITY BACKTEST'!E519</f>
        <v>#DIV/0!</v>
      </c>
      <c r="D516" s="22" t="str">
        <f t="shared" si="1"/>
        <v>#DIV/0!</v>
      </c>
      <c r="E516" s="22" t="str">
        <f t="shared" ref="E516:F516" si="516">IF(A516&lt;&gt;"", (B516 - B515) / B515, "")</f>
        <v/>
      </c>
      <c r="F516" s="22" t="str">
        <f t="shared" si="516"/>
        <v/>
      </c>
      <c r="H516" s="22" t="str">
        <f t="shared" si="4"/>
        <v/>
      </c>
    </row>
    <row r="517" ht="15.75" customHeight="1">
      <c r="A517" s="31" t="str">
        <f>'EQUITY BACKTEST'!A520</f>
        <v/>
      </c>
      <c r="B517" s="22" t="str">
        <f>'EQUITY BACKTEST'!B520</f>
        <v/>
      </c>
      <c r="C517" s="22" t="str">
        <f>1/'EQUITY BACKTEST'!E520</f>
        <v>#DIV/0!</v>
      </c>
      <c r="D517" s="22" t="str">
        <f t="shared" si="1"/>
        <v>#DIV/0!</v>
      </c>
      <c r="E517" s="22" t="str">
        <f t="shared" ref="E517:F517" si="517">IF(A517&lt;&gt;"", (B517 - B516) / B516, "")</f>
        <v/>
      </c>
      <c r="F517" s="22" t="str">
        <f t="shared" si="517"/>
        <v/>
      </c>
      <c r="H517" s="22" t="str">
        <f t="shared" si="4"/>
        <v/>
      </c>
    </row>
    <row r="518" ht="15.75" customHeight="1">
      <c r="A518" s="31" t="str">
        <f>'EQUITY BACKTEST'!A521</f>
        <v/>
      </c>
      <c r="B518" s="22" t="str">
        <f>'EQUITY BACKTEST'!B521</f>
        <v/>
      </c>
      <c r="C518" s="22" t="str">
        <f>1/'EQUITY BACKTEST'!E521</f>
        <v>#DIV/0!</v>
      </c>
      <c r="D518" s="22" t="str">
        <f t="shared" si="1"/>
        <v>#DIV/0!</v>
      </c>
      <c r="E518" s="22" t="str">
        <f t="shared" ref="E518:F518" si="518">IF(A518&lt;&gt;"", (B518 - B517) / B517, "")</f>
        <v/>
      </c>
      <c r="F518" s="22" t="str">
        <f t="shared" si="518"/>
        <v/>
      </c>
      <c r="H518" s="22" t="str">
        <f t="shared" si="4"/>
        <v/>
      </c>
    </row>
    <row r="519" ht="15.75" customHeight="1">
      <c r="A519" s="31" t="str">
        <f>'EQUITY BACKTEST'!A522</f>
        <v/>
      </c>
      <c r="B519" s="22" t="str">
        <f>'EQUITY BACKTEST'!B522</f>
        <v/>
      </c>
      <c r="C519" s="22" t="str">
        <f>1/'EQUITY BACKTEST'!E522</f>
        <v>#DIV/0!</v>
      </c>
      <c r="D519" s="22" t="str">
        <f t="shared" si="1"/>
        <v>#DIV/0!</v>
      </c>
      <c r="E519" s="22" t="str">
        <f t="shared" ref="E519:F519" si="519">IF(A519&lt;&gt;"", (B519 - B518) / B518, "")</f>
        <v/>
      </c>
      <c r="F519" s="22" t="str">
        <f t="shared" si="519"/>
        <v/>
      </c>
      <c r="H519" s="22" t="str">
        <f t="shared" si="4"/>
        <v/>
      </c>
    </row>
    <row r="520" ht="15.75" customHeight="1">
      <c r="A520" s="31" t="str">
        <f>'EQUITY BACKTEST'!A523</f>
        <v/>
      </c>
      <c r="B520" s="22" t="str">
        <f>'EQUITY BACKTEST'!B523</f>
        <v/>
      </c>
      <c r="C520" s="22" t="str">
        <f>1/'EQUITY BACKTEST'!E523</f>
        <v>#DIV/0!</v>
      </c>
      <c r="D520" s="22" t="str">
        <f t="shared" si="1"/>
        <v>#DIV/0!</v>
      </c>
      <c r="E520" s="22" t="str">
        <f t="shared" ref="E520:F520" si="520">IF(A520&lt;&gt;"", (B520 - B519) / B519, "")</f>
        <v/>
      </c>
      <c r="F520" s="22" t="str">
        <f t="shared" si="520"/>
        <v/>
      </c>
      <c r="H520" s="22" t="str">
        <f t="shared" si="4"/>
        <v/>
      </c>
    </row>
    <row r="521" ht="15.75" customHeight="1">
      <c r="A521" s="31" t="str">
        <f>'EQUITY BACKTEST'!A524</f>
        <v/>
      </c>
      <c r="B521" s="22" t="str">
        <f>'EQUITY BACKTEST'!B524</f>
        <v/>
      </c>
      <c r="C521" s="22" t="str">
        <f>1/'EQUITY BACKTEST'!E524</f>
        <v>#DIV/0!</v>
      </c>
      <c r="D521" s="22" t="str">
        <f t="shared" si="1"/>
        <v>#DIV/0!</v>
      </c>
      <c r="E521" s="22" t="str">
        <f t="shared" ref="E521:F521" si="521">IF(A521&lt;&gt;"", (B521 - B520) / B520, "")</f>
        <v/>
      </c>
      <c r="F521" s="22" t="str">
        <f t="shared" si="521"/>
        <v/>
      </c>
      <c r="H521" s="22" t="str">
        <f t="shared" si="4"/>
        <v/>
      </c>
    </row>
    <row r="522" ht="15.75" customHeight="1">
      <c r="A522" s="31" t="str">
        <f>'EQUITY BACKTEST'!A525</f>
        <v/>
      </c>
      <c r="B522" s="22" t="str">
        <f>'EQUITY BACKTEST'!B525</f>
        <v/>
      </c>
      <c r="C522" s="22" t="str">
        <f>1/'EQUITY BACKTEST'!E525</f>
        <v>#DIV/0!</v>
      </c>
      <c r="D522" s="22" t="str">
        <f t="shared" si="1"/>
        <v>#DIV/0!</v>
      </c>
      <c r="E522" s="22" t="str">
        <f t="shared" ref="E522:F522" si="522">IF(A522&lt;&gt;"", (B522 - B521) / B521, "")</f>
        <v/>
      </c>
      <c r="F522" s="22" t="str">
        <f t="shared" si="522"/>
        <v/>
      </c>
      <c r="H522" s="22" t="str">
        <f t="shared" si="4"/>
        <v/>
      </c>
    </row>
    <row r="523" ht="15.75" customHeight="1">
      <c r="A523" s="31" t="str">
        <f>'EQUITY BACKTEST'!A526</f>
        <v/>
      </c>
      <c r="B523" s="22" t="str">
        <f>'EQUITY BACKTEST'!B526</f>
        <v/>
      </c>
      <c r="C523" s="22" t="str">
        <f>1/'EQUITY BACKTEST'!E526</f>
        <v>#DIV/0!</v>
      </c>
      <c r="D523" s="22" t="str">
        <f t="shared" si="1"/>
        <v>#DIV/0!</v>
      </c>
      <c r="E523" s="22" t="str">
        <f t="shared" ref="E523:F523" si="523">IF(A523&lt;&gt;"", (B523 - B522) / B522, "")</f>
        <v/>
      </c>
      <c r="F523" s="22" t="str">
        <f t="shared" si="523"/>
        <v/>
      </c>
      <c r="H523" s="22" t="str">
        <f t="shared" si="4"/>
        <v/>
      </c>
    </row>
    <row r="524" ht="15.75" customHeight="1">
      <c r="A524" s="31" t="str">
        <f>'EQUITY BACKTEST'!A527</f>
        <v/>
      </c>
      <c r="B524" s="22" t="str">
        <f>'EQUITY BACKTEST'!B527</f>
        <v/>
      </c>
      <c r="C524" s="22" t="str">
        <f>1/'EQUITY BACKTEST'!E527</f>
        <v>#DIV/0!</v>
      </c>
      <c r="D524" s="22" t="str">
        <f t="shared" si="1"/>
        <v>#DIV/0!</v>
      </c>
      <c r="E524" s="22" t="str">
        <f t="shared" ref="E524:F524" si="524">IF(A524&lt;&gt;"", (B524 - B523) / B523, "")</f>
        <v/>
      </c>
      <c r="F524" s="22" t="str">
        <f t="shared" si="524"/>
        <v/>
      </c>
      <c r="H524" s="22" t="str">
        <f t="shared" si="4"/>
        <v/>
      </c>
    </row>
    <row r="525" ht="15.75" customHeight="1">
      <c r="A525" s="31" t="str">
        <f>'EQUITY BACKTEST'!A528</f>
        <v/>
      </c>
      <c r="B525" s="22" t="str">
        <f>'EQUITY BACKTEST'!B528</f>
        <v/>
      </c>
      <c r="C525" s="22" t="str">
        <f>1/'EQUITY BACKTEST'!E528</f>
        <v>#DIV/0!</v>
      </c>
      <c r="D525" s="22" t="str">
        <f t="shared" si="1"/>
        <v>#DIV/0!</v>
      </c>
      <c r="E525" s="22" t="str">
        <f t="shared" ref="E525:F525" si="525">IF(A525&lt;&gt;"", (B525 - B524) / B524, "")</f>
        <v/>
      </c>
      <c r="F525" s="22" t="str">
        <f t="shared" si="525"/>
        <v/>
      </c>
      <c r="H525" s="22" t="str">
        <f t="shared" si="4"/>
        <v/>
      </c>
    </row>
    <row r="526" ht="15.75" customHeight="1">
      <c r="A526" s="31" t="str">
        <f>'EQUITY BACKTEST'!A529</f>
        <v/>
      </c>
      <c r="B526" s="22" t="str">
        <f>'EQUITY BACKTEST'!B529</f>
        <v/>
      </c>
      <c r="C526" s="22" t="str">
        <f>1/'EQUITY BACKTEST'!E529</f>
        <v>#DIV/0!</v>
      </c>
      <c r="D526" s="22" t="str">
        <f t="shared" si="1"/>
        <v>#DIV/0!</v>
      </c>
      <c r="E526" s="22" t="str">
        <f t="shared" ref="E526:F526" si="526">IF(A526&lt;&gt;"", (B526 - B525) / B525, "")</f>
        <v/>
      </c>
      <c r="F526" s="22" t="str">
        <f t="shared" si="526"/>
        <v/>
      </c>
      <c r="H526" s="22" t="str">
        <f t="shared" si="4"/>
        <v/>
      </c>
    </row>
    <row r="527" ht="15.75" customHeight="1">
      <c r="A527" s="31" t="str">
        <f>'EQUITY BACKTEST'!A530</f>
        <v/>
      </c>
      <c r="B527" s="22" t="str">
        <f>'EQUITY BACKTEST'!B530</f>
        <v/>
      </c>
      <c r="C527" s="22" t="str">
        <f>1/'EQUITY BACKTEST'!E530</f>
        <v>#DIV/0!</v>
      </c>
      <c r="D527" s="22" t="str">
        <f t="shared" si="1"/>
        <v>#DIV/0!</v>
      </c>
      <c r="E527" s="22" t="str">
        <f t="shared" ref="E527:F527" si="527">IF(A527&lt;&gt;"", (B527 - B526) / B526, "")</f>
        <v/>
      </c>
      <c r="F527" s="22" t="str">
        <f t="shared" si="527"/>
        <v/>
      </c>
      <c r="H527" s="22" t="str">
        <f t="shared" si="4"/>
        <v/>
      </c>
    </row>
    <row r="528" ht="15.75" customHeight="1">
      <c r="A528" s="31" t="str">
        <f>'EQUITY BACKTEST'!A531</f>
        <v/>
      </c>
      <c r="B528" s="22" t="str">
        <f>'EQUITY BACKTEST'!B531</f>
        <v/>
      </c>
      <c r="C528" s="22" t="str">
        <f>1/'EQUITY BACKTEST'!E531</f>
        <v>#DIV/0!</v>
      </c>
      <c r="D528" s="22" t="str">
        <f t="shared" si="1"/>
        <v>#DIV/0!</v>
      </c>
      <c r="E528" s="22" t="str">
        <f t="shared" ref="E528:F528" si="528">IF(A528&lt;&gt;"", (B528 - B527) / B527, "")</f>
        <v/>
      </c>
      <c r="F528" s="22" t="str">
        <f t="shared" si="528"/>
        <v/>
      </c>
      <c r="H528" s="22" t="str">
        <f t="shared" si="4"/>
        <v/>
      </c>
    </row>
    <row r="529" ht="15.75" customHeight="1">
      <c r="A529" s="31" t="str">
        <f>'EQUITY BACKTEST'!A532</f>
        <v/>
      </c>
      <c r="B529" s="22" t="str">
        <f>'EQUITY BACKTEST'!B532</f>
        <v/>
      </c>
      <c r="C529" s="22" t="str">
        <f>1/'EQUITY BACKTEST'!E532</f>
        <v>#DIV/0!</v>
      </c>
      <c r="D529" s="22" t="str">
        <f t="shared" si="1"/>
        <v>#DIV/0!</v>
      </c>
      <c r="E529" s="22" t="str">
        <f t="shared" ref="E529:F529" si="529">IF(A529&lt;&gt;"", (B529 - B528) / B528, "")</f>
        <v/>
      </c>
      <c r="F529" s="22" t="str">
        <f t="shared" si="529"/>
        <v/>
      </c>
      <c r="H529" s="22" t="str">
        <f t="shared" si="4"/>
        <v/>
      </c>
    </row>
    <row r="530" ht="15.75" customHeight="1">
      <c r="A530" s="31" t="str">
        <f>'EQUITY BACKTEST'!A533</f>
        <v/>
      </c>
      <c r="B530" s="22" t="str">
        <f>'EQUITY BACKTEST'!B533</f>
        <v/>
      </c>
      <c r="C530" s="22" t="str">
        <f>1/'EQUITY BACKTEST'!E533</f>
        <v>#DIV/0!</v>
      </c>
      <c r="D530" s="22" t="str">
        <f t="shared" si="1"/>
        <v>#DIV/0!</v>
      </c>
      <c r="E530" s="22" t="str">
        <f t="shared" ref="E530:F530" si="530">IF(A530&lt;&gt;"", (B530 - B529) / B529, "")</f>
        <v/>
      </c>
      <c r="F530" s="22" t="str">
        <f t="shared" si="530"/>
        <v/>
      </c>
      <c r="H530" s="22" t="str">
        <f t="shared" si="4"/>
        <v/>
      </c>
    </row>
    <row r="531" ht="15.75" customHeight="1">
      <c r="A531" s="31" t="str">
        <f>'EQUITY BACKTEST'!A534</f>
        <v/>
      </c>
      <c r="B531" s="22" t="str">
        <f>'EQUITY BACKTEST'!B534</f>
        <v/>
      </c>
      <c r="C531" s="22" t="str">
        <f>1/'EQUITY BACKTEST'!E534</f>
        <v>#DIV/0!</v>
      </c>
      <c r="D531" s="22" t="str">
        <f t="shared" si="1"/>
        <v>#DIV/0!</v>
      </c>
      <c r="E531" s="22" t="str">
        <f t="shared" ref="E531:F531" si="531">IF(A531&lt;&gt;"", (B531 - B530) / B530, "")</f>
        <v/>
      </c>
      <c r="F531" s="22" t="str">
        <f t="shared" si="531"/>
        <v/>
      </c>
      <c r="H531" s="22" t="str">
        <f t="shared" si="4"/>
        <v/>
      </c>
    </row>
    <row r="532" ht="15.75" customHeight="1">
      <c r="A532" s="31" t="str">
        <f>'EQUITY BACKTEST'!A535</f>
        <v/>
      </c>
      <c r="B532" s="22" t="str">
        <f>'EQUITY BACKTEST'!B535</f>
        <v/>
      </c>
      <c r="C532" s="22" t="str">
        <f>1/'EQUITY BACKTEST'!E535</f>
        <v>#DIV/0!</v>
      </c>
      <c r="D532" s="22" t="str">
        <f t="shared" si="1"/>
        <v>#DIV/0!</v>
      </c>
      <c r="E532" s="22" t="str">
        <f t="shared" ref="E532:F532" si="532">IF(A532&lt;&gt;"", (B532 - B531) / B531, "")</f>
        <v/>
      </c>
      <c r="F532" s="22" t="str">
        <f t="shared" si="532"/>
        <v/>
      </c>
      <c r="H532" s="22" t="str">
        <f t="shared" si="4"/>
        <v/>
      </c>
    </row>
    <row r="533" ht="15.75" customHeight="1">
      <c r="A533" s="31" t="str">
        <f>'EQUITY BACKTEST'!A536</f>
        <v/>
      </c>
      <c r="B533" s="22" t="str">
        <f>'EQUITY BACKTEST'!B536</f>
        <v/>
      </c>
      <c r="C533" s="22" t="str">
        <f>1/'EQUITY BACKTEST'!E536</f>
        <v>#DIV/0!</v>
      </c>
      <c r="D533" s="22" t="str">
        <f t="shared" si="1"/>
        <v>#DIV/0!</v>
      </c>
      <c r="E533" s="22" t="str">
        <f t="shared" ref="E533:F533" si="533">IF(A533&lt;&gt;"", (B533 - B532) / B532, "")</f>
        <v/>
      </c>
      <c r="F533" s="22" t="str">
        <f t="shared" si="533"/>
        <v/>
      </c>
      <c r="H533" s="22" t="str">
        <f t="shared" si="4"/>
        <v/>
      </c>
    </row>
    <row r="534" ht="15.75" customHeight="1">
      <c r="A534" s="31" t="str">
        <f>'EQUITY BACKTEST'!A537</f>
        <v/>
      </c>
      <c r="B534" s="22" t="str">
        <f>'EQUITY BACKTEST'!B537</f>
        <v/>
      </c>
      <c r="C534" s="22" t="str">
        <f>1/'EQUITY BACKTEST'!E537</f>
        <v>#DIV/0!</v>
      </c>
      <c r="D534" s="22" t="str">
        <f t="shared" si="1"/>
        <v>#DIV/0!</v>
      </c>
      <c r="E534" s="22" t="str">
        <f t="shared" ref="E534:F534" si="534">IF(A534&lt;&gt;"", (B534 - B533) / B533, "")</f>
        <v/>
      </c>
      <c r="F534" s="22" t="str">
        <f t="shared" si="534"/>
        <v/>
      </c>
      <c r="H534" s="22" t="str">
        <f t="shared" si="4"/>
        <v/>
      </c>
    </row>
    <row r="535" ht="15.75" customHeight="1">
      <c r="A535" s="31" t="str">
        <f>'EQUITY BACKTEST'!A538</f>
        <v/>
      </c>
      <c r="B535" s="22" t="str">
        <f>'EQUITY BACKTEST'!B538</f>
        <v/>
      </c>
      <c r="C535" s="22" t="str">
        <f>1/'EQUITY BACKTEST'!E538</f>
        <v>#DIV/0!</v>
      </c>
      <c r="D535" s="22" t="str">
        <f t="shared" si="1"/>
        <v>#DIV/0!</v>
      </c>
      <c r="E535" s="22" t="str">
        <f t="shared" ref="E535:F535" si="535">IF(A535&lt;&gt;"", (B535 - B534) / B534, "")</f>
        <v/>
      </c>
      <c r="F535" s="22" t="str">
        <f t="shared" si="535"/>
        <v/>
      </c>
      <c r="H535" s="22" t="str">
        <f t="shared" si="4"/>
        <v/>
      </c>
      <c r="I535" s="22" t="str">
        <f>B534/B528-1</f>
        <v>#DIV/0!</v>
      </c>
      <c r="K535" s="22" t="str">
        <f>C534/C528-1</f>
        <v>#DIV/0!</v>
      </c>
    </row>
    <row r="536" ht="15.75" customHeight="1">
      <c r="A536" s="31" t="str">
        <f>'EQUITY BACKTEST'!A539</f>
        <v/>
      </c>
      <c r="B536" s="22" t="str">
        <f>'EQUITY BACKTEST'!B539</f>
        <v/>
      </c>
      <c r="C536" s="22" t="str">
        <f>1/'EQUITY BACKTEST'!E539</f>
        <v>#DIV/0!</v>
      </c>
      <c r="D536" s="22" t="str">
        <f t="shared" si="1"/>
        <v>#DIV/0!</v>
      </c>
      <c r="E536" s="22" t="str">
        <f t="shared" ref="E536:F536" si="536">IF(A536&lt;&gt;"", (B536 - B535) / B535, "")</f>
        <v/>
      </c>
      <c r="F536" s="22" t="str">
        <f t="shared" si="536"/>
        <v/>
      </c>
      <c r="H536" s="22" t="str">
        <f t="shared" si="4"/>
        <v/>
      </c>
    </row>
    <row r="537" ht="15.75" customHeight="1">
      <c r="A537" s="31" t="str">
        <f>'EQUITY BACKTEST'!A540</f>
        <v/>
      </c>
      <c r="B537" s="22" t="str">
        <f>'EQUITY BACKTEST'!B540</f>
        <v/>
      </c>
      <c r="C537" s="22" t="str">
        <f>1/'EQUITY BACKTEST'!E540</f>
        <v>#DIV/0!</v>
      </c>
      <c r="D537" s="22" t="str">
        <f t="shared" si="1"/>
        <v>#DIV/0!</v>
      </c>
      <c r="E537" s="22" t="str">
        <f t="shared" ref="E537:F537" si="537">IF(A537&lt;&gt;"", (B537 - B536) / B536, "")</f>
        <v/>
      </c>
      <c r="F537" s="22" t="str">
        <f t="shared" si="537"/>
        <v/>
      </c>
      <c r="H537" s="22" t="str">
        <f t="shared" si="4"/>
        <v/>
      </c>
    </row>
    <row r="538" ht="15.75" customHeight="1">
      <c r="A538" s="31" t="str">
        <f>'EQUITY BACKTEST'!A541</f>
        <v/>
      </c>
      <c r="B538" s="22" t="str">
        <f>'EQUITY BACKTEST'!B541</f>
        <v/>
      </c>
      <c r="C538" s="22" t="str">
        <f>1/'EQUITY BACKTEST'!E541</f>
        <v>#DIV/0!</v>
      </c>
      <c r="D538" s="22" t="str">
        <f t="shared" si="1"/>
        <v>#DIV/0!</v>
      </c>
      <c r="E538" s="22" t="str">
        <f t="shared" ref="E538:F538" si="538">IF(A538&lt;&gt;"", (B538 - B537) / B537, "")</f>
        <v/>
      </c>
      <c r="F538" s="22" t="str">
        <f t="shared" si="538"/>
        <v/>
      </c>
      <c r="H538" s="22" t="str">
        <f t="shared" si="4"/>
        <v/>
      </c>
    </row>
    <row r="539" ht="15.75" customHeight="1">
      <c r="A539" s="31" t="str">
        <f>'EQUITY BACKTEST'!A542</f>
        <v/>
      </c>
      <c r="B539" s="22" t="str">
        <f>'EQUITY BACKTEST'!B542</f>
        <v/>
      </c>
      <c r="C539" s="22" t="str">
        <f>1/'EQUITY BACKTEST'!E542</f>
        <v>#DIV/0!</v>
      </c>
      <c r="D539" s="22" t="str">
        <f t="shared" si="1"/>
        <v>#DIV/0!</v>
      </c>
      <c r="E539" s="22" t="str">
        <f t="shared" ref="E539:F539" si="539">IF(A539&lt;&gt;"", (B539 - B538) / B538, "")</f>
        <v/>
      </c>
      <c r="F539" s="22" t="str">
        <f t="shared" si="539"/>
        <v/>
      </c>
      <c r="H539" s="22" t="str">
        <f t="shared" si="4"/>
        <v/>
      </c>
    </row>
    <row r="540" ht="15.75" customHeight="1">
      <c r="A540" s="31" t="str">
        <f>'EQUITY BACKTEST'!A543</f>
        <v/>
      </c>
      <c r="B540" s="22" t="str">
        <f>'EQUITY BACKTEST'!B543</f>
        <v/>
      </c>
      <c r="C540" s="22" t="str">
        <f>1/'EQUITY BACKTEST'!E543</f>
        <v>#DIV/0!</v>
      </c>
      <c r="D540" s="22" t="str">
        <f t="shared" si="1"/>
        <v>#DIV/0!</v>
      </c>
      <c r="E540" s="22" t="str">
        <f t="shared" ref="E540:F540" si="540">IF(A540&lt;&gt;"", (B540 - B539) / B539, "")</f>
        <v/>
      </c>
      <c r="F540" s="22" t="str">
        <f t="shared" si="540"/>
        <v/>
      </c>
      <c r="H540" s="22" t="str">
        <f t="shared" si="4"/>
        <v/>
      </c>
    </row>
    <row r="541" ht="15.75" customHeight="1">
      <c r="A541" s="31" t="str">
        <f>'EQUITY BACKTEST'!A544</f>
        <v/>
      </c>
      <c r="B541" s="22" t="str">
        <f>'EQUITY BACKTEST'!B544</f>
        <v/>
      </c>
      <c r="C541" s="22" t="str">
        <f>1/'EQUITY BACKTEST'!E544</f>
        <v>#DIV/0!</v>
      </c>
      <c r="D541" s="22" t="str">
        <f t="shared" si="1"/>
        <v>#DIV/0!</v>
      </c>
      <c r="E541" s="22" t="str">
        <f t="shared" ref="E541:F541" si="541">IF(A541&lt;&gt;"", (B541 - B540) / B540, "")</f>
        <v/>
      </c>
      <c r="F541" s="22" t="str">
        <f t="shared" si="541"/>
        <v/>
      </c>
      <c r="H541" s="22" t="str">
        <f t="shared" si="4"/>
        <v/>
      </c>
    </row>
    <row r="542" ht="15.75" customHeight="1">
      <c r="A542" s="31" t="str">
        <f>'EQUITY BACKTEST'!A545</f>
        <v/>
      </c>
      <c r="B542" s="22" t="str">
        <f>'EQUITY BACKTEST'!B545</f>
        <v/>
      </c>
      <c r="C542" s="22" t="str">
        <f>1/'EQUITY BACKTEST'!E545</f>
        <v>#DIV/0!</v>
      </c>
      <c r="D542" s="22" t="str">
        <f t="shared" si="1"/>
        <v>#DIV/0!</v>
      </c>
      <c r="E542" s="22" t="str">
        <f t="shared" ref="E542:F542" si="542">IF(A542&lt;&gt;"", (B542 - B541) / B541, "")</f>
        <v/>
      </c>
      <c r="F542" s="22" t="str">
        <f t="shared" si="542"/>
        <v/>
      </c>
      <c r="H542" s="22" t="str">
        <f t="shared" si="4"/>
        <v/>
      </c>
    </row>
    <row r="543" ht="15.75" customHeight="1">
      <c r="A543" s="31" t="str">
        <f>'EQUITY BACKTEST'!A546</f>
        <v/>
      </c>
      <c r="B543" s="22" t="str">
        <f>'EQUITY BACKTEST'!B546</f>
        <v/>
      </c>
      <c r="C543" s="22" t="str">
        <f>1/'EQUITY BACKTEST'!E546</f>
        <v>#DIV/0!</v>
      </c>
      <c r="D543" s="22" t="str">
        <f t="shared" si="1"/>
        <v>#DIV/0!</v>
      </c>
      <c r="E543" s="22" t="str">
        <f t="shared" ref="E543:F543" si="543">IF(A543&lt;&gt;"", (B543 - B542) / B542, "")</f>
        <v/>
      </c>
      <c r="F543" s="22" t="str">
        <f t="shared" si="543"/>
        <v/>
      </c>
      <c r="H543" s="22" t="str">
        <f t="shared" si="4"/>
        <v/>
      </c>
    </row>
    <row r="544" ht="15.75" customHeight="1">
      <c r="A544" s="31" t="str">
        <f>'EQUITY BACKTEST'!A547</f>
        <v/>
      </c>
      <c r="B544" s="22" t="str">
        <f>'EQUITY BACKTEST'!B547</f>
        <v/>
      </c>
      <c r="C544" s="22" t="str">
        <f>1/'EQUITY BACKTEST'!E547</f>
        <v>#DIV/0!</v>
      </c>
      <c r="D544" s="22" t="str">
        <f t="shared" si="1"/>
        <v>#DIV/0!</v>
      </c>
      <c r="E544" s="22" t="str">
        <f t="shared" ref="E544:F544" si="544">IF(A544&lt;&gt;"", (B544 - B543) / B543, "")</f>
        <v/>
      </c>
      <c r="F544" s="22" t="str">
        <f t="shared" si="544"/>
        <v/>
      </c>
      <c r="H544" s="22" t="str">
        <f t="shared" si="4"/>
        <v/>
      </c>
    </row>
    <row r="545" ht="15.75" customHeight="1">
      <c r="A545" s="31" t="str">
        <f>'EQUITY BACKTEST'!A548</f>
        <v/>
      </c>
      <c r="B545" s="22" t="str">
        <f>'EQUITY BACKTEST'!B548</f>
        <v/>
      </c>
      <c r="C545" s="22" t="str">
        <f>1/'EQUITY BACKTEST'!E548</f>
        <v>#DIV/0!</v>
      </c>
      <c r="D545" s="22" t="str">
        <f t="shared" si="1"/>
        <v>#DIV/0!</v>
      </c>
      <c r="E545" s="22" t="str">
        <f t="shared" ref="E545:F545" si="545">IF(A545&lt;&gt;"", (B545 - B544) / B544, "")</f>
        <v/>
      </c>
      <c r="F545" s="22" t="str">
        <f t="shared" si="545"/>
        <v/>
      </c>
      <c r="H545" s="22" t="str">
        <f t="shared" si="4"/>
        <v/>
      </c>
    </row>
    <row r="546" ht="15.75" customHeight="1">
      <c r="A546" s="31" t="str">
        <f>'EQUITY BACKTEST'!A549</f>
        <v/>
      </c>
      <c r="B546" s="22" t="str">
        <f>'EQUITY BACKTEST'!B549</f>
        <v/>
      </c>
      <c r="C546" s="22" t="str">
        <f>1/'EQUITY BACKTEST'!E549</f>
        <v>#DIV/0!</v>
      </c>
      <c r="D546" s="22" t="str">
        <f t="shared" si="1"/>
        <v>#DIV/0!</v>
      </c>
      <c r="E546" s="22" t="str">
        <f t="shared" ref="E546:F546" si="546">IF(A546&lt;&gt;"", (B546 - B545) / B545, "")</f>
        <v/>
      </c>
      <c r="F546" s="22" t="str">
        <f t="shared" si="546"/>
        <v/>
      </c>
      <c r="H546" s="22" t="str">
        <f t="shared" si="4"/>
        <v/>
      </c>
    </row>
    <row r="547" ht="15.75" customHeight="1">
      <c r="A547" s="31" t="str">
        <f>'EQUITY BACKTEST'!A550</f>
        <v/>
      </c>
      <c r="B547" s="22" t="str">
        <f>'EQUITY BACKTEST'!B550</f>
        <v/>
      </c>
      <c r="C547" s="22" t="str">
        <f>1/'EQUITY BACKTEST'!E550</f>
        <v>#DIV/0!</v>
      </c>
      <c r="D547" s="22" t="str">
        <f t="shared" si="1"/>
        <v>#DIV/0!</v>
      </c>
      <c r="E547" s="22" t="str">
        <f t="shared" ref="E547:F547" si="547">IF(A547&lt;&gt;"", (B547 - B546) / B546, "")</f>
        <v/>
      </c>
      <c r="F547" s="22" t="str">
        <f t="shared" si="547"/>
        <v/>
      </c>
      <c r="H547" s="22" t="str">
        <f t="shared" si="4"/>
        <v/>
      </c>
    </row>
    <row r="548" ht="15.75" customHeight="1">
      <c r="A548" s="31" t="str">
        <f>'EQUITY BACKTEST'!A551</f>
        <v/>
      </c>
      <c r="B548" s="22" t="str">
        <f>'EQUITY BACKTEST'!B551</f>
        <v/>
      </c>
      <c r="C548" s="22" t="str">
        <f>1/'EQUITY BACKTEST'!E551</f>
        <v>#DIV/0!</v>
      </c>
      <c r="D548" s="22" t="str">
        <f t="shared" si="1"/>
        <v>#DIV/0!</v>
      </c>
      <c r="E548" s="22" t="str">
        <f t="shared" ref="E548:F548" si="548">IF(A548&lt;&gt;"", (B548 - B547) / B547, "")</f>
        <v/>
      </c>
      <c r="F548" s="22" t="str">
        <f t="shared" si="548"/>
        <v/>
      </c>
      <c r="H548" s="22" t="str">
        <f t="shared" si="4"/>
        <v/>
      </c>
    </row>
    <row r="549" ht="15.75" customHeight="1">
      <c r="A549" s="31" t="str">
        <f>'EQUITY BACKTEST'!A552</f>
        <v/>
      </c>
      <c r="B549" s="22" t="str">
        <f>'EQUITY BACKTEST'!B552</f>
        <v/>
      </c>
      <c r="C549" s="22" t="str">
        <f>1/'EQUITY BACKTEST'!E552</f>
        <v>#DIV/0!</v>
      </c>
      <c r="D549" s="22" t="str">
        <f t="shared" si="1"/>
        <v>#DIV/0!</v>
      </c>
      <c r="E549" s="22" t="str">
        <f t="shared" ref="E549:F549" si="549">IF(A549&lt;&gt;"", (B549 - B548) / B548, "")</f>
        <v/>
      </c>
      <c r="F549" s="22" t="str">
        <f t="shared" si="549"/>
        <v/>
      </c>
      <c r="H549" s="22" t="str">
        <f t="shared" si="4"/>
        <v/>
      </c>
    </row>
    <row r="550" ht="15.75" customHeight="1">
      <c r="A550" s="31" t="str">
        <f>'EQUITY BACKTEST'!A553</f>
        <v/>
      </c>
      <c r="B550" s="22" t="str">
        <f>'EQUITY BACKTEST'!B553</f>
        <v/>
      </c>
      <c r="C550" s="22" t="str">
        <f>1/'EQUITY BACKTEST'!E553</f>
        <v>#DIV/0!</v>
      </c>
      <c r="D550" s="22" t="str">
        <f t="shared" si="1"/>
        <v>#DIV/0!</v>
      </c>
      <c r="E550" s="22" t="str">
        <f t="shared" ref="E550:F550" si="550">IF(A550&lt;&gt;"", (B550 - B549) / B549, "")</f>
        <v/>
      </c>
      <c r="F550" s="22" t="str">
        <f t="shared" si="550"/>
        <v/>
      </c>
      <c r="H550" s="22" t="str">
        <f t="shared" si="4"/>
        <v/>
      </c>
    </row>
    <row r="551" ht="15.75" customHeight="1">
      <c r="A551" s="31" t="str">
        <f>'EQUITY BACKTEST'!A554</f>
        <v/>
      </c>
      <c r="B551" s="22" t="str">
        <f>'EQUITY BACKTEST'!B554</f>
        <v/>
      </c>
      <c r="C551" s="22" t="str">
        <f>1/'EQUITY BACKTEST'!E554</f>
        <v>#DIV/0!</v>
      </c>
      <c r="D551" s="22" t="str">
        <f t="shared" si="1"/>
        <v>#DIV/0!</v>
      </c>
      <c r="E551" s="22" t="str">
        <f t="shared" ref="E551:F551" si="551">IF(A551&lt;&gt;"", (B551 - B550) / B550, "")</f>
        <v/>
      </c>
      <c r="F551" s="22" t="str">
        <f t="shared" si="551"/>
        <v/>
      </c>
      <c r="H551" s="22" t="str">
        <f t="shared" si="4"/>
        <v/>
      </c>
    </row>
    <row r="552" ht="15.75" customHeight="1">
      <c r="A552" s="31" t="str">
        <f>'EQUITY BACKTEST'!A555</f>
        <v/>
      </c>
      <c r="B552" s="22" t="str">
        <f>'EQUITY BACKTEST'!B555</f>
        <v/>
      </c>
      <c r="C552" s="22" t="str">
        <f>1/'EQUITY BACKTEST'!E555</f>
        <v>#DIV/0!</v>
      </c>
      <c r="D552" s="22" t="str">
        <f t="shared" si="1"/>
        <v>#DIV/0!</v>
      </c>
      <c r="E552" s="22" t="str">
        <f t="shared" ref="E552:F552" si="552">IF(A552&lt;&gt;"", (B552 - B551) / B551, "")</f>
        <v/>
      </c>
      <c r="F552" s="22" t="str">
        <f t="shared" si="552"/>
        <v/>
      </c>
      <c r="H552" s="22" t="str">
        <f t="shared" si="4"/>
        <v/>
      </c>
    </row>
    <row r="553" ht="15.75" customHeight="1">
      <c r="A553" s="31" t="str">
        <f>'EQUITY BACKTEST'!A556</f>
        <v/>
      </c>
      <c r="B553" s="22" t="str">
        <f>'EQUITY BACKTEST'!B556</f>
        <v/>
      </c>
      <c r="C553" s="22" t="str">
        <f>1/'EQUITY BACKTEST'!E556</f>
        <v>#DIV/0!</v>
      </c>
      <c r="D553" s="22" t="str">
        <f t="shared" si="1"/>
        <v>#DIV/0!</v>
      </c>
      <c r="E553" s="22" t="str">
        <f t="shared" ref="E553:F553" si="553">IF(A553&lt;&gt;"", (B553 - B552) / B552, "")</f>
        <v/>
      </c>
      <c r="F553" s="22" t="str">
        <f t="shared" si="553"/>
        <v/>
      </c>
      <c r="H553" s="22" t="str">
        <f t="shared" si="4"/>
        <v/>
      </c>
    </row>
    <row r="554" ht="15.75" customHeight="1">
      <c r="A554" s="31" t="str">
        <f>'EQUITY BACKTEST'!A557</f>
        <v/>
      </c>
      <c r="B554" s="22" t="str">
        <f>'EQUITY BACKTEST'!B557</f>
        <v/>
      </c>
      <c r="C554" s="22" t="str">
        <f>1/'EQUITY BACKTEST'!E557</f>
        <v>#DIV/0!</v>
      </c>
      <c r="D554" s="22" t="str">
        <f t="shared" si="1"/>
        <v>#DIV/0!</v>
      </c>
      <c r="E554" s="22" t="str">
        <f t="shared" ref="E554:F554" si="554">IF(A554&lt;&gt;"", (B554 - B553) / B553, "")</f>
        <v/>
      </c>
      <c r="F554" s="22" t="str">
        <f t="shared" si="554"/>
        <v/>
      </c>
      <c r="H554" s="22" t="str">
        <f t="shared" si="4"/>
        <v/>
      </c>
    </row>
    <row r="555" ht="15.75" customHeight="1">
      <c r="A555" s="31" t="str">
        <f>'EQUITY BACKTEST'!A558</f>
        <v/>
      </c>
      <c r="B555" s="22" t="str">
        <f>'EQUITY BACKTEST'!B558</f>
        <v/>
      </c>
      <c r="C555" s="22" t="str">
        <f>1/'EQUITY BACKTEST'!E558</f>
        <v>#DIV/0!</v>
      </c>
      <c r="D555" s="22" t="str">
        <f t="shared" si="1"/>
        <v>#DIV/0!</v>
      </c>
      <c r="E555" s="22" t="str">
        <f t="shared" ref="E555:F555" si="555">IF(A555&lt;&gt;"", (B555 - B554) / B554, "")</f>
        <v/>
      </c>
      <c r="F555" s="22" t="str">
        <f t="shared" si="555"/>
        <v/>
      </c>
      <c r="H555" s="22" t="str">
        <f t="shared" si="4"/>
        <v/>
      </c>
    </row>
    <row r="556" ht="15.75" customHeight="1">
      <c r="A556" s="31" t="str">
        <f>'EQUITY BACKTEST'!A559</f>
        <v/>
      </c>
      <c r="B556" s="22" t="str">
        <f>'EQUITY BACKTEST'!B559</f>
        <v/>
      </c>
      <c r="C556" s="22" t="str">
        <f>1/'EQUITY BACKTEST'!E559</f>
        <v>#DIV/0!</v>
      </c>
      <c r="D556" s="22" t="str">
        <f t="shared" si="1"/>
        <v>#DIV/0!</v>
      </c>
      <c r="E556" s="22" t="str">
        <f t="shared" ref="E556:F556" si="556">IF(A556&lt;&gt;"", (B556 - B555) / B555, "")</f>
        <v/>
      </c>
      <c r="F556" s="22" t="str">
        <f t="shared" si="556"/>
        <v/>
      </c>
      <c r="H556" s="22" t="str">
        <f t="shared" si="4"/>
        <v/>
      </c>
    </row>
    <row r="557" ht="15.75" customHeight="1">
      <c r="A557" s="31" t="str">
        <f>'EQUITY BACKTEST'!A560</f>
        <v/>
      </c>
      <c r="B557" s="22" t="str">
        <f>'EQUITY BACKTEST'!B560</f>
        <v/>
      </c>
      <c r="C557" s="22" t="str">
        <f>1/'EQUITY BACKTEST'!E560</f>
        <v>#DIV/0!</v>
      </c>
      <c r="D557" s="22" t="str">
        <f t="shared" si="1"/>
        <v>#DIV/0!</v>
      </c>
      <c r="E557" s="22" t="str">
        <f t="shared" ref="E557:F557" si="557">IF(A557&lt;&gt;"", (B557 - B556) / B556, "")</f>
        <v/>
      </c>
      <c r="F557" s="22" t="str">
        <f t="shared" si="557"/>
        <v/>
      </c>
      <c r="H557" s="22" t="str">
        <f t="shared" si="4"/>
        <v/>
      </c>
    </row>
    <row r="558" ht="15.75" customHeight="1">
      <c r="A558" s="31" t="str">
        <f>'EQUITY BACKTEST'!A561</f>
        <v/>
      </c>
      <c r="B558" s="22" t="str">
        <f>'EQUITY BACKTEST'!B561</f>
        <v/>
      </c>
      <c r="C558" s="22" t="str">
        <f>1/'EQUITY BACKTEST'!E561</f>
        <v>#DIV/0!</v>
      </c>
      <c r="D558" s="22" t="str">
        <f t="shared" si="1"/>
        <v>#DIV/0!</v>
      </c>
      <c r="E558" s="22" t="str">
        <f t="shared" ref="E558:F558" si="558">IF(A558&lt;&gt;"", (B558 - B557) / B557, "")</f>
        <v/>
      </c>
      <c r="F558" s="22" t="str">
        <f t="shared" si="558"/>
        <v/>
      </c>
      <c r="H558" s="22" t="str">
        <f t="shared" si="4"/>
        <v/>
      </c>
    </row>
    <row r="559" ht="15.75" customHeight="1">
      <c r="A559" s="31" t="str">
        <f>'EQUITY BACKTEST'!A562</f>
        <v/>
      </c>
      <c r="B559" s="22" t="str">
        <f>'EQUITY BACKTEST'!B562</f>
        <v/>
      </c>
      <c r="C559" s="22" t="str">
        <f>1/'EQUITY BACKTEST'!E562</f>
        <v>#DIV/0!</v>
      </c>
      <c r="D559" s="22" t="str">
        <f t="shared" si="1"/>
        <v>#DIV/0!</v>
      </c>
      <c r="E559" s="22" t="str">
        <f t="shared" ref="E559:F559" si="559">IF(A559&lt;&gt;"", (B559 - B558) / B558, "")</f>
        <v/>
      </c>
      <c r="F559" s="22" t="str">
        <f t="shared" si="559"/>
        <v/>
      </c>
      <c r="H559" s="22" t="str">
        <f t="shared" si="4"/>
        <v/>
      </c>
    </row>
    <row r="560" ht="15.75" customHeight="1">
      <c r="A560" s="31" t="str">
        <f>'EQUITY BACKTEST'!A563</f>
        <v/>
      </c>
      <c r="B560" s="22" t="str">
        <f>'EQUITY BACKTEST'!B563</f>
        <v/>
      </c>
      <c r="C560" s="22" t="str">
        <f>1/'EQUITY BACKTEST'!E563</f>
        <v>#DIV/0!</v>
      </c>
      <c r="D560" s="22" t="str">
        <f t="shared" si="1"/>
        <v>#DIV/0!</v>
      </c>
      <c r="E560" s="22" t="str">
        <f t="shared" ref="E560:F560" si="560">IF(A560&lt;&gt;"", (B560 - B559) / B559, "")</f>
        <v/>
      </c>
      <c r="F560" s="22" t="str">
        <f t="shared" si="560"/>
        <v/>
      </c>
      <c r="H560" s="22" t="str">
        <f t="shared" si="4"/>
        <v/>
      </c>
    </row>
    <row r="561" ht="15.75" customHeight="1">
      <c r="A561" s="31" t="str">
        <f>'EQUITY BACKTEST'!A564</f>
        <v/>
      </c>
      <c r="B561" s="22" t="str">
        <f>'EQUITY BACKTEST'!B564</f>
        <v/>
      </c>
      <c r="C561" s="22" t="str">
        <f>1/'EQUITY BACKTEST'!E564</f>
        <v>#DIV/0!</v>
      </c>
      <c r="D561" s="22" t="str">
        <f t="shared" si="1"/>
        <v>#DIV/0!</v>
      </c>
      <c r="E561" s="22" t="str">
        <f t="shared" ref="E561:F561" si="561">IF(A561&lt;&gt;"", (B561 - B560) / B560, "")</f>
        <v/>
      </c>
      <c r="F561" s="22" t="str">
        <f t="shared" si="561"/>
        <v/>
      </c>
      <c r="H561" s="22" t="str">
        <f t="shared" si="4"/>
        <v/>
      </c>
    </row>
    <row r="562" ht="15.75" customHeight="1">
      <c r="A562" s="31" t="str">
        <f>'EQUITY BACKTEST'!A565</f>
        <v/>
      </c>
      <c r="B562" s="22" t="str">
        <f>'EQUITY BACKTEST'!B565</f>
        <v/>
      </c>
      <c r="C562" s="22" t="str">
        <f>1/'EQUITY BACKTEST'!E565</f>
        <v>#DIV/0!</v>
      </c>
      <c r="D562" s="22" t="str">
        <f t="shared" si="1"/>
        <v>#DIV/0!</v>
      </c>
      <c r="E562" s="22" t="str">
        <f t="shared" ref="E562:F562" si="562">IF(A562&lt;&gt;"", (B562 - B561) / B561, "")</f>
        <v/>
      </c>
      <c r="F562" s="22" t="str">
        <f t="shared" si="562"/>
        <v/>
      </c>
      <c r="H562" s="22" t="str">
        <f t="shared" si="4"/>
        <v/>
      </c>
    </row>
    <row r="563" ht="15.75" customHeight="1">
      <c r="A563" s="31" t="str">
        <f>'EQUITY BACKTEST'!A566</f>
        <v/>
      </c>
      <c r="B563" s="22" t="str">
        <f>'EQUITY BACKTEST'!B566</f>
        <v/>
      </c>
      <c r="C563" s="22" t="str">
        <f>1/'EQUITY BACKTEST'!E566</f>
        <v>#DIV/0!</v>
      </c>
      <c r="D563" s="22" t="str">
        <f t="shared" si="1"/>
        <v>#DIV/0!</v>
      </c>
      <c r="E563" s="22" t="str">
        <f t="shared" ref="E563:F563" si="563">IF(A563&lt;&gt;"", (B563 - B562) / B562, "")</f>
        <v/>
      </c>
      <c r="F563" s="22" t="str">
        <f t="shared" si="563"/>
        <v/>
      </c>
      <c r="H563" s="22" t="str">
        <f t="shared" si="4"/>
        <v/>
      </c>
    </row>
    <row r="564" ht="15.75" customHeight="1">
      <c r="A564" s="31" t="str">
        <f>'EQUITY BACKTEST'!A567</f>
        <v/>
      </c>
      <c r="B564" s="22" t="str">
        <f>'EQUITY BACKTEST'!B567</f>
        <v/>
      </c>
      <c r="C564" s="22" t="str">
        <f>1/'EQUITY BACKTEST'!E567</f>
        <v>#DIV/0!</v>
      </c>
      <c r="D564" s="22" t="str">
        <f t="shared" si="1"/>
        <v>#DIV/0!</v>
      </c>
      <c r="E564" s="22" t="str">
        <f t="shared" ref="E564:F564" si="564">IF(A564&lt;&gt;"", (B564 - B563) / B563, "")</f>
        <v/>
      </c>
      <c r="F564" s="22" t="str">
        <f t="shared" si="564"/>
        <v/>
      </c>
      <c r="H564" s="22" t="str">
        <f t="shared" si="4"/>
        <v/>
      </c>
    </row>
    <row r="565" ht="15.75" customHeight="1">
      <c r="A565" s="31" t="str">
        <f>'EQUITY BACKTEST'!A568</f>
        <v/>
      </c>
      <c r="B565" s="22" t="str">
        <f>'EQUITY BACKTEST'!B568</f>
        <v/>
      </c>
      <c r="C565" s="22" t="str">
        <f>1/'EQUITY BACKTEST'!E568</f>
        <v>#DIV/0!</v>
      </c>
      <c r="D565" s="22" t="str">
        <f t="shared" si="1"/>
        <v>#DIV/0!</v>
      </c>
      <c r="E565" s="22" t="str">
        <f t="shared" ref="E565:F565" si="565">IF(A565&lt;&gt;"", (B565 - B564) / B564, "")</f>
        <v/>
      </c>
      <c r="F565" s="22" t="str">
        <f t="shared" si="565"/>
        <v/>
      </c>
      <c r="H565" s="22" t="str">
        <f t="shared" si="4"/>
        <v/>
      </c>
    </row>
    <row r="566" ht="15.75" customHeight="1">
      <c r="A566" s="31" t="str">
        <f>'EQUITY BACKTEST'!A569</f>
        <v/>
      </c>
      <c r="B566" s="22" t="str">
        <f>'EQUITY BACKTEST'!B569</f>
        <v/>
      </c>
      <c r="C566" s="22" t="str">
        <f>1/'EQUITY BACKTEST'!E569</f>
        <v>#DIV/0!</v>
      </c>
      <c r="D566" s="22" t="str">
        <f t="shared" si="1"/>
        <v>#DIV/0!</v>
      </c>
      <c r="E566" s="22" t="str">
        <f t="shared" ref="E566:F566" si="566">IF(A566&lt;&gt;"", (B566 - B565) / B565, "")</f>
        <v/>
      </c>
      <c r="F566" s="22" t="str">
        <f t="shared" si="566"/>
        <v/>
      </c>
      <c r="H566" s="22" t="str">
        <f t="shared" si="4"/>
        <v/>
      </c>
    </row>
    <row r="567" ht="15.75" customHeight="1">
      <c r="A567" s="31" t="str">
        <f>'EQUITY BACKTEST'!A570</f>
        <v/>
      </c>
      <c r="B567" s="22" t="str">
        <f>'EQUITY BACKTEST'!B570</f>
        <v/>
      </c>
      <c r="C567" s="22" t="str">
        <f>1/'EQUITY BACKTEST'!E570</f>
        <v>#DIV/0!</v>
      </c>
      <c r="D567" s="22" t="str">
        <f t="shared" si="1"/>
        <v>#DIV/0!</v>
      </c>
      <c r="E567" s="22" t="str">
        <f t="shared" ref="E567:F567" si="567">IF(A567&lt;&gt;"", (B567 - B566) / B566, "")</f>
        <v/>
      </c>
      <c r="F567" s="22" t="str">
        <f t="shared" si="567"/>
        <v/>
      </c>
      <c r="H567" s="22" t="str">
        <f t="shared" si="4"/>
        <v/>
      </c>
    </row>
    <row r="568" ht="15.75" customHeight="1">
      <c r="A568" s="31" t="str">
        <f>'EQUITY BACKTEST'!A571</f>
        <v/>
      </c>
      <c r="B568" s="22" t="str">
        <f>'EQUITY BACKTEST'!B571</f>
        <v/>
      </c>
      <c r="C568" s="22" t="str">
        <f>1/'EQUITY BACKTEST'!E571</f>
        <v>#DIV/0!</v>
      </c>
      <c r="D568" s="22" t="str">
        <f t="shared" si="1"/>
        <v>#DIV/0!</v>
      </c>
      <c r="E568" s="22" t="str">
        <f t="shared" ref="E568:F568" si="568">IF(A568&lt;&gt;"", (B568 - B567) / B567, "")</f>
        <v/>
      </c>
      <c r="F568" s="22" t="str">
        <f t="shared" si="568"/>
        <v/>
      </c>
      <c r="H568" s="22" t="str">
        <f t="shared" si="4"/>
        <v/>
      </c>
    </row>
    <row r="569" ht="15.75" customHeight="1">
      <c r="A569" s="31" t="str">
        <f>'EQUITY BACKTEST'!A572</f>
        <v/>
      </c>
      <c r="B569" s="22" t="str">
        <f>'EQUITY BACKTEST'!B572</f>
        <v/>
      </c>
      <c r="C569" s="22" t="str">
        <f>1/'EQUITY BACKTEST'!E572</f>
        <v>#DIV/0!</v>
      </c>
      <c r="D569" s="22" t="str">
        <f t="shared" si="1"/>
        <v>#DIV/0!</v>
      </c>
      <c r="E569" s="22" t="str">
        <f t="shared" ref="E569:F569" si="569">IF(A569&lt;&gt;"", (B569 - B568) / B568, "")</f>
        <v/>
      </c>
      <c r="F569" s="22" t="str">
        <f t="shared" si="569"/>
        <v/>
      </c>
      <c r="H569" s="22" t="str">
        <f t="shared" si="4"/>
        <v/>
      </c>
    </row>
    <row r="570" ht="15.75" customHeight="1">
      <c r="A570" s="31" t="str">
        <f>'EQUITY BACKTEST'!A573</f>
        <v/>
      </c>
      <c r="B570" s="22" t="str">
        <f>'EQUITY BACKTEST'!B573</f>
        <v/>
      </c>
      <c r="C570" s="22" t="str">
        <f>1/'EQUITY BACKTEST'!E573</f>
        <v>#DIV/0!</v>
      </c>
      <c r="D570" s="22" t="str">
        <f t="shared" si="1"/>
        <v>#DIV/0!</v>
      </c>
      <c r="E570" s="22" t="str">
        <f t="shared" ref="E570:F570" si="570">IF(A570&lt;&gt;"", (B570 - B569) / B569, "")</f>
        <v/>
      </c>
      <c r="F570" s="22" t="str">
        <f t="shared" si="570"/>
        <v/>
      </c>
      <c r="H570" s="22" t="str">
        <f t="shared" si="4"/>
        <v/>
      </c>
    </row>
    <row r="571" ht="15.75" customHeight="1">
      <c r="A571" s="31" t="str">
        <f>'EQUITY BACKTEST'!A574</f>
        <v/>
      </c>
      <c r="B571" s="22" t="str">
        <f>'EQUITY BACKTEST'!B574</f>
        <v/>
      </c>
      <c r="C571" s="22" t="str">
        <f>1/'EQUITY BACKTEST'!E574</f>
        <v>#DIV/0!</v>
      </c>
      <c r="D571" s="22" t="str">
        <f t="shared" si="1"/>
        <v>#DIV/0!</v>
      </c>
      <c r="E571" s="22" t="str">
        <f t="shared" ref="E571:F571" si="571">IF(A571&lt;&gt;"", (B571 - B570) / B570, "")</f>
        <v/>
      </c>
      <c r="F571" s="22" t="str">
        <f t="shared" si="571"/>
        <v/>
      </c>
      <c r="H571" s="22" t="str">
        <f t="shared" si="4"/>
        <v/>
      </c>
    </row>
    <row r="572" ht="15.75" customHeight="1">
      <c r="A572" s="31" t="str">
        <f>'EQUITY BACKTEST'!A575</f>
        <v/>
      </c>
      <c r="B572" s="22" t="str">
        <f>'EQUITY BACKTEST'!B575</f>
        <v/>
      </c>
      <c r="C572" s="22" t="str">
        <f>1/'EQUITY BACKTEST'!E575</f>
        <v>#DIV/0!</v>
      </c>
      <c r="D572" s="22" t="str">
        <f t="shared" si="1"/>
        <v>#DIV/0!</v>
      </c>
      <c r="E572" s="22" t="str">
        <f t="shared" ref="E572:F572" si="572">IF(A572&lt;&gt;"", (B572 - B571) / B571, "")</f>
        <v/>
      </c>
      <c r="F572" s="22" t="str">
        <f t="shared" si="572"/>
        <v/>
      </c>
      <c r="H572" s="22" t="str">
        <f t="shared" si="4"/>
        <v/>
      </c>
    </row>
    <row r="573" ht="15.75" customHeight="1">
      <c r="A573" s="31" t="str">
        <f>'EQUITY BACKTEST'!A576</f>
        <v/>
      </c>
      <c r="B573" s="22" t="str">
        <f>'EQUITY BACKTEST'!B576</f>
        <v/>
      </c>
      <c r="C573" s="22" t="str">
        <f>1/'EQUITY BACKTEST'!E576</f>
        <v>#DIV/0!</v>
      </c>
      <c r="D573" s="22" t="str">
        <f t="shared" si="1"/>
        <v>#DIV/0!</v>
      </c>
      <c r="E573" s="22" t="str">
        <f t="shared" ref="E573:F573" si="573">IF(A573&lt;&gt;"", (B573 - B572) / B572, "")</f>
        <v/>
      </c>
      <c r="F573" s="22" t="str">
        <f t="shared" si="573"/>
        <v/>
      </c>
      <c r="H573" s="22" t="str">
        <f t="shared" si="4"/>
        <v/>
      </c>
    </row>
    <row r="574" ht="15.75" customHeight="1">
      <c r="A574" s="31" t="str">
        <f>'EQUITY BACKTEST'!A577</f>
        <v/>
      </c>
      <c r="B574" s="22" t="str">
        <f>'EQUITY BACKTEST'!B577</f>
        <v/>
      </c>
      <c r="C574" s="22" t="str">
        <f>1/'EQUITY BACKTEST'!E577</f>
        <v>#DIV/0!</v>
      </c>
      <c r="D574" s="22" t="str">
        <f t="shared" si="1"/>
        <v>#DIV/0!</v>
      </c>
      <c r="E574" s="22" t="str">
        <f t="shared" ref="E574:F574" si="574">IF(A574&lt;&gt;"", (B574 - B573) / B573, "")</f>
        <v/>
      </c>
      <c r="F574" s="22" t="str">
        <f t="shared" si="574"/>
        <v/>
      </c>
      <c r="H574" s="22" t="str">
        <f t="shared" si="4"/>
        <v/>
      </c>
    </row>
    <row r="575" ht="15.75" customHeight="1">
      <c r="A575" s="31" t="str">
        <f>'EQUITY BACKTEST'!A578</f>
        <v/>
      </c>
      <c r="B575" s="22" t="str">
        <f>'EQUITY BACKTEST'!B578</f>
        <v/>
      </c>
      <c r="C575" s="22" t="str">
        <f>1/'EQUITY BACKTEST'!E578</f>
        <v>#DIV/0!</v>
      </c>
      <c r="D575" s="22" t="str">
        <f t="shared" si="1"/>
        <v>#DIV/0!</v>
      </c>
      <c r="E575" s="22" t="str">
        <f t="shared" ref="E575:F575" si="575">IF(A575&lt;&gt;"", (B575 - B574) / B574, "")</f>
        <v/>
      </c>
      <c r="F575" s="22" t="str">
        <f t="shared" si="575"/>
        <v/>
      </c>
      <c r="H575" s="22" t="str">
        <f t="shared" si="4"/>
        <v/>
      </c>
    </row>
    <row r="576" ht="15.75" customHeight="1">
      <c r="A576" s="31" t="str">
        <f>'EQUITY BACKTEST'!A579</f>
        <v/>
      </c>
      <c r="B576" s="22" t="str">
        <f>'EQUITY BACKTEST'!B579</f>
        <v/>
      </c>
      <c r="C576" s="22" t="str">
        <f>1/'EQUITY BACKTEST'!E579</f>
        <v>#DIV/0!</v>
      </c>
      <c r="D576" s="22" t="str">
        <f t="shared" si="1"/>
        <v>#DIV/0!</v>
      </c>
      <c r="E576" s="22" t="str">
        <f t="shared" ref="E576:F576" si="576">IF(A576&lt;&gt;"", (B576 - B575) / B575, "")</f>
        <v/>
      </c>
      <c r="F576" s="22" t="str">
        <f t="shared" si="576"/>
        <v/>
      </c>
      <c r="H576" s="22" t="str">
        <f t="shared" si="4"/>
        <v/>
      </c>
    </row>
    <row r="577" ht="15.75" customHeight="1">
      <c r="A577" s="31" t="str">
        <f>'EQUITY BACKTEST'!A580</f>
        <v/>
      </c>
      <c r="B577" s="22" t="str">
        <f>'EQUITY BACKTEST'!B580</f>
        <v/>
      </c>
      <c r="C577" s="22" t="str">
        <f>1/'EQUITY BACKTEST'!E580</f>
        <v>#DIV/0!</v>
      </c>
      <c r="D577" s="22" t="str">
        <f t="shared" si="1"/>
        <v>#DIV/0!</v>
      </c>
      <c r="E577" s="22" t="str">
        <f t="shared" ref="E577:F577" si="577">IF(A577&lt;&gt;"", (B577 - B576) / B576, "")</f>
        <v/>
      </c>
      <c r="F577" s="22" t="str">
        <f t="shared" si="577"/>
        <v/>
      </c>
      <c r="H577" s="22" t="str">
        <f t="shared" si="4"/>
        <v/>
      </c>
    </row>
    <row r="578" ht="15.75" customHeight="1">
      <c r="A578" s="31" t="str">
        <f>'EQUITY BACKTEST'!A581</f>
        <v/>
      </c>
      <c r="B578" s="22" t="str">
        <f>'EQUITY BACKTEST'!B581</f>
        <v/>
      </c>
      <c r="C578" s="22" t="str">
        <f>1/'EQUITY BACKTEST'!E581</f>
        <v>#DIV/0!</v>
      </c>
      <c r="D578" s="22" t="str">
        <f t="shared" si="1"/>
        <v>#DIV/0!</v>
      </c>
      <c r="E578" s="22" t="str">
        <f t="shared" ref="E578:F578" si="578">IF(A578&lt;&gt;"", (B578 - B577) / B577, "")</f>
        <v/>
      </c>
      <c r="F578" s="22" t="str">
        <f t="shared" si="578"/>
        <v/>
      </c>
      <c r="H578" s="22" t="str">
        <f t="shared" si="4"/>
        <v/>
      </c>
    </row>
    <row r="579" ht="15.75" customHeight="1">
      <c r="A579" s="31" t="str">
        <f>'EQUITY BACKTEST'!A582</f>
        <v/>
      </c>
      <c r="B579" s="22" t="str">
        <f>'EQUITY BACKTEST'!B582</f>
        <v/>
      </c>
      <c r="C579" s="22" t="str">
        <f>1/'EQUITY BACKTEST'!E582</f>
        <v>#DIV/0!</v>
      </c>
      <c r="D579" s="22" t="str">
        <f t="shared" si="1"/>
        <v>#DIV/0!</v>
      </c>
      <c r="E579" s="22" t="str">
        <f t="shared" ref="E579:F579" si="579">IF(A579&lt;&gt;"", (B579 - B578) / B578, "")</f>
        <v/>
      </c>
      <c r="F579" s="22" t="str">
        <f t="shared" si="579"/>
        <v/>
      </c>
      <c r="H579" s="22" t="str">
        <f t="shared" si="4"/>
        <v/>
      </c>
    </row>
    <row r="580" ht="15.75" customHeight="1">
      <c r="A580" s="31" t="str">
        <f>'EQUITY BACKTEST'!A583</f>
        <v/>
      </c>
      <c r="B580" s="22" t="str">
        <f>'EQUITY BACKTEST'!B583</f>
        <v/>
      </c>
      <c r="C580" s="22" t="str">
        <f>1/'EQUITY BACKTEST'!E583</f>
        <v>#DIV/0!</v>
      </c>
      <c r="D580" s="22" t="str">
        <f t="shared" si="1"/>
        <v>#DIV/0!</v>
      </c>
      <c r="E580" s="22" t="str">
        <f t="shared" ref="E580:F580" si="580">IF(A580&lt;&gt;"", (B580 - B579) / B579, "")</f>
        <v/>
      </c>
      <c r="F580" s="22" t="str">
        <f t="shared" si="580"/>
        <v/>
      </c>
      <c r="H580" s="22" t="str">
        <f t="shared" si="4"/>
        <v/>
      </c>
    </row>
    <row r="581" ht="15.75" customHeight="1">
      <c r="A581" s="31" t="str">
        <f>'EQUITY BACKTEST'!A584</f>
        <v/>
      </c>
      <c r="B581" s="22" t="str">
        <f>'EQUITY BACKTEST'!B584</f>
        <v/>
      </c>
      <c r="C581" s="22" t="str">
        <f>1/'EQUITY BACKTEST'!E584</f>
        <v>#DIV/0!</v>
      </c>
      <c r="D581" s="22" t="str">
        <f t="shared" si="1"/>
        <v>#DIV/0!</v>
      </c>
      <c r="E581" s="22" t="str">
        <f t="shared" ref="E581:F581" si="581">IF(A581&lt;&gt;"", (B581 - B580) / B580, "")</f>
        <v/>
      </c>
      <c r="F581" s="22" t="str">
        <f t="shared" si="581"/>
        <v/>
      </c>
      <c r="H581" s="22" t="str">
        <f t="shared" si="4"/>
        <v/>
      </c>
    </row>
    <row r="582" ht="15.75" customHeight="1">
      <c r="A582" s="31" t="str">
        <f>'EQUITY BACKTEST'!A585</f>
        <v/>
      </c>
      <c r="B582" s="22" t="str">
        <f>'EQUITY BACKTEST'!B585</f>
        <v/>
      </c>
      <c r="C582" s="22" t="str">
        <f>1/'EQUITY BACKTEST'!E585</f>
        <v>#DIV/0!</v>
      </c>
      <c r="D582" s="22" t="str">
        <f t="shared" si="1"/>
        <v>#DIV/0!</v>
      </c>
      <c r="E582" s="22" t="str">
        <f t="shared" ref="E582:F582" si="582">IF(A582&lt;&gt;"", (B582 - B581) / B581, "")</f>
        <v/>
      </c>
      <c r="F582" s="22" t="str">
        <f t="shared" si="582"/>
        <v/>
      </c>
      <c r="H582" s="22" t="str">
        <f t="shared" si="4"/>
        <v/>
      </c>
    </row>
    <row r="583" ht="15.75" customHeight="1">
      <c r="A583" s="31" t="str">
        <f>'EQUITY BACKTEST'!A586</f>
        <v/>
      </c>
      <c r="B583" s="22" t="str">
        <f>'EQUITY BACKTEST'!B586</f>
        <v/>
      </c>
      <c r="C583" s="22" t="str">
        <f>1/'EQUITY BACKTEST'!E586</f>
        <v>#DIV/0!</v>
      </c>
      <c r="D583" s="22" t="str">
        <f t="shared" si="1"/>
        <v>#DIV/0!</v>
      </c>
      <c r="E583" s="22" t="str">
        <f t="shared" ref="E583:F583" si="583">IF(A583&lt;&gt;"", (B583 - B582) / B582, "")</f>
        <v/>
      </c>
      <c r="F583" s="22" t="str">
        <f t="shared" si="583"/>
        <v/>
      </c>
      <c r="H583" s="22" t="str">
        <f t="shared" si="4"/>
        <v/>
      </c>
    </row>
    <row r="584" ht="15.75" customHeight="1">
      <c r="A584" s="31" t="str">
        <f>'EQUITY BACKTEST'!A587</f>
        <v/>
      </c>
      <c r="B584" s="22" t="str">
        <f>'EQUITY BACKTEST'!B587</f>
        <v/>
      </c>
      <c r="C584" s="22" t="str">
        <f>1/'EQUITY BACKTEST'!E587</f>
        <v>#DIV/0!</v>
      </c>
      <c r="D584" s="22" t="str">
        <f t="shared" si="1"/>
        <v>#DIV/0!</v>
      </c>
      <c r="E584" s="22" t="str">
        <f t="shared" ref="E584:F584" si="584">IF(A584&lt;&gt;"", (B584 - B583) / B583, "")</f>
        <v/>
      </c>
      <c r="F584" s="22" t="str">
        <f t="shared" si="584"/>
        <v/>
      </c>
      <c r="H584" s="22" t="str">
        <f t="shared" si="4"/>
        <v/>
      </c>
    </row>
    <row r="585" ht="15.75" customHeight="1">
      <c r="A585" s="31" t="str">
        <f>'EQUITY BACKTEST'!A588</f>
        <v/>
      </c>
      <c r="B585" s="22" t="str">
        <f>'EQUITY BACKTEST'!B588</f>
        <v/>
      </c>
      <c r="C585" s="22" t="str">
        <f>1/'EQUITY BACKTEST'!E588</f>
        <v>#DIV/0!</v>
      </c>
      <c r="D585" s="22" t="str">
        <f t="shared" si="1"/>
        <v>#DIV/0!</v>
      </c>
      <c r="E585" s="22" t="str">
        <f t="shared" ref="E585:F585" si="585">IF(A585&lt;&gt;"", (B585 - B584) / B584, "")</f>
        <v/>
      </c>
      <c r="F585" s="22" t="str">
        <f t="shared" si="585"/>
        <v/>
      </c>
      <c r="H585" s="22" t="str">
        <f t="shared" si="4"/>
        <v/>
      </c>
    </row>
    <row r="586" ht="15.75" customHeight="1">
      <c r="A586" s="31" t="str">
        <f>'EQUITY BACKTEST'!A589</f>
        <v/>
      </c>
      <c r="B586" s="22" t="str">
        <f>'EQUITY BACKTEST'!B589</f>
        <v/>
      </c>
      <c r="C586" s="22" t="str">
        <f>1/'EQUITY BACKTEST'!E589</f>
        <v>#DIV/0!</v>
      </c>
      <c r="D586" s="22" t="str">
        <f t="shared" si="1"/>
        <v>#DIV/0!</v>
      </c>
      <c r="E586" s="22" t="str">
        <f t="shared" ref="E586:F586" si="586">IF(A586&lt;&gt;"", (B586 - B585) / B585, "")</f>
        <v/>
      </c>
      <c r="F586" s="22" t="str">
        <f t="shared" si="586"/>
        <v/>
      </c>
      <c r="H586" s="22" t="str">
        <f t="shared" si="4"/>
        <v/>
      </c>
    </row>
    <row r="587" ht="15.75" customHeight="1">
      <c r="A587" s="31" t="str">
        <f>'EQUITY BACKTEST'!A590</f>
        <v/>
      </c>
      <c r="B587" s="22" t="str">
        <f>'EQUITY BACKTEST'!B590</f>
        <v/>
      </c>
      <c r="C587" s="22" t="str">
        <f>1/'EQUITY BACKTEST'!E590</f>
        <v>#DIV/0!</v>
      </c>
      <c r="D587" s="22" t="str">
        <f t="shared" si="1"/>
        <v>#DIV/0!</v>
      </c>
      <c r="E587" s="22" t="str">
        <f t="shared" ref="E587:F587" si="587">IF(A587&lt;&gt;"", (B587 - B586) / B586, "")</f>
        <v/>
      </c>
      <c r="F587" s="22" t="str">
        <f t="shared" si="587"/>
        <v/>
      </c>
      <c r="H587" s="22" t="str">
        <f t="shared" si="4"/>
        <v/>
      </c>
    </row>
    <row r="588" ht="15.75" customHeight="1">
      <c r="A588" s="31" t="str">
        <f>'EQUITY BACKTEST'!A591</f>
        <v/>
      </c>
      <c r="B588" s="22" t="str">
        <f>'EQUITY BACKTEST'!B591</f>
        <v/>
      </c>
      <c r="C588" s="22" t="str">
        <f>1/'EQUITY BACKTEST'!E591</f>
        <v>#DIV/0!</v>
      </c>
      <c r="D588" s="22" t="str">
        <f t="shared" si="1"/>
        <v>#DIV/0!</v>
      </c>
      <c r="E588" s="22" t="str">
        <f t="shared" ref="E588:F588" si="588">IF(A588&lt;&gt;"", (B588 - B587) / B587, "")</f>
        <v/>
      </c>
      <c r="F588" s="22" t="str">
        <f t="shared" si="588"/>
        <v/>
      </c>
      <c r="H588" s="22" t="str">
        <f t="shared" si="4"/>
        <v/>
      </c>
    </row>
    <row r="589" ht="15.75" customHeight="1">
      <c r="A589" s="31" t="str">
        <f>'EQUITY BACKTEST'!A592</f>
        <v/>
      </c>
      <c r="B589" s="22" t="str">
        <f>'EQUITY BACKTEST'!B592</f>
        <v/>
      </c>
      <c r="C589" s="22" t="str">
        <f>1/'EQUITY BACKTEST'!E592</f>
        <v>#DIV/0!</v>
      </c>
      <c r="D589" s="22" t="str">
        <f t="shared" si="1"/>
        <v>#DIV/0!</v>
      </c>
      <c r="E589" s="22" t="str">
        <f t="shared" ref="E589:F589" si="589">IF(A589&lt;&gt;"", (B589 - B588) / B588, "")</f>
        <v/>
      </c>
      <c r="F589" s="22" t="str">
        <f t="shared" si="589"/>
        <v/>
      </c>
      <c r="H589" s="22" t="str">
        <f t="shared" si="4"/>
        <v/>
      </c>
    </row>
    <row r="590" ht="15.75" customHeight="1">
      <c r="A590" s="31" t="str">
        <f>'EQUITY BACKTEST'!A593</f>
        <v/>
      </c>
      <c r="B590" s="22" t="str">
        <f>'EQUITY BACKTEST'!B593</f>
        <v/>
      </c>
      <c r="C590" s="22" t="str">
        <f>1/'EQUITY BACKTEST'!E593</f>
        <v>#DIV/0!</v>
      </c>
      <c r="D590" s="22" t="str">
        <f t="shared" si="1"/>
        <v>#DIV/0!</v>
      </c>
      <c r="E590" s="22" t="str">
        <f t="shared" ref="E590:F590" si="590">IF(A590&lt;&gt;"", (B590 - B589) / B589, "")</f>
        <v/>
      </c>
      <c r="F590" s="22" t="str">
        <f t="shared" si="590"/>
        <v/>
      </c>
      <c r="H590" s="22" t="str">
        <f t="shared" si="4"/>
        <v/>
      </c>
    </row>
    <row r="591" ht="15.75" customHeight="1">
      <c r="A591" s="31" t="str">
        <f>'EQUITY BACKTEST'!A594</f>
        <v/>
      </c>
      <c r="B591" s="22" t="str">
        <f>'EQUITY BACKTEST'!B594</f>
        <v/>
      </c>
      <c r="C591" s="22" t="str">
        <f>1/'EQUITY BACKTEST'!E594</f>
        <v>#DIV/0!</v>
      </c>
      <c r="D591" s="22" t="str">
        <f t="shared" si="1"/>
        <v>#DIV/0!</v>
      </c>
      <c r="E591" s="22" t="str">
        <f t="shared" ref="E591:F591" si="591">IF(A591&lt;&gt;"", (B591 - B590) / B590, "")</f>
        <v/>
      </c>
      <c r="F591" s="22" t="str">
        <f t="shared" si="591"/>
        <v/>
      </c>
      <c r="H591" s="22" t="str">
        <f t="shared" si="4"/>
        <v/>
      </c>
    </row>
    <row r="592" ht="15.75" customHeight="1">
      <c r="A592" s="31" t="str">
        <f>'EQUITY BACKTEST'!A595</f>
        <v/>
      </c>
      <c r="B592" s="22" t="str">
        <f>'EQUITY BACKTEST'!B595</f>
        <v/>
      </c>
      <c r="C592" s="22" t="str">
        <f>1/'EQUITY BACKTEST'!E595</f>
        <v>#DIV/0!</v>
      </c>
      <c r="D592" s="22" t="str">
        <f t="shared" si="1"/>
        <v>#DIV/0!</v>
      </c>
      <c r="E592" s="22" t="str">
        <f t="shared" ref="E592:F592" si="592">IF(A592&lt;&gt;"", (B592 - B591) / B591, "")</f>
        <v/>
      </c>
      <c r="F592" s="22" t="str">
        <f t="shared" si="592"/>
        <v/>
      </c>
      <c r="H592" s="22" t="str">
        <f t="shared" si="4"/>
        <v/>
      </c>
    </row>
    <row r="593" ht="15.75" customHeight="1">
      <c r="A593" s="31" t="str">
        <f>'EQUITY BACKTEST'!A596</f>
        <v/>
      </c>
      <c r="B593" s="22" t="str">
        <f>'EQUITY BACKTEST'!B596</f>
        <v/>
      </c>
      <c r="C593" s="22" t="str">
        <f>1/'EQUITY BACKTEST'!E596</f>
        <v>#DIV/0!</v>
      </c>
      <c r="D593" s="22" t="str">
        <f t="shared" si="1"/>
        <v>#DIV/0!</v>
      </c>
      <c r="E593" s="22" t="str">
        <f t="shared" ref="E593:F593" si="593">IF(A593&lt;&gt;"", (B593 - B592) / B592, "")</f>
        <v/>
      </c>
      <c r="F593" s="22" t="str">
        <f t="shared" si="593"/>
        <v/>
      </c>
      <c r="H593" s="22" t="str">
        <f t="shared" si="4"/>
        <v/>
      </c>
    </row>
    <row r="594" ht="15.75" customHeight="1">
      <c r="A594" s="31" t="str">
        <f>'EQUITY BACKTEST'!A597</f>
        <v/>
      </c>
      <c r="B594" s="22" t="str">
        <f>'EQUITY BACKTEST'!B597</f>
        <v/>
      </c>
      <c r="C594" s="22" t="str">
        <f>1/'EQUITY BACKTEST'!E597</f>
        <v>#DIV/0!</v>
      </c>
      <c r="D594" s="22" t="str">
        <f t="shared" si="1"/>
        <v>#DIV/0!</v>
      </c>
      <c r="E594" s="22" t="str">
        <f t="shared" ref="E594:F594" si="594">IF(A594&lt;&gt;"", (B594 - B593) / B593, "")</f>
        <v/>
      </c>
      <c r="F594" s="22" t="str">
        <f t="shared" si="594"/>
        <v/>
      </c>
      <c r="H594" s="22" t="str">
        <f t="shared" si="4"/>
        <v/>
      </c>
    </row>
    <row r="595" ht="15.75" customHeight="1">
      <c r="A595" s="31" t="str">
        <f>'EQUITY BACKTEST'!A598</f>
        <v/>
      </c>
      <c r="B595" s="22" t="str">
        <f>'EQUITY BACKTEST'!B598</f>
        <v/>
      </c>
      <c r="C595" s="22" t="str">
        <f>1/'EQUITY BACKTEST'!E598</f>
        <v>#DIV/0!</v>
      </c>
      <c r="D595" s="22" t="str">
        <f t="shared" si="1"/>
        <v>#DIV/0!</v>
      </c>
      <c r="E595" s="22" t="str">
        <f t="shared" ref="E595:F595" si="595">IF(A595&lt;&gt;"", (B595 - B594) / B594, "")</f>
        <v/>
      </c>
      <c r="F595" s="22" t="str">
        <f t="shared" si="595"/>
        <v/>
      </c>
      <c r="H595" s="22" t="str">
        <f t="shared" si="4"/>
        <v/>
      </c>
    </row>
    <row r="596" ht="15.75" customHeight="1">
      <c r="A596" s="31" t="str">
        <f>'EQUITY BACKTEST'!A599</f>
        <v/>
      </c>
      <c r="B596" s="22" t="str">
        <f>'EQUITY BACKTEST'!B599</f>
        <v/>
      </c>
      <c r="C596" s="22" t="str">
        <f>1/'EQUITY BACKTEST'!E599</f>
        <v>#DIV/0!</v>
      </c>
      <c r="D596" s="22" t="str">
        <f t="shared" si="1"/>
        <v>#DIV/0!</v>
      </c>
      <c r="E596" s="22" t="str">
        <f t="shared" ref="E596:F596" si="596">IF(A596&lt;&gt;"", (B596 - B595) / B595, "")</f>
        <v/>
      </c>
      <c r="F596" s="22" t="str">
        <f t="shared" si="596"/>
        <v/>
      </c>
      <c r="H596" s="22" t="str">
        <f t="shared" si="4"/>
        <v/>
      </c>
    </row>
    <row r="597" ht="15.75" customHeight="1">
      <c r="A597" s="31" t="str">
        <f>'EQUITY BACKTEST'!A600</f>
        <v/>
      </c>
      <c r="B597" s="22" t="str">
        <f>'EQUITY BACKTEST'!B600</f>
        <v/>
      </c>
      <c r="C597" s="22" t="str">
        <f>1/'EQUITY BACKTEST'!E600</f>
        <v>#DIV/0!</v>
      </c>
      <c r="D597" s="22" t="str">
        <f t="shared" si="1"/>
        <v>#DIV/0!</v>
      </c>
      <c r="E597" s="22" t="str">
        <f t="shared" ref="E597:F597" si="597">IF(A597&lt;&gt;"", (B597 - B596) / B596, "")</f>
        <v/>
      </c>
      <c r="F597" s="22" t="str">
        <f t="shared" si="597"/>
        <v/>
      </c>
      <c r="H597" s="22" t="str">
        <f t="shared" si="4"/>
        <v/>
      </c>
    </row>
    <row r="598" ht="15.75" customHeight="1">
      <c r="A598" s="31" t="str">
        <f>'EQUITY BACKTEST'!A601</f>
        <v/>
      </c>
      <c r="B598" s="22" t="str">
        <f>'EQUITY BACKTEST'!B601</f>
        <v/>
      </c>
      <c r="C598" s="22" t="str">
        <f>1/'EQUITY BACKTEST'!E601</f>
        <v>#DIV/0!</v>
      </c>
      <c r="D598" s="22" t="str">
        <f t="shared" si="1"/>
        <v>#DIV/0!</v>
      </c>
      <c r="E598" s="22" t="str">
        <f t="shared" ref="E598:F598" si="598">IF(A598&lt;&gt;"", (B598 - B597) / B597, "")</f>
        <v/>
      </c>
      <c r="F598" s="22" t="str">
        <f t="shared" si="598"/>
        <v/>
      </c>
      <c r="H598" s="22" t="str">
        <f t="shared" si="4"/>
        <v/>
      </c>
    </row>
    <row r="599" ht="15.75" customHeight="1">
      <c r="A599" s="31" t="str">
        <f>'EQUITY BACKTEST'!A602</f>
        <v/>
      </c>
      <c r="B599" s="22" t="str">
        <f>'EQUITY BACKTEST'!B602</f>
        <v/>
      </c>
      <c r="C599" s="22" t="str">
        <f>1/'EQUITY BACKTEST'!E602</f>
        <v>#DIV/0!</v>
      </c>
      <c r="D599" s="22" t="str">
        <f t="shared" si="1"/>
        <v>#DIV/0!</v>
      </c>
      <c r="E599" s="22" t="str">
        <f t="shared" ref="E599:F599" si="599">IF(A599&lt;&gt;"", (B599 - B598) / B598, "")</f>
        <v/>
      </c>
      <c r="F599" s="22" t="str">
        <f t="shared" si="599"/>
        <v/>
      </c>
      <c r="H599" s="22" t="str">
        <f t="shared" si="4"/>
        <v/>
      </c>
    </row>
    <row r="600" ht="15.75" customHeight="1">
      <c r="A600" s="31" t="str">
        <f>'EQUITY BACKTEST'!A603</f>
        <v/>
      </c>
      <c r="B600" s="22" t="str">
        <f>'EQUITY BACKTEST'!B603</f>
        <v/>
      </c>
      <c r="C600" s="22" t="str">
        <f>1/'EQUITY BACKTEST'!E603</f>
        <v>#DIV/0!</v>
      </c>
      <c r="D600" s="22" t="str">
        <f t="shared" si="1"/>
        <v>#DIV/0!</v>
      </c>
      <c r="E600" s="22" t="str">
        <f t="shared" ref="E600:F600" si="600">IF(A600&lt;&gt;"", (B600 - B599) / B599, "")</f>
        <v/>
      </c>
      <c r="F600" s="22" t="str">
        <f t="shared" si="600"/>
        <v/>
      </c>
      <c r="H600" s="22" t="str">
        <f t="shared" si="4"/>
        <v/>
      </c>
    </row>
    <row r="601" ht="15.75" customHeight="1">
      <c r="A601" s="31" t="str">
        <f>'EQUITY BACKTEST'!A604</f>
        <v/>
      </c>
      <c r="B601" s="22" t="str">
        <f>'EQUITY BACKTEST'!B604</f>
        <v/>
      </c>
      <c r="C601" s="22" t="str">
        <f>1/'EQUITY BACKTEST'!E604</f>
        <v>#DIV/0!</v>
      </c>
      <c r="D601" s="22" t="str">
        <f t="shared" si="1"/>
        <v>#DIV/0!</v>
      </c>
      <c r="E601" s="22" t="str">
        <f t="shared" ref="E601:F601" si="601">IF(A601&lt;&gt;"", (B601 - B600) / B600, "")</f>
        <v/>
      </c>
      <c r="F601" s="22" t="str">
        <f t="shared" si="601"/>
        <v/>
      </c>
      <c r="H601" s="22" t="str">
        <f t="shared" si="4"/>
        <v/>
      </c>
    </row>
    <row r="602" ht="15.75" customHeight="1">
      <c r="A602" s="31" t="str">
        <f>'EQUITY BACKTEST'!A605</f>
        <v/>
      </c>
      <c r="B602" s="22" t="str">
        <f>'EQUITY BACKTEST'!B605</f>
        <v/>
      </c>
      <c r="C602" s="22" t="str">
        <f>1/'EQUITY BACKTEST'!E605</f>
        <v>#DIV/0!</v>
      </c>
      <c r="D602" s="22" t="str">
        <f t="shared" si="1"/>
        <v>#DIV/0!</v>
      </c>
      <c r="E602" s="22" t="str">
        <f t="shared" ref="E602:F602" si="602">IF(A602&lt;&gt;"", (B602 - B601) / B601, "")</f>
        <v/>
      </c>
      <c r="F602" s="22" t="str">
        <f t="shared" si="602"/>
        <v/>
      </c>
      <c r="H602" s="22" t="str">
        <f t="shared" si="4"/>
        <v/>
      </c>
    </row>
    <row r="603" ht="15.75" customHeight="1">
      <c r="A603" s="31" t="str">
        <f>'EQUITY BACKTEST'!A606</f>
        <v/>
      </c>
      <c r="B603" s="22" t="str">
        <f>'EQUITY BACKTEST'!B606</f>
        <v/>
      </c>
      <c r="C603" s="22" t="str">
        <f>1/'EQUITY BACKTEST'!E606</f>
        <v>#DIV/0!</v>
      </c>
      <c r="D603" s="22" t="str">
        <f t="shared" si="1"/>
        <v>#DIV/0!</v>
      </c>
      <c r="E603" s="22" t="str">
        <f t="shared" ref="E603:F603" si="603">IF(A603&lt;&gt;"", (B603 - B602) / B602, "")</f>
        <v/>
      </c>
      <c r="F603" s="22" t="str">
        <f t="shared" si="603"/>
        <v/>
      </c>
      <c r="H603" s="22" t="str">
        <f t="shared" si="4"/>
        <v/>
      </c>
    </row>
    <row r="604" ht="15.75" customHeight="1">
      <c r="A604" s="31" t="str">
        <f>'EQUITY BACKTEST'!A607</f>
        <v/>
      </c>
      <c r="B604" s="22" t="str">
        <f>'EQUITY BACKTEST'!B607</f>
        <v/>
      </c>
      <c r="C604" s="22" t="str">
        <f>1/'EQUITY BACKTEST'!E607</f>
        <v>#DIV/0!</v>
      </c>
      <c r="D604" s="22" t="str">
        <f t="shared" si="1"/>
        <v>#DIV/0!</v>
      </c>
      <c r="E604" s="22" t="str">
        <f t="shared" ref="E604:F604" si="604">IF(A604&lt;&gt;"", (B604 - B603) / B603, "")</f>
        <v/>
      </c>
      <c r="F604" s="22" t="str">
        <f t="shared" si="604"/>
        <v/>
      </c>
      <c r="H604" s="22" t="str">
        <f t="shared" si="4"/>
        <v/>
      </c>
    </row>
    <row r="605" ht="15.75" customHeight="1">
      <c r="A605" s="31" t="str">
        <f>'EQUITY BACKTEST'!A608</f>
        <v/>
      </c>
      <c r="B605" s="22" t="str">
        <f>'EQUITY BACKTEST'!B608</f>
        <v/>
      </c>
      <c r="C605" s="22" t="str">
        <f>1/'EQUITY BACKTEST'!E608</f>
        <v>#DIV/0!</v>
      </c>
      <c r="D605" s="22" t="str">
        <f t="shared" si="1"/>
        <v>#DIV/0!</v>
      </c>
      <c r="E605" s="22" t="str">
        <f t="shared" ref="E605:F605" si="605">IF(A605&lt;&gt;"", (B605 - B604) / B604, "")</f>
        <v/>
      </c>
      <c r="F605" s="22" t="str">
        <f t="shared" si="605"/>
        <v/>
      </c>
      <c r="H605" s="22" t="str">
        <f t="shared" si="4"/>
        <v/>
      </c>
    </row>
    <row r="606" ht="15.75" customHeight="1">
      <c r="A606" s="31" t="str">
        <f>'EQUITY BACKTEST'!A609</f>
        <v/>
      </c>
      <c r="B606" s="22" t="str">
        <f>'EQUITY BACKTEST'!B609</f>
        <v/>
      </c>
      <c r="C606" s="22" t="str">
        <f>1/'EQUITY BACKTEST'!E609</f>
        <v>#DIV/0!</v>
      </c>
      <c r="D606" s="22" t="str">
        <f t="shared" si="1"/>
        <v>#DIV/0!</v>
      </c>
      <c r="E606" s="22" t="str">
        <f t="shared" ref="E606:F606" si="606">IF(A606&lt;&gt;"", (B606 - B605) / B605, "")</f>
        <v/>
      </c>
      <c r="F606" s="22" t="str">
        <f t="shared" si="606"/>
        <v/>
      </c>
      <c r="H606" s="22" t="str">
        <f t="shared" si="4"/>
        <v/>
      </c>
    </row>
    <row r="607" ht="15.75" customHeight="1">
      <c r="A607" s="31" t="str">
        <f>'EQUITY BACKTEST'!A610</f>
        <v/>
      </c>
      <c r="B607" s="22" t="str">
        <f>'EQUITY BACKTEST'!B610</f>
        <v/>
      </c>
      <c r="C607" s="22" t="str">
        <f>1/'EQUITY BACKTEST'!E610</f>
        <v>#DIV/0!</v>
      </c>
      <c r="D607" s="22" t="str">
        <f t="shared" si="1"/>
        <v>#DIV/0!</v>
      </c>
      <c r="E607" s="22" t="str">
        <f t="shared" ref="E607:F607" si="607">IF(A607&lt;&gt;"", (B607 - B606) / B606, "")</f>
        <v/>
      </c>
      <c r="F607" s="22" t="str">
        <f t="shared" si="607"/>
        <v/>
      </c>
      <c r="H607" s="22" t="str">
        <f t="shared" si="4"/>
        <v/>
      </c>
    </row>
    <row r="608" ht="15.75" customHeight="1">
      <c r="A608" s="31" t="str">
        <f>'EQUITY BACKTEST'!A611</f>
        <v/>
      </c>
      <c r="B608" s="22" t="str">
        <f>'EQUITY BACKTEST'!B611</f>
        <v/>
      </c>
      <c r="C608" s="22" t="str">
        <f>1/'EQUITY BACKTEST'!E611</f>
        <v>#DIV/0!</v>
      </c>
      <c r="D608" s="22" t="str">
        <f t="shared" si="1"/>
        <v>#DIV/0!</v>
      </c>
      <c r="E608" s="22" t="str">
        <f t="shared" ref="E608:F608" si="608">IF(A608&lt;&gt;"", (B608 - B607) / B607, "")</f>
        <v/>
      </c>
      <c r="F608" s="22" t="str">
        <f t="shared" si="608"/>
        <v/>
      </c>
      <c r="H608" s="22" t="str">
        <f t="shared" si="4"/>
        <v/>
      </c>
    </row>
    <row r="609" ht="15.75" customHeight="1">
      <c r="A609" s="31" t="str">
        <f>'EQUITY BACKTEST'!A612</f>
        <v/>
      </c>
      <c r="B609" s="22" t="str">
        <f>'EQUITY BACKTEST'!B612</f>
        <v/>
      </c>
      <c r="C609" s="22" t="str">
        <f>1/'EQUITY BACKTEST'!E612</f>
        <v>#DIV/0!</v>
      </c>
      <c r="D609" s="22" t="str">
        <f t="shared" si="1"/>
        <v>#DIV/0!</v>
      </c>
      <c r="E609" s="22" t="str">
        <f t="shared" ref="E609:F609" si="609">IF(A609&lt;&gt;"", (B609 - B608) / B608, "")</f>
        <v/>
      </c>
      <c r="F609" s="22" t="str">
        <f t="shared" si="609"/>
        <v/>
      </c>
      <c r="H609" s="22" t="str">
        <f t="shared" si="4"/>
        <v/>
      </c>
    </row>
    <row r="610" ht="15.75" customHeight="1">
      <c r="A610" s="31" t="str">
        <f>'EQUITY BACKTEST'!A613</f>
        <v/>
      </c>
      <c r="B610" s="22" t="str">
        <f>'EQUITY BACKTEST'!B613</f>
        <v/>
      </c>
      <c r="C610" s="22" t="str">
        <f>1/'EQUITY BACKTEST'!E613</f>
        <v>#DIV/0!</v>
      </c>
      <c r="D610" s="22" t="str">
        <f t="shared" si="1"/>
        <v>#DIV/0!</v>
      </c>
      <c r="E610" s="22" t="str">
        <f t="shared" ref="E610:F610" si="610">IF(A610&lt;&gt;"", (B610 - B609) / B609, "")</f>
        <v/>
      </c>
      <c r="F610" s="22" t="str">
        <f t="shared" si="610"/>
        <v/>
      </c>
      <c r="H610" s="22" t="str">
        <f t="shared" si="4"/>
        <v/>
      </c>
    </row>
    <row r="611" ht="15.75" customHeight="1">
      <c r="A611" s="31" t="str">
        <f>'EQUITY BACKTEST'!A614</f>
        <v/>
      </c>
      <c r="B611" s="22" t="str">
        <f>'EQUITY BACKTEST'!B614</f>
        <v/>
      </c>
      <c r="C611" s="22" t="str">
        <f>1/'EQUITY BACKTEST'!E614</f>
        <v>#DIV/0!</v>
      </c>
      <c r="D611" s="22" t="str">
        <f t="shared" si="1"/>
        <v>#DIV/0!</v>
      </c>
      <c r="E611" s="22" t="str">
        <f t="shared" ref="E611:F611" si="611">IF(A611&lt;&gt;"", (B611 - B610) / B610, "")</f>
        <v/>
      </c>
      <c r="F611" s="22" t="str">
        <f t="shared" si="611"/>
        <v/>
      </c>
      <c r="H611" s="22" t="str">
        <f t="shared" si="4"/>
        <v/>
      </c>
    </row>
    <row r="612" ht="15.75" customHeight="1">
      <c r="A612" s="31" t="str">
        <f>'EQUITY BACKTEST'!A615</f>
        <v/>
      </c>
      <c r="B612" s="22" t="str">
        <f>'EQUITY BACKTEST'!B615</f>
        <v/>
      </c>
      <c r="C612" s="22" t="str">
        <f>1/'EQUITY BACKTEST'!E615</f>
        <v>#DIV/0!</v>
      </c>
      <c r="D612" s="22" t="str">
        <f t="shared" si="1"/>
        <v>#DIV/0!</v>
      </c>
      <c r="E612" s="22" t="str">
        <f t="shared" ref="E612:F612" si="612">IF(A612&lt;&gt;"", (B612 - B611) / B611, "")</f>
        <v/>
      </c>
      <c r="F612" s="22" t="str">
        <f t="shared" si="612"/>
        <v/>
      </c>
      <c r="H612" s="22" t="str">
        <f t="shared" si="4"/>
        <v/>
      </c>
    </row>
    <row r="613" ht="15.75" customHeight="1">
      <c r="A613" s="31" t="str">
        <f>'EQUITY BACKTEST'!A616</f>
        <v/>
      </c>
      <c r="B613" s="22" t="str">
        <f>'EQUITY BACKTEST'!B616</f>
        <v/>
      </c>
      <c r="C613" s="22" t="str">
        <f>1/'EQUITY BACKTEST'!E616</f>
        <v>#DIV/0!</v>
      </c>
      <c r="D613" s="22" t="str">
        <f t="shared" si="1"/>
        <v>#DIV/0!</v>
      </c>
      <c r="E613" s="22" t="str">
        <f t="shared" ref="E613:F613" si="613">IF(A613&lt;&gt;"", (B613 - B612) / B612, "")</f>
        <v/>
      </c>
      <c r="F613" s="22" t="str">
        <f t="shared" si="613"/>
        <v/>
      </c>
      <c r="H613" s="22" t="str">
        <f t="shared" si="4"/>
        <v/>
      </c>
    </row>
    <row r="614" ht="15.75" customHeight="1">
      <c r="A614" s="31" t="str">
        <f>'EQUITY BACKTEST'!A617</f>
        <v/>
      </c>
      <c r="B614" s="22" t="str">
        <f>'EQUITY BACKTEST'!B617</f>
        <v/>
      </c>
      <c r="C614" s="22" t="str">
        <f>1/'EQUITY BACKTEST'!E617</f>
        <v>#DIV/0!</v>
      </c>
      <c r="D614" s="22" t="str">
        <f t="shared" si="1"/>
        <v>#DIV/0!</v>
      </c>
      <c r="E614" s="22" t="str">
        <f t="shared" ref="E614:F614" si="614">IF(A614&lt;&gt;"", (B614 - B613) / B613, "")</f>
        <v/>
      </c>
      <c r="F614" s="22" t="str">
        <f t="shared" si="614"/>
        <v/>
      </c>
      <c r="H614" s="22" t="str">
        <f t="shared" si="4"/>
        <v/>
      </c>
    </row>
    <row r="615" ht="15.75" customHeight="1">
      <c r="A615" s="31" t="str">
        <f>'EQUITY BACKTEST'!A618</f>
        <v/>
      </c>
      <c r="B615" s="22" t="str">
        <f>'EQUITY BACKTEST'!B618</f>
        <v/>
      </c>
      <c r="C615" s="22" t="str">
        <f>1/'EQUITY BACKTEST'!E618</f>
        <v>#DIV/0!</v>
      </c>
      <c r="D615" s="22" t="str">
        <f t="shared" si="1"/>
        <v>#DIV/0!</v>
      </c>
      <c r="E615" s="22" t="str">
        <f t="shared" ref="E615:F615" si="615">IF(A615&lt;&gt;"", (B615 - B614) / B614, "")</f>
        <v/>
      </c>
      <c r="F615" s="22" t="str">
        <f t="shared" si="615"/>
        <v/>
      </c>
      <c r="H615" s="22" t="str">
        <f t="shared" si="4"/>
        <v/>
      </c>
    </row>
    <row r="616" ht="15.75" customHeight="1">
      <c r="A616" s="31" t="str">
        <f>'EQUITY BACKTEST'!A619</f>
        <v/>
      </c>
      <c r="B616" s="22" t="str">
        <f>'EQUITY BACKTEST'!B619</f>
        <v/>
      </c>
      <c r="C616" s="22" t="str">
        <f>1/'EQUITY BACKTEST'!E619</f>
        <v>#DIV/0!</v>
      </c>
      <c r="D616" s="22" t="str">
        <f t="shared" si="1"/>
        <v>#DIV/0!</v>
      </c>
      <c r="E616" s="22" t="str">
        <f t="shared" ref="E616:F616" si="616">IF(A616&lt;&gt;"", (B616 - B615) / B615, "")</f>
        <v/>
      </c>
      <c r="F616" s="22" t="str">
        <f t="shared" si="616"/>
        <v/>
      </c>
      <c r="H616" s="22" t="str">
        <f t="shared" si="4"/>
        <v/>
      </c>
    </row>
    <row r="617" ht="15.75" customHeight="1">
      <c r="A617" s="31" t="str">
        <f>'EQUITY BACKTEST'!A620</f>
        <v/>
      </c>
      <c r="B617" s="22" t="str">
        <f>'EQUITY BACKTEST'!B620</f>
        <v/>
      </c>
      <c r="C617" s="22" t="str">
        <f>1/'EQUITY BACKTEST'!E620</f>
        <v>#DIV/0!</v>
      </c>
      <c r="D617" s="22" t="str">
        <f t="shared" si="1"/>
        <v>#DIV/0!</v>
      </c>
      <c r="E617" s="22" t="str">
        <f t="shared" ref="E617:F617" si="617">IF(A617&lt;&gt;"", (B617 - B616) / B616, "")</f>
        <v/>
      </c>
      <c r="F617" s="22" t="str">
        <f t="shared" si="617"/>
        <v/>
      </c>
      <c r="H617" s="22" t="str">
        <f t="shared" si="4"/>
        <v/>
      </c>
    </row>
    <row r="618" ht="15.75" customHeight="1">
      <c r="A618" s="31" t="str">
        <f>'EQUITY BACKTEST'!A621</f>
        <v/>
      </c>
      <c r="B618" s="22" t="str">
        <f>'EQUITY BACKTEST'!B621</f>
        <v/>
      </c>
      <c r="C618" s="22" t="str">
        <f>1/'EQUITY BACKTEST'!E621</f>
        <v>#DIV/0!</v>
      </c>
      <c r="D618" s="22" t="str">
        <f t="shared" si="1"/>
        <v>#DIV/0!</v>
      </c>
      <c r="E618" s="22" t="str">
        <f t="shared" ref="E618:F618" si="618">IF(A618&lt;&gt;"", (B618 - B617) / B617, "")</f>
        <v/>
      </c>
      <c r="F618" s="22" t="str">
        <f t="shared" si="618"/>
        <v/>
      </c>
      <c r="H618" s="22" t="str">
        <f t="shared" si="4"/>
        <v/>
      </c>
    </row>
    <row r="619" ht="15.75" customHeight="1">
      <c r="A619" s="31" t="str">
        <f>'EQUITY BACKTEST'!A622</f>
        <v/>
      </c>
      <c r="B619" s="22" t="str">
        <f>'EQUITY BACKTEST'!B622</f>
        <v/>
      </c>
      <c r="C619" s="22" t="str">
        <f>1/'EQUITY BACKTEST'!E622</f>
        <v>#DIV/0!</v>
      </c>
      <c r="D619" s="22" t="str">
        <f t="shared" si="1"/>
        <v>#DIV/0!</v>
      </c>
      <c r="E619" s="22" t="str">
        <f t="shared" ref="E619:F619" si="619">IF(A619&lt;&gt;"", (B619 - B618) / B618, "")</f>
        <v/>
      </c>
      <c r="F619" s="22" t="str">
        <f t="shared" si="619"/>
        <v/>
      </c>
      <c r="H619" s="22" t="str">
        <f t="shared" si="4"/>
        <v/>
      </c>
    </row>
    <row r="620" ht="15.75" customHeight="1">
      <c r="A620" s="31" t="str">
        <f>'EQUITY BACKTEST'!A623</f>
        <v/>
      </c>
      <c r="B620" s="22" t="str">
        <f>'EQUITY BACKTEST'!B623</f>
        <v/>
      </c>
      <c r="C620" s="22" t="str">
        <f>1/'EQUITY BACKTEST'!E623</f>
        <v>#DIV/0!</v>
      </c>
      <c r="D620" s="22" t="str">
        <f t="shared" si="1"/>
        <v>#DIV/0!</v>
      </c>
      <c r="E620" s="22" t="str">
        <f t="shared" ref="E620:F620" si="620">IF(A620&lt;&gt;"", (B620 - B619) / B619, "")</f>
        <v/>
      </c>
      <c r="F620" s="22" t="str">
        <f t="shared" si="620"/>
        <v/>
      </c>
      <c r="H620" s="22" t="str">
        <f t="shared" si="4"/>
        <v/>
      </c>
    </row>
    <row r="621" ht="15.75" customHeight="1">
      <c r="A621" s="31" t="str">
        <f>'EQUITY BACKTEST'!A624</f>
        <v/>
      </c>
      <c r="B621" s="22" t="str">
        <f>'EQUITY BACKTEST'!B624</f>
        <v/>
      </c>
      <c r="C621" s="22" t="str">
        <f>1/'EQUITY BACKTEST'!E624</f>
        <v>#DIV/0!</v>
      </c>
      <c r="D621" s="22" t="str">
        <f t="shared" si="1"/>
        <v>#DIV/0!</v>
      </c>
      <c r="E621" s="22" t="str">
        <f t="shared" ref="E621:F621" si="621">IF(A621&lt;&gt;"", (B621 - B620) / B620, "")</f>
        <v/>
      </c>
      <c r="F621" s="22" t="str">
        <f t="shared" si="621"/>
        <v/>
      </c>
      <c r="H621" s="22" t="str">
        <f t="shared" si="4"/>
        <v/>
      </c>
    </row>
    <row r="622" ht="15.75" customHeight="1">
      <c r="A622" s="31" t="str">
        <f>'EQUITY BACKTEST'!A625</f>
        <v/>
      </c>
      <c r="B622" s="22" t="str">
        <f>'EQUITY BACKTEST'!B625</f>
        <v/>
      </c>
      <c r="C622" s="22" t="str">
        <f>1/'EQUITY BACKTEST'!E625</f>
        <v>#DIV/0!</v>
      </c>
      <c r="D622" s="22" t="str">
        <f t="shared" si="1"/>
        <v>#DIV/0!</v>
      </c>
      <c r="E622" s="22" t="str">
        <f t="shared" ref="E622:F622" si="622">IF(A622&lt;&gt;"", (B622 - B621) / B621, "")</f>
        <v/>
      </c>
      <c r="F622" s="22" t="str">
        <f t="shared" si="622"/>
        <v/>
      </c>
      <c r="H622" s="22" t="str">
        <f t="shared" si="4"/>
        <v/>
      </c>
    </row>
    <row r="623" ht="15.75" customHeight="1">
      <c r="A623" s="31" t="str">
        <f>'EQUITY BACKTEST'!A626</f>
        <v/>
      </c>
      <c r="B623" s="22" t="str">
        <f>'EQUITY BACKTEST'!B626</f>
        <v/>
      </c>
      <c r="C623" s="22" t="str">
        <f>1/'EQUITY BACKTEST'!E626</f>
        <v>#DIV/0!</v>
      </c>
      <c r="D623" s="22" t="str">
        <f t="shared" si="1"/>
        <v>#DIV/0!</v>
      </c>
      <c r="E623" s="22" t="str">
        <f t="shared" ref="E623:F623" si="623">IF(A623&lt;&gt;"", (B623 - B622) / B622, "")</f>
        <v/>
      </c>
      <c r="F623" s="22" t="str">
        <f t="shared" si="623"/>
        <v/>
      </c>
      <c r="H623" s="22" t="str">
        <f t="shared" si="4"/>
        <v/>
      </c>
    </row>
    <row r="624" ht="15.75" customHeight="1">
      <c r="A624" s="31" t="str">
        <f>'EQUITY BACKTEST'!A627</f>
        <v/>
      </c>
      <c r="B624" s="22" t="str">
        <f>'EQUITY BACKTEST'!B627</f>
        <v/>
      </c>
      <c r="C624" s="22" t="str">
        <f>1/'EQUITY BACKTEST'!E627</f>
        <v>#DIV/0!</v>
      </c>
      <c r="D624" s="22" t="str">
        <f t="shared" si="1"/>
        <v>#DIV/0!</v>
      </c>
      <c r="E624" s="22" t="str">
        <f t="shared" ref="E624:F624" si="624">IF(A624&lt;&gt;"", (B624 - B623) / B623, "")</f>
        <v/>
      </c>
      <c r="F624" s="22" t="str">
        <f t="shared" si="624"/>
        <v/>
      </c>
      <c r="H624" s="22" t="str">
        <f t="shared" si="4"/>
        <v/>
      </c>
    </row>
    <row r="625" ht="15.75" customHeight="1">
      <c r="A625" s="31" t="str">
        <f>'EQUITY BACKTEST'!A628</f>
        <v/>
      </c>
      <c r="B625" s="22" t="str">
        <f>'EQUITY BACKTEST'!B628</f>
        <v/>
      </c>
      <c r="C625" s="22" t="str">
        <f>1/'EQUITY BACKTEST'!E628</f>
        <v>#DIV/0!</v>
      </c>
      <c r="D625" s="22" t="str">
        <f t="shared" si="1"/>
        <v>#DIV/0!</v>
      </c>
      <c r="E625" s="22" t="str">
        <f t="shared" ref="E625:F625" si="625">IF(A625&lt;&gt;"", (B625 - B624) / B624, "")</f>
        <v/>
      </c>
      <c r="F625" s="22" t="str">
        <f t="shared" si="625"/>
        <v/>
      </c>
      <c r="H625" s="22" t="str">
        <f t="shared" si="4"/>
        <v/>
      </c>
    </row>
    <row r="626" ht="15.75" customHeight="1">
      <c r="A626" s="31" t="str">
        <f>'EQUITY BACKTEST'!A629</f>
        <v/>
      </c>
      <c r="B626" s="22" t="str">
        <f>'EQUITY BACKTEST'!B629</f>
        <v/>
      </c>
      <c r="C626" s="22" t="str">
        <f>1/'EQUITY BACKTEST'!E629</f>
        <v>#DIV/0!</v>
      </c>
      <c r="D626" s="22" t="str">
        <f t="shared" si="1"/>
        <v>#DIV/0!</v>
      </c>
      <c r="E626" s="22" t="str">
        <f t="shared" ref="E626:F626" si="626">IF(A626&lt;&gt;"", (B626 - B625) / B625, "")</f>
        <v/>
      </c>
      <c r="F626" s="22" t="str">
        <f t="shared" si="626"/>
        <v/>
      </c>
      <c r="H626" s="22" t="str">
        <f t="shared" si="4"/>
        <v/>
      </c>
    </row>
    <row r="627" ht="15.75" customHeight="1">
      <c r="A627" s="31" t="str">
        <f>'EQUITY BACKTEST'!A630</f>
        <v/>
      </c>
      <c r="B627" s="22" t="str">
        <f>'EQUITY BACKTEST'!B630</f>
        <v/>
      </c>
      <c r="C627" s="22" t="str">
        <f>1/'EQUITY BACKTEST'!E630</f>
        <v>#DIV/0!</v>
      </c>
      <c r="D627" s="22" t="str">
        <f t="shared" si="1"/>
        <v>#DIV/0!</v>
      </c>
      <c r="E627" s="22" t="str">
        <f t="shared" ref="E627:F627" si="627">IF(A627&lt;&gt;"", (B627 - B626) / B626, "")</f>
        <v/>
      </c>
      <c r="F627" s="22" t="str">
        <f t="shared" si="627"/>
        <v/>
      </c>
      <c r="H627" s="22" t="str">
        <f t="shared" si="4"/>
        <v/>
      </c>
    </row>
    <row r="628" ht="15.75" customHeight="1">
      <c r="A628" s="31" t="str">
        <f>'EQUITY BACKTEST'!A631</f>
        <v/>
      </c>
      <c r="B628" s="22" t="str">
        <f>'EQUITY BACKTEST'!B631</f>
        <v/>
      </c>
      <c r="C628" s="22" t="str">
        <f>1/'EQUITY BACKTEST'!E631</f>
        <v>#DIV/0!</v>
      </c>
      <c r="D628" s="22" t="str">
        <f t="shared" si="1"/>
        <v>#DIV/0!</v>
      </c>
      <c r="E628" s="22" t="str">
        <f t="shared" ref="E628:F628" si="628">IF(A628&lt;&gt;"", (B628 - B627) / B627, "")</f>
        <v/>
      </c>
      <c r="F628" s="22" t="str">
        <f t="shared" si="628"/>
        <v/>
      </c>
      <c r="H628" s="22" t="str">
        <f t="shared" si="4"/>
        <v/>
      </c>
    </row>
    <row r="629" ht="15.75" customHeight="1">
      <c r="A629" s="31" t="str">
        <f>'EQUITY BACKTEST'!A632</f>
        <v/>
      </c>
      <c r="B629" s="22" t="str">
        <f>'EQUITY BACKTEST'!B632</f>
        <v/>
      </c>
      <c r="C629" s="22" t="str">
        <f>1/'EQUITY BACKTEST'!E632</f>
        <v>#DIV/0!</v>
      </c>
      <c r="D629" s="22" t="str">
        <f t="shared" si="1"/>
        <v>#DIV/0!</v>
      </c>
      <c r="E629" s="22" t="str">
        <f t="shared" ref="E629:F629" si="629">IF(A629&lt;&gt;"", (B629 - B628) / B628, "")</f>
        <v/>
      </c>
      <c r="F629" s="22" t="str">
        <f t="shared" si="629"/>
        <v/>
      </c>
      <c r="H629" s="22" t="str">
        <f t="shared" si="4"/>
        <v/>
      </c>
    </row>
    <row r="630" ht="15.75" customHeight="1">
      <c r="A630" s="31" t="str">
        <f>'EQUITY BACKTEST'!A633</f>
        <v/>
      </c>
      <c r="B630" s="22" t="str">
        <f>'EQUITY BACKTEST'!B633</f>
        <v/>
      </c>
      <c r="C630" s="22" t="str">
        <f>1/'EQUITY BACKTEST'!E633</f>
        <v>#DIV/0!</v>
      </c>
      <c r="D630" s="22" t="str">
        <f t="shared" si="1"/>
        <v>#DIV/0!</v>
      </c>
      <c r="E630" s="22" t="str">
        <f t="shared" ref="E630:F630" si="630">IF(A630&lt;&gt;"", (B630 - B629) / B629, "")</f>
        <v/>
      </c>
      <c r="F630" s="22" t="str">
        <f t="shared" si="630"/>
        <v/>
      </c>
      <c r="H630" s="22" t="str">
        <f t="shared" si="4"/>
        <v/>
      </c>
    </row>
    <row r="631" ht="15.75" customHeight="1">
      <c r="A631" s="31" t="str">
        <f>'EQUITY BACKTEST'!A634</f>
        <v/>
      </c>
      <c r="B631" s="22" t="str">
        <f>'EQUITY BACKTEST'!B634</f>
        <v/>
      </c>
      <c r="C631" s="22" t="str">
        <f>1/'EQUITY BACKTEST'!E634</f>
        <v>#DIV/0!</v>
      </c>
      <c r="D631" s="22" t="str">
        <f t="shared" si="1"/>
        <v>#DIV/0!</v>
      </c>
      <c r="E631" s="22" t="str">
        <f t="shared" ref="E631:F631" si="631">IF(A631&lt;&gt;"", (B631 - B630) / B630, "")</f>
        <v/>
      </c>
      <c r="F631" s="22" t="str">
        <f t="shared" si="631"/>
        <v/>
      </c>
      <c r="H631" s="22" t="str">
        <f t="shared" si="4"/>
        <v/>
      </c>
    </row>
    <row r="632" ht="15.75" customHeight="1">
      <c r="A632" s="31" t="str">
        <f>'EQUITY BACKTEST'!A635</f>
        <v/>
      </c>
      <c r="B632" s="22" t="str">
        <f>'EQUITY BACKTEST'!B635</f>
        <v/>
      </c>
      <c r="C632" s="22" t="str">
        <f>1/'EQUITY BACKTEST'!E635</f>
        <v>#DIV/0!</v>
      </c>
      <c r="D632" s="22" t="str">
        <f t="shared" si="1"/>
        <v>#DIV/0!</v>
      </c>
      <c r="E632" s="22" t="str">
        <f t="shared" ref="E632:F632" si="632">IF(A632&lt;&gt;"", (B632 - B631) / B631, "")</f>
        <v/>
      </c>
      <c r="F632" s="22" t="str">
        <f t="shared" si="632"/>
        <v/>
      </c>
      <c r="H632" s="22" t="str">
        <f t="shared" si="4"/>
        <v/>
      </c>
    </row>
    <row r="633" ht="15.75" customHeight="1">
      <c r="A633" s="31" t="str">
        <f>'EQUITY BACKTEST'!A636</f>
        <v/>
      </c>
      <c r="B633" s="22" t="str">
        <f>'EQUITY BACKTEST'!B636</f>
        <v/>
      </c>
      <c r="C633" s="22" t="str">
        <f>1/'EQUITY BACKTEST'!E636</f>
        <v>#DIV/0!</v>
      </c>
      <c r="D633" s="22" t="str">
        <f t="shared" si="1"/>
        <v>#DIV/0!</v>
      </c>
      <c r="E633" s="22" t="str">
        <f t="shared" ref="E633:F633" si="633">IF(A633&lt;&gt;"", (B633 - B632) / B632, "")</f>
        <v/>
      </c>
      <c r="F633" s="22" t="str">
        <f t="shared" si="633"/>
        <v/>
      </c>
      <c r="H633" s="22" t="str">
        <f t="shared" si="4"/>
        <v/>
      </c>
    </row>
    <row r="634" ht="15.75" customHeight="1">
      <c r="A634" s="31" t="str">
        <f>'EQUITY BACKTEST'!A637</f>
        <v/>
      </c>
      <c r="B634" s="22" t="str">
        <f>'EQUITY BACKTEST'!B637</f>
        <v/>
      </c>
      <c r="C634" s="22" t="str">
        <f>1/'EQUITY BACKTEST'!E637</f>
        <v>#DIV/0!</v>
      </c>
      <c r="D634" s="22" t="str">
        <f t="shared" si="1"/>
        <v>#DIV/0!</v>
      </c>
      <c r="E634" s="22" t="str">
        <f t="shared" ref="E634:F634" si="634">IF(A634&lt;&gt;"", (B634 - B633) / B633, "")</f>
        <v/>
      </c>
      <c r="F634" s="22" t="str">
        <f t="shared" si="634"/>
        <v/>
      </c>
      <c r="H634" s="22" t="str">
        <f t="shared" si="4"/>
        <v/>
      </c>
    </row>
    <row r="635" ht="15.75" customHeight="1">
      <c r="A635" s="31" t="str">
        <f>'EQUITY BACKTEST'!A638</f>
        <v/>
      </c>
      <c r="B635" s="22" t="str">
        <f>'EQUITY BACKTEST'!B638</f>
        <v/>
      </c>
      <c r="C635" s="22" t="str">
        <f>1/'EQUITY BACKTEST'!E638</f>
        <v>#DIV/0!</v>
      </c>
      <c r="D635" s="22" t="str">
        <f t="shared" si="1"/>
        <v>#DIV/0!</v>
      </c>
      <c r="E635" s="22" t="str">
        <f t="shared" ref="E635:F635" si="635">IF(A635&lt;&gt;"", (B635 - B634) / B634, "")</f>
        <v/>
      </c>
      <c r="F635" s="22" t="str">
        <f t="shared" si="635"/>
        <v/>
      </c>
      <c r="H635" s="22" t="str">
        <f t="shared" si="4"/>
        <v/>
      </c>
    </row>
    <row r="636" ht="15.75" customHeight="1">
      <c r="A636" s="31" t="str">
        <f>'EQUITY BACKTEST'!A639</f>
        <v/>
      </c>
      <c r="B636" s="22" t="str">
        <f>'EQUITY BACKTEST'!B639</f>
        <v/>
      </c>
      <c r="C636" s="22" t="str">
        <f>1/'EQUITY BACKTEST'!E639</f>
        <v>#DIV/0!</v>
      </c>
      <c r="D636" s="22" t="str">
        <f t="shared" si="1"/>
        <v>#DIV/0!</v>
      </c>
      <c r="E636" s="22" t="str">
        <f t="shared" ref="E636:F636" si="636">IF(A636&lt;&gt;"", (B636 - B635) / B635, "")</f>
        <v/>
      </c>
      <c r="F636" s="22" t="str">
        <f t="shared" si="636"/>
        <v/>
      </c>
      <c r="H636" s="22" t="str">
        <f t="shared" si="4"/>
        <v/>
      </c>
    </row>
    <row r="637" ht="15.75" customHeight="1">
      <c r="A637" s="31" t="str">
        <f>'EQUITY BACKTEST'!A640</f>
        <v/>
      </c>
      <c r="B637" s="22" t="str">
        <f>'EQUITY BACKTEST'!B640</f>
        <v/>
      </c>
      <c r="C637" s="22" t="str">
        <f>1/'EQUITY BACKTEST'!E640</f>
        <v>#DIV/0!</v>
      </c>
      <c r="D637" s="22" t="str">
        <f t="shared" si="1"/>
        <v>#DIV/0!</v>
      </c>
      <c r="E637" s="22" t="str">
        <f t="shared" ref="E637:F637" si="637">IF(A637&lt;&gt;"", (B637 - B636) / B636, "")</f>
        <v/>
      </c>
      <c r="F637" s="22" t="str">
        <f t="shared" si="637"/>
        <v/>
      </c>
      <c r="H637" s="22" t="str">
        <f t="shared" si="4"/>
        <v/>
      </c>
    </row>
    <row r="638" ht="15.75" customHeight="1">
      <c r="A638" s="31" t="str">
        <f>'EQUITY BACKTEST'!A641</f>
        <v/>
      </c>
      <c r="B638" s="22" t="str">
        <f>'EQUITY BACKTEST'!B641</f>
        <v/>
      </c>
      <c r="C638" s="22" t="str">
        <f>1/'EQUITY BACKTEST'!E641</f>
        <v>#DIV/0!</v>
      </c>
      <c r="D638" s="22" t="str">
        <f t="shared" si="1"/>
        <v>#DIV/0!</v>
      </c>
      <c r="E638" s="22" t="str">
        <f t="shared" ref="E638:F638" si="638">IF(A638&lt;&gt;"", (B638 - B637) / B637, "")</f>
        <v/>
      </c>
      <c r="F638" s="22" t="str">
        <f t="shared" si="638"/>
        <v/>
      </c>
      <c r="H638" s="22" t="str">
        <f t="shared" si="4"/>
        <v/>
      </c>
    </row>
    <row r="639" ht="15.75" customHeight="1">
      <c r="A639" s="31" t="str">
        <f>'EQUITY BACKTEST'!A642</f>
        <v/>
      </c>
      <c r="B639" s="22" t="str">
        <f>'EQUITY BACKTEST'!B642</f>
        <v/>
      </c>
      <c r="C639" s="22" t="str">
        <f>1/'EQUITY BACKTEST'!E642</f>
        <v>#DIV/0!</v>
      </c>
      <c r="D639" s="22" t="str">
        <f t="shared" si="1"/>
        <v>#DIV/0!</v>
      </c>
      <c r="E639" s="22" t="str">
        <f t="shared" ref="E639:F639" si="639">IF(A639&lt;&gt;"", (B639 - B638) / B638, "")</f>
        <v/>
      </c>
      <c r="F639" s="22" t="str">
        <f t="shared" si="639"/>
        <v/>
      </c>
      <c r="H639" s="22" t="str">
        <f t="shared" si="4"/>
        <v/>
      </c>
    </row>
    <row r="640" ht="15.75" customHeight="1">
      <c r="A640" s="31" t="str">
        <f>'EQUITY BACKTEST'!A643</f>
        <v/>
      </c>
      <c r="B640" s="22" t="str">
        <f>'EQUITY BACKTEST'!B643</f>
        <v/>
      </c>
      <c r="C640" s="22" t="str">
        <f>1/'EQUITY BACKTEST'!E643</f>
        <v>#DIV/0!</v>
      </c>
      <c r="D640" s="22" t="str">
        <f t="shared" si="1"/>
        <v>#DIV/0!</v>
      </c>
      <c r="E640" s="22" t="str">
        <f t="shared" ref="E640:F640" si="640">IF(A640&lt;&gt;"", (B640 - B639) / B639, "")</f>
        <v/>
      </c>
      <c r="F640" s="22" t="str">
        <f t="shared" si="640"/>
        <v/>
      </c>
      <c r="H640" s="22" t="str">
        <f t="shared" si="4"/>
        <v/>
      </c>
    </row>
    <row r="641" ht="15.75" customHeight="1">
      <c r="A641" s="31" t="str">
        <f>'EQUITY BACKTEST'!A644</f>
        <v/>
      </c>
      <c r="B641" s="22" t="str">
        <f>'EQUITY BACKTEST'!B644</f>
        <v/>
      </c>
      <c r="C641" s="22" t="str">
        <f>1/'EQUITY BACKTEST'!E644</f>
        <v>#DIV/0!</v>
      </c>
      <c r="D641" s="22" t="str">
        <f t="shared" si="1"/>
        <v>#DIV/0!</v>
      </c>
      <c r="E641" s="22" t="str">
        <f t="shared" ref="E641:F641" si="641">IF(A641&lt;&gt;"", (B641 - B640) / B640, "")</f>
        <v/>
      </c>
      <c r="F641" s="22" t="str">
        <f t="shared" si="641"/>
        <v/>
      </c>
      <c r="H641" s="22" t="str">
        <f t="shared" si="4"/>
        <v/>
      </c>
    </row>
    <row r="642" ht="15.75" customHeight="1">
      <c r="A642" s="31" t="str">
        <f>'EQUITY BACKTEST'!A645</f>
        <v/>
      </c>
      <c r="B642" s="22" t="str">
        <f>'EQUITY BACKTEST'!B645</f>
        <v/>
      </c>
      <c r="C642" s="22" t="str">
        <f>1/'EQUITY BACKTEST'!E645</f>
        <v>#DIV/0!</v>
      </c>
      <c r="D642" s="22" t="str">
        <f t="shared" si="1"/>
        <v>#DIV/0!</v>
      </c>
      <c r="E642" s="22" t="str">
        <f t="shared" ref="E642:F642" si="642">IF(A642&lt;&gt;"", (B642 - B641) / B641, "")</f>
        <v/>
      </c>
      <c r="F642" s="22" t="str">
        <f t="shared" si="642"/>
        <v/>
      </c>
      <c r="H642" s="22" t="str">
        <f t="shared" si="4"/>
        <v/>
      </c>
    </row>
    <row r="643" ht="15.75" customHeight="1">
      <c r="A643" s="31" t="str">
        <f>'EQUITY BACKTEST'!A646</f>
        <v/>
      </c>
      <c r="B643" s="22" t="str">
        <f>'EQUITY BACKTEST'!B646</f>
        <v/>
      </c>
      <c r="C643" s="22" t="str">
        <f>1/'EQUITY BACKTEST'!E646</f>
        <v>#DIV/0!</v>
      </c>
      <c r="D643" s="22" t="str">
        <f t="shared" si="1"/>
        <v>#DIV/0!</v>
      </c>
      <c r="E643" s="22" t="str">
        <f t="shared" ref="E643:F643" si="643">IF(A643&lt;&gt;"", (B643 - B642) / B642, "")</f>
        <v/>
      </c>
      <c r="F643" s="22" t="str">
        <f t="shared" si="643"/>
        <v/>
      </c>
      <c r="H643" s="22" t="str">
        <f t="shared" si="4"/>
        <v/>
      </c>
    </row>
    <row r="644" ht="15.75" customHeight="1">
      <c r="A644" s="31" t="str">
        <f>'EQUITY BACKTEST'!A647</f>
        <v/>
      </c>
      <c r="B644" s="22" t="str">
        <f>'EQUITY BACKTEST'!B647</f>
        <v/>
      </c>
      <c r="C644" s="22" t="str">
        <f>1/'EQUITY BACKTEST'!E647</f>
        <v>#DIV/0!</v>
      </c>
      <c r="D644" s="22" t="str">
        <f t="shared" si="1"/>
        <v>#DIV/0!</v>
      </c>
      <c r="E644" s="22" t="str">
        <f t="shared" ref="E644:F644" si="644">IF(A644&lt;&gt;"", (B644 - B643) / B643, "")</f>
        <v/>
      </c>
      <c r="F644" s="22" t="str">
        <f t="shared" si="644"/>
        <v/>
      </c>
      <c r="H644" s="22" t="str">
        <f t="shared" si="4"/>
        <v/>
      </c>
    </row>
    <row r="645" ht="15.75" customHeight="1">
      <c r="A645" s="31" t="str">
        <f>'EQUITY BACKTEST'!A648</f>
        <v/>
      </c>
      <c r="B645" s="22" t="str">
        <f>'EQUITY BACKTEST'!B648</f>
        <v/>
      </c>
      <c r="C645" s="22" t="str">
        <f>1/'EQUITY BACKTEST'!E648</f>
        <v>#DIV/0!</v>
      </c>
      <c r="D645" s="22" t="str">
        <f t="shared" si="1"/>
        <v>#DIV/0!</v>
      </c>
      <c r="E645" s="22" t="str">
        <f t="shared" ref="E645:F645" si="645">IF(A645&lt;&gt;"", (B645 - B644) / B644, "")</f>
        <v/>
      </c>
      <c r="F645" s="22" t="str">
        <f t="shared" si="645"/>
        <v/>
      </c>
      <c r="H645" s="22" t="str">
        <f t="shared" si="4"/>
        <v/>
      </c>
    </row>
    <row r="646" ht="15.75" customHeight="1">
      <c r="A646" s="31" t="str">
        <f>'EQUITY BACKTEST'!A649</f>
        <v/>
      </c>
      <c r="B646" s="22" t="str">
        <f>'EQUITY BACKTEST'!B649</f>
        <v/>
      </c>
      <c r="C646" s="22" t="str">
        <f>1/'EQUITY BACKTEST'!E649</f>
        <v>#DIV/0!</v>
      </c>
      <c r="D646" s="22" t="str">
        <f t="shared" si="1"/>
        <v>#DIV/0!</v>
      </c>
      <c r="E646" s="22" t="str">
        <f t="shared" ref="E646:F646" si="646">IF(A646&lt;&gt;"", (B646 - B645) / B645, "")</f>
        <v/>
      </c>
      <c r="F646" s="22" t="str">
        <f t="shared" si="646"/>
        <v/>
      </c>
      <c r="H646" s="22" t="str">
        <f t="shared" si="4"/>
        <v/>
      </c>
    </row>
    <row r="647" ht="15.75" customHeight="1">
      <c r="A647" s="31" t="str">
        <f>'EQUITY BACKTEST'!A650</f>
        <v/>
      </c>
      <c r="B647" s="22" t="str">
        <f>'EQUITY BACKTEST'!B650</f>
        <v/>
      </c>
      <c r="C647" s="22" t="str">
        <f>1/'EQUITY BACKTEST'!E650</f>
        <v>#DIV/0!</v>
      </c>
      <c r="D647" s="22" t="str">
        <f t="shared" si="1"/>
        <v>#DIV/0!</v>
      </c>
      <c r="E647" s="22" t="str">
        <f t="shared" ref="E647:F647" si="647">IF(A647&lt;&gt;"", (B647 - B646) / B646, "")</f>
        <v/>
      </c>
      <c r="F647" s="22" t="str">
        <f t="shared" si="647"/>
        <v/>
      </c>
      <c r="H647" s="22" t="str">
        <f t="shared" si="4"/>
        <v/>
      </c>
    </row>
    <row r="648" ht="15.75" customHeight="1">
      <c r="A648" s="31" t="str">
        <f>'EQUITY BACKTEST'!A651</f>
        <v/>
      </c>
      <c r="B648" s="22" t="str">
        <f>'EQUITY BACKTEST'!B651</f>
        <v/>
      </c>
      <c r="C648" s="22" t="str">
        <f>1/'EQUITY BACKTEST'!E651</f>
        <v>#DIV/0!</v>
      </c>
      <c r="D648" s="22" t="str">
        <f t="shared" si="1"/>
        <v>#DIV/0!</v>
      </c>
      <c r="E648" s="22" t="str">
        <f t="shared" ref="E648:F648" si="648">IF(A648&lt;&gt;"", (B648 - B647) / B647, "")</f>
        <v/>
      </c>
      <c r="F648" s="22" t="str">
        <f t="shared" si="648"/>
        <v/>
      </c>
      <c r="H648" s="22" t="str">
        <f t="shared" si="4"/>
        <v/>
      </c>
    </row>
    <row r="649" ht="15.75" customHeight="1">
      <c r="A649" s="31" t="str">
        <f>'EQUITY BACKTEST'!A652</f>
        <v/>
      </c>
      <c r="B649" s="22" t="str">
        <f>'EQUITY BACKTEST'!B652</f>
        <v/>
      </c>
      <c r="C649" s="22" t="str">
        <f>1/'EQUITY BACKTEST'!E652</f>
        <v>#DIV/0!</v>
      </c>
      <c r="D649" s="22" t="str">
        <f t="shared" si="1"/>
        <v>#DIV/0!</v>
      </c>
      <c r="E649" s="22" t="str">
        <f t="shared" ref="E649:F649" si="649">IF(A649&lt;&gt;"", (B649 - B648) / B648, "")</f>
        <v/>
      </c>
      <c r="F649" s="22" t="str">
        <f t="shared" si="649"/>
        <v/>
      </c>
      <c r="H649" s="22" t="str">
        <f t="shared" si="4"/>
        <v/>
      </c>
    </row>
    <row r="650" ht="15.75" customHeight="1">
      <c r="A650" s="31" t="str">
        <f>'EQUITY BACKTEST'!A653</f>
        <v/>
      </c>
      <c r="B650" s="22" t="str">
        <f>'EQUITY BACKTEST'!B653</f>
        <v/>
      </c>
      <c r="C650" s="22" t="str">
        <f>1/'EQUITY BACKTEST'!E653</f>
        <v>#DIV/0!</v>
      </c>
      <c r="D650" s="22" t="str">
        <f t="shared" si="1"/>
        <v>#DIV/0!</v>
      </c>
      <c r="E650" s="22" t="str">
        <f t="shared" ref="E650:F650" si="650">IF(A650&lt;&gt;"", (B650 - B649) / B649, "")</f>
        <v/>
      </c>
      <c r="F650" s="22" t="str">
        <f t="shared" si="650"/>
        <v/>
      </c>
      <c r="H650" s="22" t="str">
        <f t="shared" si="4"/>
        <v/>
      </c>
    </row>
    <row r="651" ht="15.75" customHeight="1">
      <c r="A651" s="31" t="str">
        <f>'EQUITY BACKTEST'!A654</f>
        <v/>
      </c>
      <c r="B651" s="22" t="str">
        <f>'EQUITY BACKTEST'!B654</f>
        <v/>
      </c>
      <c r="C651" s="22" t="str">
        <f>1/'EQUITY BACKTEST'!E654</f>
        <v>#DIV/0!</v>
      </c>
      <c r="D651" s="22" t="str">
        <f t="shared" si="1"/>
        <v>#DIV/0!</v>
      </c>
      <c r="E651" s="22" t="str">
        <f t="shared" ref="E651:F651" si="651">IF(A651&lt;&gt;"", (B651 - B650) / B650, "")</f>
        <v/>
      </c>
      <c r="F651" s="22" t="str">
        <f t="shared" si="651"/>
        <v/>
      </c>
      <c r="H651" s="22" t="str">
        <f t="shared" si="4"/>
        <v/>
      </c>
    </row>
    <row r="652" ht="15.75" customHeight="1">
      <c r="A652" s="31" t="str">
        <f>'EQUITY BACKTEST'!A655</f>
        <v/>
      </c>
      <c r="B652" s="22" t="str">
        <f>'EQUITY BACKTEST'!B655</f>
        <v/>
      </c>
      <c r="C652" s="22" t="str">
        <f>1/'EQUITY BACKTEST'!E655</f>
        <v>#DIV/0!</v>
      </c>
      <c r="D652" s="22" t="str">
        <f t="shared" si="1"/>
        <v>#DIV/0!</v>
      </c>
      <c r="E652" s="22" t="str">
        <f t="shared" ref="E652:F652" si="652">IF(A652&lt;&gt;"", (B652 - B651) / B651, "")</f>
        <v/>
      </c>
      <c r="F652" s="22" t="str">
        <f t="shared" si="652"/>
        <v/>
      </c>
      <c r="H652" s="22" t="str">
        <f t="shared" si="4"/>
        <v/>
      </c>
    </row>
    <row r="653" ht="15.75" customHeight="1">
      <c r="A653" s="31" t="str">
        <f>'EQUITY BACKTEST'!A656</f>
        <v/>
      </c>
      <c r="B653" s="22" t="str">
        <f>'EQUITY BACKTEST'!B656</f>
        <v/>
      </c>
      <c r="C653" s="22" t="str">
        <f>1/'EQUITY BACKTEST'!E656</f>
        <v>#DIV/0!</v>
      </c>
      <c r="D653" s="22" t="str">
        <f t="shared" si="1"/>
        <v>#DIV/0!</v>
      </c>
      <c r="E653" s="22" t="str">
        <f t="shared" ref="E653:F653" si="653">IF(A653&lt;&gt;"", (B653 - B652) / B652, "")</f>
        <v/>
      </c>
      <c r="F653" s="22" t="str">
        <f t="shared" si="653"/>
        <v/>
      </c>
      <c r="H653" s="22" t="str">
        <f t="shared" si="4"/>
        <v/>
      </c>
    </row>
    <row r="654" ht="15.75" customHeight="1">
      <c r="A654" s="31" t="str">
        <f>'EQUITY BACKTEST'!A657</f>
        <v/>
      </c>
      <c r="B654" s="22" t="str">
        <f>'EQUITY BACKTEST'!B657</f>
        <v/>
      </c>
      <c r="C654" s="22" t="str">
        <f>1/'EQUITY BACKTEST'!E657</f>
        <v>#DIV/0!</v>
      </c>
      <c r="D654" s="22" t="str">
        <f t="shared" si="1"/>
        <v>#DIV/0!</v>
      </c>
      <c r="E654" s="22" t="str">
        <f t="shared" ref="E654:F654" si="654">IF(A654&lt;&gt;"", (B654 - B653) / B653, "")</f>
        <v/>
      </c>
      <c r="F654" s="22" t="str">
        <f t="shared" si="654"/>
        <v/>
      </c>
      <c r="H654" s="22" t="str">
        <f t="shared" si="4"/>
        <v/>
      </c>
    </row>
    <row r="655" ht="15.75" customHeight="1">
      <c r="A655" s="31" t="str">
        <f>'EQUITY BACKTEST'!A658</f>
        <v/>
      </c>
      <c r="B655" s="22" t="str">
        <f>'EQUITY BACKTEST'!B658</f>
        <v/>
      </c>
      <c r="C655" s="22" t="str">
        <f>1/'EQUITY BACKTEST'!E658</f>
        <v>#DIV/0!</v>
      </c>
      <c r="D655" s="22" t="str">
        <f t="shared" si="1"/>
        <v>#DIV/0!</v>
      </c>
      <c r="E655" s="22" t="str">
        <f t="shared" ref="E655:F655" si="655">IF(A655&lt;&gt;"", (B655 - B654) / B654, "")</f>
        <v/>
      </c>
      <c r="F655" s="22" t="str">
        <f t="shared" si="655"/>
        <v/>
      </c>
      <c r="H655" s="22" t="str">
        <f t="shared" si="4"/>
        <v/>
      </c>
    </row>
    <row r="656" ht="15.75" customHeight="1">
      <c r="A656" s="31" t="str">
        <f>'EQUITY BACKTEST'!A659</f>
        <v/>
      </c>
      <c r="B656" s="22" t="str">
        <f>'EQUITY BACKTEST'!B659</f>
        <v/>
      </c>
      <c r="C656" s="22" t="str">
        <f>1/'EQUITY BACKTEST'!E659</f>
        <v>#DIV/0!</v>
      </c>
      <c r="D656" s="22" t="str">
        <f t="shared" si="1"/>
        <v>#DIV/0!</v>
      </c>
      <c r="E656" s="22" t="str">
        <f t="shared" ref="E656:F656" si="656">IF(A656&lt;&gt;"", (B656 - B655) / B655, "")</f>
        <v/>
      </c>
      <c r="F656" s="22" t="str">
        <f t="shared" si="656"/>
        <v/>
      </c>
      <c r="H656" s="22" t="str">
        <f t="shared" si="4"/>
        <v/>
      </c>
    </row>
    <row r="657" ht="15.75" customHeight="1">
      <c r="A657" s="31" t="str">
        <f>'EQUITY BACKTEST'!A660</f>
        <v/>
      </c>
      <c r="B657" s="22" t="str">
        <f>'EQUITY BACKTEST'!B660</f>
        <v/>
      </c>
      <c r="C657" s="22" t="str">
        <f>1/'EQUITY BACKTEST'!E660</f>
        <v>#DIV/0!</v>
      </c>
      <c r="D657" s="22" t="str">
        <f t="shared" si="1"/>
        <v>#DIV/0!</v>
      </c>
      <c r="E657" s="22" t="str">
        <f t="shared" ref="E657:F657" si="657">IF(A657&lt;&gt;"", (B657 - B656) / B656, "")</f>
        <v/>
      </c>
      <c r="F657" s="22" t="str">
        <f t="shared" si="657"/>
        <v/>
      </c>
      <c r="H657" s="22" t="str">
        <f t="shared" si="4"/>
        <v/>
      </c>
    </row>
    <row r="658" ht="15.75" customHeight="1">
      <c r="A658" s="31" t="str">
        <f>'EQUITY BACKTEST'!A661</f>
        <v/>
      </c>
      <c r="B658" s="22" t="str">
        <f>'EQUITY BACKTEST'!B661</f>
        <v/>
      </c>
      <c r="C658" s="22" t="str">
        <f>1/'EQUITY BACKTEST'!E661</f>
        <v>#DIV/0!</v>
      </c>
      <c r="D658" s="22" t="str">
        <f t="shared" si="1"/>
        <v>#DIV/0!</v>
      </c>
      <c r="E658" s="22" t="str">
        <f t="shared" ref="E658:F658" si="658">IF(A658&lt;&gt;"", (B658 - B657) / B657, "")</f>
        <v/>
      </c>
      <c r="F658" s="22" t="str">
        <f t="shared" si="658"/>
        <v/>
      </c>
      <c r="H658" s="22" t="str">
        <f t="shared" si="4"/>
        <v/>
      </c>
    </row>
    <row r="659" ht="15.75" customHeight="1">
      <c r="A659" s="31" t="str">
        <f>'EQUITY BACKTEST'!A662</f>
        <v/>
      </c>
      <c r="B659" s="22" t="str">
        <f>'EQUITY BACKTEST'!B662</f>
        <v/>
      </c>
      <c r="C659" s="22" t="str">
        <f>1/'EQUITY BACKTEST'!E662</f>
        <v>#DIV/0!</v>
      </c>
      <c r="D659" s="22" t="str">
        <f t="shared" si="1"/>
        <v>#DIV/0!</v>
      </c>
      <c r="E659" s="22" t="str">
        <f t="shared" ref="E659:F659" si="659">IF(A659&lt;&gt;"", (B659 - B658) / B658, "")</f>
        <v/>
      </c>
      <c r="F659" s="22" t="str">
        <f t="shared" si="659"/>
        <v/>
      </c>
      <c r="H659" s="22" t="str">
        <f t="shared" si="4"/>
        <v/>
      </c>
    </row>
    <row r="660" ht="15.75" customHeight="1">
      <c r="A660" s="31" t="str">
        <f>'EQUITY BACKTEST'!A663</f>
        <v/>
      </c>
      <c r="B660" s="22" t="str">
        <f>'EQUITY BACKTEST'!B663</f>
        <v/>
      </c>
      <c r="C660" s="22" t="str">
        <f>1/'EQUITY BACKTEST'!E663</f>
        <v>#DIV/0!</v>
      </c>
      <c r="D660" s="22" t="str">
        <f t="shared" si="1"/>
        <v>#DIV/0!</v>
      </c>
      <c r="E660" s="22" t="str">
        <f t="shared" ref="E660:F660" si="660">IF(A660&lt;&gt;"", (B660 - B659) / B659, "")</f>
        <v/>
      </c>
      <c r="F660" s="22" t="str">
        <f t="shared" si="660"/>
        <v/>
      </c>
      <c r="H660" s="22" t="str">
        <f t="shared" si="4"/>
        <v/>
      </c>
    </row>
    <row r="661" ht="15.75" customHeight="1">
      <c r="A661" s="31" t="str">
        <f>'EQUITY BACKTEST'!A664</f>
        <v/>
      </c>
      <c r="B661" s="22" t="str">
        <f>'EQUITY BACKTEST'!B664</f>
        <v/>
      </c>
      <c r="C661" s="22" t="str">
        <f>1/'EQUITY BACKTEST'!E664</f>
        <v>#DIV/0!</v>
      </c>
      <c r="D661" s="22" t="str">
        <f t="shared" si="1"/>
        <v>#DIV/0!</v>
      </c>
      <c r="E661" s="22" t="str">
        <f t="shared" ref="E661:F661" si="661">IF(A661&lt;&gt;"", (B661 - B660) / B660, "")</f>
        <v/>
      </c>
      <c r="F661" s="22" t="str">
        <f t="shared" si="661"/>
        <v/>
      </c>
      <c r="H661" s="22" t="str">
        <f t="shared" si="4"/>
        <v/>
      </c>
    </row>
    <row r="662" ht="15.75" customHeight="1">
      <c r="A662" s="31" t="str">
        <f>'EQUITY BACKTEST'!A665</f>
        <v/>
      </c>
      <c r="B662" s="22" t="str">
        <f>'EQUITY BACKTEST'!B665</f>
        <v/>
      </c>
      <c r="C662" s="22" t="str">
        <f>1/'EQUITY BACKTEST'!E665</f>
        <v>#DIV/0!</v>
      </c>
      <c r="D662" s="22" t="str">
        <f t="shared" si="1"/>
        <v>#DIV/0!</v>
      </c>
      <c r="E662" s="22" t="str">
        <f t="shared" ref="E662:F662" si="662">IF(A662&lt;&gt;"", (B662 - B661) / B661, "")</f>
        <v/>
      </c>
      <c r="F662" s="22" t="str">
        <f t="shared" si="662"/>
        <v/>
      </c>
      <c r="H662" s="22" t="str">
        <f t="shared" si="4"/>
        <v/>
      </c>
    </row>
    <row r="663" ht="15.75" customHeight="1">
      <c r="A663" s="31" t="str">
        <f>'EQUITY BACKTEST'!A666</f>
        <v/>
      </c>
      <c r="B663" s="22" t="str">
        <f>'EQUITY BACKTEST'!B666</f>
        <v/>
      </c>
      <c r="C663" s="22" t="str">
        <f>1/'EQUITY BACKTEST'!E666</f>
        <v>#DIV/0!</v>
      </c>
      <c r="D663" s="22" t="str">
        <f t="shared" si="1"/>
        <v>#DIV/0!</v>
      </c>
      <c r="E663" s="22" t="str">
        <f t="shared" ref="E663:F663" si="663">IF(A663&lt;&gt;"", (B663 - B662) / B662, "")</f>
        <v/>
      </c>
      <c r="F663" s="22" t="str">
        <f t="shared" si="663"/>
        <v/>
      </c>
      <c r="H663" s="22" t="str">
        <f t="shared" si="4"/>
        <v/>
      </c>
    </row>
    <row r="664" ht="15.75" customHeight="1">
      <c r="A664" s="31" t="str">
        <f>'EQUITY BACKTEST'!A667</f>
        <v/>
      </c>
      <c r="B664" s="22" t="str">
        <f>'EQUITY BACKTEST'!B667</f>
        <v/>
      </c>
      <c r="C664" s="22" t="str">
        <f>1/'EQUITY BACKTEST'!E667</f>
        <v>#DIV/0!</v>
      </c>
      <c r="D664" s="22" t="str">
        <f t="shared" si="1"/>
        <v>#DIV/0!</v>
      </c>
      <c r="E664" s="22" t="str">
        <f t="shared" ref="E664:F664" si="664">IF(A664&lt;&gt;"", (B664 - B663) / B663, "")</f>
        <v/>
      </c>
      <c r="F664" s="22" t="str">
        <f t="shared" si="664"/>
        <v/>
      </c>
      <c r="H664" s="22" t="str">
        <f t="shared" si="4"/>
        <v/>
      </c>
    </row>
    <row r="665" ht="15.75" customHeight="1">
      <c r="A665" s="31" t="str">
        <f>'EQUITY BACKTEST'!A668</f>
        <v/>
      </c>
      <c r="B665" s="22" t="str">
        <f>'EQUITY BACKTEST'!B668</f>
        <v/>
      </c>
      <c r="C665" s="22" t="str">
        <f>1/'EQUITY BACKTEST'!E668</f>
        <v>#DIV/0!</v>
      </c>
      <c r="D665" s="22" t="str">
        <f t="shared" si="1"/>
        <v>#DIV/0!</v>
      </c>
      <c r="E665" s="22" t="str">
        <f t="shared" ref="E665:F665" si="665">IF(A665&lt;&gt;"", (B665 - B664) / B664, "")</f>
        <v/>
      </c>
      <c r="F665" s="22" t="str">
        <f t="shared" si="665"/>
        <v/>
      </c>
      <c r="H665" s="22" t="str">
        <f t="shared" si="4"/>
        <v/>
      </c>
    </row>
    <row r="666" ht="15.75" customHeight="1">
      <c r="A666" s="31" t="str">
        <f>'EQUITY BACKTEST'!A669</f>
        <v/>
      </c>
      <c r="B666" s="22" t="str">
        <f>'EQUITY BACKTEST'!B669</f>
        <v/>
      </c>
      <c r="C666" s="22" t="str">
        <f>1/'EQUITY BACKTEST'!E669</f>
        <v>#DIV/0!</v>
      </c>
      <c r="D666" s="22" t="str">
        <f t="shared" si="1"/>
        <v>#DIV/0!</v>
      </c>
      <c r="E666" s="22" t="str">
        <f t="shared" ref="E666:F666" si="666">IF(A666&lt;&gt;"", (B666 - B665) / B665, "")</f>
        <v/>
      </c>
      <c r="F666" s="22" t="str">
        <f t="shared" si="666"/>
        <v/>
      </c>
      <c r="H666" s="22" t="str">
        <f t="shared" si="4"/>
        <v/>
      </c>
    </row>
    <row r="667" ht="15.75" customHeight="1">
      <c r="A667" s="31" t="str">
        <f>'EQUITY BACKTEST'!A670</f>
        <v/>
      </c>
      <c r="B667" s="22" t="str">
        <f>'EQUITY BACKTEST'!B670</f>
        <v/>
      </c>
      <c r="C667" s="22" t="str">
        <f>1/'EQUITY BACKTEST'!E670</f>
        <v>#DIV/0!</v>
      </c>
      <c r="D667" s="22" t="str">
        <f t="shared" si="1"/>
        <v>#DIV/0!</v>
      </c>
      <c r="E667" s="22" t="str">
        <f t="shared" ref="E667:F667" si="667">IF(A667&lt;&gt;"", (B667 - B666) / B666, "")</f>
        <v/>
      </c>
      <c r="F667" s="22" t="str">
        <f t="shared" si="667"/>
        <v/>
      </c>
      <c r="H667" s="22" t="str">
        <f t="shared" si="4"/>
        <v/>
      </c>
    </row>
    <row r="668" ht="15.75" customHeight="1">
      <c r="A668" s="31" t="str">
        <f>'EQUITY BACKTEST'!A671</f>
        <v/>
      </c>
      <c r="B668" s="22" t="str">
        <f>'EQUITY BACKTEST'!B671</f>
        <v/>
      </c>
      <c r="C668" s="22" t="str">
        <f>1/'EQUITY BACKTEST'!E671</f>
        <v>#DIV/0!</v>
      </c>
      <c r="D668" s="22" t="str">
        <f t="shared" si="1"/>
        <v>#DIV/0!</v>
      </c>
      <c r="E668" s="22" t="str">
        <f t="shared" ref="E668:F668" si="668">IF(A668&lt;&gt;"", (B668 - B667) / B667, "")</f>
        <v/>
      </c>
      <c r="F668" s="22" t="str">
        <f t="shared" si="668"/>
        <v/>
      </c>
      <c r="H668" s="22" t="str">
        <f t="shared" si="4"/>
        <v/>
      </c>
    </row>
    <row r="669" ht="15.75" customHeight="1">
      <c r="A669" s="31" t="str">
        <f>'EQUITY BACKTEST'!A672</f>
        <v/>
      </c>
      <c r="B669" s="22" t="str">
        <f>'EQUITY BACKTEST'!B672</f>
        <v/>
      </c>
      <c r="C669" s="22" t="str">
        <f>1/'EQUITY BACKTEST'!E672</f>
        <v>#DIV/0!</v>
      </c>
      <c r="D669" s="22" t="str">
        <f t="shared" si="1"/>
        <v>#DIV/0!</v>
      </c>
      <c r="E669" s="22" t="str">
        <f t="shared" ref="E669:F669" si="669">IF(A669&lt;&gt;"", (B669 - B668) / B668, "")</f>
        <v/>
      </c>
      <c r="F669" s="22" t="str">
        <f t="shared" si="669"/>
        <v/>
      </c>
      <c r="H669" s="22" t="str">
        <f t="shared" si="4"/>
        <v/>
      </c>
    </row>
    <row r="670" ht="15.75" customHeight="1">
      <c r="A670" s="31" t="str">
        <f>'EQUITY BACKTEST'!A673</f>
        <v/>
      </c>
      <c r="B670" s="22" t="str">
        <f>'EQUITY BACKTEST'!B673</f>
        <v/>
      </c>
      <c r="C670" s="22" t="str">
        <f>1/'EQUITY BACKTEST'!E673</f>
        <v>#DIV/0!</v>
      </c>
      <c r="D670" s="22" t="str">
        <f t="shared" si="1"/>
        <v>#DIV/0!</v>
      </c>
      <c r="E670" s="22" t="str">
        <f t="shared" ref="E670:F670" si="670">IF(A670&lt;&gt;"", (B670 - B669) / B669, "")</f>
        <v/>
      </c>
      <c r="F670" s="22" t="str">
        <f t="shared" si="670"/>
        <v/>
      </c>
      <c r="H670" s="22" t="str">
        <f t="shared" si="4"/>
        <v/>
      </c>
    </row>
    <row r="671" ht="15.75" customHeight="1">
      <c r="A671" s="31" t="str">
        <f>'EQUITY BACKTEST'!A674</f>
        <v/>
      </c>
      <c r="B671" s="22" t="str">
        <f>'EQUITY BACKTEST'!B674</f>
        <v/>
      </c>
      <c r="C671" s="22" t="str">
        <f>1/'EQUITY BACKTEST'!E674</f>
        <v>#DIV/0!</v>
      </c>
      <c r="D671" s="22" t="str">
        <f t="shared" si="1"/>
        <v>#DIV/0!</v>
      </c>
      <c r="E671" s="22" t="str">
        <f t="shared" ref="E671:F671" si="671">IF(A671&lt;&gt;"", (B671 - B670) / B670, "")</f>
        <v/>
      </c>
      <c r="F671" s="22" t="str">
        <f t="shared" si="671"/>
        <v/>
      </c>
      <c r="H671" s="22" t="str">
        <f t="shared" si="4"/>
        <v/>
      </c>
    </row>
    <row r="672" ht="15.75" customHeight="1">
      <c r="A672" s="31" t="str">
        <f>'EQUITY BACKTEST'!A675</f>
        <v/>
      </c>
      <c r="B672" s="22" t="str">
        <f>'EQUITY BACKTEST'!B675</f>
        <v/>
      </c>
      <c r="C672" s="22" t="str">
        <f>1/'EQUITY BACKTEST'!E675</f>
        <v>#DIV/0!</v>
      </c>
      <c r="D672" s="22" t="str">
        <f t="shared" si="1"/>
        <v>#DIV/0!</v>
      </c>
      <c r="E672" s="22" t="str">
        <f t="shared" ref="E672:F672" si="672">IF(A672&lt;&gt;"", (B672 - B671) / B671, "")</f>
        <v/>
      </c>
      <c r="F672" s="22" t="str">
        <f t="shared" si="672"/>
        <v/>
      </c>
      <c r="H672" s="22" t="str">
        <f t="shared" si="4"/>
        <v/>
      </c>
    </row>
    <row r="673" ht="15.75" customHeight="1">
      <c r="A673" s="31" t="str">
        <f>'EQUITY BACKTEST'!A676</f>
        <v/>
      </c>
      <c r="B673" s="22" t="str">
        <f>'EQUITY BACKTEST'!B676</f>
        <v/>
      </c>
      <c r="C673" s="22" t="str">
        <f>1/'EQUITY BACKTEST'!E676</f>
        <v>#DIV/0!</v>
      </c>
      <c r="D673" s="22" t="str">
        <f t="shared" si="1"/>
        <v>#DIV/0!</v>
      </c>
      <c r="E673" s="22" t="str">
        <f t="shared" ref="E673:F673" si="673">IF(A673&lt;&gt;"", (B673 - B672) / B672, "")</f>
        <v/>
      </c>
      <c r="F673" s="22" t="str">
        <f t="shared" si="673"/>
        <v/>
      </c>
      <c r="H673" s="22" t="str">
        <f t="shared" si="4"/>
        <v/>
      </c>
    </row>
    <row r="674" ht="15.75" customHeight="1">
      <c r="A674" s="31" t="str">
        <f>'EQUITY BACKTEST'!A677</f>
        <v/>
      </c>
      <c r="B674" s="22" t="str">
        <f>'EQUITY BACKTEST'!B677</f>
        <v/>
      </c>
      <c r="C674" s="22" t="str">
        <f>1/'EQUITY BACKTEST'!E677</f>
        <v>#DIV/0!</v>
      </c>
      <c r="D674" s="22" t="str">
        <f t="shared" si="1"/>
        <v>#DIV/0!</v>
      </c>
      <c r="E674" s="22" t="str">
        <f t="shared" ref="E674:F674" si="674">IF(A674&lt;&gt;"", (B674 - B673) / B673, "")</f>
        <v/>
      </c>
      <c r="F674" s="22" t="str">
        <f t="shared" si="674"/>
        <v/>
      </c>
      <c r="H674" s="22" t="str">
        <f t="shared" si="4"/>
        <v/>
      </c>
    </row>
    <row r="675" ht="15.75" customHeight="1">
      <c r="A675" s="31" t="str">
        <f>'EQUITY BACKTEST'!A678</f>
        <v/>
      </c>
      <c r="B675" s="22" t="str">
        <f>'EQUITY BACKTEST'!B678</f>
        <v/>
      </c>
      <c r="C675" s="22" t="str">
        <f>1/'EQUITY BACKTEST'!E678</f>
        <v>#DIV/0!</v>
      </c>
      <c r="D675" s="22" t="str">
        <f t="shared" si="1"/>
        <v>#DIV/0!</v>
      </c>
      <c r="E675" s="22" t="str">
        <f t="shared" ref="E675:F675" si="675">IF(A675&lt;&gt;"", (B675 - B674) / B674, "")</f>
        <v/>
      </c>
      <c r="F675" s="22" t="str">
        <f t="shared" si="675"/>
        <v/>
      </c>
      <c r="H675" s="22" t="str">
        <f t="shared" si="4"/>
        <v/>
      </c>
    </row>
    <row r="676" ht="15.75" customHeight="1">
      <c r="A676" s="31" t="str">
        <f>'EQUITY BACKTEST'!A679</f>
        <v/>
      </c>
      <c r="B676" s="22" t="str">
        <f>'EQUITY BACKTEST'!B679</f>
        <v/>
      </c>
      <c r="C676" s="22" t="str">
        <f>1/'EQUITY BACKTEST'!E679</f>
        <v>#DIV/0!</v>
      </c>
      <c r="D676" s="22" t="str">
        <f t="shared" si="1"/>
        <v>#DIV/0!</v>
      </c>
      <c r="E676" s="22" t="str">
        <f t="shared" ref="E676:F676" si="676">IF(A676&lt;&gt;"", (B676 - B675) / B675, "")</f>
        <v/>
      </c>
      <c r="F676" s="22" t="str">
        <f t="shared" si="676"/>
        <v/>
      </c>
      <c r="H676" s="22" t="str">
        <f t="shared" si="4"/>
        <v/>
      </c>
    </row>
    <row r="677" ht="15.75" customHeight="1">
      <c r="A677" s="31" t="str">
        <f>'EQUITY BACKTEST'!A680</f>
        <v/>
      </c>
      <c r="B677" s="22" t="str">
        <f>'EQUITY BACKTEST'!B680</f>
        <v/>
      </c>
      <c r="C677" s="22" t="str">
        <f>1/'EQUITY BACKTEST'!E680</f>
        <v>#DIV/0!</v>
      </c>
      <c r="D677" s="22" t="str">
        <f t="shared" si="1"/>
        <v>#DIV/0!</v>
      </c>
      <c r="E677" s="22" t="str">
        <f t="shared" ref="E677:F677" si="677">IF(A677&lt;&gt;"", (B677 - B676) / B676, "")</f>
        <v/>
      </c>
      <c r="F677" s="22" t="str">
        <f t="shared" si="677"/>
        <v/>
      </c>
      <c r="H677" s="22" t="str">
        <f t="shared" si="4"/>
        <v/>
      </c>
    </row>
    <row r="678" ht="15.75" customHeight="1">
      <c r="A678" s="31" t="str">
        <f>'EQUITY BACKTEST'!A681</f>
        <v/>
      </c>
      <c r="B678" s="22" t="str">
        <f>'EQUITY BACKTEST'!B681</f>
        <v/>
      </c>
      <c r="C678" s="22" t="str">
        <f>1/'EQUITY BACKTEST'!E681</f>
        <v>#DIV/0!</v>
      </c>
      <c r="D678" s="22" t="str">
        <f t="shared" si="1"/>
        <v>#DIV/0!</v>
      </c>
      <c r="E678" s="22" t="str">
        <f t="shared" ref="E678:F678" si="678">IF(A678&lt;&gt;"", (B678 - B677) / B677, "")</f>
        <v/>
      </c>
      <c r="F678" s="22" t="str">
        <f t="shared" si="678"/>
        <v/>
      </c>
      <c r="H678" s="22" t="str">
        <f t="shared" si="4"/>
        <v/>
      </c>
    </row>
    <row r="679" ht="15.75" customHeight="1">
      <c r="A679" s="31" t="str">
        <f>'EQUITY BACKTEST'!A682</f>
        <v/>
      </c>
      <c r="B679" s="22" t="str">
        <f>'EQUITY BACKTEST'!B682</f>
        <v/>
      </c>
      <c r="C679" s="22" t="str">
        <f>1/'EQUITY BACKTEST'!E682</f>
        <v>#DIV/0!</v>
      </c>
      <c r="D679" s="22" t="str">
        <f t="shared" si="1"/>
        <v>#DIV/0!</v>
      </c>
      <c r="E679" s="22" t="str">
        <f t="shared" ref="E679:F679" si="679">IF(A679&lt;&gt;"", (B679 - B678) / B678, "")</f>
        <v/>
      </c>
      <c r="F679" s="22" t="str">
        <f t="shared" si="679"/>
        <v/>
      </c>
      <c r="H679" s="22" t="str">
        <f t="shared" si="4"/>
        <v/>
      </c>
    </row>
    <row r="680" ht="15.75" customHeight="1">
      <c r="A680" s="31" t="str">
        <f>'EQUITY BACKTEST'!A683</f>
        <v/>
      </c>
      <c r="B680" s="22" t="str">
        <f>'EQUITY BACKTEST'!B683</f>
        <v/>
      </c>
      <c r="C680" s="22" t="str">
        <f>1/'EQUITY BACKTEST'!E683</f>
        <v>#DIV/0!</v>
      </c>
      <c r="D680" s="22" t="str">
        <f t="shared" si="1"/>
        <v>#DIV/0!</v>
      </c>
      <c r="E680" s="22" t="str">
        <f t="shared" ref="E680:F680" si="680">IF(A680&lt;&gt;"", (B680 - B679) / B679, "")</f>
        <v/>
      </c>
      <c r="F680" s="22" t="str">
        <f t="shared" si="680"/>
        <v/>
      </c>
      <c r="H680" s="22" t="str">
        <f t="shared" si="4"/>
        <v/>
      </c>
    </row>
    <row r="681" ht="15.75" customHeight="1">
      <c r="A681" s="31" t="str">
        <f>'EQUITY BACKTEST'!A684</f>
        <v/>
      </c>
      <c r="B681" s="22" t="str">
        <f>'EQUITY BACKTEST'!B684</f>
        <v/>
      </c>
      <c r="C681" s="22" t="str">
        <f>1/'EQUITY BACKTEST'!E684</f>
        <v>#DIV/0!</v>
      </c>
      <c r="D681" s="22" t="str">
        <f t="shared" si="1"/>
        <v>#DIV/0!</v>
      </c>
      <c r="E681" s="22" t="str">
        <f t="shared" ref="E681:F681" si="681">IF(A681&lt;&gt;"", (B681 - B680) / B680, "")</f>
        <v/>
      </c>
      <c r="F681" s="22" t="str">
        <f t="shared" si="681"/>
        <v/>
      </c>
      <c r="H681" s="22" t="str">
        <f t="shared" si="4"/>
        <v/>
      </c>
    </row>
    <row r="682" ht="15.75" customHeight="1">
      <c r="A682" s="31" t="str">
        <f>'EQUITY BACKTEST'!A685</f>
        <v/>
      </c>
      <c r="B682" s="22" t="str">
        <f>'EQUITY BACKTEST'!B685</f>
        <v/>
      </c>
      <c r="C682" s="22" t="str">
        <f>1/'EQUITY BACKTEST'!E685</f>
        <v>#DIV/0!</v>
      </c>
      <c r="D682" s="22" t="str">
        <f t="shared" si="1"/>
        <v>#DIV/0!</v>
      </c>
      <c r="E682" s="22" t="str">
        <f t="shared" ref="E682:F682" si="682">IF(A682&lt;&gt;"", (B682 - B681) / B681, "")</f>
        <v/>
      </c>
      <c r="F682" s="22" t="str">
        <f t="shared" si="682"/>
        <v/>
      </c>
      <c r="H682" s="22" t="str">
        <f t="shared" si="4"/>
        <v/>
      </c>
    </row>
    <row r="683" ht="15.75" customHeight="1">
      <c r="A683" s="31" t="str">
        <f>'EQUITY BACKTEST'!A686</f>
        <v/>
      </c>
      <c r="B683" s="22" t="str">
        <f>'EQUITY BACKTEST'!B686</f>
        <v/>
      </c>
      <c r="C683" s="22" t="str">
        <f>1/'EQUITY BACKTEST'!E686</f>
        <v>#DIV/0!</v>
      </c>
      <c r="D683" s="22" t="str">
        <f t="shared" si="1"/>
        <v>#DIV/0!</v>
      </c>
      <c r="E683" s="22" t="str">
        <f t="shared" ref="E683:F683" si="683">IF(A683&lt;&gt;"", (B683 - B682) / B682, "")</f>
        <v/>
      </c>
      <c r="F683" s="22" t="str">
        <f t="shared" si="683"/>
        <v/>
      </c>
      <c r="H683" s="22" t="str">
        <f t="shared" si="4"/>
        <v/>
      </c>
    </row>
    <row r="684" ht="15.75" customHeight="1">
      <c r="A684" s="31" t="str">
        <f>'EQUITY BACKTEST'!A687</f>
        <v/>
      </c>
      <c r="B684" s="22" t="str">
        <f>'EQUITY BACKTEST'!B687</f>
        <v/>
      </c>
      <c r="C684" s="22" t="str">
        <f>1/'EQUITY BACKTEST'!E687</f>
        <v>#DIV/0!</v>
      </c>
      <c r="D684" s="22" t="str">
        <f t="shared" si="1"/>
        <v>#DIV/0!</v>
      </c>
      <c r="E684" s="22" t="str">
        <f t="shared" ref="E684:F684" si="684">IF(A684&lt;&gt;"", (B684 - B683) / B683, "")</f>
        <v/>
      </c>
      <c r="F684" s="22" t="str">
        <f t="shared" si="684"/>
        <v/>
      </c>
      <c r="H684" s="22" t="str">
        <f t="shared" si="4"/>
        <v/>
      </c>
    </row>
    <row r="685" ht="15.75" customHeight="1">
      <c r="A685" s="31" t="str">
        <f>'EQUITY BACKTEST'!A688</f>
        <v/>
      </c>
      <c r="B685" s="22" t="str">
        <f>'EQUITY BACKTEST'!B688</f>
        <v/>
      </c>
      <c r="C685" s="22" t="str">
        <f>1/'EQUITY BACKTEST'!E688</f>
        <v>#DIV/0!</v>
      </c>
      <c r="D685" s="22" t="str">
        <f t="shared" si="1"/>
        <v>#DIV/0!</v>
      </c>
      <c r="E685" s="22" t="str">
        <f t="shared" ref="E685:F685" si="685">IF(A685&lt;&gt;"", (B685 - B684) / B684, "")</f>
        <v/>
      </c>
      <c r="F685" s="22" t="str">
        <f t="shared" si="685"/>
        <v/>
      </c>
      <c r="H685" s="22" t="str">
        <f t="shared" si="4"/>
        <v/>
      </c>
    </row>
    <row r="686" ht="15.75" customHeight="1">
      <c r="A686" s="31" t="str">
        <f>'EQUITY BACKTEST'!A689</f>
        <v/>
      </c>
      <c r="B686" s="22" t="str">
        <f>'EQUITY BACKTEST'!B689</f>
        <v/>
      </c>
      <c r="C686" s="22" t="str">
        <f>1/'EQUITY BACKTEST'!E689</f>
        <v>#DIV/0!</v>
      </c>
      <c r="D686" s="22" t="str">
        <f t="shared" si="1"/>
        <v>#DIV/0!</v>
      </c>
      <c r="E686" s="22" t="str">
        <f t="shared" ref="E686:F686" si="686">IF(A686&lt;&gt;"", (B686 - B685) / B685, "")</f>
        <v/>
      </c>
      <c r="F686" s="22" t="str">
        <f t="shared" si="686"/>
        <v/>
      </c>
      <c r="H686" s="22" t="str">
        <f t="shared" si="4"/>
        <v/>
      </c>
    </row>
    <row r="687" ht="15.75" customHeight="1">
      <c r="A687" s="31" t="str">
        <f>'EQUITY BACKTEST'!A690</f>
        <v/>
      </c>
      <c r="B687" s="22" t="str">
        <f>'EQUITY BACKTEST'!B690</f>
        <v/>
      </c>
      <c r="C687" s="22" t="str">
        <f>1/'EQUITY BACKTEST'!E690</f>
        <v>#DIV/0!</v>
      </c>
      <c r="D687" s="22" t="str">
        <f t="shared" si="1"/>
        <v>#DIV/0!</v>
      </c>
      <c r="E687" s="22" t="str">
        <f t="shared" ref="E687:F687" si="687">IF(A687&lt;&gt;"", (B687 - B686) / B686, "")</f>
        <v/>
      </c>
      <c r="F687" s="22" t="str">
        <f t="shared" si="687"/>
        <v/>
      </c>
      <c r="H687" s="22" t="str">
        <f t="shared" si="4"/>
        <v/>
      </c>
    </row>
    <row r="688" ht="15.75" customHeight="1">
      <c r="A688" s="31" t="str">
        <f>'EQUITY BACKTEST'!A691</f>
        <v/>
      </c>
      <c r="B688" s="22" t="str">
        <f>'EQUITY BACKTEST'!B691</f>
        <v/>
      </c>
      <c r="C688" s="22" t="str">
        <f>1/'EQUITY BACKTEST'!E691</f>
        <v>#DIV/0!</v>
      </c>
      <c r="D688" s="22" t="str">
        <f t="shared" si="1"/>
        <v>#DIV/0!</v>
      </c>
      <c r="E688" s="22" t="str">
        <f t="shared" ref="E688:F688" si="688">IF(A688&lt;&gt;"", (B688 - B687) / B687, "")</f>
        <v/>
      </c>
      <c r="F688" s="22" t="str">
        <f t="shared" si="688"/>
        <v/>
      </c>
      <c r="H688" s="22" t="str">
        <f t="shared" si="4"/>
        <v/>
      </c>
    </row>
    <row r="689" ht="15.75" customHeight="1">
      <c r="A689" s="31" t="str">
        <f>'EQUITY BACKTEST'!A692</f>
        <v/>
      </c>
      <c r="B689" s="22" t="str">
        <f>'EQUITY BACKTEST'!B692</f>
        <v/>
      </c>
      <c r="C689" s="22" t="str">
        <f>1/'EQUITY BACKTEST'!E692</f>
        <v>#DIV/0!</v>
      </c>
      <c r="D689" s="22" t="str">
        <f t="shared" si="1"/>
        <v>#DIV/0!</v>
      </c>
      <c r="E689" s="22" t="str">
        <f t="shared" ref="E689:F689" si="689">IF(A689&lt;&gt;"", (B689 - B688) / B688, "")</f>
        <v/>
      </c>
      <c r="F689" s="22" t="str">
        <f t="shared" si="689"/>
        <v/>
      </c>
      <c r="H689" s="22" t="str">
        <f t="shared" si="4"/>
        <v/>
      </c>
    </row>
    <row r="690" ht="15.75" customHeight="1">
      <c r="A690" s="31" t="str">
        <f>'EQUITY BACKTEST'!A693</f>
        <v/>
      </c>
      <c r="B690" s="22" t="str">
        <f>'EQUITY BACKTEST'!B693</f>
        <v/>
      </c>
      <c r="C690" s="22" t="str">
        <f>1/'EQUITY BACKTEST'!E693</f>
        <v>#DIV/0!</v>
      </c>
      <c r="D690" s="22" t="str">
        <f t="shared" si="1"/>
        <v>#DIV/0!</v>
      </c>
      <c r="E690" s="22" t="str">
        <f t="shared" ref="E690:F690" si="690">IF(A690&lt;&gt;"", (B690 - B689) / B689, "")</f>
        <v/>
      </c>
      <c r="F690" s="22" t="str">
        <f t="shared" si="690"/>
        <v/>
      </c>
      <c r="H690" s="22" t="str">
        <f t="shared" si="4"/>
        <v/>
      </c>
    </row>
    <row r="691" ht="15.75" customHeight="1">
      <c r="A691" s="31" t="str">
        <f>'EQUITY BACKTEST'!A694</f>
        <v/>
      </c>
      <c r="B691" s="22" t="str">
        <f>'EQUITY BACKTEST'!B694</f>
        <v/>
      </c>
      <c r="C691" s="22" t="str">
        <f>1/'EQUITY BACKTEST'!E694</f>
        <v>#DIV/0!</v>
      </c>
      <c r="D691" s="22" t="str">
        <f t="shared" si="1"/>
        <v>#DIV/0!</v>
      </c>
      <c r="E691" s="22" t="str">
        <f t="shared" ref="E691:F691" si="691">IF(A691&lt;&gt;"", (B691 - B690) / B690, "")</f>
        <v/>
      </c>
      <c r="F691" s="22" t="str">
        <f t="shared" si="691"/>
        <v/>
      </c>
      <c r="H691" s="22" t="str">
        <f t="shared" si="4"/>
        <v/>
      </c>
    </row>
    <row r="692" ht="15.75" customHeight="1">
      <c r="A692" s="31" t="str">
        <f>'EQUITY BACKTEST'!A695</f>
        <v/>
      </c>
      <c r="B692" s="22" t="str">
        <f>'EQUITY BACKTEST'!B695</f>
        <v/>
      </c>
      <c r="C692" s="22" t="str">
        <f>1/'EQUITY BACKTEST'!E695</f>
        <v>#DIV/0!</v>
      </c>
      <c r="D692" s="22" t="str">
        <f t="shared" si="1"/>
        <v>#DIV/0!</v>
      </c>
      <c r="E692" s="22" t="str">
        <f t="shared" ref="E692:F692" si="692">IF(A692&lt;&gt;"", (B692 - B691) / B691, "")</f>
        <v/>
      </c>
      <c r="F692" s="22" t="str">
        <f t="shared" si="692"/>
        <v/>
      </c>
      <c r="H692" s="22" t="str">
        <f t="shared" si="4"/>
        <v/>
      </c>
    </row>
    <row r="693" ht="15.75" customHeight="1">
      <c r="A693" s="31" t="str">
        <f>'EQUITY BACKTEST'!A696</f>
        <v/>
      </c>
      <c r="B693" s="22" t="str">
        <f>'EQUITY BACKTEST'!B696</f>
        <v/>
      </c>
      <c r="C693" s="22" t="str">
        <f>1/'EQUITY BACKTEST'!E696</f>
        <v>#DIV/0!</v>
      </c>
      <c r="D693" s="22" t="str">
        <f t="shared" si="1"/>
        <v>#DIV/0!</v>
      </c>
      <c r="E693" s="22" t="str">
        <f t="shared" ref="E693:F693" si="693">IF(A693&lt;&gt;"", (B693 - B692) / B692, "")</f>
        <v/>
      </c>
      <c r="F693" s="22" t="str">
        <f t="shared" si="693"/>
        <v/>
      </c>
      <c r="H693" s="22" t="str">
        <f t="shared" si="4"/>
        <v/>
      </c>
    </row>
    <row r="694" ht="15.75" customHeight="1">
      <c r="A694" s="31" t="str">
        <f>'EQUITY BACKTEST'!A697</f>
        <v/>
      </c>
      <c r="B694" s="22" t="str">
        <f>'EQUITY BACKTEST'!B697</f>
        <v/>
      </c>
      <c r="C694" s="22" t="str">
        <f>1/'EQUITY BACKTEST'!E697</f>
        <v>#DIV/0!</v>
      </c>
      <c r="D694" s="22" t="str">
        <f t="shared" si="1"/>
        <v>#DIV/0!</v>
      </c>
      <c r="E694" s="22" t="str">
        <f t="shared" ref="E694:F694" si="694">IF(A694&lt;&gt;"", (B694 - B693) / B693, "")</f>
        <v/>
      </c>
      <c r="F694" s="22" t="str">
        <f t="shared" si="694"/>
        <v/>
      </c>
      <c r="H694" s="22" t="str">
        <f t="shared" si="4"/>
        <v/>
      </c>
    </row>
    <row r="695" ht="15.75" customHeight="1">
      <c r="A695" s="31" t="str">
        <f>'EQUITY BACKTEST'!A698</f>
        <v/>
      </c>
      <c r="B695" s="22" t="str">
        <f>'EQUITY BACKTEST'!B698</f>
        <v/>
      </c>
      <c r="C695" s="22" t="str">
        <f>1/'EQUITY BACKTEST'!E698</f>
        <v>#DIV/0!</v>
      </c>
      <c r="D695" s="22" t="str">
        <f t="shared" si="1"/>
        <v>#DIV/0!</v>
      </c>
      <c r="E695" s="22" t="str">
        <f t="shared" ref="E695:F695" si="695">IF(A695&lt;&gt;"", (B695 - B694) / B694, "")</f>
        <v/>
      </c>
      <c r="F695" s="22" t="str">
        <f t="shared" si="695"/>
        <v/>
      </c>
      <c r="H695" s="22" t="str">
        <f t="shared" si="4"/>
        <v/>
      </c>
    </row>
    <row r="696" ht="15.75" customHeight="1">
      <c r="A696" s="31" t="str">
        <f>'EQUITY BACKTEST'!A699</f>
        <v/>
      </c>
      <c r="B696" s="22" t="str">
        <f>'EQUITY BACKTEST'!B699</f>
        <v/>
      </c>
      <c r="C696" s="22" t="str">
        <f>1/'EQUITY BACKTEST'!E699</f>
        <v>#DIV/0!</v>
      </c>
      <c r="D696" s="22" t="str">
        <f t="shared" si="1"/>
        <v>#DIV/0!</v>
      </c>
      <c r="E696" s="22" t="str">
        <f t="shared" ref="E696:F696" si="696">IF(A696&lt;&gt;"", (B696 - B695) / B695, "")</f>
        <v/>
      </c>
      <c r="F696" s="22" t="str">
        <f t="shared" si="696"/>
        <v/>
      </c>
      <c r="H696" s="22" t="str">
        <f t="shared" si="4"/>
        <v/>
      </c>
    </row>
    <row r="697" ht="15.75" customHeight="1">
      <c r="A697" s="31" t="str">
        <f>'EQUITY BACKTEST'!A700</f>
        <v/>
      </c>
      <c r="B697" s="22" t="str">
        <f>'EQUITY BACKTEST'!B700</f>
        <v/>
      </c>
      <c r="C697" s="22" t="str">
        <f>1/'EQUITY BACKTEST'!E700</f>
        <v>#DIV/0!</v>
      </c>
      <c r="D697" s="22" t="str">
        <f t="shared" si="1"/>
        <v>#DIV/0!</v>
      </c>
      <c r="E697" s="22" t="str">
        <f t="shared" ref="E697:F697" si="697">IF(A697&lt;&gt;"", (B697 - B696) / B696, "")</f>
        <v/>
      </c>
      <c r="F697" s="22" t="str">
        <f t="shared" si="697"/>
        <v/>
      </c>
      <c r="H697" s="22" t="str">
        <f t="shared" si="4"/>
        <v/>
      </c>
    </row>
    <row r="698" ht="15.75" customHeight="1">
      <c r="A698" s="31" t="str">
        <f>'EQUITY BACKTEST'!A701</f>
        <v/>
      </c>
      <c r="B698" s="22" t="str">
        <f>'EQUITY BACKTEST'!B701</f>
        <v/>
      </c>
      <c r="C698" s="22" t="str">
        <f>1/'EQUITY BACKTEST'!E701</f>
        <v>#DIV/0!</v>
      </c>
      <c r="D698" s="22" t="str">
        <f t="shared" si="1"/>
        <v>#DIV/0!</v>
      </c>
      <c r="E698" s="22" t="str">
        <f t="shared" ref="E698:F698" si="698">IF(A698&lt;&gt;"", (B698 - B697) / B697, "")</f>
        <v/>
      </c>
      <c r="F698" s="22" t="str">
        <f t="shared" si="698"/>
        <v/>
      </c>
      <c r="H698" s="22" t="str">
        <f t="shared" si="4"/>
        <v/>
      </c>
    </row>
    <row r="699" ht="15.75" customHeight="1">
      <c r="A699" s="31" t="str">
        <f>'EQUITY BACKTEST'!A702</f>
        <v/>
      </c>
      <c r="B699" s="22" t="str">
        <f>'EQUITY BACKTEST'!B702</f>
        <v/>
      </c>
      <c r="C699" s="22" t="str">
        <f>1/'EQUITY BACKTEST'!E702</f>
        <v>#DIV/0!</v>
      </c>
      <c r="D699" s="22" t="str">
        <f t="shared" si="1"/>
        <v>#DIV/0!</v>
      </c>
      <c r="E699" s="22" t="str">
        <f t="shared" ref="E699:F699" si="699">IF(A699&lt;&gt;"", (B699 - B698) / B698, "")</f>
        <v/>
      </c>
      <c r="F699" s="22" t="str">
        <f t="shared" si="699"/>
        <v/>
      </c>
      <c r="H699" s="22" t="str">
        <f t="shared" si="4"/>
        <v/>
      </c>
    </row>
    <row r="700" ht="15.75" customHeight="1">
      <c r="A700" s="31" t="str">
        <f>'EQUITY BACKTEST'!A703</f>
        <v/>
      </c>
      <c r="B700" s="22" t="str">
        <f>'EQUITY BACKTEST'!B703</f>
        <v/>
      </c>
      <c r="C700" s="22" t="str">
        <f>1/'EQUITY BACKTEST'!E703</f>
        <v>#DIV/0!</v>
      </c>
      <c r="D700" s="22" t="str">
        <f t="shared" si="1"/>
        <v>#DIV/0!</v>
      </c>
      <c r="E700" s="22" t="str">
        <f t="shared" ref="E700:F700" si="700">IF(A700&lt;&gt;"", (B700 - B699) / B699, "")</f>
        <v/>
      </c>
      <c r="F700" s="22" t="str">
        <f t="shared" si="700"/>
        <v/>
      </c>
      <c r="H700" s="22" t="str">
        <f t="shared" si="4"/>
        <v/>
      </c>
    </row>
    <row r="701" ht="15.75" customHeight="1">
      <c r="A701" s="31" t="str">
        <f>'EQUITY BACKTEST'!A704</f>
        <v/>
      </c>
      <c r="B701" s="22" t="str">
        <f>'EQUITY BACKTEST'!B704</f>
        <v/>
      </c>
      <c r="C701" s="22" t="str">
        <f>1/'EQUITY BACKTEST'!E704</f>
        <v>#DIV/0!</v>
      </c>
      <c r="D701" s="22" t="str">
        <f t="shared" si="1"/>
        <v>#DIV/0!</v>
      </c>
      <c r="E701" s="22" t="str">
        <f t="shared" ref="E701:F701" si="701">IF(A701&lt;&gt;"", (B701 - B700) / B700, "")</f>
        <v/>
      </c>
      <c r="F701" s="22" t="str">
        <f t="shared" si="701"/>
        <v/>
      </c>
      <c r="H701" s="22" t="str">
        <f t="shared" si="4"/>
        <v/>
      </c>
    </row>
    <row r="702" ht="15.75" customHeight="1">
      <c r="A702" s="31" t="str">
        <f>'EQUITY BACKTEST'!A705</f>
        <v/>
      </c>
      <c r="B702" s="22" t="str">
        <f>'EQUITY BACKTEST'!B705</f>
        <v/>
      </c>
      <c r="C702" s="22" t="str">
        <f>1/'EQUITY BACKTEST'!E705</f>
        <v>#DIV/0!</v>
      </c>
      <c r="D702" s="22" t="str">
        <f t="shared" si="1"/>
        <v>#DIV/0!</v>
      </c>
      <c r="E702" s="22" t="str">
        <f t="shared" ref="E702:F702" si="702">IF(A702&lt;&gt;"", (B702 - B701) / B701, "")</f>
        <v/>
      </c>
      <c r="F702" s="22" t="str">
        <f t="shared" si="702"/>
        <v/>
      </c>
      <c r="H702" s="22" t="str">
        <f t="shared" si="4"/>
        <v/>
      </c>
    </row>
    <row r="703" ht="15.75" customHeight="1">
      <c r="A703" s="31" t="str">
        <f>'EQUITY BACKTEST'!A706</f>
        <v/>
      </c>
      <c r="B703" s="22" t="str">
        <f>'EQUITY BACKTEST'!B706</f>
        <v/>
      </c>
      <c r="C703" s="22" t="str">
        <f>1/'EQUITY BACKTEST'!E706</f>
        <v>#DIV/0!</v>
      </c>
      <c r="D703" s="22" t="str">
        <f t="shared" si="1"/>
        <v>#DIV/0!</v>
      </c>
      <c r="E703" s="22" t="str">
        <f t="shared" ref="E703:F703" si="703">IF(A703&lt;&gt;"", (B703 - B702) / B702, "")</f>
        <v/>
      </c>
      <c r="F703" s="22" t="str">
        <f t="shared" si="703"/>
        <v/>
      </c>
      <c r="H703" s="22" t="str">
        <f t="shared" si="4"/>
        <v/>
      </c>
    </row>
    <row r="704" ht="15.75" customHeight="1">
      <c r="A704" s="31" t="str">
        <f>'EQUITY BACKTEST'!A707</f>
        <v/>
      </c>
      <c r="B704" s="22" t="str">
        <f>'EQUITY BACKTEST'!B707</f>
        <v/>
      </c>
      <c r="C704" s="22" t="str">
        <f>1/'EQUITY BACKTEST'!E707</f>
        <v>#DIV/0!</v>
      </c>
      <c r="D704" s="22" t="str">
        <f t="shared" si="1"/>
        <v>#DIV/0!</v>
      </c>
      <c r="E704" s="22" t="str">
        <f t="shared" ref="E704:F704" si="704">IF(A704&lt;&gt;"", (B704 - B703) / B703, "")</f>
        <v/>
      </c>
      <c r="F704" s="22" t="str">
        <f t="shared" si="704"/>
        <v/>
      </c>
      <c r="H704" s="22" t="str">
        <f t="shared" si="4"/>
        <v/>
      </c>
    </row>
    <row r="705" ht="15.75" customHeight="1">
      <c r="A705" s="31" t="str">
        <f>'EQUITY BACKTEST'!A708</f>
        <v/>
      </c>
      <c r="B705" s="22" t="str">
        <f>'EQUITY BACKTEST'!B708</f>
        <v/>
      </c>
      <c r="C705" s="22" t="str">
        <f>1/'EQUITY BACKTEST'!E708</f>
        <v>#DIV/0!</v>
      </c>
      <c r="D705" s="22" t="str">
        <f t="shared" si="1"/>
        <v>#DIV/0!</v>
      </c>
      <c r="E705" s="22" t="str">
        <f t="shared" ref="E705:F705" si="705">IF(A705&lt;&gt;"", (B705 - B704) / B704, "")</f>
        <v/>
      </c>
      <c r="F705" s="22" t="str">
        <f t="shared" si="705"/>
        <v/>
      </c>
      <c r="H705" s="22" t="str">
        <f t="shared" si="4"/>
        <v/>
      </c>
    </row>
    <row r="706" ht="15.75" customHeight="1">
      <c r="A706" s="31" t="str">
        <f>'EQUITY BACKTEST'!A709</f>
        <v/>
      </c>
      <c r="B706" s="22" t="str">
        <f>'EQUITY BACKTEST'!B709</f>
        <v/>
      </c>
      <c r="C706" s="22" t="str">
        <f>1/'EQUITY BACKTEST'!E709</f>
        <v>#DIV/0!</v>
      </c>
      <c r="D706" s="22" t="str">
        <f t="shared" si="1"/>
        <v>#DIV/0!</v>
      </c>
      <c r="E706" s="22" t="str">
        <f t="shared" ref="E706:F706" si="706">IF(A706&lt;&gt;"", (B706 - B705) / B705, "")</f>
        <v/>
      </c>
      <c r="F706" s="22" t="str">
        <f t="shared" si="706"/>
        <v/>
      </c>
      <c r="H706" s="22" t="str">
        <f t="shared" si="4"/>
        <v/>
      </c>
    </row>
    <row r="707" ht="15.75" customHeight="1">
      <c r="A707" s="31" t="str">
        <f>'EQUITY BACKTEST'!A710</f>
        <v/>
      </c>
      <c r="B707" s="22" t="str">
        <f>'EQUITY BACKTEST'!B710</f>
        <v/>
      </c>
      <c r="C707" s="22" t="str">
        <f>1/'EQUITY BACKTEST'!E710</f>
        <v>#DIV/0!</v>
      </c>
      <c r="D707" s="22" t="str">
        <f t="shared" si="1"/>
        <v>#DIV/0!</v>
      </c>
      <c r="E707" s="22" t="str">
        <f t="shared" ref="E707:F707" si="707">IF(A707&lt;&gt;"", (B707 - B706) / B706, "")</f>
        <v/>
      </c>
      <c r="F707" s="22" t="str">
        <f t="shared" si="707"/>
        <v/>
      </c>
      <c r="H707" s="22" t="str">
        <f t="shared" si="4"/>
        <v/>
      </c>
    </row>
    <row r="708" ht="15.75" customHeight="1">
      <c r="A708" s="31" t="str">
        <f>'EQUITY BACKTEST'!A711</f>
        <v/>
      </c>
      <c r="B708" s="22" t="str">
        <f>'EQUITY BACKTEST'!B711</f>
        <v/>
      </c>
      <c r="C708" s="22" t="str">
        <f>1/'EQUITY BACKTEST'!E711</f>
        <v>#DIV/0!</v>
      </c>
      <c r="D708" s="22" t="str">
        <f t="shared" si="1"/>
        <v>#DIV/0!</v>
      </c>
      <c r="E708" s="22" t="str">
        <f t="shared" ref="E708:F708" si="708">IF(A708&lt;&gt;"", (B708 - B707) / B707, "")</f>
        <v/>
      </c>
      <c r="F708" s="22" t="str">
        <f t="shared" si="708"/>
        <v/>
      </c>
      <c r="H708" s="22" t="str">
        <f t="shared" si="4"/>
        <v/>
      </c>
    </row>
    <row r="709" ht="15.75" customHeight="1">
      <c r="A709" s="31" t="str">
        <f>'EQUITY BACKTEST'!A712</f>
        <v/>
      </c>
      <c r="B709" s="22" t="str">
        <f>'EQUITY BACKTEST'!B712</f>
        <v/>
      </c>
      <c r="C709" s="22" t="str">
        <f>1/'EQUITY BACKTEST'!E712</f>
        <v>#DIV/0!</v>
      </c>
      <c r="D709" s="22" t="str">
        <f t="shared" si="1"/>
        <v>#DIV/0!</v>
      </c>
      <c r="E709" s="22" t="str">
        <f t="shared" ref="E709:F709" si="709">IF(A709&lt;&gt;"", (B709 - B708) / B708, "")</f>
        <v/>
      </c>
      <c r="F709" s="22" t="str">
        <f t="shared" si="709"/>
        <v/>
      </c>
      <c r="H709" s="22" t="str">
        <f t="shared" si="4"/>
        <v/>
      </c>
    </row>
    <row r="710" ht="15.75" customHeight="1">
      <c r="A710" s="31" t="str">
        <f>'EQUITY BACKTEST'!A713</f>
        <v/>
      </c>
      <c r="B710" s="22" t="str">
        <f>'EQUITY BACKTEST'!B713</f>
        <v/>
      </c>
      <c r="C710" s="22" t="str">
        <f>1/'EQUITY BACKTEST'!E713</f>
        <v>#DIV/0!</v>
      </c>
      <c r="D710" s="22" t="str">
        <f t="shared" si="1"/>
        <v>#DIV/0!</v>
      </c>
      <c r="E710" s="22" t="str">
        <f t="shared" ref="E710:F710" si="710">IF(A710&lt;&gt;"", (B710 - B709) / B709, "")</f>
        <v/>
      </c>
      <c r="F710" s="22" t="str">
        <f t="shared" si="710"/>
        <v/>
      </c>
      <c r="H710" s="22" t="str">
        <f t="shared" si="4"/>
        <v/>
      </c>
    </row>
    <row r="711" ht="15.75" customHeight="1">
      <c r="A711" s="31" t="str">
        <f>'EQUITY BACKTEST'!A714</f>
        <v/>
      </c>
      <c r="B711" s="22" t="str">
        <f>'EQUITY BACKTEST'!B714</f>
        <v/>
      </c>
      <c r="C711" s="22" t="str">
        <f>1/'EQUITY BACKTEST'!E714</f>
        <v>#DIV/0!</v>
      </c>
      <c r="D711" s="22" t="str">
        <f t="shared" si="1"/>
        <v>#DIV/0!</v>
      </c>
      <c r="E711" s="22" t="str">
        <f t="shared" ref="E711:F711" si="711">IF(A711&lt;&gt;"", (B711 - B710) / B710, "")</f>
        <v/>
      </c>
      <c r="F711" s="22" t="str">
        <f t="shared" si="711"/>
        <v/>
      </c>
      <c r="H711" s="22" t="str">
        <f t="shared" si="4"/>
        <v/>
      </c>
    </row>
    <row r="712" ht="15.75" customHeight="1">
      <c r="A712" s="31" t="str">
        <f>'EQUITY BACKTEST'!A715</f>
        <v/>
      </c>
      <c r="B712" s="22" t="str">
        <f>'EQUITY BACKTEST'!B715</f>
        <v/>
      </c>
      <c r="C712" s="22" t="str">
        <f>1/'EQUITY BACKTEST'!E715</f>
        <v>#DIV/0!</v>
      </c>
      <c r="D712" s="22" t="str">
        <f t="shared" si="1"/>
        <v>#DIV/0!</v>
      </c>
      <c r="E712" s="22" t="str">
        <f t="shared" ref="E712:F712" si="712">IF(A712&lt;&gt;"", (B712 - B711) / B711, "")</f>
        <v/>
      </c>
      <c r="F712" s="22" t="str">
        <f t="shared" si="712"/>
        <v/>
      </c>
      <c r="H712" s="22" t="str">
        <f t="shared" si="4"/>
        <v/>
      </c>
    </row>
    <row r="713" ht="15.75" customHeight="1">
      <c r="A713" s="31" t="str">
        <f>'EQUITY BACKTEST'!A716</f>
        <v/>
      </c>
      <c r="B713" s="22" t="str">
        <f>'EQUITY BACKTEST'!B716</f>
        <v/>
      </c>
      <c r="C713" s="22" t="str">
        <f>1/'EQUITY BACKTEST'!E716</f>
        <v>#DIV/0!</v>
      </c>
      <c r="D713" s="22" t="str">
        <f t="shared" si="1"/>
        <v>#DIV/0!</v>
      </c>
      <c r="E713" s="22" t="str">
        <f t="shared" ref="E713:F713" si="713">IF(A713&lt;&gt;"", (B713 - B712) / B712, "")</f>
        <v/>
      </c>
      <c r="F713" s="22" t="str">
        <f t="shared" si="713"/>
        <v/>
      </c>
      <c r="H713" s="22" t="str">
        <f t="shared" si="4"/>
        <v/>
      </c>
    </row>
    <row r="714" ht="15.75" customHeight="1">
      <c r="A714" s="31" t="str">
        <f>'EQUITY BACKTEST'!A717</f>
        <v/>
      </c>
      <c r="B714" s="22" t="str">
        <f>'EQUITY BACKTEST'!B717</f>
        <v/>
      </c>
      <c r="C714" s="22" t="str">
        <f>1/'EQUITY BACKTEST'!E717</f>
        <v>#DIV/0!</v>
      </c>
      <c r="D714" s="22" t="str">
        <f t="shared" si="1"/>
        <v>#DIV/0!</v>
      </c>
      <c r="E714" s="22" t="str">
        <f t="shared" ref="E714:F714" si="714">IF(A714&lt;&gt;"", (B714 - B713) / B713, "")</f>
        <v/>
      </c>
      <c r="F714" s="22" t="str">
        <f t="shared" si="714"/>
        <v/>
      </c>
      <c r="H714" s="22" t="str">
        <f t="shared" si="4"/>
        <v/>
      </c>
    </row>
    <row r="715" ht="15.75" customHeight="1">
      <c r="A715" s="31" t="str">
        <f>'EQUITY BACKTEST'!A718</f>
        <v/>
      </c>
      <c r="B715" s="22" t="str">
        <f>'EQUITY BACKTEST'!B718</f>
        <v/>
      </c>
      <c r="C715" s="22" t="str">
        <f>1/'EQUITY BACKTEST'!E718</f>
        <v>#DIV/0!</v>
      </c>
      <c r="D715" s="22" t="str">
        <f t="shared" si="1"/>
        <v>#DIV/0!</v>
      </c>
      <c r="E715" s="22" t="str">
        <f t="shared" ref="E715:F715" si="715">IF(A715&lt;&gt;"", (B715 - B714) / B714, "")</f>
        <v/>
      </c>
      <c r="F715" s="22" t="str">
        <f t="shared" si="715"/>
        <v/>
      </c>
      <c r="H715" s="22" t="str">
        <f t="shared" si="4"/>
        <v/>
      </c>
    </row>
    <row r="716" ht="15.75" customHeight="1">
      <c r="A716" s="31" t="str">
        <f>'EQUITY BACKTEST'!A719</f>
        <v/>
      </c>
      <c r="B716" s="22" t="str">
        <f>'EQUITY BACKTEST'!B719</f>
        <v/>
      </c>
      <c r="C716" s="22" t="str">
        <f>1/'EQUITY BACKTEST'!E719</f>
        <v>#DIV/0!</v>
      </c>
      <c r="D716" s="22" t="str">
        <f t="shared" si="1"/>
        <v>#DIV/0!</v>
      </c>
      <c r="E716" s="22" t="str">
        <f t="shared" ref="E716:F716" si="716">IF(A716&lt;&gt;"", (B716 - B715) / B715, "")</f>
        <v/>
      </c>
      <c r="F716" s="22" t="str">
        <f t="shared" si="716"/>
        <v/>
      </c>
      <c r="H716" s="22" t="str">
        <f t="shared" si="4"/>
        <v/>
      </c>
    </row>
    <row r="717" ht="15.75" customHeight="1">
      <c r="A717" s="31" t="str">
        <f>'EQUITY BACKTEST'!A720</f>
        <v/>
      </c>
      <c r="B717" s="22" t="str">
        <f>'EQUITY BACKTEST'!B720</f>
        <v/>
      </c>
      <c r="C717" s="22" t="str">
        <f>1/'EQUITY BACKTEST'!E720</f>
        <v>#DIV/0!</v>
      </c>
      <c r="D717" s="22" t="str">
        <f t="shared" si="1"/>
        <v>#DIV/0!</v>
      </c>
      <c r="E717" s="22" t="str">
        <f t="shared" ref="E717:F717" si="717">IF(A717&lt;&gt;"", (B717 - B716) / B716, "")</f>
        <v/>
      </c>
      <c r="F717" s="22" t="str">
        <f t="shared" si="717"/>
        <v/>
      </c>
      <c r="H717" s="22" t="str">
        <f t="shared" si="4"/>
        <v/>
      </c>
    </row>
    <row r="718" ht="15.75" customHeight="1">
      <c r="A718" s="31" t="str">
        <f>'EQUITY BACKTEST'!A721</f>
        <v/>
      </c>
      <c r="B718" s="22" t="str">
        <f>'EQUITY BACKTEST'!B721</f>
        <v/>
      </c>
      <c r="C718" s="22" t="str">
        <f>1/'EQUITY BACKTEST'!E721</f>
        <v>#DIV/0!</v>
      </c>
      <c r="D718" s="22" t="str">
        <f t="shared" si="1"/>
        <v>#DIV/0!</v>
      </c>
      <c r="E718" s="22" t="str">
        <f t="shared" ref="E718:F718" si="718">IF(A718&lt;&gt;"", (B718 - B717) / B717, "")</f>
        <v/>
      </c>
      <c r="F718" s="22" t="str">
        <f t="shared" si="718"/>
        <v/>
      </c>
      <c r="H718" s="22" t="str">
        <f t="shared" si="4"/>
        <v/>
      </c>
    </row>
    <row r="719" ht="15.75" customHeight="1">
      <c r="A719" s="31" t="str">
        <f>'EQUITY BACKTEST'!A722</f>
        <v/>
      </c>
      <c r="B719" s="22" t="str">
        <f>'EQUITY BACKTEST'!B722</f>
        <v/>
      </c>
      <c r="C719" s="22" t="str">
        <f>1/'EQUITY BACKTEST'!E722</f>
        <v>#DIV/0!</v>
      </c>
      <c r="D719" s="22" t="str">
        <f t="shared" si="1"/>
        <v>#DIV/0!</v>
      </c>
      <c r="E719" s="22" t="str">
        <f t="shared" ref="E719:F719" si="719">IF(A719&lt;&gt;"", (B719 - B718) / B718, "")</f>
        <v/>
      </c>
      <c r="F719" s="22" t="str">
        <f t="shared" si="719"/>
        <v/>
      </c>
      <c r="H719" s="22" t="str">
        <f t="shared" si="4"/>
        <v/>
      </c>
    </row>
    <row r="720" ht="15.75" customHeight="1">
      <c r="A720" s="31" t="str">
        <f>'EQUITY BACKTEST'!A723</f>
        <v/>
      </c>
      <c r="B720" s="22" t="str">
        <f>'EQUITY BACKTEST'!B723</f>
        <v/>
      </c>
      <c r="C720" s="22" t="str">
        <f>1/'EQUITY BACKTEST'!E723</f>
        <v>#DIV/0!</v>
      </c>
      <c r="D720" s="22" t="str">
        <f t="shared" si="1"/>
        <v>#DIV/0!</v>
      </c>
      <c r="E720" s="22" t="str">
        <f t="shared" ref="E720:F720" si="720">IF(A720&lt;&gt;"", (B720 - B719) / B719, "")</f>
        <v/>
      </c>
      <c r="F720" s="22" t="str">
        <f t="shared" si="720"/>
        <v/>
      </c>
      <c r="H720" s="22" t="str">
        <f t="shared" si="4"/>
        <v/>
      </c>
    </row>
    <row r="721" ht="15.75" customHeight="1">
      <c r="A721" s="31" t="str">
        <f>'EQUITY BACKTEST'!A724</f>
        <v/>
      </c>
      <c r="B721" s="22" t="str">
        <f>'EQUITY BACKTEST'!B724</f>
        <v/>
      </c>
      <c r="C721" s="22" t="str">
        <f>1/'EQUITY BACKTEST'!E724</f>
        <v>#DIV/0!</v>
      </c>
      <c r="D721" s="22" t="str">
        <f t="shared" si="1"/>
        <v>#DIV/0!</v>
      </c>
      <c r="E721" s="22" t="str">
        <f t="shared" ref="E721:F721" si="721">IF(A721&lt;&gt;"", (B721 - B720) / B720, "")</f>
        <v/>
      </c>
      <c r="F721" s="22" t="str">
        <f t="shared" si="721"/>
        <v/>
      </c>
      <c r="H721" s="22" t="str">
        <f t="shared" si="4"/>
        <v/>
      </c>
    </row>
    <row r="722" ht="15.75" customHeight="1">
      <c r="A722" s="31" t="str">
        <f>'EQUITY BACKTEST'!A725</f>
        <v/>
      </c>
      <c r="B722" s="22" t="str">
        <f>'EQUITY BACKTEST'!B725</f>
        <v/>
      </c>
      <c r="C722" s="22" t="str">
        <f>1/'EQUITY BACKTEST'!E725</f>
        <v>#DIV/0!</v>
      </c>
      <c r="D722" s="22" t="str">
        <f t="shared" si="1"/>
        <v>#DIV/0!</v>
      </c>
      <c r="E722" s="22" t="str">
        <f t="shared" ref="E722:F722" si="722">IF(A722&lt;&gt;"", (B722 - B721) / B721, "")</f>
        <v/>
      </c>
      <c r="F722" s="22" t="str">
        <f t="shared" si="722"/>
        <v/>
      </c>
      <c r="H722" s="22" t="str">
        <f t="shared" si="4"/>
        <v/>
      </c>
    </row>
    <row r="723" ht="15.75" customHeight="1">
      <c r="A723" s="31" t="str">
        <f>'EQUITY BACKTEST'!A726</f>
        <v/>
      </c>
      <c r="B723" s="22" t="str">
        <f>'EQUITY BACKTEST'!B726</f>
        <v/>
      </c>
      <c r="C723" s="22" t="str">
        <f>1/'EQUITY BACKTEST'!E726</f>
        <v>#DIV/0!</v>
      </c>
      <c r="D723" s="22" t="str">
        <f t="shared" si="1"/>
        <v>#DIV/0!</v>
      </c>
      <c r="E723" s="22" t="str">
        <f t="shared" ref="E723:F723" si="723">IF(A723&lt;&gt;"", (B723 - B722) / B722, "")</f>
        <v/>
      </c>
      <c r="F723" s="22" t="str">
        <f t="shared" si="723"/>
        <v/>
      </c>
      <c r="H723" s="22" t="str">
        <f t="shared" si="4"/>
        <v/>
      </c>
    </row>
    <row r="724" ht="15.75" customHeight="1">
      <c r="A724" s="31" t="str">
        <f>'EQUITY BACKTEST'!A727</f>
        <v/>
      </c>
      <c r="B724" s="22" t="str">
        <f>'EQUITY BACKTEST'!B727</f>
        <v/>
      </c>
      <c r="C724" s="22" t="str">
        <f>1/'EQUITY BACKTEST'!E727</f>
        <v>#DIV/0!</v>
      </c>
      <c r="D724" s="22" t="str">
        <f t="shared" si="1"/>
        <v>#DIV/0!</v>
      </c>
      <c r="E724" s="22" t="str">
        <f t="shared" ref="E724:F724" si="724">IF(A724&lt;&gt;"", (B724 - B723) / B723, "")</f>
        <v/>
      </c>
      <c r="F724" s="22" t="str">
        <f t="shared" si="724"/>
        <v/>
      </c>
      <c r="H724" s="22" t="str">
        <f t="shared" si="4"/>
        <v/>
      </c>
    </row>
    <row r="725" ht="15.75" customHeight="1">
      <c r="A725" s="31" t="str">
        <f>'EQUITY BACKTEST'!A728</f>
        <v/>
      </c>
      <c r="B725" s="22" t="str">
        <f>'EQUITY BACKTEST'!B728</f>
        <v/>
      </c>
      <c r="C725" s="22" t="str">
        <f>1/'EQUITY BACKTEST'!E728</f>
        <v>#DIV/0!</v>
      </c>
      <c r="D725" s="22" t="str">
        <f t="shared" si="1"/>
        <v>#DIV/0!</v>
      </c>
      <c r="E725" s="22" t="str">
        <f t="shared" ref="E725:F725" si="725">IF(A725&lt;&gt;"", (B725 - B724) / B724, "")</f>
        <v/>
      </c>
      <c r="F725" s="22" t="str">
        <f t="shared" si="725"/>
        <v/>
      </c>
      <c r="H725" s="22" t="str">
        <f t="shared" si="4"/>
        <v/>
      </c>
    </row>
    <row r="726" ht="15.75" customHeight="1">
      <c r="A726" s="31" t="str">
        <f>'EQUITY BACKTEST'!A729</f>
        <v/>
      </c>
      <c r="B726" s="22" t="str">
        <f>'EQUITY BACKTEST'!B729</f>
        <v/>
      </c>
      <c r="C726" s="22" t="str">
        <f>1/'EQUITY BACKTEST'!E729</f>
        <v>#DIV/0!</v>
      </c>
      <c r="D726" s="22" t="str">
        <f t="shared" si="1"/>
        <v>#DIV/0!</v>
      </c>
      <c r="E726" s="22" t="str">
        <f t="shared" ref="E726:F726" si="726">IF(A726&lt;&gt;"", (B726 - B725) / B725, "")</f>
        <v/>
      </c>
      <c r="F726" s="22" t="str">
        <f t="shared" si="726"/>
        <v/>
      </c>
      <c r="H726" s="22" t="str">
        <f t="shared" si="4"/>
        <v/>
      </c>
    </row>
    <row r="727" ht="15.75" customHeight="1">
      <c r="A727" s="31" t="str">
        <f>'EQUITY BACKTEST'!A730</f>
        <v/>
      </c>
      <c r="B727" s="22" t="str">
        <f>'EQUITY BACKTEST'!B730</f>
        <v/>
      </c>
      <c r="C727" s="22" t="str">
        <f>1/'EQUITY BACKTEST'!E730</f>
        <v>#DIV/0!</v>
      </c>
      <c r="D727" s="22" t="str">
        <f t="shared" si="1"/>
        <v>#DIV/0!</v>
      </c>
      <c r="E727" s="22" t="str">
        <f t="shared" ref="E727:F727" si="727">IF(A727&lt;&gt;"", (B727 - B726) / B726, "")</f>
        <v/>
      </c>
      <c r="F727" s="22" t="str">
        <f t="shared" si="727"/>
        <v/>
      </c>
      <c r="H727" s="22" t="str">
        <f t="shared" si="4"/>
        <v/>
      </c>
    </row>
    <row r="728" ht="15.75" customHeight="1">
      <c r="A728" s="31" t="str">
        <f>'EQUITY BACKTEST'!A731</f>
        <v/>
      </c>
      <c r="B728" s="22" t="str">
        <f>'EQUITY BACKTEST'!B731</f>
        <v/>
      </c>
      <c r="C728" s="22" t="str">
        <f>1/'EQUITY BACKTEST'!E731</f>
        <v>#DIV/0!</v>
      </c>
      <c r="D728" s="22" t="str">
        <f t="shared" si="1"/>
        <v>#DIV/0!</v>
      </c>
      <c r="E728" s="22" t="str">
        <f t="shared" ref="E728:F728" si="728">IF(A728&lt;&gt;"", (B728 - B727) / B727, "")</f>
        <v/>
      </c>
      <c r="F728" s="22" t="str">
        <f t="shared" si="728"/>
        <v/>
      </c>
      <c r="H728" s="22" t="str">
        <f t="shared" si="4"/>
        <v/>
      </c>
    </row>
    <row r="729" ht="15.75" customHeight="1">
      <c r="A729" s="31" t="str">
        <f>'EQUITY BACKTEST'!A732</f>
        <v/>
      </c>
      <c r="B729" s="22" t="str">
        <f>'EQUITY BACKTEST'!B732</f>
        <v/>
      </c>
      <c r="C729" s="22" t="str">
        <f>1/'EQUITY BACKTEST'!E732</f>
        <v>#DIV/0!</v>
      </c>
      <c r="D729" s="22" t="str">
        <f t="shared" si="1"/>
        <v>#DIV/0!</v>
      </c>
      <c r="E729" s="22" t="str">
        <f t="shared" ref="E729:F729" si="729">IF(A729&lt;&gt;"", (B729 - B728) / B728, "")</f>
        <v/>
      </c>
      <c r="F729" s="22" t="str">
        <f t="shared" si="729"/>
        <v/>
      </c>
      <c r="H729" s="22" t="str">
        <f t="shared" si="4"/>
        <v/>
      </c>
    </row>
    <row r="730" ht="15.75" customHeight="1">
      <c r="A730" s="31" t="str">
        <f>'EQUITY BACKTEST'!A733</f>
        <v/>
      </c>
      <c r="B730" s="22" t="str">
        <f>'EQUITY BACKTEST'!B733</f>
        <v/>
      </c>
      <c r="C730" s="22" t="str">
        <f>1/'EQUITY BACKTEST'!E733</f>
        <v>#DIV/0!</v>
      </c>
      <c r="D730" s="22" t="str">
        <f t="shared" si="1"/>
        <v>#DIV/0!</v>
      </c>
      <c r="E730" s="22" t="str">
        <f t="shared" ref="E730:F730" si="730">IF(A730&lt;&gt;"", (B730 - B729) / B729, "")</f>
        <v/>
      </c>
      <c r="F730" s="22" t="str">
        <f t="shared" si="730"/>
        <v/>
      </c>
      <c r="H730" s="22" t="str">
        <f t="shared" si="4"/>
        <v/>
      </c>
    </row>
    <row r="731" ht="15.75" customHeight="1">
      <c r="A731" s="31" t="str">
        <f>'EQUITY BACKTEST'!A734</f>
        <v/>
      </c>
      <c r="B731" s="22" t="str">
        <f>'EQUITY BACKTEST'!B734</f>
        <v/>
      </c>
      <c r="C731" s="22" t="str">
        <f>1/'EQUITY BACKTEST'!E734</f>
        <v>#DIV/0!</v>
      </c>
      <c r="D731" s="22" t="str">
        <f t="shared" si="1"/>
        <v>#DIV/0!</v>
      </c>
      <c r="E731" s="22" t="str">
        <f t="shared" ref="E731:F731" si="731">IF(A731&lt;&gt;"", (B731 - B730) / B730, "")</f>
        <v/>
      </c>
      <c r="F731" s="22" t="str">
        <f t="shared" si="731"/>
        <v/>
      </c>
      <c r="H731" s="22" t="str">
        <f t="shared" si="4"/>
        <v/>
      </c>
    </row>
    <row r="732" ht="15.75" customHeight="1">
      <c r="A732" s="31" t="str">
        <f>'EQUITY BACKTEST'!A735</f>
        <v/>
      </c>
      <c r="B732" s="22" t="str">
        <f>'EQUITY BACKTEST'!B735</f>
        <v/>
      </c>
      <c r="C732" s="22" t="str">
        <f>1/'EQUITY BACKTEST'!E735</f>
        <v>#DIV/0!</v>
      </c>
      <c r="D732" s="22" t="str">
        <f t="shared" si="1"/>
        <v>#DIV/0!</v>
      </c>
      <c r="E732" s="22" t="str">
        <f t="shared" ref="E732:F732" si="732">IF(A732&lt;&gt;"", (B732 - B731) / B731, "")</f>
        <v/>
      </c>
      <c r="F732" s="22" t="str">
        <f t="shared" si="732"/>
        <v/>
      </c>
      <c r="H732" s="22" t="str">
        <f t="shared" si="4"/>
        <v/>
      </c>
    </row>
    <row r="733" ht="15.75" customHeight="1">
      <c r="A733" s="31" t="str">
        <f>'EQUITY BACKTEST'!A736</f>
        <v/>
      </c>
      <c r="B733" s="22" t="str">
        <f>'EQUITY BACKTEST'!B736</f>
        <v/>
      </c>
      <c r="C733" s="22" t="str">
        <f>1/'EQUITY BACKTEST'!E736</f>
        <v>#DIV/0!</v>
      </c>
      <c r="D733" s="22" t="str">
        <f t="shared" si="1"/>
        <v>#DIV/0!</v>
      </c>
      <c r="E733" s="22" t="str">
        <f t="shared" ref="E733:F733" si="733">IF(A733&lt;&gt;"", (B733 - B732) / B732, "")</f>
        <v/>
      </c>
      <c r="F733" s="22" t="str">
        <f t="shared" si="733"/>
        <v/>
      </c>
      <c r="H733" s="22" t="str">
        <f t="shared" si="4"/>
        <v/>
      </c>
    </row>
    <row r="734" ht="15.75" customHeight="1">
      <c r="A734" s="31" t="str">
        <f>'EQUITY BACKTEST'!A737</f>
        <v/>
      </c>
      <c r="B734" s="22" t="str">
        <f>'EQUITY BACKTEST'!B737</f>
        <v/>
      </c>
      <c r="C734" s="22" t="str">
        <f>1/'EQUITY BACKTEST'!E737</f>
        <v>#DIV/0!</v>
      </c>
      <c r="D734" s="22" t="str">
        <f t="shared" si="1"/>
        <v>#DIV/0!</v>
      </c>
      <c r="E734" s="22" t="str">
        <f t="shared" ref="E734:F734" si="734">IF(A734&lt;&gt;"", (B734 - B733) / B733, "")</f>
        <v/>
      </c>
      <c r="F734" s="22" t="str">
        <f t="shared" si="734"/>
        <v/>
      </c>
      <c r="H734" s="22" t="str">
        <f t="shared" si="4"/>
        <v/>
      </c>
    </row>
    <row r="735" ht="15.75" customHeight="1">
      <c r="A735" s="31" t="str">
        <f>'EQUITY BACKTEST'!A738</f>
        <v/>
      </c>
      <c r="B735" s="22" t="str">
        <f>'EQUITY BACKTEST'!B738</f>
        <v/>
      </c>
      <c r="C735" s="22" t="str">
        <f>1/'EQUITY BACKTEST'!E738</f>
        <v>#DIV/0!</v>
      </c>
      <c r="D735" s="22" t="str">
        <f t="shared" si="1"/>
        <v>#DIV/0!</v>
      </c>
      <c r="E735" s="22" t="str">
        <f t="shared" ref="E735:F735" si="735">IF(A735&lt;&gt;"", (B735 - B734) / B734, "")</f>
        <v/>
      </c>
      <c r="F735" s="22" t="str">
        <f t="shared" si="735"/>
        <v/>
      </c>
      <c r="H735" s="22" t="str">
        <f t="shared" si="4"/>
        <v/>
      </c>
    </row>
    <row r="736" ht="15.75" customHeight="1">
      <c r="A736" s="31" t="str">
        <f>'EQUITY BACKTEST'!A739</f>
        <v/>
      </c>
      <c r="B736" s="22" t="str">
        <f>'EQUITY BACKTEST'!B739</f>
        <v/>
      </c>
      <c r="C736" s="22" t="str">
        <f>1/'EQUITY BACKTEST'!E739</f>
        <v>#DIV/0!</v>
      </c>
      <c r="D736" s="22" t="str">
        <f t="shared" si="1"/>
        <v>#DIV/0!</v>
      </c>
      <c r="E736" s="22" t="str">
        <f t="shared" ref="E736:F736" si="736">IF(A736&lt;&gt;"", (B736 - B735) / B735, "")</f>
        <v/>
      </c>
      <c r="F736" s="22" t="str">
        <f t="shared" si="736"/>
        <v/>
      </c>
      <c r="H736" s="22" t="str">
        <f t="shared" si="4"/>
        <v/>
      </c>
    </row>
    <row r="737" ht="15.75" customHeight="1">
      <c r="A737" s="31" t="str">
        <f>'EQUITY BACKTEST'!A740</f>
        <v/>
      </c>
      <c r="B737" s="22" t="str">
        <f>'EQUITY BACKTEST'!B740</f>
        <v/>
      </c>
      <c r="C737" s="22" t="str">
        <f>1/'EQUITY BACKTEST'!E740</f>
        <v>#DIV/0!</v>
      </c>
      <c r="D737" s="22" t="str">
        <f t="shared" si="1"/>
        <v>#DIV/0!</v>
      </c>
      <c r="E737" s="22" t="str">
        <f t="shared" ref="E737:F737" si="737">IF(A737&lt;&gt;"", (B737 - B736) / B736, "")</f>
        <v/>
      </c>
      <c r="F737" s="22" t="str">
        <f t="shared" si="737"/>
        <v/>
      </c>
      <c r="H737" s="22" t="str">
        <f t="shared" si="4"/>
        <v/>
      </c>
    </row>
    <row r="738" ht="15.75" customHeight="1">
      <c r="A738" s="31" t="str">
        <f>'EQUITY BACKTEST'!A741</f>
        <v/>
      </c>
      <c r="B738" s="22" t="str">
        <f>'EQUITY BACKTEST'!B741</f>
        <v/>
      </c>
      <c r="C738" s="22" t="str">
        <f>1/'EQUITY BACKTEST'!E741</f>
        <v>#DIV/0!</v>
      </c>
      <c r="D738" s="22" t="str">
        <f t="shared" si="1"/>
        <v>#DIV/0!</v>
      </c>
      <c r="E738" s="22" t="str">
        <f t="shared" ref="E738:F738" si="738">IF(A738&lt;&gt;"", (B738 - B737) / B737, "")</f>
        <v/>
      </c>
      <c r="F738" s="22" t="str">
        <f t="shared" si="738"/>
        <v/>
      </c>
      <c r="H738" s="22" t="str">
        <f t="shared" si="4"/>
        <v/>
      </c>
    </row>
    <row r="739" ht="15.75" customHeight="1">
      <c r="A739" s="31" t="str">
        <f>'EQUITY BACKTEST'!A742</f>
        <v/>
      </c>
      <c r="B739" s="22" t="str">
        <f>'EQUITY BACKTEST'!B742</f>
        <v/>
      </c>
      <c r="C739" s="22" t="str">
        <f>1/'EQUITY BACKTEST'!E742</f>
        <v>#DIV/0!</v>
      </c>
      <c r="D739" s="22" t="str">
        <f t="shared" si="1"/>
        <v>#DIV/0!</v>
      </c>
      <c r="E739" s="22" t="str">
        <f t="shared" ref="E739:F739" si="739">IF(A739&lt;&gt;"", (B739 - B738) / B738, "")</f>
        <v/>
      </c>
      <c r="F739" s="22" t="str">
        <f t="shared" si="739"/>
        <v/>
      </c>
      <c r="H739" s="22" t="str">
        <f t="shared" si="4"/>
        <v/>
      </c>
    </row>
    <row r="740" ht="15.75" customHeight="1">
      <c r="A740" s="31" t="str">
        <f>'EQUITY BACKTEST'!A743</f>
        <v/>
      </c>
      <c r="B740" s="22" t="str">
        <f>'EQUITY BACKTEST'!B743</f>
        <v/>
      </c>
      <c r="C740" s="22" t="str">
        <f>1/'EQUITY BACKTEST'!E743</f>
        <v>#DIV/0!</v>
      </c>
      <c r="D740" s="22" t="str">
        <f t="shared" si="1"/>
        <v>#DIV/0!</v>
      </c>
      <c r="E740" s="22" t="str">
        <f t="shared" ref="E740:F740" si="740">IF(A740&lt;&gt;"", (B740 - B739) / B739, "")</f>
        <v/>
      </c>
      <c r="F740" s="22" t="str">
        <f t="shared" si="740"/>
        <v/>
      </c>
      <c r="H740" s="22" t="str">
        <f t="shared" si="4"/>
        <v/>
      </c>
    </row>
    <row r="741" ht="15.75" customHeight="1">
      <c r="A741" s="31" t="str">
        <f>'EQUITY BACKTEST'!A744</f>
        <v/>
      </c>
      <c r="B741" s="22" t="str">
        <f>'EQUITY BACKTEST'!B744</f>
        <v/>
      </c>
      <c r="C741" s="22" t="str">
        <f>1/'EQUITY BACKTEST'!E744</f>
        <v>#DIV/0!</v>
      </c>
      <c r="D741" s="22" t="str">
        <f t="shared" si="1"/>
        <v>#DIV/0!</v>
      </c>
      <c r="E741" s="22" t="str">
        <f t="shared" ref="E741:F741" si="741">IF(A741&lt;&gt;"", (B741 - B740) / B740, "")</f>
        <v/>
      </c>
      <c r="F741" s="22" t="str">
        <f t="shared" si="741"/>
        <v/>
      </c>
      <c r="H741" s="22" t="str">
        <f t="shared" si="4"/>
        <v/>
      </c>
    </row>
    <row r="742" ht="15.75" customHeight="1">
      <c r="A742" s="31" t="str">
        <f>'EQUITY BACKTEST'!A745</f>
        <v/>
      </c>
      <c r="B742" s="22" t="str">
        <f>'EQUITY BACKTEST'!B745</f>
        <v/>
      </c>
      <c r="C742" s="22" t="str">
        <f>1/'EQUITY BACKTEST'!E745</f>
        <v>#DIV/0!</v>
      </c>
      <c r="D742" s="22" t="str">
        <f t="shared" si="1"/>
        <v>#DIV/0!</v>
      </c>
      <c r="E742" s="22" t="str">
        <f t="shared" ref="E742:F742" si="742">IF(A742&lt;&gt;"", (B742 - B741) / B741, "")</f>
        <v/>
      </c>
      <c r="F742" s="22" t="str">
        <f t="shared" si="742"/>
        <v/>
      </c>
      <c r="H742" s="22" t="str">
        <f t="shared" si="4"/>
        <v/>
      </c>
    </row>
    <row r="743" ht="15.75" customHeight="1">
      <c r="A743" s="31" t="str">
        <f>'EQUITY BACKTEST'!A746</f>
        <v/>
      </c>
      <c r="B743" s="22" t="str">
        <f>'EQUITY BACKTEST'!B746</f>
        <v/>
      </c>
      <c r="C743" s="22" t="str">
        <f>1/'EQUITY BACKTEST'!E746</f>
        <v>#DIV/0!</v>
      </c>
      <c r="D743" s="22" t="str">
        <f t="shared" si="1"/>
        <v>#DIV/0!</v>
      </c>
      <c r="E743" s="22" t="str">
        <f t="shared" ref="E743:F743" si="743">IF(A743&lt;&gt;"", (B743 - B742) / B742, "")</f>
        <v/>
      </c>
      <c r="F743" s="22" t="str">
        <f t="shared" si="743"/>
        <v/>
      </c>
      <c r="H743" s="22" t="str">
        <f t="shared" si="4"/>
        <v/>
      </c>
    </row>
    <row r="744" ht="15.75" customHeight="1">
      <c r="A744" s="31" t="str">
        <f>'EQUITY BACKTEST'!A747</f>
        <v/>
      </c>
      <c r="B744" s="22" t="str">
        <f>'EQUITY BACKTEST'!B747</f>
        <v/>
      </c>
      <c r="C744" s="22" t="str">
        <f>1/'EQUITY BACKTEST'!E747</f>
        <v>#DIV/0!</v>
      </c>
      <c r="D744" s="22" t="str">
        <f t="shared" si="1"/>
        <v>#DIV/0!</v>
      </c>
      <c r="E744" s="22" t="str">
        <f t="shared" ref="E744:F744" si="744">IF(A744&lt;&gt;"", (B744 - B743) / B743, "")</f>
        <v/>
      </c>
      <c r="F744" s="22" t="str">
        <f t="shared" si="744"/>
        <v/>
      </c>
      <c r="H744" s="22" t="str">
        <f t="shared" si="4"/>
        <v/>
      </c>
    </row>
    <row r="745" ht="15.75" customHeight="1">
      <c r="A745" s="31" t="str">
        <f>'EQUITY BACKTEST'!A748</f>
        <v/>
      </c>
      <c r="B745" s="22" t="str">
        <f>'EQUITY BACKTEST'!B748</f>
        <v/>
      </c>
      <c r="C745" s="22" t="str">
        <f>1/'EQUITY BACKTEST'!E748</f>
        <v>#DIV/0!</v>
      </c>
      <c r="D745" s="22" t="str">
        <f t="shared" si="1"/>
        <v>#DIV/0!</v>
      </c>
      <c r="E745" s="22" t="str">
        <f t="shared" ref="E745:F745" si="745">IF(A745&lt;&gt;"", (B745 - B744) / B744, "")</f>
        <v/>
      </c>
      <c r="F745" s="22" t="str">
        <f t="shared" si="745"/>
        <v/>
      </c>
      <c r="H745" s="22" t="str">
        <f t="shared" si="4"/>
        <v/>
      </c>
    </row>
    <row r="746" ht="15.75" customHeight="1">
      <c r="A746" s="31" t="str">
        <f>'EQUITY BACKTEST'!A749</f>
        <v/>
      </c>
      <c r="B746" s="22" t="str">
        <f>'EQUITY BACKTEST'!B749</f>
        <v/>
      </c>
      <c r="C746" s="22" t="str">
        <f>1/'EQUITY BACKTEST'!E749</f>
        <v>#DIV/0!</v>
      </c>
      <c r="D746" s="22" t="str">
        <f t="shared" si="1"/>
        <v>#DIV/0!</v>
      </c>
      <c r="E746" s="22" t="str">
        <f t="shared" ref="E746:F746" si="746">IF(A746&lt;&gt;"", (B746 - B745) / B745, "")</f>
        <v/>
      </c>
      <c r="F746" s="22" t="str">
        <f t="shared" si="746"/>
        <v/>
      </c>
      <c r="H746" s="22" t="str">
        <f t="shared" si="4"/>
        <v/>
      </c>
    </row>
    <row r="747" ht="15.75" customHeight="1">
      <c r="A747" s="31" t="str">
        <f>'EQUITY BACKTEST'!A750</f>
        <v/>
      </c>
      <c r="B747" s="22" t="str">
        <f>'EQUITY BACKTEST'!B750</f>
        <v/>
      </c>
      <c r="C747" s="22" t="str">
        <f>1/'EQUITY BACKTEST'!E750</f>
        <v>#DIV/0!</v>
      </c>
      <c r="D747" s="22" t="str">
        <f t="shared" si="1"/>
        <v>#DIV/0!</v>
      </c>
      <c r="E747" s="22" t="str">
        <f t="shared" ref="E747:F747" si="747">IF(A747&lt;&gt;"", (B747 - B746) / B746, "")</f>
        <v/>
      </c>
      <c r="F747" s="22" t="str">
        <f t="shared" si="747"/>
        <v/>
      </c>
      <c r="H747" s="22" t="str">
        <f t="shared" si="4"/>
        <v/>
      </c>
    </row>
    <row r="748" ht="15.75" customHeight="1">
      <c r="A748" s="31" t="str">
        <f>'EQUITY BACKTEST'!A751</f>
        <v/>
      </c>
      <c r="B748" s="22" t="str">
        <f>'EQUITY BACKTEST'!B751</f>
        <v/>
      </c>
      <c r="C748" s="22" t="str">
        <f>1/'EQUITY BACKTEST'!E751</f>
        <v>#DIV/0!</v>
      </c>
      <c r="D748" s="22" t="str">
        <f t="shared" si="1"/>
        <v>#DIV/0!</v>
      </c>
      <c r="E748" s="22" t="str">
        <f t="shared" ref="E748:F748" si="748">IF(A748&lt;&gt;"", (B748 - B747) / B747, "")</f>
        <v/>
      </c>
      <c r="F748" s="22" t="str">
        <f t="shared" si="748"/>
        <v/>
      </c>
      <c r="H748" s="22" t="str">
        <f t="shared" si="4"/>
        <v/>
      </c>
    </row>
    <row r="749" ht="15.75" customHeight="1">
      <c r="A749" s="31" t="str">
        <f>'EQUITY BACKTEST'!A752</f>
        <v/>
      </c>
      <c r="B749" s="22" t="str">
        <f>'EQUITY BACKTEST'!B752</f>
        <v/>
      </c>
      <c r="C749" s="22" t="str">
        <f>1/'EQUITY BACKTEST'!E752</f>
        <v>#DIV/0!</v>
      </c>
      <c r="D749" s="22" t="str">
        <f t="shared" si="1"/>
        <v>#DIV/0!</v>
      </c>
      <c r="E749" s="22" t="str">
        <f t="shared" ref="E749:F749" si="749">IF(A749&lt;&gt;"", (B749 - B748) / B748, "")</f>
        <v/>
      </c>
      <c r="F749" s="22" t="str">
        <f t="shared" si="749"/>
        <v/>
      </c>
      <c r="H749" s="22" t="str">
        <f t="shared" si="4"/>
        <v/>
      </c>
    </row>
    <row r="750" ht="15.75" customHeight="1">
      <c r="A750" s="31" t="str">
        <f>'EQUITY BACKTEST'!A753</f>
        <v/>
      </c>
      <c r="B750" s="22" t="str">
        <f>'EQUITY BACKTEST'!B753</f>
        <v/>
      </c>
      <c r="C750" s="22" t="str">
        <f>1/'EQUITY BACKTEST'!E753</f>
        <v>#DIV/0!</v>
      </c>
      <c r="D750" s="22" t="str">
        <f t="shared" si="1"/>
        <v>#DIV/0!</v>
      </c>
      <c r="E750" s="22" t="str">
        <f t="shared" ref="E750:F750" si="750">IF(A750&lt;&gt;"", (B750 - B749) / B749, "")</f>
        <v/>
      </c>
      <c r="F750" s="22" t="str">
        <f t="shared" si="750"/>
        <v/>
      </c>
      <c r="H750" s="22" t="str">
        <f t="shared" si="4"/>
        <v/>
      </c>
    </row>
    <row r="751" ht="15.75" customHeight="1">
      <c r="A751" s="31" t="str">
        <f>'EQUITY BACKTEST'!A754</f>
        <v/>
      </c>
      <c r="B751" s="22" t="str">
        <f>'EQUITY BACKTEST'!B754</f>
        <v/>
      </c>
      <c r="C751" s="22" t="str">
        <f>1/'EQUITY BACKTEST'!E754</f>
        <v>#DIV/0!</v>
      </c>
      <c r="D751" s="22" t="str">
        <f t="shared" si="1"/>
        <v>#DIV/0!</v>
      </c>
      <c r="E751" s="22" t="str">
        <f t="shared" ref="E751:F751" si="751">IF(A751&lt;&gt;"", (B751 - B750) / B750, "")</f>
        <v/>
      </c>
      <c r="F751" s="22" t="str">
        <f t="shared" si="751"/>
        <v/>
      </c>
      <c r="H751" s="22" t="str">
        <f t="shared" si="4"/>
        <v/>
      </c>
    </row>
    <row r="752" ht="15.75" customHeight="1">
      <c r="A752" s="31" t="str">
        <f>'EQUITY BACKTEST'!A755</f>
        <v/>
      </c>
      <c r="B752" s="22" t="str">
        <f>'EQUITY BACKTEST'!B755</f>
        <v/>
      </c>
      <c r="C752" s="22" t="str">
        <f>1/'EQUITY BACKTEST'!E755</f>
        <v>#DIV/0!</v>
      </c>
      <c r="D752" s="22" t="str">
        <f t="shared" si="1"/>
        <v>#DIV/0!</v>
      </c>
      <c r="E752" s="22" t="str">
        <f t="shared" ref="E752:F752" si="752">IF(A752&lt;&gt;"", (B752 - B751) / B751, "")</f>
        <v/>
      </c>
      <c r="F752" s="22" t="str">
        <f t="shared" si="752"/>
        <v/>
      </c>
      <c r="H752" s="22" t="str">
        <f t="shared" si="4"/>
        <v/>
      </c>
    </row>
    <row r="753" ht="15.75" customHeight="1">
      <c r="A753" s="31" t="str">
        <f>'EQUITY BACKTEST'!A756</f>
        <v/>
      </c>
      <c r="B753" s="22" t="str">
        <f>'EQUITY BACKTEST'!B756</f>
        <v/>
      </c>
      <c r="C753" s="22" t="str">
        <f>1/'EQUITY BACKTEST'!E756</f>
        <v>#DIV/0!</v>
      </c>
      <c r="D753" s="22" t="str">
        <f t="shared" si="1"/>
        <v>#DIV/0!</v>
      </c>
      <c r="E753" s="22" t="str">
        <f t="shared" ref="E753:F753" si="753">IF(A753&lt;&gt;"", (B753 - B752) / B752, "")</f>
        <v/>
      </c>
      <c r="F753" s="22" t="str">
        <f t="shared" si="753"/>
        <v/>
      </c>
      <c r="H753" s="22" t="str">
        <f t="shared" si="4"/>
        <v/>
      </c>
    </row>
    <row r="754" ht="15.75" customHeight="1">
      <c r="A754" s="31" t="str">
        <f>'EQUITY BACKTEST'!A757</f>
        <v/>
      </c>
      <c r="B754" s="22" t="str">
        <f>'EQUITY BACKTEST'!B757</f>
        <v/>
      </c>
      <c r="C754" s="22" t="str">
        <f>1/'EQUITY BACKTEST'!E757</f>
        <v>#DIV/0!</v>
      </c>
      <c r="D754" s="22" t="str">
        <f t="shared" si="1"/>
        <v>#DIV/0!</v>
      </c>
      <c r="E754" s="22" t="str">
        <f t="shared" ref="E754:F754" si="754">IF(A754&lt;&gt;"", (B754 - B753) / B753, "")</f>
        <v/>
      </c>
      <c r="F754" s="22" t="str">
        <f t="shared" si="754"/>
        <v/>
      </c>
      <c r="H754" s="22" t="str">
        <f t="shared" si="4"/>
        <v/>
      </c>
    </row>
    <row r="755" ht="15.75" customHeight="1">
      <c r="A755" s="31" t="str">
        <f>'EQUITY BACKTEST'!A758</f>
        <v/>
      </c>
      <c r="B755" s="22" t="str">
        <f>'EQUITY BACKTEST'!B758</f>
        <v/>
      </c>
      <c r="C755" s="22" t="str">
        <f>1/'EQUITY BACKTEST'!E758</f>
        <v>#DIV/0!</v>
      </c>
      <c r="D755" s="22" t="str">
        <f t="shared" si="1"/>
        <v>#DIV/0!</v>
      </c>
      <c r="E755" s="22" t="str">
        <f t="shared" ref="E755:F755" si="755">IF(A755&lt;&gt;"", (B755 - B754) / B754, "")</f>
        <v/>
      </c>
      <c r="F755" s="22" t="str">
        <f t="shared" si="755"/>
        <v/>
      </c>
      <c r="H755" s="22" t="str">
        <f t="shared" si="4"/>
        <v/>
      </c>
    </row>
    <row r="756" ht="15.75" customHeight="1">
      <c r="A756" s="31" t="str">
        <f>'EQUITY BACKTEST'!A759</f>
        <v/>
      </c>
      <c r="B756" s="22" t="str">
        <f>'EQUITY BACKTEST'!B759</f>
        <v/>
      </c>
      <c r="C756" s="22" t="str">
        <f>1/'EQUITY BACKTEST'!E759</f>
        <v>#DIV/0!</v>
      </c>
      <c r="D756" s="22" t="str">
        <f t="shared" si="1"/>
        <v>#DIV/0!</v>
      </c>
      <c r="E756" s="22" t="str">
        <f t="shared" ref="E756:F756" si="756">IF(A756&lt;&gt;"", (B756 - B755) / B755, "")</f>
        <v/>
      </c>
      <c r="F756" s="22" t="str">
        <f t="shared" si="756"/>
        <v/>
      </c>
      <c r="H756" s="22" t="str">
        <f t="shared" si="4"/>
        <v/>
      </c>
    </row>
    <row r="757" ht="15.75" customHeight="1">
      <c r="A757" s="31" t="str">
        <f>'EQUITY BACKTEST'!A760</f>
        <v/>
      </c>
      <c r="B757" s="22" t="str">
        <f>'EQUITY BACKTEST'!B760</f>
        <v/>
      </c>
      <c r="C757" s="22" t="str">
        <f>1/'EQUITY BACKTEST'!E760</f>
        <v>#DIV/0!</v>
      </c>
      <c r="D757" s="22" t="str">
        <f t="shared" si="1"/>
        <v>#DIV/0!</v>
      </c>
      <c r="E757" s="22" t="str">
        <f t="shared" ref="E757:F757" si="757">IF(A757&lt;&gt;"", (B757 - B756) / B756, "")</f>
        <v/>
      </c>
      <c r="F757" s="22" t="str">
        <f t="shared" si="757"/>
        <v/>
      </c>
      <c r="H757" s="22" t="str">
        <f t="shared" si="4"/>
        <v/>
      </c>
    </row>
    <row r="758" ht="15.75" customHeight="1">
      <c r="A758" s="31" t="str">
        <f>'EQUITY BACKTEST'!A761</f>
        <v/>
      </c>
      <c r="B758" s="22" t="str">
        <f>'EQUITY BACKTEST'!B761</f>
        <v/>
      </c>
      <c r="C758" s="22" t="str">
        <f>1/'EQUITY BACKTEST'!E761</f>
        <v>#DIV/0!</v>
      </c>
      <c r="D758" s="22" t="str">
        <f t="shared" si="1"/>
        <v>#DIV/0!</v>
      </c>
      <c r="E758" s="22" t="str">
        <f t="shared" ref="E758:F758" si="758">IF(A758&lt;&gt;"", (B758 - B757) / B757, "")</f>
        <v/>
      </c>
      <c r="F758" s="22" t="str">
        <f t="shared" si="758"/>
        <v/>
      </c>
      <c r="H758" s="22" t="str">
        <f t="shared" si="4"/>
        <v/>
      </c>
    </row>
    <row r="759" ht="15.75" customHeight="1">
      <c r="A759" s="31" t="str">
        <f>'EQUITY BACKTEST'!A762</f>
        <v/>
      </c>
      <c r="B759" s="22" t="str">
        <f>'EQUITY BACKTEST'!B762</f>
        <v/>
      </c>
      <c r="C759" s="22" t="str">
        <f>1/'EQUITY BACKTEST'!E762</f>
        <v>#DIV/0!</v>
      </c>
      <c r="D759" s="22" t="str">
        <f t="shared" si="1"/>
        <v>#DIV/0!</v>
      </c>
      <c r="E759" s="22" t="str">
        <f t="shared" ref="E759:F759" si="759">IF(A759&lt;&gt;"", (B759 - B758) / B758, "")</f>
        <v/>
      </c>
      <c r="F759" s="22" t="str">
        <f t="shared" si="759"/>
        <v/>
      </c>
      <c r="H759" s="22" t="str">
        <f t="shared" si="4"/>
        <v/>
      </c>
    </row>
    <row r="760" ht="15.75" customHeight="1">
      <c r="A760" s="31" t="str">
        <f>'EQUITY BACKTEST'!A763</f>
        <v/>
      </c>
      <c r="B760" s="22" t="str">
        <f>'EQUITY BACKTEST'!B763</f>
        <v/>
      </c>
      <c r="C760" s="22" t="str">
        <f>1/'EQUITY BACKTEST'!E763</f>
        <v>#DIV/0!</v>
      </c>
      <c r="D760" s="22" t="str">
        <f t="shared" si="1"/>
        <v>#DIV/0!</v>
      </c>
      <c r="E760" s="22" t="str">
        <f t="shared" ref="E760:F760" si="760">IF(A760&lt;&gt;"", (B760 - B759) / B759, "")</f>
        <v/>
      </c>
      <c r="F760" s="22" t="str">
        <f t="shared" si="760"/>
        <v/>
      </c>
      <c r="H760" s="22" t="str">
        <f t="shared" si="4"/>
        <v/>
      </c>
    </row>
    <row r="761" ht="15.75" customHeight="1">
      <c r="A761" s="31" t="str">
        <f>'EQUITY BACKTEST'!A764</f>
        <v/>
      </c>
      <c r="B761" s="22" t="str">
        <f>'EQUITY BACKTEST'!B764</f>
        <v/>
      </c>
      <c r="C761" s="22" t="str">
        <f>1/'EQUITY BACKTEST'!E764</f>
        <v>#DIV/0!</v>
      </c>
      <c r="D761" s="22" t="str">
        <f t="shared" si="1"/>
        <v>#DIV/0!</v>
      </c>
      <c r="E761" s="22" t="str">
        <f t="shared" ref="E761:F761" si="761">IF(A761&lt;&gt;"", (B761 - B760) / B760, "")</f>
        <v/>
      </c>
      <c r="F761" s="22" t="str">
        <f t="shared" si="761"/>
        <v/>
      </c>
      <c r="H761" s="22" t="str">
        <f t="shared" si="4"/>
        <v/>
      </c>
    </row>
    <row r="762" ht="15.75" customHeight="1">
      <c r="A762" s="31" t="str">
        <f>'EQUITY BACKTEST'!A765</f>
        <v/>
      </c>
      <c r="B762" s="22" t="str">
        <f>'EQUITY BACKTEST'!B765</f>
        <v/>
      </c>
      <c r="C762" s="22" t="str">
        <f>1/'EQUITY BACKTEST'!E765</f>
        <v>#DIV/0!</v>
      </c>
      <c r="D762" s="22" t="str">
        <f t="shared" si="1"/>
        <v>#DIV/0!</v>
      </c>
      <c r="E762" s="22" t="str">
        <f t="shared" ref="E762:F762" si="762">IF(A762&lt;&gt;"", (B762 - B761) / B761, "")</f>
        <v/>
      </c>
      <c r="F762" s="22" t="str">
        <f t="shared" si="762"/>
        <v/>
      </c>
      <c r="H762" s="22" t="str">
        <f t="shared" si="4"/>
        <v/>
      </c>
    </row>
    <row r="763" ht="15.75" customHeight="1">
      <c r="A763" s="31" t="str">
        <f>'EQUITY BACKTEST'!A766</f>
        <v/>
      </c>
      <c r="B763" s="22" t="str">
        <f>'EQUITY BACKTEST'!B766</f>
        <v/>
      </c>
      <c r="C763" s="22" t="str">
        <f>1/'EQUITY BACKTEST'!E766</f>
        <v>#DIV/0!</v>
      </c>
      <c r="D763" s="22" t="str">
        <f t="shared" si="1"/>
        <v>#DIV/0!</v>
      </c>
      <c r="E763" s="22" t="str">
        <f t="shared" ref="E763:F763" si="763">IF(A763&lt;&gt;"", (B763 - B762) / B762, "")</f>
        <v/>
      </c>
      <c r="F763" s="22" t="str">
        <f t="shared" si="763"/>
        <v/>
      </c>
      <c r="H763" s="22" t="str">
        <f t="shared" si="4"/>
        <v/>
      </c>
    </row>
    <row r="764" ht="15.75" customHeight="1">
      <c r="A764" s="31" t="str">
        <f>'EQUITY BACKTEST'!A767</f>
        <v/>
      </c>
      <c r="B764" s="22" t="str">
        <f>'EQUITY BACKTEST'!B767</f>
        <v/>
      </c>
      <c r="C764" s="22" t="str">
        <f>1/'EQUITY BACKTEST'!E767</f>
        <v>#DIV/0!</v>
      </c>
      <c r="D764" s="22" t="str">
        <f t="shared" si="1"/>
        <v>#DIV/0!</v>
      </c>
      <c r="E764" s="22" t="str">
        <f t="shared" ref="E764:F764" si="764">IF(A764&lt;&gt;"", (B764 - B763) / B763, "")</f>
        <v/>
      </c>
      <c r="F764" s="22" t="str">
        <f t="shared" si="764"/>
        <v/>
      </c>
      <c r="H764" s="22" t="str">
        <f t="shared" si="4"/>
        <v/>
      </c>
    </row>
    <row r="765" ht="15.75" customHeight="1">
      <c r="A765" s="31" t="str">
        <f>'EQUITY BACKTEST'!A768</f>
        <v/>
      </c>
      <c r="B765" s="22" t="str">
        <f>'EQUITY BACKTEST'!B768</f>
        <v/>
      </c>
      <c r="C765" s="22" t="str">
        <f>1/'EQUITY BACKTEST'!E768</f>
        <v>#DIV/0!</v>
      </c>
      <c r="D765" s="22" t="str">
        <f t="shared" si="1"/>
        <v>#DIV/0!</v>
      </c>
      <c r="E765" s="22" t="str">
        <f t="shared" ref="E765:F765" si="765">IF(A765&lt;&gt;"", (B765 - B764) / B764, "")</f>
        <v/>
      </c>
      <c r="F765" s="22" t="str">
        <f t="shared" si="765"/>
        <v/>
      </c>
      <c r="H765" s="22" t="str">
        <f t="shared" si="4"/>
        <v/>
      </c>
    </row>
    <row r="766" ht="15.75" customHeight="1">
      <c r="A766" s="31" t="str">
        <f>'EQUITY BACKTEST'!A769</f>
        <v/>
      </c>
      <c r="B766" s="22" t="str">
        <f>'EQUITY BACKTEST'!B769</f>
        <v/>
      </c>
      <c r="C766" s="22" t="str">
        <f>1/'EQUITY BACKTEST'!E769</f>
        <v>#DIV/0!</v>
      </c>
      <c r="D766" s="22" t="str">
        <f t="shared" si="1"/>
        <v>#DIV/0!</v>
      </c>
      <c r="E766" s="22" t="str">
        <f t="shared" ref="E766:F766" si="766">IF(A766&lt;&gt;"", (B766 - B765) / B765, "")</f>
        <v/>
      </c>
      <c r="F766" s="22" t="str">
        <f t="shared" si="766"/>
        <v/>
      </c>
      <c r="H766" s="22" t="str">
        <f t="shared" si="4"/>
        <v/>
      </c>
    </row>
    <row r="767" ht="15.75" customHeight="1">
      <c r="A767" s="31" t="str">
        <f>'EQUITY BACKTEST'!A770</f>
        <v/>
      </c>
      <c r="B767" s="22" t="str">
        <f>'EQUITY BACKTEST'!B770</f>
        <v/>
      </c>
      <c r="C767" s="22" t="str">
        <f>1/'EQUITY BACKTEST'!E770</f>
        <v>#DIV/0!</v>
      </c>
      <c r="D767" s="22" t="str">
        <f t="shared" si="1"/>
        <v>#DIV/0!</v>
      </c>
      <c r="E767" s="22" t="str">
        <f t="shared" ref="E767:F767" si="767">IF(A767&lt;&gt;"", (B767 - B766) / B766, "")</f>
        <v/>
      </c>
      <c r="F767" s="22" t="str">
        <f t="shared" si="767"/>
        <v/>
      </c>
      <c r="H767" s="22" t="str">
        <f t="shared" si="4"/>
        <v/>
      </c>
    </row>
    <row r="768" ht="15.75" customHeight="1">
      <c r="A768" s="31" t="str">
        <f>'EQUITY BACKTEST'!A771</f>
        <v/>
      </c>
      <c r="B768" s="22" t="str">
        <f>'EQUITY BACKTEST'!B771</f>
        <v/>
      </c>
      <c r="C768" s="22" t="str">
        <f>1/'EQUITY BACKTEST'!E771</f>
        <v>#DIV/0!</v>
      </c>
      <c r="D768" s="22" t="str">
        <f t="shared" si="1"/>
        <v>#DIV/0!</v>
      </c>
      <c r="E768" s="22" t="str">
        <f t="shared" ref="E768:F768" si="768">IF(A768&lt;&gt;"", (B768 - B767) / B767, "")</f>
        <v/>
      </c>
      <c r="F768" s="22" t="str">
        <f t="shared" si="768"/>
        <v/>
      </c>
      <c r="H768" s="22" t="str">
        <f t="shared" si="4"/>
        <v/>
      </c>
    </row>
    <row r="769" ht="15.75" customHeight="1">
      <c r="A769" s="31" t="str">
        <f>'EQUITY BACKTEST'!A772</f>
        <v/>
      </c>
      <c r="B769" s="22" t="str">
        <f>'EQUITY BACKTEST'!B772</f>
        <v/>
      </c>
      <c r="C769" s="22" t="str">
        <f>1/'EQUITY BACKTEST'!E772</f>
        <v>#DIV/0!</v>
      </c>
      <c r="D769" s="22" t="str">
        <f t="shared" si="1"/>
        <v>#DIV/0!</v>
      </c>
      <c r="E769" s="22" t="str">
        <f t="shared" ref="E769:F769" si="769">IF(A769&lt;&gt;"", (B769 - B768) / B768, "")</f>
        <v/>
      </c>
      <c r="F769" s="22" t="str">
        <f t="shared" si="769"/>
        <v/>
      </c>
      <c r="H769" s="22" t="str">
        <f t="shared" si="4"/>
        <v/>
      </c>
    </row>
    <row r="770" ht="15.75" customHeight="1">
      <c r="A770" s="31" t="str">
        <f>'EQUITY BACKTEST'!A773</f>
        <v/>
      </c>
      <c r="B770" s="22" t="str">
        <f>'EQUITY BACKTEST'!B773</f>
        <v/>
      </c>
      <c r="C770" s="22" t="str">
        <f>1/'EQUITY BACKTEST'!E773</f>
        <v>#DIV/0!</v>
      </c>
      <c r="D770" s="22" t="str">
        <f t="shared" si="1"/>
        <v>#DIV/0!</v>
      </c>
      <c r="E770" s="22" t="str">
        <f t="shared" ref="E770:F770" si="770">IF(A770&lt;&gt;"", (B770 - B769) / B769, "")</f>
        <v/>
      </c>
      <c r="F770" s="22" t="str">
        <f t="shared" si="770"/>
        <v/>
      </c>
      <c r="H770" s="22" t="str">
        <f t="shared" si="4"/>
        <v/>
      </c>
    </row>
    <row r="771" ht="15.75" customHeight="1">
      <c r="A771" s="31" t="str">
        <f>'EQUITY BACKTEST'!A774</f>
        <v/>
      </c>
      <c r="B771" s="22" t="str">
        <f>'EQUITY BACKTEST'!B774</f>
        <v/>
      </c>
      <c r="C771" s="22" t="str">
        <f>1/'EQUITY BACKTEST'!E774</f>
        <v>#DIV/0!</v>
      </c>
      <c r="D771" s="22" t="str">
        <f t="shared" si="1"/>
        <v>#DIV/0!</v>
      </c>
      <c r="E771" s="22" t="str">
        <f t="shared" ref="E771:F771" si="771">IF(A771&lt;&gt;"", (B771 - B770) / B770, "")</f>
        <v/>
      </c>
      <c r="F771" s="22" t="str">
        <f t="shared" si="771"/>
        <v/>
      </c>
      <c r="H771" s="22" t="str">
        <f t="shared" si="4"/>
        <v/>
      </c>
    </row>
    <row r="772" ht="15.75" customHeight="1">
      <c r="A772" s="31" t="str">
        <f>'EQUITY BACKTEST'!A775</f>
        <v/>
      </c>
      <c r="B772" s="22" t="str">
        <f>'EQUITY BACKTEST'!B775</f>
        <v/>
      </c>
      <c r="C772" s="22" t="str">
        <f>1/'EQUITY BACKTEST'!E775</f>
        <v>#DIV/0!</v>
      </c>
      <c r="D772" s="22" t="str">
        <f t="shared" si="1"/>
        <v>#DIV/0!</v>
      </c>
      <c r="E772" s="22" t="str">
        <f t="shared" ref="E772:F772" si="772">IF(A772&lt;&gt;"", (B772 - B771) / B771, "")</f>
        <v/>
      </c>
      <c r="F772" s="22" t="str">
        <f t="shared" si="772"/>
        <v/>
      </c>
      <c r="H772" s="22" t="str">
        <f t="shared" si="4"/>
        <v/>
      </c>
    </row>
    <row r="773" ht="15.75" customHeight="1">
      <c r="A773" s="31" t="str">
        <f>'EQUITY BACKTEST'!A776</f>
        <v/>
      </c>
      <c r="B773" s="22" t="str">
        <f>'EQUITY BACKTEST'!B776</f>
        <v/>
      </c>
      <c r="C773" s="22" t="str">
        <f>1/'EQUITY BACKTEST'!E776</f>
        <v>#DIV/0!</v>
      </c>
      <c r="D773" s="22" t="str">
        <f t="shared" si="1"/>
        <v>#DIV/0!</v>
      </c>
      <c r="E773" s="22" t="str">
        <f t="shared" ref="E773:F773" si="773">IF(A773&lt;&gt;"", (B773 - B772) / B772, "")</f>
        <v/>
      </c>
      <c r="F773" s="22" t="str">
        <f t="shared" si="773"/>
        <v/>
      </c>
      <c r="H773" s="22" t="str">
        <f t="shared" si="4"/>
        <v/>
      </c>
    </row>
    <row r="774" ht="15.75" customHeight="1">
      <c r="A774" s="31" t="str">
        <f>'EQUITY BACKTEST'!A777</f>
        <v/>
      </c>
      <c r="B774" s="22" t="str">
        <f>'EQUITY BACKTEST'!B777</f>
        <v/>
      </c>
      <c r="C774" s="22" t="str">
        <f>1/'EQUITY BACKTEST'!E777</f>
        <v>#DIV/0!</v>
      </c>
      <c r="D774" s="22" t="str">
        <f t="shared" si="1"/>
        <v>#DIV/0!</v>
      </c>
      <c r="E774" s="22" t="str">
        <f t="shared" ref="E774:F774" si="774">IF(A774&lt;&gt;"", (B774 - B773) / B773, "")</f>
        <v/>
      </c>
      <c r="F774" s="22" t="str">
        <f t="shared" si="774"/>
        <v/>
      </c>
      <c r="H774" s="22" t="str">
        <f t="shared" si="4"/>
        <v/>
      </c>
    </row>
    <row r="775" ht="15.75" customHeight="1">
      <c r="A775" s="31" t="str">
        <f>'EQUITY BACKTEST'!A778</f>
        <v/>
      </c>
      <c r="B775" s="22" t="str">
        <f>'EQUITY BACKTEST'!B778</f>
        <v/>
      </c>
      <c r="C775" s="22" t="str">
        <f>1/'EQUITY BACKTEST'!E778</f>
        <v>#DIV/0!</v>
      </c>
      <c r="D775" s="22" t="str">
        <f t="shared" si="1"/>
        <v>#DIV/0!</v>
      </c>
      <c r="E775" s="22" t="str">
        <f t="shared" ref="E775:F775" si="775">IF(A775&lt;&gt;"", (B775 - B774) / B774, "")</f>
        <v/>
      </c>
      <c r="F775" s="22" t="str">
        <f t="shared" si="775"/>
        <v/>
      </c>
      <c r="H775" s="22" t="str">
        <f t="shared" si="4"/>
        <v/>
      </c>
    </row>
    <row r="776" ht="15.75" customHeight="1">
      <c r="A776" s="31" t="str">
        <f>'EQUITY BACKTEST'!A779</f>
        <v/>
      </c>
      <c r="B776" s="22" t="str">
        <f>'EQUITY BACKTEST'!B779</f>
        <v/>
      </c>
      <c r="C776" s="22" t="str">
        <f>1/'EQUITY BACKTEST'!E779</f>
        <v>#DIV/0!</v>
      </c>
      <c r="D776" s="22" t="str">
        <f t="shared" si="1"/>
        <v>#DIV/0!</v>
      </c>
      <c r="E776" s="22" t="str">
        <f t="shared" ref="E776:F776" si="776">IF(A776&lt;&gt;"", (B776 - B775) / B775, "")</f>
        <v/>
      </c>
      <c r="F776" s="22" t="str">
        <f t="shared" si="776"/>
        <v/>
      </c>
      <c r="H776" s="22" t="str">
        <f t="shared" si="4"/>
        <v/>
      </c>
    </row>
    <row r="777" ht="15.75" customHeight="1">
      <c r="A777" s="31" t="str">
        <f>'EQUITY BACKTEST'!A780</f>
        <v/>
      </c>
      <c r="B777" s="22" t="str">
        <f>'EQUITY BACKTEST'!B780</f>
        <v/>
      </c>
      <c r="C777" s="22" t="str">
        <f>1/'EQUITY BACKTEST'!E780</f>
        <v>#DIV/0!</v>
      </c>
      <c r="D777" s="22" t="str">
        <f t="shared" si="1"/>
        <v>#DIV/0!</v>
      </c>
      <c r="E777" s="22" t="str">
        <f t="shared" ref="E777:F777" si="777">IF(A777&lt;&gt;"", (B777 - B776) / B776, "")</f>
        <v/>
      </c>
      <c r="F777" s="22" t="str">
        <f t="shared" si="777"/>
        <v/>
      </c>
      <c r="H777" s="22" t="str">
        <f t="shared" si="4"/>
        <v/>
      </c>
    </row>
    <row r="778" ht="15.75" customHeight="1">
      <c r="A778" s="31" t="str">
        <f>'EQUITY BACKTEST'!A781</f>
        <v/>
      </c>
      <c r="B778" s="22" t="str">
        <f>'EQUITY BACKTEST'!B781</f>
        <v/>
      </c>
      <c r="C778" s="22" t="str">
        <f>1/'EQUITY BACKTEST'!E781</f>
        <v>#DIV/0!</v>
      </c>
      <c r="D778" s="22" t="str">
        <f t="shared" si="1"/>
        <v>#DIV/0!</v>
      </c>
      <c r="E778" s="22" t="str">
        <f t="shared" ref="E778:F778" si="778">IF(A778&lt;&gt;"", (B778 - B777) / B777, "")</f>
        <v/>
      </c>
      <c r="F778" s="22" t="str">
        <f t="shared" si="778"/>
        <v/>
      </c>
      <c r="H778" s="22" t="str">
        <f t="shared" si="4"/>
        <v/>
      </c>
    </row>
    <row r="779" ht="15.75" customHeight="1">
      <c r="A779" s="31" t="str">
        <f>'EQUITY BACKTEST'!A782</f>
        <v/>
      </c>
      <c r="B779" s="22" t="str">
        <f>'EQUITY BACKTEST'!B782</f>
        <v/>
      </c>
      <c r="C779" s="22" t="str">
        <f>1/'EQUITY BACKTEST'!E782</f>
        <v>#DIV/0!</v>
      </c>
      <c r="D779" s="22" t="str">
        <f t="shared" si="1"/>
        <v>#DIV/0!</v>
      </c>
      <c r="E779" s="22" t="str">
        <f t="shared" ref="E779:F779" si="779">IF(A779&lt;&gt;"", (B779 - B778) / B778, "")</f>
        <v/>
      </c>
      <c r="F779" s="22" t="str">
        <f t="shared" si="779"/>
        <v/>
      </c>
      <c r="H779" s="22" t="str">
        <f t="shared" si="4"/>
        <v/>
      </c>
    </row>
    <row r="780" ht="15.75" customHeight="1">
      <c r="A780" s="31" t="str">
        <f>'EQUITY BACKTEST'!A783</f>
        <v/>
      </c>
      <c r="B780" s="22" t="str">
        <f>'EQUITY BACKTEST'!B783</f>
        <v/>
      </c>
      <c r="C780" s="22" t="str">
        <f>1/'EQUITY BACKTEST'!E783</f>
        <v>#DIV/0!</v>
      </c>
      <c r="D780" s="22" t="str">
        <f t="shared" si="1"/>
        <v>#DIV/0!</v>
      </c>
      <c r="E780" s="22" t="str">
        <f t="shared" ref="E780:F780" si="780">IF(A780&lt;&gt;"", (B780 - B779) / B779, "")</f>
        <v/>
      </c>
      <c r="F780" s="22" t="str">
        <f t="shared" si="780"/>
        <v/>
      </c>
      <c r="H780" s="22" t="str">
        <f t="shared" si="4"/>
        <v/>
      </c>
    </row>
    <row r="781" ht="15.75" customHeight="1">
      <c r="A781" s="31" t="str">
        <f>'EQUITY BACKTEST'!A784</f>
        <v/>
      </c>
      <c r="B781" s="22" t="str">
        <f>'EQUITY BACKTEST'!B784</f>
        <v/>
      </c>
      <c r="C781" s="22" t="str">
        <f>1/'EQUITY BACKTEST'!E784</f>
        <v>#DIV/0!</v>
      </c>
      <c r="D781" s="22" t="str">
        <f t="shared" si="1"/>
        <v>#DIV/0!</v>
      </c>
      <c r="E781" s="22" t="str">
        <f t="shared" ref="E781:F781" si="781">IF(A781&lt;&gt;"", (B781 - B780) / B780, "")</f>
        <v/>
      </c>
      <c r="F781" s="22" t="str">
        <f t="shared" si="781"/>
        <v/>
      </c>
      <c r="H781" s="22" t="str">
        <f t="shared" si="4"/>
        <v/>
      </c>
    </row>
    <row r="782" ht="15.75" customHeight="1">
      <c r="A782" s="31" t="str">
        <f>'EQUITY BACKTEST'!A785</f>
        <v/>
      </c>
      <c r="B782" s="22" t="str">
        <f>'EQUITY BACKTEST'!B785</f>
        <v/>
      </c>
      <c r="C782" s="22" t="str">
        <f>1/'EQUITY BACKTEST'!E785</f>
        <v>#DIV/0!</v>
      </c>
      <c r="D782" s="22" t="str">
        <f t="shared" si="1"/>
        <v>#DIV/0!</v>
      </c>
      <c r="E782" s="22" t="str">
        <f t="shared" ref="E782:F782" si="782">IF(A782&lt;&gt;"", (B782 - B781) / B781, "")</f>
        <v/>
      </c>
      <c r="F782" s="22" t="str">
        <f t="shared" si="782"/>
        <v/>
      </c>
      <c r="H782" s="22" t="str">
        <f t="shared" si="4"/>
        <v/>
      </c>
    </row>
    <row r="783" ht="15.75" customHeight="1">
      <c r="A783" s="31" t="str">
        <f>'EQUITY BACKTEST'!A786</f>
        <v/>
      </c>
      <c r="B783" s="22" t="str">
        <f>'EQUITY BACKTEST'!B786</f>
        <v/>
      </c>
      <c r="C783" s="22" t="str">
        <f>1/'EQUITY BACKTEST'!E786</f>
        <v>#DIV/0!</v>
      </c>
      <c r="D783" s="22" t="str">
        <f t="shared" si="1"/>
        <v>#DIV/0!</v>
      </c>
      <c r="E783" s="22" t="str">
        <f t="shared" ref="E783:F783" si="783">IF(A783&lt;&gt;"", (B783 - B782) / B782, "")</f>
        <v/>
      </c>
      <c r="F783" s="22" t="str">
        <f t="shared" si="783"/>
        <v/>
      </c>
      <c r="H783" s="22" t="str">
        <f t="shared" si="4"/>
        <v/>
      </c>
    </row>
    <row r="784" ht="15.75" customHeight="1">
      <c r="A784" s="31" t="str">
        <f>'EQUITY BACKTEST'!A787</f>
        <v/>
      </c>
      <c r="B784" s="22" t="str">
        <f>'EQUITY BACKTEST'!B787</f>
        <v/>
      </c>
      <c r="C784" s="22" t="str">
        <f>1/'EQUITY BACKTEST'!E787</f>
        <v>#DIV/0!</v>
      </c>
      <c r="D784" s="22" t="str">
        <f t="shared" si="1"/>
        <v>#DIV/0!</v>
      </c>
      <c r="E784" s="22" t="str">
        <f t="shared" ref="E784:F784" si="784">IF(A784&lt;&gt;"", (B784 - B783) / B783, "")</f>
        <v/>
      </c>
      <c r="F784" s="22" t="str">
        <f t="shared" si="784"/>
        <v/>
      </c>
      <c r="H784" s="22" t="str">
        <f t="shared" si="4"/>
        <v/>
      </c>
    </row>
    <row r="785" ht="15.75" customHeight="1">
      <c r="A785" s="31" t="str">
        <f>'EQUITY BACKTEST'!A788</f>
        <v/>
      </c>
      <c r="B785" s="22" t="str">
        <f>'EQUITY BACKTEST'!B788</f>
        <v/>
      </c>
      <c r="C785" s="22" t="str">
        <f>1/'EQUITY BACKTEST'!E788</f>
        <v>#DIV/0!</v>
      </c>
      <c r="D785" s="22" t="str">
        <f t="shared" si="1"/>
        <v>#DIV/0!</v>
      </c>
      <c r="E785" s="22" t="str">
        <f t="shared" ref="E785:F785" si="785">IF(A785&lt;&gt;"", (B785 - B784) / B784, "")</f>
        <v/>
      </c>
      <c r="F785" s="22" t="str">
        <f t="shared" si="785"/>
        <v/>
      </c>
      <c r="H785" s="22" t="str">
        <f t="shared" si="4"/>
        <v/>
      </c>
    </row>
    <row r="786" ht="15.75" customHeight="1">
      <c r="A786" s="31" t="str">
        <f>'EQUITY BACKTEST'!A789</f>
        <v/>
      </c>
      <c r="B786" s="22" t="str">
        <f>'EQUITY BACKTEST'!B789</f>
        <v/>
      </c>
      <c r="C786" s="22" t="str">
        <f>1/'EQUITY BACKTEST'!E789</f>
        <v>#DIV/0!</v>
      </c>
      <c r="D786" s="22" t="str">
        <f t="shared" si="1"/>
        <v>#DIV/0!</v>
      </c>
      <c r="E786" s="22" t="str">
        <f t="shared" ref="E786:F786" si="786">IF(A786&lt;&gt;"", (B786 - B785) / B785, "")</f>
        <v/>
      </c>
      <c r="F786" s="22" t="str">
        <f t="shared" si="786"/>
        <v/>
      </c>
      <c r="H786" s="22" t="str">
        <f t="shared" si="4"/>
        <v/>
      </c>
    </row>
    <row r="787" ht="15.75" customHeight="1">
      <c r="A787" s="31" t="str">
        <f>'EQUITY BACKTEST'!A790</f>
        <v/>
      </c>
      <c r="B787" s="22" t="str">
        <f>'EQUITY BACKTEST'!B790</f>
        <v/>
      </c>
      <c r="C787" s="22" t="str">
        <f>1/'EQUITY BACKTEST'!E790</f>
        <v>#DIV/0!</v>
      </c>
      <c r="D787" s="22" t="str">
        <f t="shared" si="1"/>
        <v>#DIV/0!</v>
      </c>
      <c r="E787" s="22" t="str">
        <f t="shared" ref="E787:F787" si="787">IF(A787&lt;&gt;"", (B787 - B786) / B786, "")</f>
        <v/>
      </c>
      <c r="F787" s="22" t="str">
        <f t="shared" si="787"/>
        <v/>
      </c>
      <c r="H787" s="22" t="str">
        <f t="shared" si="4"/>
        <v/>
      </c>
    </row>
    <row r="788" ht="15.75" customHeight="1">
      <c r="A788" s="31" t="str">
        <f>'EQUITY BACKTEST'!A791</f>
        <v/>
      </c>
      <c r="B788" s="22" t="str">
        <f>'EQUITY BACKTEST'!B791</f>
        <v/>
      </c>
      <c r="C788" s="22" t="str">
        <f>1/'EQUITY BACKTEST'!E791</f>
        <v>#DIV/0!</v>
      </c>
      <c r="D788" s="22" t="str">
        <f t="shared" si="1"/>
        <v>#DIV/0!</v>
      </c>
      <c r="E788" s="22" t="str">
        <f t="shared" ref="E788:F788" si="788">IF(A788&lt;&gt;"", (B788 - B787) / B787, "")</f>
        <v/>
      </c>
      <c r="F788" s="22" t="str">
        <f t="shared" si="788"/>
        <v/>
      </c>
      <c r="H788" s="22" t="str">
        <f t="shared" si="4"/>
        <v/>
      </c>
    </row>
    <row r="789" ht="15.75" customHeight="1">
      <c r="A789" s="31" t="str">
        <f>'EQUITY BACKTEST'!A792</f>
        <v/>
      </c>
      <c r="B789" s="22" t="str">
        <f>'EQUITY BACKTEST'!B792</f>
        <v/>
      </c>
      <c r="C789" s="22" t="str">
        <f>1/'EQUITY BACKTEST'!E792</f>
        <v>#DIV/0!</v>
      </c>
      <c r="D789" s="22" t="str">
        <f t="shared" si="1"/>
        <v>#DIV/0!</v>
      </c>
      <c r="E789" s="22" t="str">
        <f t="shared" ref="E789:F789" si="789">IF(A789&lt;&gt;"", (B789 - B788) / B788, "")</f>
        <v/>
      </c>
      <c r="F789" s="22" t="str">
        <f t="shared" si="789"/>
        <v/>
      </c>
      <c r="H789" s="22" t="str">
        <f t="shared" si="4"/>
        <v/>
      </c>
    </row>
    <row r="790" ht="15.75" customHeight="1">
      <c r="A790" s="31" t="str">
        <f>'EQUITY BACKTEST'!A793</f>
        <v/>
      </c>
      <c r="B790" s="22" t="str">
        <f>'EQUITY BACKTEST'!B793</f>
        <v/>
      </c>
      <c r="C790" s="22" t="str">
        <f>1/'EQUITY BACKTEST'!E793</f>
        <v>#DIV/0!</v>
      </c>
      <c r="D790" s="22" t="str">
        <f t="shared" si="1"/>
        <v>#DIV/0!</v>
      </c>
      <c r="E790" s="22" t="str">
        <f t="shared" ref="E790:F790" si="790">IF(A790&lt;&gt;"", (B790 - B789) / B789, "")</f>
        <v/>
      </c>
      <c r="F790" s="22" t="str">
        <f t="shared" si="790"/>
        <v/>
      </c>
      <c r="H790" s="22" t="str">
        <f t="shared" si="4"/>
        <v/>
      </c>
    </row>
    <row r="791" ht="15.75" customHeight="1">
      <c r="A791" s="31" t="str">
        <f>'EQUITY BACKTEST'!A794</f>
        <v/>
      </c>
      <c r="B791" s="22" t="str">
        <f>'EQUITY BACKTEST'!B794</f>
        <v/>
      </c>
      <c r="C791" s="22" t="str">
        <f>1/'EQUITY BACKTEST'!E794</f>
        <v>#DIV/0!</v>
      </c>
      <c r="D791" s="22" t="str">
        <f t="shared" si="1"/>
        <v>#DIV/0!</v>
      </c>
      <c r="E791" s="22" t="str">
        <f t="shared" ref="E791:F791" si="791">IF(A791&lt;&gt;"", (B791 - B790) / B790, "")</f>
        <v/>
      </c>
      <c r="F791" s="22" t="str">
        <f t="shared" si="791"/>
        <v/>
      </c>
      <c r="H791" s="22" t="str">
        <f t="shared" si="4"/>
        <v/>
      </c>
    </row>
    <row r="792" ht="15.75" customHeight="1">
      <c r="A792" s="31" t="str">
        <f>'EQUITY BACKTEST'!A795</f>
        <v/>
      </c>
      <c r="B792" s="22" t="str">
        <f>'EQUITY BACKTEST'!B795</f>
        <v/>
      </c>
      <c r="C792" s="22" t="str">
        <f>1/'EQUITY BACKTEST'!E795</f>
        <v>#DIV/0!</v>
      </c>
      <c r="D792" s="22" t="str">
        <f t="shared" si="1"/>
        <v>#DIV/0!</v>
      </c>
      <c r="E792" s="22" t="str">
        <f t="shared" ref="E792:F792" si="792">IF(A792&lt;&gt;"", (B792 - B791) / B791, "")</f>
        <v/>
      </c>
      <c r="F792" s="22" t="str">
        <f t="shared" si="792"/>
        <v/>
      </c>
      <c r="H792" s="22" t="str">
        <f t="shared" si="4"/>
        <v/>
      </c>
    </row>
    <row r="793" ht="15.75" customHeight="1">
      <c r="A793" s="31" t="str">
        <f>'EQUITY BACKTEST'!A796</f>
        <v/>
      </c>
      <c r="B793" s="22" t="str">
        <f>'EQUITY BACKTEST'!B796</f>
        <v/>
      </c>
      <c r="C793" s="22" t="str">
        <f>1/'EQUITY BACKTEST'!E796</f>
        <v>#DIV/0!</v>
      </c>
      <c r="D793" s="22" t="str">
        <f t="shared" si="1"/>
        <v>#DIV/0!</v>
      </c>
      <c r="E793" s="22" t="str">
        <f t="shared" ref="E793:F793" si="793">IF(A793&lt;&gt;"", (B793 - B792) / B792, "")</f>
        <v/>
      </c>
      <c r="F793" s="22" t="str">
        <f t="shared" si="793"/>
        <v/>
      </c>
      <c r="H793" s="22" t="str">
        <f t="shared" si="4"/>
        <v/>
      </c>
    </row>
    <row r="794" ht="15.75" customHeight="1">
      <c r="A794" s="31" t="str">
        <f>'EQUITY BACKTEST'!A797</f>
        <v/>
      </c>
      <c r="B794" s="22" t="str">
        <f>'EQUITY BACKTEST'!B797</f>
        <v/>
      </c>
      <c r="C794" s="22" t="str">
        <f>1/'EQUITY BACKTEST'!E797</f>
        <v>#DIV/0!</v>
      </c>
      <c r="D794" s="22" t="str">
        <f t="shared" si="1"/>
        <v>#DIV/0!</v>
      </c>
      <c r="E794" s="22" t="str">
        <f t="shared" ref="E794:F794" si="794">IF(A794&lt;&gt;"", (B794 - B793) / B793, "")</f>
        <v/>
      </c>
      <c r="F794" s="22" t="str">
        <f t="shared" si="794"/>
        <v/>
      </c>
      <c r="H794" s="22" t="str">
        <f t="shared" si="4"/>
        <v/>
      </c>
    </row>
    <row r="795" ht="15.75" customHeight="1">
      <c r="A795" s="31" t="str">
        <f>'EQUITY BACKTEST'!A798</f>
        <v/>
      </c>
      <c r="B795" s="22" t="str">
        <f>'EQUITY BACKTEST'!B798</f>
        <v/>
      </c>
      <c r="C795" s="22" t="str">
        <f>1/'EQUITY BACKTEST'!E798</f>
        <v>#DIV/0!</v>
      </c>
      <c r="D795" s="22" t="str">
        <f t="shared" si="1"/>
        <v>#DIV/0!</v>
      </c>
      <c r="E795" s="22" t="str">
        <f t="shared" ref="E795:F795" si="795">IF(A795&lt;&gt;"", (B795 - B794) / B794, "")</f>
        <v/>
      </c>
      <c r="F795" s="22" t="str">
        <f t="shared" si="795"/>
        <v/>
      </c>
      <c r="H795" s="22" t="str">
        <f t="shared" si="4"/>
        <v/>
      </c>
    </row>
    <row r="796" ht="15.75" customHeight="1">
      <c r="A796" s="31" t="str">
        <f>'EQUITY BACKTEST'!A799</f>
        <v/>
      </c>
      <c r="B796" s="22" t="str">
        <f>'EQUITY BACKTEST'!B799</f>
        <v/>
      </c>
      <c r="C796" s="22" t="str">
        <f>1/'EQUITY BACKTEST'!E799</f>
        <v>#DIV/0!</v>
      </c>
      <c r="D796" s="22" t="str">
        <f t="shared" si="1"/>
        <v>#DIV/0!</v>
      </c>
      <c r="E796" s="22" t="str">
        <f t="shared" ref="E796:F796" si="796">IF(A796&lt;&gt;"", (B796 - B795) / B795, "")</f>
        <v/>
      </c>
      <c r="F796" s="22" t="str">
        <f t="shared" si="796"/>
        <v/>
      </c>
      <c r="H796" s="22" t="str">
        <f t="shared" si="4"/>
        <v/>
      </c>
    </row>
    <row r="797" ht="15.75" customHeight="1">
      <c r="A797" s="31" t="str">
        <f>'EQUITY BACKTEST'!A800</f>
        <v/>
      </c>
      <c r="B797" s="22" t="str">
        <f>'EQUITY BACKTEST'!B800</f>
        <v/>
      </c>
      <c r="C797" s="22" t="str">
        <f>1/'EQUITY BACKTEST'!E800</f>
        <v>#DIV/0!</v>
      </c>
      <c r="D797" s="22" t="str">
        <f t="shared" si="1"/>
        <v>#DIV/0!</v>
      </c>
      <c r="E797" s="22" t="str">
        <f t="shared" ref="E797:F797" si="797">IF(A797&lt;&gt;"", (B797 - B796) / B796, "")</f>
        <v/>
      </c>
      <c r="F797" s="22" t="str">
        <f t="shared" si="797"/>
        <v/>
      </c>
      <c r="H797" s="22" t="str">
        <f t="shared" si="4"/>
        <v/>
      </c>
    </row>
    <row r="798" ht="15.75" customHeight="1">
      <c r="A798" s="31" t="str">
        <f>'EQUITY BACKTEST'!A801</f>
        <v/>
      </c>
      <c r="B798" s="22" t="str">
        <f>'EQUITY BACKTEST'!B801</f>
        <v/>
      </c>
      <c r="C798" s="22" t="str">
        <f>1/'EQUITY BACKTEST'!E801</f>
        <v>#DIV/0!</v>
      </c>
      <c r="D798" s="22" t="str">
        <f t="shared" si="1"/>
        <v>#DIV/0!</v>
      </c>
      <c r="E798" s="22" t="str">
        <f t="shared" ref="E798:F798" si="798">IF(A798&lt;&gt;"", (B798 - B797) / B797, "")</f>
        <v/>
      </c>
      <c r="F798" s="22" t="str">
        <f t="shared" si="798"/>
        <v/>
      </c>
      <c r="H798" s="22" t="str">
        <f t="shared" si="4"/>
        <v/>
      </c>
    </row>
    <row r="799" ht="15.75" customHeight="1">
      <c r="A799" s="31" t="str">
        <f>'EQUITY BACKTEST'!A802</f>
        <v/>
      </c>
      <c r="B799" s="22" t="str">
        <f>'EQUITY BACKTEST'!B802</f>
        <v/>
      </c>
      <c r="C799" s="22" t="str">
        <f>1/'EQUITY BACKTEST'!E802</f>
        <v>#DIV/0!</v>
      </c>
      <c r="D799" s="22" t="str">
        <f t="shared" si="1"/>
        <v>#DIV/0!</v>
      </c>
      <c r="E799" s="22" t="str">
        <f t="shared" ref="E799:F799" si="799">IF(A799&lt;&gt;"", (B799 - B798) / B798, "")</f>
        <v/>
      </c>
      <c r="F799" s="22" t="str">
        <f t="shared" si="799"/>
        <v/>
      </c>
      <c r="H799" s="22" t="str">
        <f t="shared" si="4"/>
        <v/>
      </c>
    </row>
    <row r="800" ht="15.75" customHeight="1">
      <c r="A800" s="31" t="str">
        <f>'EQUITY BACKTEST'!A803</f>
        <v/>
      </c>
      <c r="B800" s="22" t="str">
        <f>'EQUITY BACKTEST'!B803</f>
        <v/>
      </c>
      <c r="C800" s="22" t="str">
        <f>1/'EQUITY BACKTEST'!E803</f>
        <v>#DIV/0!</v>
      </c>
      <c r="D800" s="22" t="str">
        <f t="shared" si="1"/>
        <v>#DIV/0!</v>
      </c>
      <c r="E800" s="22" t="str">
        <f t="shared" ref="E800:F800" si="800">IF(A800&lt;&gt;"", (B800 - B799) / B799, "")</f>
        <v/>
      </c>
      <c r="F800" s="22" t="str">
        <f t="shared" si="800"/>
        <v/>
      </c>
      <c r="H800" s="22" t="str">
        <f t="shared" si="4"/>
        <v/>
      </c>
    </row>
    <row r="801" ht="15.75" customHeight="1">
      <c r="A801" s="31" t="str">
        <f>'EQUITY BACKTEST'!A804</f>
        <v/>
      </c>
      <c r="B801" s="22" t="str">
        <f>'EQUITY BACKTEST'!B804</f>
        <v/>
      </c>
      <c r="C801" s="22" t="str">
        <f>1/'EQUITY BACKTEST'!E804</f>
        <v>#DIV/0!</v>
      </c>
      <c r="D801" s="22" t="str">
        <f t="shared" si="1"/>
        <v>#DIV/0!</v>
      </c>
      <c r="E801" s="22" t="str">
        <f t="shared" ref="E801:F801" si="801">IF(A801&lt;&gt;"", (B801 - B800) / B800, "")</f>
        <v/>
      </c>
      <c r="F801" s="22" t="str">
        <f t="shared" si="801"/>
        <v/>
      </c>
      <c r="H801" s="22" t="str">
        <f t="shared" si="4"/>
        <v/>
      </c>
    </row>
    <row r="802" ht="15.75" customHeight="1">
      <c r="A802" s="31" t="str">
        <f>'EQUITY BACKTEST'!A805</f>
        <v/>
      </c>
      <c r="B802" s="22" t="str">
        <f>'EQUITY BACKTEST'!B805</f>
        <v/>
      </c>
      <c r="C802" s="22" t="str">
        <f>1/'EQUITY BACKTEST'!E805</f>
        <v>#DIV/0!</v>
      </c>
      <c r="D802" s="22" t="str">
        <f t="shared" si="1"/>
        <v>#DIV/0!</v>
      </c>
      <c r="E802" s="22" t="str">
        <f t="shared" ref="E802:F802" si="802">IF(A802&lt;&gt;"", (B802 - B801) / B801, "")</f>
        <v/>
      </c>
      <c r="F802" s="22" t="str">
        <f t="shared" si="802"/>
        <v/>
      </c>
      <c r="H802" s="22" t="str">
        <f t="shared" si="4"/>
        <v/>
      </c>
    </row>
    <row r="803" ht="15.75" customHeight="1">
      <c r="A803" s="31" t="str">
        <f>'EQUITY BACKTEST'!A806</f>
        <v/>
      </c>
      <c r="B803" s="22" t="str">
        <f>'EQUITY BACKTEST'!B806</f>
        <v/>
      </c>
      <c r="C803" s="22" t="str">
        <f>1/'EQUITY BACKTEST'!E806</f>
        <v>#DIV/0!</v>
      </c>
      <c r="D803" s="22" t="str">
        <f t="shared" si="1"/>
        <v>#DIV/0!</v>
      </c>
      <c r="E803" s="22" t="str">
        <f t="shared" ref="E803:F803" si="803">IF(A803&lt;&gt;"", (B803 - B802) / B802, "")</f>
        <v/>
      </c>
      <c r="F803" s="22" t="str">
        <f t="shared" si="803"/>
        <v/>
      </c>
      <c r="H803" s="22" t="str">
        <f t="shared" si="4"/>
        <v/>
      </c>
    </row>
    <row r="804" ht="15.75" customHeight="1">
      <c r="A804" s="31" t="str">
        <f>'EQUITY BACKTEST'!A807</f>
        <v/>
      </c>
      <c r="B804" s="22" t="str">
        <f>'EQUITY BACKTEST'!B807</f>
        <v/>
      </c>
      <c r="C804" s="22" t="str">
        <f>1/'EQUITY BACKTEST'!E807</f>
        <v>#DIV/0!</v>
      </c>
      <c r="D804" s="22" t="str">
        <f t="shared" si="1"/>
        <v>#DIV/0!</v>
      </c>
      <c r="E804" s="22" t="str">
        <f t="shared" ref="E804:F804" si="804">IF(A804&lt;&gt;"", (B804 - B803) / B803, "")</f>
        <v/>
      </c>
      <c r="F804" s="22" t="str">
        <f t="shared" si="804"/>
        <v/>
      </c>
      <c r="H804" s="22" t="str">
        <f t="shared" si="4"/>
        <v/>
      </c>
    </row>
    <row r="805" ht="15.75" customHeight="1">
      <c r="A805" s="31" t="str">
        <f>'EQUITY BACKTEST'!A808</f>
        <v/>
      </c>
      <c r="B805" s="22" t="str">
        <f>'EQUITY BACKTEST'!B808</f>
        <v/>
      </c>
      <c r="C805" s="22" t="str">
        <f>1/'EQUITY BACKTEST'!E808</f>
        <v>#DIV/0!</v>
      </c>
      <c r="D805" s="22" t="str">
        <f t="shared" si="1"/>
        <v>#DIV/0!</v>
      </c>
      <c r="E805" s="22" t="str">
        <f t="shared" ref="E805:F805" si="805">IF(A805&lt;&gt;"", (B805 - B804) / B804, "")</f>
        <v/>
      </c>
      <c r="F805" s="22" t="str">
        <f t="shared" si="805"/>
        <v/>
      </c>
      <c r="H805" s="22" t="str">
        <f t="shared" si="4"/>
        <v/>
      </c>
    </row>
    <row r="806" ht="15.75" customHeight="1">
      <c r="A806" s="31" t="str">
        <f>'EQUITY BACKTEST'!A809</f>
        <v/>
      </c>
      <c r="B806" s="22" t="str">
        <f>'EQUITY BACKTEST'!B809</f>
        <v/>
      </c>
      <c r="C806" s="22" t="str">
        <f>1/'EQUITY BACKTEST'!E809</f>
        <v>#DIV/0!</v>
      </c>
      <c r="D806" s="22" t="str">
        <f t="shared" si="1"/>
        <v>#DIV/0!</v>
      </c>
      <c r="E806" s="22" t="str">
        <f t="shared" ref="E806:F806" si="806">IF(A806&lt;&gt;"", (B806 - B805) / B805, "")</f>
        <v/>
      </c>
      <c r="F806" s="22" t="str">
        <f t="shared" si="806"/>
        <v/>
      </c>
      <c r="H806" s="22" t="str">
        <f t="shared" si="4"/>
        <v/>
      </c>
    </row>
    <row r="807" ht="15.75" customHeight="1">
      <c r="A807" s="31" t="str">
        <f>'EQUITY BACKTEST'!A810</f>
        <v/>
      </c>
      <c r="B807" s="22" t="str">
        <f>'EQUITY BACKTEST'!B810</f>
        <v/>
      </c>
      <c r="C807" s="22" t="str">
        <f>1/'EQUITY BACKTEST'!E810</f>
        <v>#DIV/0!</v>
      </c>
      <c r="D807" s="22" t="str">
        <f t="shared" si="1"/>
        <v>#DIV/0!</v>
      </c>
      <c r="E807" s="22" t="str">
        <f t="shared" ref="E807:F807" si="807">IF(A807&lt;&gt;"", (B807 - B806) / B806, "")</f>
        <v/>
      </c>
      <c r="F807" s="22" t="str">
        <f t="shared" si="807"/>
        <v/>
      </c>
      <c r="H807" s="22" t="str">
        <f t="shared" si="4"/>
        <v/>
      </c>
    </row>
    <row r="808" ht="15.75" customHeight="1">
      <c r="A808" s="31" t="str">
        <f>'EQUITY BACKTEST'!A811</f>
        <v/>
      </c>
      <c r="B808" s="22" t="str">
        <f>'EQUITY BACKTEST'!B811</f>
        <v/>
      </c>
      <c r="C808" s="22" t="str">
        <f>1/'EQUITY BACKTEST'!E811</f>
        <v>#DIV/0!</v>
      </c>
      <c r="D808" s="22" t="str">
        <f t="shared" si="1"/>
        <v>#DIV/0!</v>
      </c>
      <c r="E808" s="22" t="str">
        <f t="shared" ref="E808:F808" si="808">IF(A808&lt;&gt;"", (B808 - B807) / B807, "")</f>
        <v/>
      </c>
      <c r="F808" s="22" t="str">
        <f t="shared" si="808"/>
        <v/>
      </c>
      <c r="H808" s="22" t="str">
        <f t="shared" si="4"/>
        <v/>
      </c>
    </row>
    <row r="809" ht="15.75" customHeight="1">
      <c r="A809" s="31" t="str">
        <f>'EQUITY BACKTEST'!A812</f>
        <v/>
      </c>
      <c r="B809" s="22" t="str">
        <f>'EQUITY BACKTEST'!B812</f>
        <v/>
      </c>
      <c r="C809" s="22" t="str">
        <f>1/'EQUITY BACKTEST'!E812</f>
        <v>#DIV/0!</v>
      </c>
      <c r="D809" s="22" t="str">
        <f t="shared" si="1"/>
        <v>#DIV/0!</v>
      </c>
      <c r="E809" s="22" t="str">
        <f t="shared" ref="E809:F809" si="809">IF(A809&lt;&gt;"", (B809 - B808) / B808, "")</f>
        <v/>
      </c>
      <c r="F809" s="22" t="str">
        <f t="shared" si="809"/>
        <v/>
      </c>
      <c r="H809" s="22" t="str">
        <f t="shared" si="4"/>
        <v/>
      </c>
    </row>
    <row r="810" ht="15.75" customHeight="1">
      <c r="A810" s="31" t="str">
        <f>'EQUITY BACKTEST'!A813</f>
        <v/>
      </c>
      <c r="B810" s="22" t="str">
        <f>'EQUITY BACKTEST'!B813</f>
        <v/>
      </c>
      <c r="C810" s="22" t="str">
        <f>1/'EQUITY BACKTEST'!E813</f>
        <v>#DIV/0!</v>
      </c>
      <c r="D810" s="22" t="str">
        <f t="shared" si="1"/>
        <v>#DIV/0!</v>
      </c>
      <c r="E810" s="22" t="str">
        <f t="shared" ref="E810:F810" si="810">IF(A810&lt;&gt;"", (B810 - B809) / B809, "")</f>
        <v/>
      </c>
      <c r="F810" s="22" t="str">
        <f t="shared" si="810"/>
        <v/>
      </c>
      <c r="H810" s="22" t="str">
        <f t="shared" si="4"/>
        <v/>
      </c>
    </row>
    <row r="811" ht="15.75" customHeight="1">
      <c r="A811" s="31" t="str">
        <f>'EQUITY BACKTEST'!A814</f>
        <v/>
      </c>
      <c r="B811" s="22" t="str">
        <f>'EQUITY BACKTEST'!B814</f>
        <v/>
      </c>
      <c r="C811" s="22" t="str">
        <f>1/'EQUITY BACKTEST'!E814</f>
        <v>#DIV/0!</v>
      </c>
      <c r="D811" s="22" t="str">
        <f t="shared" si="1"/>
        <v>#DIV/0!</v>
      </c>
      <c r="E811" s="22" t="str">
        <f t="shared" ref="E811:F811" si="811">IF(A811&lt;&gt;"", (B811 - B810) / B810, "")</f>
        <v/>
      </c>
      <c r="F811" s="22" t="str">
        <f t="shared" si="811"/>
        <v/>
      </c>
      <c r="H811" s="22" t="str">
        <f t="shared" si="4"/>
        <v/>
      </c>
    </row>
    <row r="812" ht="15.75" customHeight="1">
      <c r="A812" s="31" t="str">
        <f>'EQUITY BACKTEST'!A815</f>
        <v/>
      </c>
      <c r="B812" s="22" t="str">
        <f>'EQUITY BACKTEST'!B815</f>
        <v/>
      </c>
      <c r="C812" s="22" t="str">
        <f>1/'EQUITY BACKTEST'!E815</f>
        <v>#DIV/0!</v>
      </c>
      <c r="D812" s="22" t="str">
        <f t="shared" si="1"/>
        <v>#DIV/0!</v>
      </c>
      <c r="E812" s="22" t="str">
        <f t="shared" ref="E812:F812" si="812">IF(A812&lt;&gt;"", (B812 - B811) / B811, "")</f>
        <v/>
      </c>
      <c r="F812" s="22" t="str">
        <f t="shared" si="812"/>
        <v/>
      </c>
      <c r="H812" s="22" t="str">
        <f t="shared" si="4"/>
        <v/>
      </c>
    </row>
    <row r="813" ht="15.75" customHeight="1">
      <c r="A813" s="31" t="str">
        <f>'EQUITY BACKTEST'!A816</f>
        <v/>
      </c>
      <c r="B813" s="22" t="str">
        <f>'EQUITY BACKTEST'!B816</f>
        <v/>
      </c>
      <c r="C813" s="22" t="str">
        <f>1/'EQUITY BACKTEST'!E816</f>
        <v>#DIV/0!</v>
      </c>
      <c r="D813" s="22" t="str">
        <f t="shared" si="1"/>
        <v>#DIV/0!</v>
      </c>
      <c r="E813" s="22" t="str">
        <f t="shared" ref="E813:F813" si="813">IF(A813&lt;&gt;"", (B813 - B812) / B812, "")</f>
        <v/>
      </c>
      <c r="F813" s="22" t="str">
        <f t="shared" si="813"/>
        <v/>
      </c>
      <c r="H813" s="22" t="str">
        <f t="shared" si="4"/>
        <v/>
      </c>
    </row>
    <row r="814" ht="15.75" customHeight="1">
      <c r="A814" s="31" t="str">
        <f>'EQUITY BACKTEST'!A817</f>
        <v/>
      </c>
      <c r="B814" s="22" t="str">
        <f>'EQUITY BACKTEST'!B817</f>
        <v/>
      </c>
      <c r="C814" s="22" t="str">
        <f>1/'EQUITY BACKTEST'!E817</f>
        <v>#DIV/0!</v>
      </c>
      <c r="D814" s="22" t="str">
        <f t="shared" si="1"/>
        <v>#DIV/0!</v>
      </c>
      <c r="E814" s="22" t="str">
        <f t="shared" ref="E814:F814" si="814">IF(A814&lt;&gt;"", (B814 - B813) / B813, "")</f>
        <v/>
      </c>
      <c r="F814" s="22" t="str">
        <f t="shared" si="814"/>
        <v/>
      </c>
      <c r="H814" s="22" t="str">
        <f t="shared" si="4"/>
        <v/>
      </c>
    </row>
    <row r="815" ht="15.75" customHeight="1">
      <c r="A815" s="31" t="str">
        <f>'EQUITY BACKTEST'!A818</f>
        <v/>
      </c>
      <c r="B815" s="22" t="str">
        <f>'EQUITY BACKTEST'!B818</f>
        <v/>
      </c>
      <c r="C815" s="22" t="str">
        <f>1/'EQUITY BACKTEST'!E818</f>
        <v>#DIV/0!</v>
      </c>
      <c r="D815" s="22" t="str">
        <f t="shared" si="1"/>
        <v>#DIV/0!</v>
      </c>
      <c r="E815" s="22" t="str">
        <f t="shared" ref="E815:F815" si="815">IF(A815&lt;&gt;"", (B815 - B814) / B814, "")</f>
        <v/>
      </c>
      <c r="F815" s="22" t="str">
        <f t="shared" si="815"/>
        <v/>
      </c>
      <c r="H815" s="22" t="str">
        <f t="shared" si="4"/>
        <v/>
      </c>
    </row>
    <row r="816" ht="15.75" customHeight="1">
      <c r="A816" s="31" t="str">
        <f>'EQUITY BACKTEST'!A819</f>
        <v/>
      </c>
      <c r="B816" s="22" t="str">
        <f>'EQUITY BACKTEST'!B819</f>
        <v/>
      </c>
      <c r="C816" s="22" t="str">
        <f>1/'EQUITY BACKTEST'!E819</f>
        <v>#DIV/0!</v>
      </c>
      <c r="D816" s="22" t="str">
        <f t="shared" si="1"/>
        <v>#DIV/0!</v>
      </c>
      <c r="E816" s="22" t="str">
        <f t="shared" ref="E816:F816" si="816">IF(A816&lt;&gt;"", (B816 - B815) / B815, "")</f>
        <v/>
      </c>
      <c r="F816" s="22" t="str">
        <f t="shared" si="816"/>
        <v/>
      </c>
      <c r="H816" s="22" t="str">
        <f t="shared" si="4"/>
        <v/>
      </c>
    </row>
    <row r="817" ht="15.75" customHeight="1">
      <c r="A817" s="31" t="str">
        <f>'EQUITY BACKTEST'!A820</f>
        <v/>
      </c>
      <c r="B817" s="22" t="str">
        <f>'EQUITY BACKTEST'!B820</f>
        <v/>
      </c>
      <c r="C817" s="22" t="str">
        <f>1/'EQUITY BACKTEST'!E820</f>
        <v>#DIV/0!</v>
      </c>
      <c r="D817" s="22" t="str">
        <f t="shared" si="1"/>
        <v>#DIV/0!</v>
      </c>
      <c r="E817" s="22" t="str">
        <f t="shared" ref="E817:F817" si="817">IF(A817&lt;&gt;"", (B817 - B816) / B816, "")</f>
        <v/>
      </c>
      <c r="F817" s="22" t="str">
        <f t="shared" si="817"/>
        <v/>
      </c>
      <c r="H817" s="22" t="str">
        <f t="shared" si="4"/>
        <v/>
      </c>
    </row>
    <row r="818" ht="15.75" customHeight="1">
      <c r="A818" s="31" t="str">
        <f>'EQUITY BACKTEST'!A821</f>
        <v/>
      </c>
      <c r="B818" s="22" t="str">
        <f>'EQUITY BACKTEST'!B821</f>
        <v/>
      </c>
      <c r="C818" s="22" t="str">
        <f>1/'EQUITY BACKTEST'!E821</f>
        <v>#DIV/0!</v>
      </c>
      <c r="D818" s="22" t="str">
        <f t="shared" si="1"/>
        <v>#DIV/0!</v>
      </c>
      <c r="E818" s="22" t="str">
        <f t="shared" ref="E818:F818" si="818">IF(A818&lt;&gt;"", (B818 - B817) / B817, "")</f>
        <v/>
      </c>
      <c r="F818" s="22" t="str">
        <f t="shared" si="818"/>
        <v/>
      </c>
      <c r="H818" s="22" t="str">
        <f t="shared" si="4"/>
        <v/>
      </c>
    </row>
    <row r="819" ht="15.75" customHeight="1">
      <c r="A819" s="31" t="str">
        <f>'EQUITY BACKTEST'!A822</f>
        <v/>
      </c>
      <c r="B819" s="22" t="str">
        <f>'EQUITY BACKTEST'!B822</f>
        <v/>
      </c>
      <c r="C819" s="22" t="str">
        <f>1/'EQUITY BACKTEST'!E822</f>
        <v>#DIV/0!</v>
      </c>
      <c r="D819" s="22" t="str">
        <f t="shared" si="1"/>
        <v>#DIV/0!</v>
      </c>
      <c r="E819" s="22" t="str">
        <f t="shared" ref="E819:F819" si="819">IF(A819&lt;&gt;"", (B819 - B818) / B818, "")</f>
        <v/>
      </c>
      <c r="F819" s="22" t="str">
        <f t="shared" si="819"/>
        <v/>
      </c>
      <c r="H819" s="22" t="str">
        <f t="shared" si="4"/>
        <v/>
      </c>
    </row>
    <row r="820" ht="15.75" customHeight="1">
      <c r="A820" s="31" t="str">
        <f>'EQUITY BACKTEST'!A823</f>
        <v/>
      </c>
      <c r="B820" s="22" t="str">
        <f>'EQUITY BACKTEST'!B823</f>
        <v/>
      </c>
      <c r="C820" s="22" t="str">
        <f>1/'EQUITY BACKTEST'!E823</f>
        <v>#DIV/0!</v>
      </c>
      <c r="D820" s="22" t="str">
        <f t="shared" si="1"/>
        <v>#DIV/0!</v>
      </c>
      <c r="E820" s="22" t="str">
        <f t="shared" ref="E820:F820" si="820">IF(A820&lt;&gt;"", (B820 - B819) / B819, "")</f>
        <v/>
      </c>
      <c r="F820" s="22" t="str">
        <f t="shared" si="820"/>
        <v/>
      </c>
      <c r="H820" s="22" t="str">
        <f t="shared" si="4"/>
        <v/>
      </c>
    </row>
    <row r="821" ht="15.75" customHeight="1">
      <c r="A821" s="31" t="str">
        <f>'EQUITY BACKTEST'!A824</f>
        <v/>
      </c>
      <c r="B821" s="22" t="str">
        <f>'EQUITY BACKTEST'!B824</f>
        <v/>
      </c>
      <c r="C821" s="22" t="str">
        <f>1/'EQUITY BACKTEST'!E824</f>
        <v>#DIV/0!</v>
      </c>
      <c r="D821" s="22" t="str">
        <f t="shared" si="1"/>
        <v>#DIV/0!</v>
      </c>
      <c r="E821" s="22" t="str">
        <f t="shared" ref="E821:F821" si="821">IF(A821&lt;&gt;"", (B821 - B820) / B820, "")</f>
        <v/>
      </c>
      <c r="F821" s="22" t="str">
        <f t="shared" si="821"/>
        <v/>
      </c>
      <c r="H821" s="22" t="str">
        <f t="shared" si="4"/>
        <v/>
      </c>
    </row>
    <row r="822" ht="15.75" customHeight="1">
      <c r="A822" s="31" t="str">
        <f>'EQUITY BACKTEST'!A825</f>
        <v/>
      </c>
      <c r="B822" s="22" t="str">
        <f>'EQUITY BACKTEST'!B825</f>
        <v/>
      </c>
      <c r="C822" s="22" t="str">
        <f>1/'EQUITY BACKTEST'!E825</f>
        <v>#DIV/0!</v>
      </c>
      <c r="D822" s="22" t="str">
        <f t="shared" si="1"/>
        <v>#DIV/0!</v>
      </c>
      <c r="E822" s="22" t="str">
        <f t="shared" ref="E822:F822" si="822">IF(A822&lt;&gt;"", (B822 - B821) / B821, "")</f>
        <v/>
      </c>
      <c r="F822" s="22" t="str">
        <f t="shared" si="822"/>
        <v/>
      </c>
      <c r="H822" s="22" t="str">
        <f t="shared" si="4"/>
        <v/>
      </c>
    </row>
    <row r="823" ht="15.75" customHeight="1">
      <c r="A823" s="31" t="str">
        <f>'EQUITY BACKTEST'!A826</f>
        <v/>
      </c>
      <c r="B823" s="22" t="str">
        <f>'EQUITY BACKTEST'!B826</f>
        <v/>
      </c>
      <c r="C823" s="22" t="str">
        <f>1/'EQUITY BACKTEST'!E826</f>
        <v>#DIV/0!</v>
      </c>
      <c r="D823" s="22" t="str">
        <f t="shared" si="1"/>
        <v>#DIV/0!</v>
      </c>
      <c r="E823" s="22" t="str">
        <f t="shared" ref="E823:F823" si="823">IF(A823&lt;&gt;"", (B823 - B822) / B822, "")</f>
        <v/>
      </c>
      <c r="F823" s="22" t="str">
        <f t="shared" si="823"/>
        <v/>
      </c>
      <c r="H823" s="22" t="str">
        <f t="shared" si="4"/>
        <v/>
      </c>
    </row>
    <row r="824" ht="15.75" customHeight="1">
      <c r="A824" s="31" t="str">
        <f>'EQUITY BACKTEST'!A827</f>
        <v/>
      </c>
      <c r="B824" s="22" t="str">
        <f>'EQUITY BACKTEST'!B827</f>
        <v/>
      </c>
      <c r="C824" s="22" t="str">
        <f>1/'EQUITY BACKTEST'!E827</f>
        <v>#DIV/0!</v>
      </c>
      <c r="D824" s="22" t="str">
        <f t="shared" si="1"/>
        <v>#DIV/0!</v>
      </c>
      <c r="E824" s="22" t="str">
        <f t="shared" ref="E824:F824" si="824">IF(A824&lt;&gt;"", (B824 - B823) / B823, "")</f>
        <v/>
      </c>
      <c r="F824" s="22" t="str">
        <f t="shared" si="824"/>
        <v/>
      </c>
      <c r="H824" s="22" t="str">
        <f t="shared" si="4"/>
        <v/>
      </c>
    </row>
    <row r="825" ht="15.75" customHeight="1">
      <c r="A825" s="31" t="str">
        <f>'EQUITY BACKTEST'!A828</f>
        <v/>
      </c>
      <c r="B825" s="22" t="str">
        <f>'EQUITY BACKTEST'!B828</f>
        <v/>
      </c>
      <c r="C825" s="22" t="str">
        <f>1/'EQUITY BACKTEST'!E828</f>
        <v>#DIV/0!</v>
      </c>
      <c r="D825" s="22" t="str">
        <f t="shared" si="1"/>
        <v>#DIV/0!</v>
      </c>
      <c r="E825" s="22" t="str">
        <f t="shared" ref="E825:F825" si="825">IF(A825&lt;&gt;"", (B825 - B824) / B824, "")</f>
        <v/>
      </c>
      <c r="F825" s="22" t="str">
        <f t="shared" si="825"/>
        <v/>
      </c>
      <c r="H825" s="22" t="str">
        <f t="shared" si="4"/>
        <v/>
      </c>
    </row>
    <row r="826" ht="15.75" customHeight="1">
      <c r="A826" s="31" t="str">
        <f>'EQUITY BACKTEST'!A829</f>
        <v/>
      </c>
      <c r="B826" s="22" t="str">
        <f>'EQUITY BACKTEST'!B829</f>
        <v/>
      </c>
      <c r="C826" s="22" t="str">
        <f>1/'EQUITY BACKTEST'!E829</f>
        <v>#DIV/0!</v>
      </c>
      <c r="D826" s="22" t="str">
        <f t="shared" si="1"/>
        <v>#DIV/0!</v>
      </c>
      <c r="E826" s="22" t="str">
        <f t="shared" ref="E826:F826" si="826">IF(A826&lt;&gt;"", (B826 - B825) / B825, "")</f>
        <v/>
      </c>
      <c r="F826" s="22" t="str">
        <f t="shared" si="826"/>
        <v/>
      </c>
      <c r="H826" s="22" t="str">
        <f t="shared" si="4"/>
        <v/>
      </c>
    </row>
    <row r="827" ht="15.75" customHeight="1">
      <c r="A827" s="31" t="str">
        <f>'EQUITY BACKTEST'!A830</f>
        <v/>
      </c>
      <c r="B827" s="22" t="str">
        <f>'EQUITY BACKTEST'!B830</f>
        <v/>
      </c>
      <c r="C827" s="22" t="str">
        <f>1/'EQUITY BACKTEST'!E830</f>
        <v>#DIV/0!</v>
      </c>
      <c r="D827" s="22" t="str">
        <f t="shared" si="1"/>
        <v>#DIV/0!</v>
      </c>
      <c r="E827" s="22" t="str">
        <f t="shared" ref="E827:F827" si="827">IF(A827&lt;&gt;"", (B827 - B826) / B826, "")</f>
        <v/>
      </c>
      <c r="F827" s="22" t="str">
        <f t="shared" si="827"/>
        <v/>
      </c>
      <c r="H827" s="22" t="str">
        <f t="shared" si="4"/>
        <v/>
      </c>
    </row>
    <row r="828" ht="15.75" customHeight="1">
      <c r="A828" s="31" t="str">
        <f>'EQUITY BACKTEST'!A831</f>
        <v/>
      </c>
      <c r="B828" s="22" t="str">
        <f>'EQUITY BACKTEST'!B831</f>
        <v/>
      </c>
      <c r="C828" s="22" t="str">
        <f>1/'EQUITY BACKTEST'!E831</f>
        <v>#DIV/0!</v>
      </c>
      <c r="D828" s="22" t="str">
        <f t="shared" si="1"/>
        <v>#DIV/0!</v>
      </c>
      <c r="E828" s="22" t="str">
        <f t="shared" ref="E828:F828" si="828">IF(A828&lt;&gt;"", (B828 - B827) / B827, "")</f>
        <v/>
      </c>
      <c r="F828" s="22" t="str">
        <f t="shared" si="828"/>
        <v/>
      </c>
      <c r="H828" s="22" t="str">
        <f t="shared" si="4"/>
        <v/>
      </c>
    </row>
    <row r="829" ht="15.75" customHeight="1">
      <c r="A829" s="31" t="str">
        <f>'EQUITY BACKTEST'!A832</f>
        <v/>
      </c>
      <c r="B829" s="22" t="str">
        <f>'EQUITY BACKTEST'!B832</f>
        <v/>
      </c>
      <c r="C829" s="22" t="str">
        <f>1/'EQUITY BACKTEST'!E832</f>
        <v>#DIV/0!</v>
      </c>
      <c r="D829" s="22" t="str">
        <f t="shared" si="1"/>
        <v>#DIV/0!</v>
      </c>
      <c r="E829" s="22" t="str">
        <f t="shared" ref="E829:F829" si="829">IF(A829&lt;&gt;"", (B829 - B828) / B828, "")</f>
        <v/>
      </c>
      <c r="F829" s="22" t="str">
        <f t="shared" si="829"/>
        <v/>
      </c>
      <c r="H829" s="22" t="str">
        <f t="shared" si="4"/>
        <v/>
      </c>
    </row>
    <row r="830" ht="15.75" customHeight="1">
      <c r="A830" s="31" t="str">
        <f>'EQUITY BACKTEST'!A833</f>
        <v/>
      </c>
      <c r="B830" s="22" t="str">
        <f>'EQUITY BACKTEST'!B833</f>
        <v/>
      </c>
      <c r="C830" s="22" t="str">
        <f>1/'EQUITY BACKTEST'!E833</f>
        <v>#DIV/0!</v>
      </c>
      <c r="D830" s="22" t="str">
        <f t="shared" si="1"/>
        <v>#DIV/0!</v>
      </c>
      <c r="E830" s="22" t="str">
        <f t="shared" ref="E830:F830" si="830">IF(A830&lt;&gt;"", (B830 - B829) / B829, "")</f>
        <v/>
      </c>
      <c r="F830" s="22" t="str">
        <f t="shared" si="830"/>
        <v/>
      </c>
      <c r="H830" s="22" t="str">
        <f t="shared" si="4"/>
        <v/>
      </c>
    </row>
    <row r="831" ht="15.75" customHeight="1">
      <c r="A831" s="31" t="str">
        <f>'EQUITY BACKTEST'!A834</f>
        <v/>
      </c>
      <c r="B831" s="22" t="str">
        <f>'EQUITY BACKTEST'!B834</f>
        <v/>
      </c>
      <c r="C831" s="22" t="str">
        <f>1/'EQUITY BACKTEST'!E834</f>
        <v>#DIV/0!</v>
      </c>
      <c r="D831" s="22" t="str">
        <f t="shared" si="1"/>
        <v>#DIV/0!</v>
      </c>
      <c r="E831" s="22" t="str">
        <f t="shared" ref="E831:F831" si="831">IF(A831&lt;&gt;"", (B831 - B830) / B830, "")</f>
        <v/>
      </c>
      <c r="F831" s="22" t="str">
        <f t="shared" si="831"/>
        <v/>
      </c>
      <c r="H831" s="22" t="str">
        <f t="shared" si="4"/>
        <v/>
      </c>
    </row>
    <row r="832" ht="15.75" customHeight="1">
      <c r="A832" s="31" t="str">
        <f>'EQUITY BACKTEST'!A835</f>
        <v/>
      </c>
      <c r="B832" s="22" t="str">
        <f>'EQUITY BACKTEST'!B835</f>
        <v/>
      </c>
      <c r="C832" s="22" t="str">
        <f>1/'EQUITY BACKTEST'!E835</f>
        <v>#DIV/0!</v>
      </c>
      <c r="D832" s="22" t="str">
        <f t="shared" si="1"/>
        <v>#DIV/0!</v>
      </c>
      <c r="E832" s="22" t="str">
        <f t="shared" ref="E832:F832" si="832">IF(A832&lt;&gt;"", (B832 - B831) / B831, "")</f>
        <v/>
      </c>
      <c r="F832" s="22" t="str">
        <f t="shared" si="832"/>
        <v/>
      </c>
      <c r="H832" s="22" t="str">
        <f t="shared" si="4"/>
        <v/>
      </c>
    </row>
    <row r="833" ht="15.75" customHeight="1">
      <c r="A833" s="31" t="str">
        <f>'EQUITY BACKTEST'!A836</f>
        <v/>
      </c>
      <c r="B833" s="22" t="str">
        <f>'EQUITY BACKTEST'!B836</f>
        <v/>
      </c>
      <c r="C833" s="22" t="str">
        <f>1/'EQUITY BACKTEST'!E836</f>
        <v>#DIV/0!</v>
      </c>
      <c r="D833" s="22" t="str">
        <f t="shared" si="1"/>
        <v>#DIV/0!</v>
      </c>
      <c r="E833" s="22" t="str">
        <f t="shared" ref="E833:F833" si="833">IF(A833&lt;&gt;"", (B833 - B832) / B832, "")</f>
        <v/>
      </c>
      <c r="F833" s="22" t="str">
        <f t="shared" si="833"/>
        <v/>
      </c>
      <c r="H833" s="22" t="str">
        <f t="shared" si="4"/>
        <v/>
      </c>
    </row>
    <row r="834" ht="15.75" customHeight="1">
      <c r="A834" s="31" t="str">
        <f>'EQUITY BACKTEST'!A837</f>
        <v/>
      </c>
      <c r="B834" s="22" t="str">
        <f>'EQUITY BACKTEST'!B837</f>
        <v/>
      </c>
      <c r="C834" s="22" t="str">
        <f>1/'EQUITY BACKTEST'!E837</f>
        <v>#DIV/0!</v>
      </c>
      <c r="D834" s="22" t="str">
        <f t="shared" si="1"/>
        <v>#DIV/0!</v>
      </c>
      <c r="E834" s="22" t="str">
        <f t="shared" ref="E834:F834" si="834">IF(A834&lt;&gt;"", (B834 - B833) / B833, "")</f>
        <v/>
      </c>
      <c r="F834" s="22" t="str">
        <f t="shared" si="834"/>
        <v/>
      </c>
      <c r="H834" s="22" t="str">
        <f t="shared" si="4"/>
        <v/>
      </c>
    </row>
    <row r="835" ht="15.75" customHeight="1">
      <c r="A835" s="31" t="str">
        <f>'EQUITY BACKTEST'!A838</f>
        <v/>
      </c>
      <c r="B835" s="22" t="str">
        <f>'EQUITY BACKTEST'!B838</f>
        <v/>
      </c>
      <c r="C835" s="22" t="str">
        <f>1/'EQUITY BACKTEST'!E838</f>
        <v>#DIV/0!</v>
      </c>
      <c r="D835" s="22" t="str">
        <f t="shared" si="1"/>
        <v>#DIV/0!</v>
      </c>
      <c r="E835" s="22" t="str">
        <f t="shared" ref="E835:F835" si="835">IF(A835&lt;&gt;"", (B835 - B834) / B834, "")</f>
        <v/>
      </c>
      <c r="F835" s="22" t="str">
        <f t="shared" si="835"/>
        <v/>
      </c>
      <c r="H835" s="22" t="str">
        <f t="shared" si="4"/>
        <v/>
      </c>
    </row>
    <row r="836" ht="15.75" customHeight="1">
      <c r="A836" s="31" t="str">
        <f>'EQUITY BACKTEST'!A839</f>
        <v/>
      </c>
      <c r="B836" s="22" t="str">
        <f>'EQUITY BACKTEST'!B839</f>
        <v/>
      </c>
      <c r="C836" s="22" t="str">
        <f>1/'EQUITY BACKTEST'!E839</f>
        <v>#DIV/0!</v>
      </c>
      <c r="D836" s="22" t="str">
        <f t="shared" si="1"/>
        <v>#DIV/0!</v>
      </c>
      <c r="E836" s="22" t="str">
        <f t="shared" ref="E836:F836" si="836">IF(A836&lt;&gt;"", (B836 - B835) / B835, "")</f>
        <v/>
      </c>
      <c r="F836" s="22" t="str">
        <f t="shared" si="836"/>
        <v/>
      </c>
      <c r="H836" s="22" t="str">
        <f t="shared" si="4"/>
        <v/>
      </c>
    </row>
    <row r="837" ht="15.75" customHeight="1">
      <c r="A837" s="31" t="str">
        <f>'EQUITY BACKTEST'!A840</f>
        <v/>
      </c>
      <c r="B837" s="22" t="str">
        <f>'EQUITY BACKTEST'!B840</f>
        <v/>
      </c>
      <c r="C837" s="22" t="str">
        <f>1/'EQUITY BACKTEST'!E840</f>
        <v>#DIV/0!</v>
      </c>
      <c r="D837" s="22" t="str">
        <f t="shared" si="1"/>
        <v>#DIV/0!</v>
      </c>
      <c r="E837" s="22" t="str">
        <f t="shared" ref="E837:F837" si="837">IF(A837&lt;&gt;"", (B837 - B836) / B836, "")</f>
        <v/>
      </c>
      <c r="F837" s="22" t="str">
        <f t="shared" si="837"/>
        <v/>
      </c>
      <c r="H837" s="22" t="str">
        <f t="shared" si="4"/>
        <v/>
      </c>
    </row>
    <row r="838" ht="15.75" customHeight="1">
      <c r="A838" s="31" t="str">
        <f>'EQUITY BACKTEST'!A841</f>
        <v/>
      </c>
      <c r="B838" s="22" t="str">
        <f>'EQUITY BACKTEST'!B841</f>
        <v/>
      </c>
      <c r="C838" s="22" t="str">
        <f>1/'EQUITY BACKTEST'!E841</f>
        <v>#DIV/0!</v>
      </c>
      <c r="D838" s="22" t="str">
        <f t="shared" si="1"/>
        <v>#DIV/0!</v>
      </c>
      <c r="E838" s="22" t="str">
        <f t="shared" ref="E838:F838" si="838">IF(A838&lt;&gt;"", (B838 - B837) / B837, "")</f>
        <v/>
      </c>
      <c r="F838" s="22" t="str">
        <f t="shared" si="838"/>
        <v/>
      </c>
      <c r="H838" s="22" t="str">
        <f t="shared" si="4"/>
        <v/>
      </c>
    </row>
    <row r="839" ht="15.75" customHeight="1">
      <c r="A839" s="31" t="str">
        <f>'EQUITY BACKTEST'!A842</f>
        <v/>
      </c>
      <c r="B839" s="22" t="str">
        <f>'EQUITY BACKTEST'!B842</f>
        <v/>
      </c>
      <c r="C839" s="22" t="str">
        <f>1/'EQUITY BACKTEST'!E842</f>
        <v>#DIV/0!</v>
      </c>
      <c r="D839" s="22" t="str">
        <f t="shared" si="1"/>
        <v>#DIV/0!</v>
      </c>
      <c r="E839" s="22" t="str">
        <f t="shared" ref="E839:F839" si="839">IF(A839&lt;&gt;"", (B839 - B838) / B838, "")</f>
        <v/>
      </c>
      <c r="F839" s="22" t="str">
        <f t="shared" si="839"/>
        <v/>
      </c>
      <c r="H839" s="22" t="str">
        <f t="shared" si="4"/>
        <v/>
      </c>
    </row>
    <row r="840" ht="15.75" customHeight="1">
      <c r="A840" s="31" t="str">
        <f>'EQUITY BACKTEST'!A843</f>
        <v/>
      </c>
      <c r="B840" s="22" t="str">
        <f>'EQUITY BACKTEST'!B843</f>
        <v/>
      </c>
      <c r="C840" s="22" t="str">
        <f>1/'EQUITY BACKTEST'!E843</f>
        <v>#DIV/0!</v>
      </c>
      <c r="D840" s="22" t="str">
        <f t="shared" si="1"/>
        <v>#DIV/0!</v>
      </c>
      <c r="E840" s="22" t="str">
        <f t="shared" ref="E840:F840" si="840">IF(A840&lt;&gt;"", (B840 - B839) / B839, "")</f>
        <v/>
      </c>
      <c r="F840" s="22" t="str">
        <f t="shared" si="840"/>
        <v/>
      </c>
      <c r="H840" s="22" t="str">
        <f t="shared" si="4"/>
        <v/>
      </c>
    </row>
    <row r="841" ht="15.75" customHeight="1">
      <c r="A841" s="31" t="str">
        <f>'EQUITY BACKTEST'!A844</f>
        <v/>
      </c>
      <c r="B841" s="22" t="str">
        <f>'EQUITY BACKTEST'!B844</f>
        <v/>
      </c>
      <c r="C841" s="22" t="str">
        <f>1/'EQUITY BACKTEST'!E844</f>
        <v>#DIV/0!</v>
      </c>
      <c r="D841" s="22" t="str">
        <f t="shared" si="1"/>
        <v>#DIV/0!</v>
      </c>
      <c r="E841" s="22" t="str">
        <f t="shared" ref="E841:F841" si="841">IF(A841&lt;&gt;"", (B841 - B840) / B840, "")</f>
        <v/>
      </c>
      <c r="F841" s="22" t="str">
        <f t="shared" si="841"/>
        <v/>
      </c>
      <c r="H841" s="22" t="str">
        <f t="shared" si="4"/>
        <v/>
      </c>
    </row>
    <row r="842" ht="15.75" customHeight="1">
      <c r="A842" s="31" t="str">
        <f>'EQUITY BACKTEST'!A845</f>
        <v/>
      </c>
      <c r="B842" s="22" t="str">
        <f>'EQUITY BACKTEST'!B845</f>
        <v/>
      </c>
      <c r="C842" s="22" t="str">
        <f>1/'EQUITY BACKTEST'!E845</f>
        <v>#DIV/0!</v>
      </c>
      <c r="D842" s="22" t="str">
        <f t="shared" si="1"/>
        <v>#DIV/0!</v>
      </c>
      <c r="E842" s="22" t="str">
        <f t="shared" ref="E842:F842" si="842">IF(A842&lt;&gt;"", (B842 - B841) / B841, "")</f>
        <v/>
      </c>
      <c r="F842" s="22" t="str">
        <f t="shared" si="842"/>
        <v/>
      </c>
      <c r="H842" s="22" t="str">
        <f t="shared" si="4"/>
        <v/>
      </c>
    </row>
    <row r="843" ht="15.75" customHeight="1">
      <c r="A843" s="31" t="str">
        <f>'EQUITY BACKTEST'!A846</f>
        <v/>
      </c>
      <c r="B843" s="22" t="str">
        <f>'EQUITY BACKTEST'!B846</f>
        <v/>
      </c>
      <c r="C843" s="22" t="str">
        <f>1/'EQUITY BACKTEST'!E846</f>
        <v>#DIV/0!</v>
      </c>
      <c r="D843" s="22" t="str">
        <f t="shared" si="1"/>
        <v>#DIV/0!</v>
      </c>
      <c r="E843" s="22" t="str">
        <f t="shared" ref="E843:F843" si="843">IF(A843&lt;&gt;"", (B843 - B842) / B842, "")</f>
        <v/>
      </c>
      <c r="F843" s="22" t="str">
        <f t="shared" si="843"/>
        <v/>
      </c>
      <c r="H843" s="22" t="str">
        <f t="shared" si="4"/>
        <v/>
      </c>
    </row>
    <row r="844" ht="15.75" customHeight="1">
      <c r="A844" s="31" t="str">
        <f>'EQUITY BACKTEST'!A847</f>
        <v/>
      </c>
      <c r="B844" s="22" t="str">
        <f>'EQUITY BACKTEST'!B847</f>
        <v/>
      </c>
      <c r="C844" s="22" t="str">
        <f>1/'EQUITY BACKTEST'!E847</f>
        <v>#DIV/0!</v>
      </c>
      <c r="D844" s="22" t="str">
        <f t="shared" si="1"/>
        <v>#DIV/0!</v>
      </c>
      <c r="E844" s="22" t="str">
        <f t="shared" ref="E844:F844" si="844">IF(A844&lt;&gt;"", (B844 - B843) / B843, "")</f>
        <v/>
      </c>
      <c r="F844" s="22" t="str">
        <f t="shared" si="844"/>
        <v/>
      </c>
      <c r="H844" s="22" t="str">
        <f t="shared" si="4"/>
        <v/>
      </c>
    </row>
    <row r="845" ht="15.75" customHeight="1">
      <c r="A845" s="31" t="str">
        <f>'EQUITY BACKTEST'!A848</f>
        <v/>
      </c>
      <c r="B845" s="22" t="str">
        <f>'EQUITY BACKTEST'!B848</f>
        <v/>
      </c>
      <c r="C845" s="22" t="str">
        <f>1/'EQUITY BACKTEST'!E848</f>
        <v>#DIV/0!</v>
      </c>
      <c r="D845" s="22" t="str">
        <f t="shared" si="1"/>
        <v>#DIV/0!</v>
      </c>
      <c r="E845" s="22" t="str">
        <f t="shared" ref="E845:F845" si="845">IF(A845&lt;&gt;"", (B845 - B844) / B844, "")</f>
        <v/>
      </c>
      <c r="F845" s="22" t="str">
        <f t="shared" si="845"/>
        <v/>
      </c>
      <c r="H845" s="22" t="str">
        <f t="shared" si="4"/>
        <v/>
      </c>
    </row>
    <row r="846" ht="15.75" customHeight="1">
      <c r="A846" s="31" t="str">
        <f>'EQUITY BACKTEST'!A849</f>
        <v/>
      </c>
      <c r="B846" s="22" t="str">
        <f>'EQUITY BACKTEST'!B849</f>
        <v/>
      </c>
      <c r="C846" s="22" t="str">
        <f>1/'EQUITY BACKTEST'!E849</f>
        <v>#DIV/0!</v>
      </c>
      <c r="D846" s="22" t="str">
        <f t="shared" si="1"/>
        <v>#DIV/0!</v>
      </c>
      <c r="E846" s="22" t="str">
        <f t="shared" ref="E846:F846" si="846">IF(A846&lt;&gt;"", (B846 - B845) / B845, "")</f>
        <v/>
      </c>
      <c r="F846" s="22" t="str">
        <f t="shared" si="846"/>
        <v/>
      </c>
      <c r="H846" s="22" t="str">
        <f t="shared" si="4"/>
        <v/>
      </c>
    </row>
    <row r="847" ht="15.75" customHeight="1">
      <c r="A847" s="31" t="str">
        <f>'EQUITY BACKTEST'!A850</f>
        <v/>
      </c>
      <c r="B847" s="22" t="str">
        <f>'EQUITY BACKTEST'!B850</f>
        <v/>
      </c>
      <c r="C847" s="22" t="str">
        <f>1/'EQUITY BACKTEST'!E850</f>
        <v>#DIV/0!</v>
      </c>
      <c r="D847" s="22" t="str">
        <f t="shared" si="1"/>
        <v>#DIV/0!</v>
      </c>
      <c r="E847" s="22" t="str">
        <f t="shared" ref="E847:F847" si="847">IF(A847&lt;&gt;"", (B847 - B846) / B846, "")</f>
        <v/>
      </c>
      <c r="F847" s="22" t="str">
        <f t="shared" si="847"/>
        <v/>
      </c>
      <c r="H847" s="22" t="str">
        <f t="shared" si="4"/>
        <v/>
      </c>
    </row>
    <row r="848" ht="15.75" customHeight="1">
      <c r="A848" s="31" t="str">
        <f>'EQUITY BACKTEST'!A851</f>
        <v/>
      </c>
      <c r="B848" s="22" t="str">
        <f>'EQUITY BACKTEST'!B851</f>
        <v/>
      </c>
      <c r="C848" s="22" t="str">
        <f>1/'EQUITY BACKTEST'!E851</f>
        <v>#DIV/0!</v>
      </c>
      <c r="D848" s="22" t="str">
        <f t="shared" si="1"/>
        <v>#DIV/0!</v>
      </c>
      <c r="E848" s="22" t="str">
        <f t="shared" ref="E848:F848" si="848">IF(A848&lt;&gt;"", (B848 - B847) / B847, "")</f>
        <v/>
      </c>
      <c r="F848" s="22" t="str">
        <f t="shared" si="848"/>
        <v/>
      </c>
      <c r="H848" s="22" t="str">
        <f t="shared" si="4"/>
        <v/>
      </c>
    </row>
    <row r="849" ht="15.75" customHeight="1">
      <c r="A849" s="31" t="str">
        <f>'EQUITY BACKTEST'!A852</f>
        <v/>
      </c>
      <c r="B849" s="22" t="str">
        <f>'EQUITY BACKTEST'!B852</f>
        <v/>
      </c>
      <c r="C849" s="22" t="str">
        <f>1/'EQUITY BACKTEST'!E852</f>
        <v>#DIV/0!</v>
      </c>
      <c r="D849" s="22" t="str">
        <f t="shared" si="1"/>
        <v>#DIV/0!</v>
      </c>
      <c r="E849" s="22" t="str">
        <f t="shared" ref="E849:F849" si="849">IF(A849&lt;&gt;"", (B849 - B848) / B848, "")</f>
        <v/>
      </c>
      <c r="F849" s="22" t="str">
        <f t="shared" si="849"/>
        <v/>
      </c>
      <c r="H849" s="22" t="str">
        <f t="shared" si="4"/>
        <v/>
      </c>
    </row>
    <row r="850" ht="15.75" customHeight="1">
      <c r="A850" s="31" t="str">
        <f>'EQUITY BACKTEST'!A853</f>
        <v/>
      </c>
      <c r="B850" s="22" t="str">
        <f>'EQUITY BACKTEST'!B853</f>
        <v/>
      </c>
      <c r="C850" s="22" t="str">
        <f>1/'EQUITY BACKTEST'!E853</f>
        <v>#DIV/0!</v>
      </c>
      <c r="D850" s="22" t="str">
        <f t="shared" si="1"/>
        <v>#DIV/0!</v>
      </c>
      <c r="E850" s="22" t="str">
        <f t="shared" ref="E850:F850" si="850">IF(A850&lt;&gt;"", (B850 - B849) / B849, "")</f>
        <v/>
      </c>
      <c r="F850" s="22" t="str">
        <f t="shared" si="850"/>
        <v/>
      </c>
      <c r="H850" s="22" t="str">
        <f t="shared" si="4"/>
        <v/>
      </c>
    </row>
    <row r="851" ht="15.75" customHeight="1">
      <c r="A851" s="31" t="str">
        <f>'EQUITY BACKTEST'!A854</f>
        <v/>
      </c>
      <c r="B851" s="22" t="str">
        <f>'EQUITY BACKTEST'!B854</f>
        <v/>
      </c>
      <c r="C851" s="22" t="str">
        <f>1/'EQUITY BACKTEST'!E854</f>
        <v>#DIV/0!</v>
      </c>
      <c r="D851" s="22" t="str">
        <f t="shared" si="1"/>
        <v>#DIV/0!</v>
      </c>
      <c r="E851" s="22" t="str">
        <f t="shared" ref="E851:F851" si="851">IF(A851&lt;&gt;"", (B851 - B850) / B850, "")</f>
        <v/>
      </c>
      <c r="F851" s="22" t="str">
        <f t="shared" si="851"/>
        <v/>
      </c>
      <c r="H851" s="22" t="str">
        <f t="shared" si="4"/>
        <v/>
      </c>
    </row>
    <row r="852" ht="15.75" customHeight="1">
      <c r="A852" s="31" t="str">
        <f>'EQUITY BACKTEST'!A855</f>
        <v/>
      </c>
      <c r="B852" s="22" t="str">
        <f>'EQUITY BACKTEST'!B855</f>
        <v/>
      </c>
      <c r="C852" s="22" t="str">
        <f>1/'EQUITY BACKTEST'!E855</f>
        <v>#DIV/0!</v>
      </c>
      <c r="D852" s="22" t="str">
        <f t="shared" si="1"/>
        <v>#DIV/0!</v>
      </c>
      <c r="E852" s="22" t="str">
        <f t="shared" ref="E852:F852" si="852">IF(A852&lt;&gt;"", (B852 - B851) / B851, "")</f>
        <v/>
      </c>
      <c r="F852" s="22" t="str">
        <f t="shared" si="852"/>
        <v/>
      </c>
      <c r="H852" s="22" t="str">
        <f t="shared" si="4"/>
        <v/>
      </c>
    </row>
    <row r="853" ht="15.75" customHeight="1">
      <c r="A853" s="31" t="str">
        <f>'EQUITY BACKTEST'!A856</f>
        <v/>
      </c>
      <c r="B853" s="22" t="str">
        <f>'EQUITY BACKTEST'!B856</f>
        <v/>
      </c>
      <c r="C853" s="22" t="str">
        <f>1/'EQUITY BACKTEST'!E856</f>
        <v>#DIV/0!</v>
      </c>
      <c r="D853" s="22" t="str">
        <f t="shared" si="1"/>
        <v>#DIV/0!</v>
      </c>
      <c r="E853" s="22" t="str">
        <f t="shared" ref="E853:F853" si="853">IF(A853&lt;&gt;"", (B853 - B852) / B852, "")</f>
        <v/>
      </c>
      <c r="F853" s="22" t="str">
        <f t="shared" si="853"/>
        <v/>
      </c>
      <c r="H853" s="22" t="str">
        <f t="shared" si="4"/>
        <v/>
      </c>
    </row>
    <row r="854" ht="15.75" customHeight="1">
      <c r="A854" s="31" t="str">
        <f>'EQUITY BACKTEST'!A857</f>
        <v/>
      </c>
      <c r="B854" s="22" t="str">
        <f>'EQUITY BACKTEST'!B857</f>
        <v/>
      </c>
      <c r="C854" s="22" t="str">
        <f>1/'EQUITY BACKTEST'!E857</f>
        <v>#DIV/0!</v>
      </c>
      <c r="D854" s="22" t="str">
        <f t="shared" si="1"/>
        <v>#DIV/0!</v>
      </c>
      <c r="E854" s="22" t="str">
        <f t="shared" ref="E854:F854" si="854">IF(A854&lt;&gt;"", (B854 - B853) / B853, "")</f>
        <v/>
      </c>
      <c r="F854" s="22" t="str">
        <f t="shared" si="854"/>
        <v/>
      </c>
      <c r="H854" s="22" t="str">
        <f t="shared" si="4"/>
        <v/>
      </c>
    </row>
    <row r="855" ht="15.75" customHeight="1">
      <c r="A855" s="31" t="str">
        <f>'EQUITY BACKTEST'!A858</f>
        <v/>
      </c>
      <c r="B855" s="22" t="str">
        <f>'EQUITY BACKTEST'!B858</f>
        <v/>
      </c>
      <c r="C855" s="22" t="str">
        <f>1/'EQUITY BACKTEST'!E858</f>
        <v>#DIV/0!</v>
      </c>
      <c r="D855" s="22" t="str">
        <f t="shared" si="1"/>
        <v>#DIV/0!</v>
      </c>
      <c r="E855" s="22" t="str">
        <f t="shared" ref="E855:F855" si="855">IF(A855&lt;&gt;"", (B855 - B854) / B854, "")</f>
        <v/>
      </c>
      <c r="F855" s="22" t="str">
        <f t="shared" si="855"/>
        <v/>
      </c>
      <c r="H855" s="22" t="str">
        <f t="shared" si="4"/>
        <v/>
      </c>
    </row>
    <row r="856" ht="15.75" customHeight="1">
      <c r="A856" s="31" t="str">
        <f>'EQUITY BACKTEST'!A859</f>
        <v/>
      </c>
      <c r="B856" s="22" t="str">
        <f>'EQUITY BACKTEST'!B859</f>
        <v/>
      </c>
      <c r="C856" s="22" t="str">
        <f>1/'EQUITY BACKTEST'!E859</f>
        <v>#DIV/0!</v>
      </c>
      <c r="D856" s="22" t="str">
        <f t="shared" si="1"/>
        <v>#DIV/0!</v>
      </c>
      <c r="E856" s="22" t="str">
        <f t="shared" ref="E856:F856" si="856">IF(A856&lt;&gt;"", (B856 - B855) / B855, "")</f>
        <v/>
      </c>
      <c r="F856" s="22" t="str">
        <f t="shared" si="856"/>
        <v/>
      </c>
      <c r="H856" s="22" t="str">
        <f t="shared" si="4"/>
        <v/>
      </c>
    </row>
    <row r="857" ht="15.75" customHeight="1">
      <c r="A857" s="31" t="str">
        <f>'EQUITY BACKTEST'!A860</f>
        <v/>
      </c>
      <c r="B857" s="22" t="str">
        <f>'EQUITY BACKTEST'!B860</f>
        <v/>
      </c>
      <c r="C857" s="22" t="str">
        <f>1/'EQUITY BACKTEST'!E860</f>
        <v>#DIV/0!</v>
      </c>
      <c r="D857" s="22" t="str">
        <f t="shared" si="1"/>
        <v>#DIV/0!</v>
      </c>
      <c r="E857" s="22" t="str">
        <f t="shared" ref="E857:F857" si="857">IF(A857&lt;&gt;"", (B857 - B856) / B856, "")</f>
        <v/>
      </c>
      <c r="F857" s="22" t="str">
        <f t="shared" si="857"/>
        <v/>
      </c>
      <c r="H857" s="22" t="str">
        <f t="shared" si="4"/>
        <v/>
      </c>
    </row>
    <row r="858" ht="15.75" customHeight="1">
      <c r="A858" s="31" t="str">
        <f>'EQUITY BACKTEST'!A861</f>
        <v/>
      </c>
      <c r="B858" s="22" t="str">
        <f>'EQUITY BACKTEST'!B861</f>
        <v/>
      </c>
      <c r="C858" s="22" t="str">
        <f>1/'EQUITY BACKTEST'!E861</f>
        <v>#DIV/0!</v>
      </c>
      <c r="D858" s="22" t="str">
        <f t="shared" si="1"/>
        <v>#DIV/0!</v>
      </c>
      <c r="E858" s="22" t="str">
        <f t="shared" ref="E858:F858" si="858">IF(A858&lt;&gt;"", (B858 - B857) / B857, "")</f>
        <v/>
      </c>
      <c r="F858" s="22" t="str">
        <f t="shared" si="858"/>
        <v/>
      </c>
      <c r="H858" s="22" t="str">
        <f t="shared" si="4"/>
        <v/>
      </c>
    </row>
    <row r="859" ht="15.75" customHeight="1">
      <c r="A859" s="31" t="str">
        <f>'EQUITY BACKTEST'!A862</f>
        <v/>
      </c>
      <c r="B859" s="22" t="str">
        <f>'EQUITY BACKTEST'!B862</f>
        <v/>
      </c>
      <c r="C859" s="22" t="str">
        <f>1/'EQUITY BACKTEST'!E862</f>
        <v>#DIV/0!</v>
      </c>
      <c r="D859" s="22" t="str">
        <f t="shared" si="1"/>
        <v>#DIV/0!</v>
      </c>
      <c r="E859" s="22" t="str">
        <f t="shared" ref="E859:F859" si="859">IF(A859&lt;&gt;"", (B859 - B858) / B858, "")</f>
        <v/>
      </c>
      <c r="F859" s="22" t="str">
        <f t="shared" si="859"/>
        <v/>
      </c>
      <c r="H859" s="22" t="str">
        <f t="shared" si="4"/>
        <v/>
      </c>
    </row>
    <row r="860" ht="15.75" customHeight="1">
      <c r="A860" s="31" t="str">
        <f>'EQUITY BACKTEST'!A863</f>
        <v/>
      </c>
      <c r="B860" s="22" t="str">
        <f>'EQUITY BACKTEST'!B863</f>
        <v/>
      </c>
      <c r="C860" s="22" t="str">
        <f>1/'EQUITY BACKTEST'!E863</f>
        <v>#DIV/0!</v>
      </c>
      <c r="D860" s="22" t="str">
        <f t="shared" si="1"/>
        <v>#DIV/0!</v>
      </c>
      <c r="E860" s="22" t="str">
        <f t="shared" ref="E860:F860" si="860">IF(A860&lt;&gt;"", (B860 - B859) / B859, "")</f>
        <v/>
      </c>
      <c r="F860" s="22" t="str">
        <f t="shared" si="860"/>
        <v/>
      </c>
      <c r="H860" s="22" t="str">
        <f t="shared" si="4"/>
        <v/>
      </c>
    </row>
    <row r="861" ht="15.75" customHeight="1">
      <c r="A861" s="31" t="str">
        <f>'EQUITY BACKTEST'!A864</f>
        <v/>
      </c>
      <c r="B861" s="22" t="str">
        <f>'EQUITY BACKTEST'!B864</f>
        <v/>
      </c>
      <c r="C861" s="22" t="str">
        <f>1/'EQUITY BACKTEST'!E864</f>
        <v>#DIV/0!</v>
      </c>
      <c r="D861" s="22" t="str">
        <f t="shared" si="1"/>
        <v>#DIV/0!</v>
      </c>
      <c r="E861" s="22" t="str">
        <f t="shared" ref="E861:F861" si="861">IF(A861&lt;&gt;"", (B861 - B860) / B860, "")</f>
        <v/>
      </c>
      <c r="F861" s="22" t="str">
        <f t="shared" si="861"/>
        <v/>
      </c>
      <c r="H861" s="22" t="str">
        <f t="shared" si="4"/>
        <v/>
      </c>
    </row>
    <row r="862" ht="15.75" customHeight="1">
      <c r="A862" s="31" t="str">
        <f>'EQUITY BACKTEST'!A865</f>
        <v/>
      </c>
      <c r="B862" s="22" t="str">
        <f>'EQUITY BACKTEST'!B865</f>
        <v/>
      </c>
      <c r="C862" s="22" t="str">
        <f>1/'EQUITY BACKTEST'!E865</f>
        <v>#DIV/0!</v>
      </c>
      <c r="D862" s="22" t="str">
        <f t="shared" si="1"/>
        <v>#DIV/0!</v>
      </c>
      <c r="E862" s="22" t="str">
        <f t="shared" ref="E862:F862" si="862">IF(A862&lt;&gt;"", (B862 - B861) / B861, "")</f>
        <v/>
      </c>
      <c r="F862" s="22" t="str">
        <f t="shared" si="862"/>
        <v/>
      </c>
      <c r="H862" s="22" t="str">
        <f t="shared" si="4"/>
        <v/>
      </c>
    </row>
    <row r="863" ht="15.75" customHeight="1">
      <c r="A863" s="31" t="str">
        <f>'EQUITY BACKTEST'!A866</f>
        <v/>
      </c>
      <c r="B863" s="22" t="str">
        <f>'EQUITY BACKTEST'!B866</f>
        <v/>
      </c>
      <c r="C863" s="22" t="str">
        <f>1/'EQUITY BACKTEST'!E866</f>
        <v>#DIV/0!</v>
      </c>
      <c r="D863" s="22" t="str">
        <f t="shared" si="1"/>
        <v>#DIV/0!</v>
      </c>
      <c r="E863" s="22" t="str">
        <f t="shared" ref="E863:F863" si="863">IF(A863&lt;&gt;"", (B863 - B862) / B862, "")</f>
        <v/>
      </c>
      <c r="F863" s="22" t="str">
        <f t="shared" si="863"/>
        <v/>
      </c>
      <c r="H863" s="22" t="str">
        <f t="shared" si="4"/>
        <v/>
      </c>
    </row>
    <row r="864" ht="15.75" customHeight="1">
      <c r="A864" s="31" t="str">
        <f>'EQUITY BACKTEST'!A867</f>
        <v/>
      </c>
      <c r="B864" s="22" t="str">
        <f>'EQUITY BACKTEST'!B867</f>
        <v/>
      </c>
      <c r="C864" s="22" t="str">
        <f>1/'EQUITY BACKTEST'!E867</f>
        <v>#DIV/0!</v>
      </c>
      <c r="D864" s="22" t="str">
        <f t="shared" si="1"/>
        <v>#DIV/0!</v>
      </c>
      <c r="E864" s="22" t="str">
        <f t="shared" ref="E864:F864" si="864">IF(A864&lt;&gt;"", (B864 - B863) / B863, "")</f>
        <v/>
      </c>
      <c r="F864" s="22" t="str">
        <f t="shared" si="864"/>
        <v/>
      </c>
      <c r="H864" s="22" t="str">
        <f t="shared" si="4"/>
        <v/>
      </c>
    </row>
    <row r="865" ht="15.75" customHeight="1">
      <c r="A865" s="31" t="str">
        <f>'EQUITY BACKTEST'!A868</f>
        <v/>
      </c>
      <c r="B865" s="22" t="str">
        <f>'EQUITY BACKTEST'!B868</f>
        <v/>
      </c>
      <c r="C865" s="22" t="str">
        <f>1/'EQUITY BACKTEST'!E868</f>
        <v>#DIV/0!</v>
      </c>
      <c r="D865" s="22" t="str">
        <f t="shared" si="1"/>
        <v>#DIV/0!</v>
      </c>
      <c r="E865" s="22" t="str">
        <f t="shared" ref="E865:F865" si="865">IF(A865&lt;&gt;"", (B865 - B864) / B864, "")</f>
        <v/>
      </c>
      <c r="F865" s="22" t="str">
        <f t="shared" si="865"/>
        <v/>
      </c>
      <c r="H865" s="22" t="str">
        <f t="shared" si="4"/>
        <v/>
      </c>
    </row>
    <row r="866" ht="15.75" customHeight="1">
      <c r="A866" s="31" t="str">
        <f>'EQUITY BACKTEST'!A869</f>
        <v/>
      </c>
      <c r="B866" s="22" t="str">
        <f>'EQUITY BACKTEST'!B869</f>
        <v/>
      </c>
      <c r="C866" s="22" t="str">
        <f>1/'EQUITY BACKTEST'!E869</f>
        <v>#DIV/0!</v>
      </c>
      <c r="D866" s="22" t="str">
        <f t="shared" si="1"/>
        <v>#DIV/0!</v>
      </c>
      <c r="E866" s="22" t="str">
        <f t="shared" ref="E866:F866" si="866">IF(A866&lt;&gt;"", (B866 - B865) / B865, "")</f>
        <v/>
      </c>
      <c r="F866" s="22" t="str">
        <f t="shared" si="866"/>
        <v/>
      </c>
      <c r="H866" s="22" t="str">
        <f t="shared" si="4"/>
        <v/>
      </c>
    </row>
    <row r="867" ht="15.75" customHeight="1">
      <c r="A867" s="31" t="str">
        <f>'EQUITY BACKTEST'!A870</f>
        <v/>
      </c>
      <c r="B867" s="22" t="str">
        <f>'EQUITY BACKTEST'!B870</f>
        <v/>
      </c>
      <c r="C867" s="22" t="str">
        <f>1/'EQUITY BACKTEST'!E870</f>
        <v>#DIV/0!</v>
      </c>
      <c r="D867" s="22" t="str">
        <f t="shared" si="1"/>
        <v>#DIV/0!</v>
      </c>
      <c r="E867" s="22" t="str">
        <f t="shared" ref="E867:F867" si="867">IF(A867&lt;&gt;"", (B867 - B866) / B866, "")</f>
        <v/>
      </c>
      <c r="F867" s="22" t="str">
        <f t="shared" si="867"/>
        <v/>
      </c>
      <c r="H867" s="22" t="str">
        <f t="shared" si="4"/>
        <v/>
      </c>
    </row>
    <row r="868" ht="15.75" customHeight="1">
      <c r="A868" s="31" t="str">
        <f>'EQUITY BACKTEST'!A871</f>
        <v/>
      </c>
      <c r="B868" s="22" t="str">
        <f>'EQUITY BACKTEST'!B871</f>
        <v/>
      </c>
      <c r="C868" s="22" t="str">
        <f>1/'EQUITY BACKTEST'!E871</f>
        <v>#DIV/0!</v>
      </c>
      <c r="D868" s="22" t="str">
        <f t="shared" si="1"/>
        <v>#DIV/0!</v>
      </c>
      <c r="E868" s="22" t="str">
        <f t="shared" ref="E868:F868" si="868">IF(A868&lt;&gt;"", (B868 - B867) / B867, "")</f>
        <v/>
      </c>
      <c r="F868" s="22" t="str">
        <f t="shared" si="868"/>
        <v/>
      </c>
      <c r="H868" s="22" t="str">
        <f t="shared" si="4"/>
        <v/>
      </c>
    </row>
    <row r="869" ht="15.75" customHeight="1">
      <c r="A869" s="31" t="str">
        <f>'EQUITY BACKTEST'!A872</f>
        <v/>
      </c>
      <c r="B869" s="22" t="str">
        <f>'EQUITY BACKTEST'!B872</f>
        <v/>
      </c>
      <c r="C869" s="22" t="str">
        <f>1/'EQUITY BACKTEST'!E872</f>
        <v>#DIV/0!</v>
      </c>
      <c r="D869" s="22" t="str">
        <f t="shared" si="1"/>
        <v>#DIV/0!</v>
      </c>
      <c r="E869" s="22" t="str">
        <f t="shared" ref="E869:F869" si="869">IF(A869&lt;&gt;"", (B869 - B868) / B868, "")</f>
        <v/>
      </c>
      <c r="F869" s="22" t="str">
        <f t="shared" si="869"/>
        <v/>
      </c>
      <c r="H869" s="22" t="str">
        <f t="shared" si="4"/>
        <v/>
      </c>
    </row>
    <row r="870" ht="15.75" customHeight="1">
      <c r="A870" s="31" t="str">
        <f>'EQUITY BACKTEST'!A873</f>
        <v/>
      </c>
      <c r="B870" s="22" t="str">
        <f>'EQUITY BACKTEST'!B873</f>
        <v/>
      </c>
      <c r="C870" s="22" t="str">
        <f>1/'EQUITY BACKTEST'!E873</f>
        <v>#DIV/0!</v>
      </c>
      <c r="D870" s="22" t="str">
        <f t="shared" si="1"/>
        <v>#DIV/0!</v>
      </c>
      <c r="E870" s="22" t="str">
        <f t="shared" ref="E870:F870" si="870">IF(A870&lt;&gt;"", (B870 - B869) / B869, "")</f>
        <v/>
      </c>
      <c r="F870" s="22" t="str">
        <f t="shared" si="870"/>
        <v/>
      </c>
      <c r="H870" s="22" t="str">
        <f t="shared" si="4"/>
        <v/>
      </c>
    </row>
    <row r="871" ht="15.75" customHeight="1">
      <c r="A871" s="31" t="str">
        <f>'EQUITY BACKTEST'!A874</f>
        <v/>
      </c>
      <c r="B871" s="22" t="str">
        <f>'EQUITY BACKTEST'!B874</f>
        <v/>
      </c>
      <c r="C871" s="22" t="str">
        <f>1/'EQUITY BACKTEST'!E874</f>
        <v>#DIV/0!</v>
      </c>
      <c r="D871" s="22" t="str">
        <f t="shared" si="1"/>
        <v>#DIV/0!</v>
      </c>
      <c r="E871" s="22" t="str">
        <f t="shared" ref="E871:F871" si="871">IF(A871&lt;&gt;"", (B871 - B870) / B870, "")</f>
        <v/>
      </c>
      <c r="F871" s="22" t="str">
        <f t="shared" si="871"/>
        <v/>
      </c>
      <c r="H871" s="22" t="str">
        <f t="shared" si="4"/>
        <v/>
      </c>
    </row>
    <row r="872" ht="15.75" customHeight="1">
      <c r="A872" s="31" t="str">
        <f>'EQUITY BACKTEST'!A875</f>
        <v/>
      </c>
      <c r="B872" s="22" t="str">
        <f>'EQUITY BACKTEST'!B875</f>
        <v/>
      </c>
      <c r="C872" s="22" t="str">
        <f>1/'EQUITY BACKTEST'!E875</f>
        <v>#DIV/0!</v>
      </c>
      <c r="D872" s="22" t="str">
        <f t="shared" si="1"/>
        <v>#DIV/0!</v>
      </c>
      <c r="E872" s="22" t="str">
        <f t="shared" ref="E872:F872" si="872">IF(A872&lt;&gt;"", (B872 - B871) / B871, "")</f>
        <v/>
      </c>
      <c r="F872" s="22" t="str">
        <f t="shared" si="872"/>
        <v/>
      </c>
      <c r="H872" s="22" t="str">
        <f t="shared" si="4"/>
        <v/>
      </c>
    </row>
    <row r="873" ht="15.75" customHeight="1">
      <c r="A873" s="31" t="str">
        <f>'EQUITY BACKTEST'!A876</f>
        <v/>
      </c>
      <c r="B873" s="22" t="str">
        <f>'EQUITY BACKTEST'!B876</f>
        <v/>
      </c>
      <c r="C873" s="22" t="str">
        <f>1/'EQUITY BACKTEST'!E876</f>
        <v>#DIV/0!</v>
      </c>
      <c r="D873" s="22" t="str">
        <f t="shared" si="1"/>
        <v>#DIV/0!</v>
      </c>
      <c r="E873" s="22" t="str">
        <f t="shared" ref="E873:F873" si="873">IF(A873&lt;&gt;"", (B873 - B872) / B872, "")</f>
        <v/>
      </c>
      <c r="F873" s="22" t="str">
        <f t="shared" si="873"/>
        <v/>
      </c>
      <c r="H873" s="22" t="str">
        <f t="shared" si="4"/>
        <v/>
      </c>
    </row>
    <row r="874" ht="15.75" customHeight="1">
      <c r="A874" s="31" t="str">
        <f>'EQUITY BACKTEST'!A877</f>
        <v/>
      </c>
      <c r="B874" s="22" t="str">
        <f>'EQUITY BACKTEST'!B877</f>
        <v/>
      </c>
      <c r="C874" s="22" t="str">
        <f>1/'EQUITY BACKTEST'!E877</f>
        <v>#DIV/0!</v>
      </c>
      <c r="D874" s="22" t="str">
        <f t="shared" si="1"/>
        <v>#DIV/0!</v>
      </c>
      <c r="E874" s="22" t="str">
        <f t="shared" ref="E874:F874" si="874">IF(A874&lt;&gt;"", (B874 - B873) / B873, "")</f>
        <v/>
      </c>
      <c r="F874" s="22" t="str">
        <f t="shared" si="874"/>
        <v/>
      </c>
      <c r="H874" s="22" t="str">
        <f t="shared" si="4"/>
        <v/>
      </c>
    </row>
    <row r="875" ht="15.75" customHeight="1">
      <c r="A875" s="31" t="str">
        <f>'EQUITY BACKTEST'!A878</f>
        <v/>
      </c>
      <c r="B875" s="22" t="str">
        <f>'EQUITY BACKTEST'!B878</f>
        <v/>
      </c>
      <c r="C875" s="22" t="str">
        <f>1/'EQUITY BACKTEST'!E878</f>
        <v>#DIV/0!</v>
      </c>
      <c r="D875" s="22" t="str">
        <f t="shared" si="1"/>
        <v>#DIV/0!</v>
      </c>
      <c r="E875" s="22" t="str">
        <f t="shared" ref="E875:F875" si="875">IF(A875&lt;&gt;"", (B875 - B874) / B874, "")</f>
        <v/>
      </c>
      <c r="F875" s="22" t="str">
        <f t="shared" si="875"/>
        <v/>
      </c>
      <c r="H875" s="22" t="str">
        <f t="shared" si="4"/>
        <v/>
      </c>
    </row>
    <row r="876" ht="15.75" customHeight="1">
      <c r="A876" s="31" t="str">
        <f>'EQUITY BACKTEST'!A879</f>
        <v/>
      </c>
      <c r="B876" s="22" t="str">
        <f>'EQUITY BACKTEST'!B879</f>
        <v/>
      </c>
      <c r="C876" s="22" t="str">
        <f>1/'EQUITY BACKTEST'!E879</f>
        <v>#DIV/0!</v>
      </c>
      <c r="D876" s="22" t="str">
        <f t="shared" si="1"/>
        <v>#DIV/0!</v>
      </c>
      <c r="E876" s="22" t="str">
        <f t="shared" ref="E876:F876" si="876">IF(A876&lt;&gt;"", (B876 - B875) / B875, "")</f>
        <v/>
      </c>
      <c r="F876" s="22" t="str">
        <f t="shared" si="876"/>
        <v/>
      </c>
      <c r="H876" s="22" t="str">
        <f t="shared" si="4"/>
        <v/>
      </c>
    </row>
    <row r="877" ht="15.75" customHeight="1">
      <c r="A877" s="31" t="str">
        <f>'EQUITY BACKTEST'!A880</f>
        <v/>
      </c>
      <c r="B877" s="22" t="str">
        <f>'EQUITY BACKTEST'!B880</f>
        <v/>
      </c>
      <c r="C877" s="22" t="str">
        <f>1/'EQUITY BACKTEST'!E880</f>
        <v>#DIV/0!</v>
      </c>
      <c r="D877" s="22" t="str">
        <f t="shared" si="1"/>
        <v>#DIV/0!</v>
      </c>
      <c r="E877" s="22" t="str">
        <f t="shared" ref="E877:F877" si="877">IF(A877&lt;&gt;"", (B877 - B876) / B876, "")</f>
        <v/>
      </c>
      <c r="F877" s="22" t="str">
        <f t="shared" si="877"/>
        <v/>
      </c>
      <c r="H877" s="22" t="str">
        <f t="shared" si="4"/>
        <v/>
      </c>
    </row>
    <row r="878" ht="15.75" customHeight="1">
      <c r="A878" s="31" t="str">
        <f>'EQUITY BACKTEST'!A881</f>
        <v/>
      </c>
      <c r="B878" s="22" t="str">
        <f>'EQUITY BACKTEST'!B881</f>
        <v/>
      </c>
      <c r="C878" s="22" t="str">
        <f>1/'EQUITY BACKTEST'!E881</f>
        <v>#DIV/0!</v>
      </c>
      <c r="D878" s="22" t="str">
        <f t="shared" si="1"/>
        <v>#DIV/0!</v>
      </c>
      <c r="E878" s="22" t="str">
        <f t="shared" ref="E878:F878" si="878">IF(A878&lt;&gt;"", (B878 - B877) / B877, "")</f>
        <v/>
      </c>
      <c r="F878" s="22" t="str">
        <f t="shared" si="878"/>
        <v/>
      </c>
      <c r="H878" s="22" t="str">
        <f t="shared" si="4"/>
        <v/>
      </c>
    </row>
    <row r="879" ht="15.75" customHeight="1">
      <c r="A879" s="31" t="str">
        <f>'EQUITY BACKTEST'!A882</f>
        <v/>
      </c>
      <c r="B879" s="22" t="str">
        <f>'EQUITY BACKTEST'!B882</f>
        <v/>
      </c>
      <c r="C879" s="22" t="str">
        <f>1/'EQUITY BACKTEST'!E882</f>
        <v>#DIV/0!</v>
      </c>
      <c r="D879" s="22" t="str">
        <f t="shared" si="1"/>
        <v>#DIV/0!</v>
      </c>
      <c r="E879" s="22" t="str">
        <f t="shared" ref="E879:F879" si="879">IF(A879&lt;&gt;"", (B879 - B878) / B878, "")</f>
        <v/>
      </c>
      <c r="F879" s="22" t="str">
        <f t="shared" si="879"/>
        <v/>
      </c>
      <c r="H879" s="22" t="str">
        <f t="shared" si="4"/>
        <v/>
      </c>
    </row>
    <row r="880" ht="15.75" customHeight="1">
      <c r="A880" s="31" t="str">
        <f>'EQUITY BACKTEST'!A883</f>
        <v/>
      </c>
      <c r="B880" s="22" t="str">
        <f>'EQUITY BACKTEST'!B883</f>
        <v/>
      </c>
      <c r="C880" s="22" t="str">
        <f>1/'EQUITY BACKTEST'!E883</f>
        <v>#DIV/0!</v>
      </c>
      <c r="D880" s="22" t="str">
        <f t="shared" si="1"/>
        <v>#DIV/0!</v>
      </c>
      <c r="E880" s="22" t="str">
        <f t="shared" ref="E880:F880" si="880">IF(A880&lt;&gt;"", (B880 - B879) / B879, "")</f>
        <v/>
      </c>
      <c r="F880" s="22" t="str">
        <f t="shared" si="880"/>
        <v/>
      </c>
      <c r="H880" s="22" t="str">
        <f t="shared" si="4"/>
        <v/>
      </c>
    </row>
    <row r="881" ht="15.75" customHeight="1">
      <c r="A881" s="31" t="str">
        <f>'EQUITY BACKTEST'!A884</f>
        <v/>
      </c>
      <c r="B881" s="22" t="str">
        <f>'EQUITY BACKTEST'!B884</f>
        <v/>
      </c>
      <c r="C881" s="22" t="str">
        <f>1/'EQUITY BACKTEST'!E884</f>
        <v>#DIV/0!</v>
      </c>
      <c r="D881" s="22" t="str">
        <f t="shared" si="1"/>
        <v>#DIV/0!</v>
      </c>
      <c r="E881" s="22" t="str">
        <f t="shared" ref="E881:F881" si="881">IF(A881&lt;&gt;"", (B881 - B880) / B880, "")</f>
        <v/>
      </c>
      <c r="F881" s="22" t="str">
        <f t="shared" si="881"/>
        <v/>
      </c>
      <c r="H881" s="22" t="str">
        <f t="shared" si="4"/>
        <v/>
      </c>
    </row>
    <row r="882" ht="15.75" customHeight="1">
      <c r="A882" s="31" t="str">
        <f>'EQUITY BACKTEST'!A885</f>
        <v/>
      </c>
      <c r="B882" s="22" t="str">
        <f>'EQUITY BACKTEST'!B885</f>
        <v/>
      </c>
      <c r="C882" s="22" t="str">
        <f>1/'EQUITY BACKTEST'!E885</f>
        <v>#DIV/0!</v>
      </c>
      <c r="D882" s="22" t="str">
        <f t="shared" si="1"/>
        <v>#DIV/0!</v>
      </c>
      <c r="E882" s="22" t="str">
        <f t="shared" ref="E882:F882" si="882">IF(A882&lt;&gt;"", (B882 - B881) / B881, "")</f>
        <v/>
      </c>
      <c r="F882" s="22" t="str">
        <f t="shared" si="882"/>
        <v/>
      </c>
      <c r="H882" s="22" t="str">
        <f t="shared" si="4"/>
        <v/>
      </c>
    </row>
    <row r="883" ht="15.75" customHeight="1">
      <c r="A883" s="31" t="str">
        <f>'EQUITY BACKTEST'!A886</f>
        <v/>
      </c>
      <c r="B883" s="22" t="str">
        <f>'EQUITY BACKTEST'!B886</f>
        <v/>
      </c>
      <c r="C883" s="22" t="str">
        <f>1/'EQUITY BACKTEST'!E886</f>
        <v>#DIV/0!</v>
      </c>
      <c r="D883" s="22" t="str">
        <f t="shared" si="1"/>
        <v>#DIV/0!</v>
      </c>
      <c r="E883" s="22" t="str">
        <f t="shared" ref="E883:F883" si="883">IF(A883&lt;&gt;"", (B883 - B882) / B882, "")</f>
        <v/>
      </c>
      <c r="F883" s="22" t="str">
        <f t="shared" si="883"/>
        <v/>
      </c>
      <c r="H883" s="22" t="str">
        <f t="shared" si="4"/>
        <v/>
      </c>
    </row>
    <row r="884" ht="15.75" customHeight="1">
      <c r="A884" s="31" t="str">
        <f>'EQUITY BACKTEST'!A887</f>
        <v/>
      </c>
      <c r="B884" s="22" t="str">
        <f>'EQUITY BACKTEST'!B887</f>
        <v/>
      </c>
      <c r="C884" s="22" t="str">
        <f>1/'EQUITY BACKTEST'!E887</f>
        <v>#DIV/0!</v>
      </c>
      <c r="D884" s="22" t="str">
        <f t="shared" si="1"/>
        <v>#DIV/0!</v>
      </c>
      <c r="E884" s="22" t="str">
        <f t="shared" ref="E884:F884" si="884">IF(A884&lt;&gt;"", (B884 - B883) / B883, "")</f>
        <v/>
      </c>
      <c r="F884" s="22" t="str">
        <f t="shared" si="884"/>
        <v/>
      </c>
      <c r="H884" s="22" t="str">
        <f t="shared" si="4"/>
        <v/>
      </c>
    </row>
    <row r="885" ht="15.75" customHeight="1">
      <c r="A885" s="31" t="str">
        <f>'EQUITY BACKTEST'!A888</f>
        <v/>
      </c>
      <c r="B885" s="22" t="str">
        <f>'EQUITY BACKTEST'!B888</f>
        <v/>
      </c>
      <c r="C885" s="22" t="str">
        <f>1/'EQUITY BACKTEST'!E888</f>
        <v>#DIV/0!</v>
      </c>
      <c r="D885" s="22" t="str">
        <f t="shared" si="1"/>
        <v>#DIV/0!</v>
      </c>
      <c r="E885" s="22" t="str">
        <f t="shared" ref="E885:F885" si="885">IF(A885&lt;&gt;"", (B885 - B884) / B884, "")</f>
        <v/>
      </c>
      <c r="F885" s="22" t="str">
        <f t="shared" si="885"/>
        <v/>
      </c>
      <c r="H885" s="22" t="str">
        <f t="shared" si="4"/>
        <v/>
      </c>
    </row>
    <row r="886" ht="15.75" customHeight="1">
      <c r="A886" s="31" t="str">
        <f>'EQUITY BACKTEST'!A889</f>
        <v/>
      </c>
      <c r="B886" s="22" t="str">
        <f>'EQUITY BACKTEST'!B889</f>
        <v/>
      </c>
      <c r="C886" s="22" t="str">
        <f>1/'EQUITY BACKTEST'!E889</f>
        <v>#DIV/0!</v>
      </c>
      <c r="D886" s="22" t="str">
        <f t="shared" si="1"/>
        <v>#DIV/0!</v>
      </c>
      <c r="E886" s="22" t="str">
        <f t="shared" ref="E886:F886" si="886">IF(A886&lt;&gt;"", (B886 - B885) / B885, "")</f>
        <v/>
      </c>
      <c r="F886" s="22" t="str">
        <f t="shared" si="886"/>
        <v/>
      </c>
      <c r="H886" s="22" t="str">
        <f t="shared" si="4"/>
        <v/>
      </c>
    </row>
    <row r="887" ht="15.75" customHeight="1">
      <c r="A887" s="31" t="str">
        <f>'EQUITY BACKTEST'!A890</f>
        <v/>
      </c>
      <c r="B887" s="22" t="str">
        <f>'EQUITY BACKTEST'!B890</f>
        <v/>
      </c>
      <c r="C887" s="22" t="str">
        <f>1/'EQUITY BACKTEST'!E890</f>
        <v>#DIV/0!</v>
      </c>
      <c r="D887" s="22" t="str">
        <f t="shared" si="1"/>
        <v>#DIV/0!</v>
      </c>
      <c r="E887" s="22" t="str">
        <f t="shared" ref="E887:F887" si="887">IF(A887&lt;&gt;"", (B887 - B886) / B886, "")</f>
        <v/>
      </c>
      <c r="F887" s="22" t="str">
        <f t="shared" si="887"/>
        <v/>
      </c>
      <c r="H887" s="22" t="str">
        <f t="shared" si="4"/>
        <v/>
      </c>
    </row>
    <row r="888" ht="15.75" customHeight="1">
      <c r="A888" s="31" t="str">
        <f>'EQUITY BACKTEST'!A891</f>
        <v/>
      </c>
      <c r="B888" s="22" t="str">
        <f>'EQUITY BACKTEST'!B891</f>
        <v/>
      </c>
      <c r="C888" s="22" t="str">
        <f>1/'EQUITY BACKTEST'!E891</f>
        <v>#DIV/0!</v>
      </c>
      <c r="D888" s="22" t="str">
        <f t="shared" si="1"/>
        <v>#DIV/0!</v>
      </c>
      <c r="E888" s="22" t="str">
        <f t="shared" ref="E888:F888" si="888">IF(A888&lt;&gt;"", (B888 - B887) / B887, "")</f>
        <v/>
      </c>
      <c r="F888" s="22" t="str">
        <f t="shared" si="888"/>
        <v/>
      </c>
      <c r="H888" s="22" t="str">
        <f t="shared" si="4"/>
        <v/>
      </c>
    </row>
    <row r="889" ht="15.75" customHeight="1">
      <c r="A889" s="31" t="str">
        <f>'EQUITY BACKTEST'!A892</f>
        <v/>
      </c>
      <c r="B889" s="22" t="str">
        <f>'EQUITY BACKTEST'!B892</f>
        <v/>
      </c>
      <c r="C889" s="22" t="str">
        <f>1/'EQUITY BACKTEST'!E892</f>
        <v>#DIV/0!</v>
      </c>
      <c r="D889" s="22" t="str">
        <f t="shared" si="1"/>
        <v>#DIV/0!</v>
      </c>
      <c r="E889" s="22" t="str">
        <f t="shared" ref="E889:F889" si="889">IF(A889&lt;&gt;"", (B889 - B888) / B888, "")</f>
        <v/>
      </c>
      <c r="F889" s="22" t="str">
        <f t="shared" si="889"/>
        <v/>
      </c>
      <c r="H889" s="22" t="str">
        <f t="shared" si="4"/>
        <v/>
      </c>
    </row>
    <row r="890" ht="15.75" customHeight="1">
      <c r="A890" s="31" t="str">
        <f>'EQUITY BACKTEST'!A893</f>
        <v/>
      </c>
      <c r="B890" s="22" t="str">
        <f>'EQUITY BACKTEST'!B893</f>
        <v/>
      </c>
      <c r="C890" s="22" t="str">
        <f>1/'EQUITY BACKTEST'!E893</f>
        <v>#DIV/0!</v>
      </c>
      <c r="D890" s="22" t="str">
        <f t="shared" si="1"/>
        <v>#DIV/0!</v>
      </c>
      <c r="E890" s="22" t="str">
        <f t="shared" ref="E890:F890" si="890">IF(A890&lt;&gt;"", (B890 - B889) / B889, "")</f>
        <v/>
      </c>
      <c r="F890" s="22" t="str">
        <f t="shared" si="890"/>
        <v/>
      </c>
      <c r="H890" s="22" t="str">
        <f t="shared" si="4"/>
        <v/>
      </c>
    </row>
    <row r="891" ht="15.75" customHeight="1">
      <c r="A891" s="31" t="str">
        <f>'EQUITY BACKTEST'!A894</f>
        <v/>
      </c>
      <c r="B891" s="22" t="str">
        <f>'EQUITY BACKTEST'!B894</f>
        <v/>
      </c>
      <c r="C891" s="22" t="str">
        <f>1/'EQUITY BACKTEST'!E894</f>
        <v>#DIV/0!</v>
      </c>
      <c r="D891" s="22" t="str">
        <f t="shared" si="1"/>
        <v>#DIV/0!</v>
      </c>
      <c r="E891" s="22" t="str">
        <f t="shared" ref="E891:F891" si="891">IF(A891&lt;&gt;"", (B891 - B890) / B890, "")</f>
        <v/>
      </c>
      <c r="F891" s="22" t="str">
        <f t="shared" si="891"/>
        <v/>
      </c>
      <c r="H891" s="22" t="str">
        <f t="shared" si="4"/>
        <v/>
      </c>
    </row>
    <row r="892" ht="15.75" customHeight="1">
      <c r="A892" s="31" t="str">
        <f>'EQUITY BACKTEST'!A895</f>
        <v/>
      </c>
      <c r="B892" s="22" t="str">
        <f>'EQUITY BACKTEST'!B895</f>
        <v/>
      </c>
      <c r="C892" s="22" t="str">
        <f>1/'EQUITY BACKTEST'!E895</f>
        <v>#DIV/0!</v>
      </c>
      <c r="D892" s="22" t="str">
        <f t="shared" si="1"/>
        <v>#DIV/0!</v>
      </c>
      <c r="E892" s="22" t="str">
        <f t="shared" ref="E892:F892" si="892">IF(A892&lt;&gt;"", (B892 - B891) / B891, "")</f>
        <v/>
      </c>
      <c r="F892" s="22" t="str">
        <f t="shared" si="892"/>
        <v/>
      </c>
      <c r="H892" s="22" t="str">
        <f t="shared" si="4"/>
        <v/>
      </c>
    </row>
    <row r="893" ht="15.75" customHeight="1">
      <c r="A893" s="31" t="str">
        <f>'EQUITY BACKTEST'!A896</f>
        <v/>
      </c>
      <c r="B893" s="22" t="str">
        <f>'EQUITY BACKTEST'!B896</f>
        <v/>
      </c>
      <c r="C893" s="22" t="str">
        <f>1/'EQUITY BACKTEST'!E896</f>
        <v>#DIV/0!</v>
      </c>
      <c r="D893" s="22" t="str">
        <f t="shared" si="1"/>
        <v>#DIV/0!</v>
      </c>
      <c r="E893" s="22" t="str">
        <f t="shared" ref="E893:F893" si="893">IF(A893&lt;&gt;"", (B893 - B892) / B892, "")</f>
        <v/>
      </c>
      <c r="F893" s="22" t="str">
        <f t="shared" si="893"/>
        <v/>
      </c>
      <c r="H893" s="22" t="str">
        <f t="shared" si="4"/>
        <v/>
      </c>
    </row>
    <row r="894" ht="15.75" customHeight="1">
      <c r="A894" s="31" t="str">
        <f>'EQUITY BACKTEST'!A897</f>
        <v/>
      </c>
      <c r="B894" s="22" t="str">
        <f>'EQUITY BACKTEST'!B897</f>
        <v/>
      </c>
      <c r="C894" s="22" t="str">
        <f>1/'EQUITY BACKTEST'!E897</f>
        <v>#DIV/0!</v>
      </c>
      <c r="D894" s="22" t="str">
        <f t="shared" si="1"/>
        <v>#DIV/0!</v>
      </c>
      <c r="E894" s="22" t="str">
        <f t="shared" ref="E894:F894" si="894">IF(A894&lt;&gt;"", (B894 - B893) / B893, "")</f>
        <v/>
      </c>
      <c r="F894" s="22" t="str">
        <f t="shared" si="894"/>
        <v/>
      </c>
      <c r="H894" s="22" t="str">
        <f t="shared" si="4"/>
        <v/>
      </c>
    </row>
    <row r="895" ht="15.75" customHeight="1">
      <c r="A895" s="31" t="str">
        <f>'EQUITY BACKTEST'!A898</f>
        <v/>
      </c>
      <c r="B895" s="22" t="str">
        <f>'EQUITY BACKTEST'!B898</f>
        <v/>
      </c>
      <c r="C895" s="22" t="str">
        <f>1/'EQUITY BACKTEST'!E898</f>
        <v>#DIV/0!</v>
      </c>
      <c r="D895" s="22" t="str">
        <f t="shared" si="1"/>
        <v>#DIV/0!</v>
      </c>
      <c r="E895" s="22" t="str">
        <f t="shared" ref="E895:F895" si="895">IF(A895&lt;&gt;"", (B895 - B894) / B894, "")</f>
        <v/>
      </c>
      <c r="F895" s="22" t="str">
        <f t="shared" si="895"/>
        <v/>
      </c>
      <c r="H895" s="22" t="str">
        <f t="shared" si="4"/>
        <v/>
      </c>
    </row>
    <row r="896" ht="15.75" customHeight="1">
      <c r="A896" s="31" t="str">
        <f>'EQUITY BACKTEST'!A899</f>
        <v/>
      </c>
      <c r="B896" s="22" t="str">
        <f>'EQUITY BACKTEST'!B899</f>
        <v/>
      </c>
      <c r="C896" s="22" t="str">
        <f>1/'EQUITY BACKTEST'!E899</f>
        <v>#DIV/0!</v>
      </c>
      <c r="D896" s="22" t="str">
        <f t="shared" si="1"/>
        <v>#DIV/0!</v>
      </c>
      <c r="E896" s="22" t="str">
        <f t="shared" ref="E896:F896" si="896">IF(A896&lt;&gt;"", (B896 - B895) / B895, "")</f>
        <v/>
      </c>
      <c r="F896" s="22" t="str">
        <f t="shared" si="896"/>
        <v/>
      </c>
      <c r="H896" s="22" t="str">
        <f t="shared" si="4"/>
        <v/>
      </c>
    </row>
    <row r="897" ht="15.75" customHeight="1">
      <c r="A897" s="31" t="str">
        <f>'EQUITY BACKTEST'!A900</f>
        <v/>
      </c>
      <c r="B897" s="22" t="str">
        <f>'EQUITY BACKTEST'!B900</f>
        <v/>
      </c>
      <c r="C897" s="22" t="str">
        <f>1/'EQUITY BACKTEST'!E900</f>
        <v>#DIV/0!</v>
      </c>
      <c r="D897" s="22" t="str">
        <f t="shared" si="1"/>
        <v>#DIV/0!</v>
      </c>
      <c r="E897" s="22" t="str">
        <f t="shared" ref="E897:F897" si="897">IF(A897&lt;&gt;"", (B897 - B896) / B896, "")</f>
        <v/>
      </c>
      <c r="F897" s="22" t="str">
        <f t="shared" si="897"/>
        <v/>
      </c>
      <c r="H897" s="22" t="str">
        <f t="shared" si="4"/>
        <v/>
      </c>
    </row>
    <row r="898" ht="15.75" customHeight="1">
      <c r="A898" s="31" t="str">
        <f>'EQUITY BACKTEST'!A901</f>
        <v/>
      </c>
      <c r="B898" s="22" t="str">
        <f>'EQUITY BACKTEST'!B901</f>
        <v/>
      </c>
      <c r="C898" s="22" t="str">
        <f>1/'EQUITY BACKTEST'!E901</f>
        <v>#DIV/0!</v>
      </c>
      <c r="D898" s="22" t="str">
        <f t="shared" si="1"/>
        <v>#DIV/0!</v>
      </c>
      <c r="E898" s="22" t="str">
        <f t="shared" ref="E898:F898" si="898">IF(A898&lt;&gt;"", (B898 - B897) / B897, "")</f>
        <v/>
      </c>
      <c r="F898" s="22" t="str">
        <f t="shared" si="898"/>
        <v/>
      </c>
      <c r="H898" s="22" t="str">
        <f t="shared" si="4"/>
        <v/>
      </c>
    </row>
    <row r="899" ht="15.75" customHeight="1">
      <c r="A899" s="31" t="str">
        <f>'EQUITY BACKTEST'!A902</f>
        <v/>
      </c>
      <c r="B899" s="22" t="str">
        <f>'EQUITY BACKTEST'!B902</f>
        <v/>
      </c>
      <c r="C899" s="22" t="str">
        <f>1/'EQUITY BACKTEST'!E902</f>
        <v>#DIV/0!</v>
      </c>
      <c r="D899" s="22" t="str">
        <f t="shared" si="1"/>
        <v>#DIV/0!</v>
      </c>
      <c r="E899" s="22" t="str">
        <f t="shared" ref="E899:F899" si="899">IF(A899&lt;&gt;"", (B899 - B898) / B898, "")</f>
        <v/>
      </c>
      <c r="F899" s="22" t="str">
        <f t="shared" si="899"/>
        <v/>
      </c>
      <c r="H899" s="22" t="str">
        <f t="shared" si="4"/>
        <v/>
      </c>
    </row>
    <row r="900" ht="15.75" customHeight="1">
      <c r="A900" s="31" t="str">
        <f>'EQUITY BACKTEST'!A903</f>
        <v/>
      </c>
      <c r="B900" s="22" t="str">
        <f>'EQUITY BACKTEST'!B903</f>
        <v/>
      </c>
      <c r="C900" s="22" t="str">
        <f>1/'EQUITY BACKTEST'!E903</f>
        <v>#DIV/0!</v>
      </c>
      <c r="D900" s="22" t="str">
        <f t="shared" si="1"/>
        <v>#DIV/0!</v>
      </c>
      <c r="E900" s="22" t="str">
        <f t="shared" ref="E900:F900" si="900">IF(A900&lt;&gt;"", (B900 - B899) / B899, "")</f>
        <v/>
      </c>
      <c r="F900" s="22" t="str">
        <f t="shared" si="900"/>
        <v/>
      </c>
      <c r="H900" s="22" t="str">
        <f t="shared" si="4"/>
        <v/>
      </c>
    </row>
    <row r="901" ht="15.75" customHeight="1">
      <c r="A901" s="31" t="str">
        <f>'EQUITY BACKTEST'!A904</f>
        <v/>
      </c>
      <c r="B901" s="22" t="str">
        <f>'EQUITY BACKTEST'!B904</f>
        <v/>
      </c>
      <c r="C901" s="22" t="str">
        <f>1/'EQUITY BACKTEST'!E904</f>
        <v>#DIV/0!</v>
      </c>
      <c r="D901" s="22" t="str">
        <f t="shared" si="1"/>
        <v>#DIV/0!</v>
      </c>
      <c r="E901" s="22" t="str">
        <f t="shared" ref="E901:F901" si="901">IF(A901&lt;&gt;"", (B901 - B900) / B900, "")</f>
        <v/>
      </c>
      <c r="F901" s="22" t="str">
        <f t="shared" si="901"/>
        <v/>
      </c>
      <c r="H901" s="22" t="str">
        <f t="shared" si="4"/>
        <v/>
      </c>
    </row>
    <row r="902" ht="15.75" customHeight="1">
      <c r="A902" s="31" t="str">
        <f>'EQUITY BACKTEST'!A905</f>
        <v/>
      </c>
      <c r="B902" s="22" t="str">
        <f>'EQUITY BACKTEST'!B905</f>
        <v/>
      </c>
      <c r="C902" s="22" t="str">
        <f>1/'EQUITY BACKTEST'!E905</f>
        <v>#DIV/0!</v>
      </c>
      <c r="D902" s="22" t="str">
        <f t="shared" si="1"/>
        <v>#DIV/0!</v>
      </c>
      <c r="E902" s="22" t="str">
        <f t="shared" ref="E902:F902" si="902">IF(A902&lt;&gt;"", (B902 - B901) / B901, "")</f>
        <v/>
      </c>
      <c r="F902" s="22" t="str">
        <f t="shared" si="902"/>
        <v/>
      </c>
      <c r="H902" s="22" t="str">
        <f t="shared" si="4"/>
        <v/>
      </c>
    </row>
    <row r="903" ht="15.75" customHeight="1">
      <c r="A903" s="31" t="str">
        <f>'EQUITY BACKTEST'!A906</f>
        <v/>
      </c>
      <c r="B903" s="22" t="str">
        <f>'EQUITY BACKTEST'!B906</f>
        <v/>
      </c>
      <c r="C903" s="22" t="str">
        <f>1/'EQUITY BACKTEST'!E906</f>
        <v>#DIV/0!</v>
      </c>
      <c r="D903" s="22" t="str">
        <f t="shared" si="1"/>
        <v>#DIV/0!</v>
      </c>
      <c r="E903" s="22" t="str">
        <f t="shared" ref="E903:F903" si="903">IF(A903&lt;&gt;"", (B903 - B902) / B902, "")</f>
        <v/>
      </c>
      <c r="F903" s="22" t="str">
        <f t="shared" si="903"/>
        <v/>
      </c>
      <c r="H903" s="22" t="str">
        <f t="shared" si="4"/>
        <v/>
      </c>
    </row>
    <row r="904" ht="15.75" customHeight="1">
      <c r="A904" s="31" t="str">
        <f>'EQUITY BACKTEST'!A907</f>
        <v/>
      </c>
      <c r="B904" s="22" t="str">
        <f>'EQUITY BACKTEST'!B907</f>
        <v/>
      </c>
      <c r="C904" s="22" t="str">
        <f>1/'EQUITY BACKTEST'!E907</f>
        <v>#DIV/0!</v>
      </c>
      <c r="D904" s="22" t="str">
        <f t="shared" si="1"/>
        <v>#DIV/0!</v>
      </c>
      <c r="E904" s="22" t="str">
        <f t="shared" ref="E904:F904" si="904">IF(A904&lt;&gt;"", (B904 - B903) / B903, "")</f>
        <v/>
      </c>
      <c r="F904" s="22" t="str">
        <f t="shared" si="904"/>
        <v/>
      </c>
      <c r="H904" s="22" t="str">
        <f t="shared" si="4"/>
        <v/>
      </c>
    </row>
    <row r="905" ht="15.75" customHeight="1">
      <c r="A905" s="31" t="str">
        <f>'EQUITY BACKTEST'!A908</f>
        <v/>
      </c>
      <c r="B905" s="22" t="str">
        <f>'EQUITY BACKTEST'!B908</f>
        <v/>
      </c>
      <c r="C905" s="22" t="str">
        <f>1/'EQUITY BACKTEST'!E908</f>
        <v>#DIV/0!</v>
      </c>
      <c r="D905" s="22" t="str">
        <f t="shared" si="1"/>
        <v>#DIV/0!</v>
      </c>
      <c r="E905" s="22" t="str">
        <f t="shared" ref="E905:F905" si="905">IF(A905&lt;&gt;"", (B905 - B904) / B904, "")</f>
        <v/>
      </c>
      <c r="F905" s="22" t="str">
        <f t="shared" si="905"/>
        <v/>
      </c>
      <c r="H905" s="22" t="str">
        <f t="shared" si="4"/>
        <v/>
      </c>
    </row>
    <row r="906" ht="15.75" customHeight="1">
      <c r="A906" s="31" t="str">
        <f>'EQUITY BACKTEST'!A909</f>
        <v/>
      </c>
      <c r="B906" s="22" t="str">
        <f>'EQUITY BACKTEST'!B909</f>
        <v/>
      </c>
      <c r="C906" s="22" t="str">
        <f>1/'EQUITY BACKTEST'!E909</f>
        <v>#DIV/0!</v>
      </c>
      <c r="D906" s="22" t="str">
        <f t="shared" si="1"/>
        <v>#DIV/0!</v>
      </c>
      <c r="E906" s="22" t="str">
        <f t="shared" ref="E906:F906" si="906">IF(A906&lt;&gt;"", (B906 - B905) / B905, "")</f>
        <v/>
      </c>
      <c r="F906" s="22" t="str">
        <f t="shared" si="906"/>
        <v/>
      </c>
      <c r="H906" s="22" t="str">
        <f t="shared" si="4"/>
        <v/>
      </c>
    </row>
    <row r="907" ht="15.75" customHeight="1">
      <c r="A907" s="31" t="str">
        <f>'EQUITY BACKTEST'!A910</f>
        <v/>
      </c>
      <c r="B907" s="22" t="str">
        <f>'EQUITY BACKTEST'!B910</f>
        <v/>
      </c>
      <c r="C907" s="22" t="str">
        <f>1/'EQUITY BACKTEST'!E910</f>
        <v>#DIV/0!</v>
      </c>
      <c r="D907" s="22" t="str">
        <f t="shared" si="1"/>
        <v>#DIV/0!</v>
      </c>
      <c r="E907" s="22" t="str">
        <f t="shared" ref="E907:F907" si="907">IF(A907&lt;&gt;"", (B907 - B906) / B906, "")</f>
        <v/>
      </c>
      <c r="F907" s="22" t="str">
        <f t="shared" si="907"/>
        <v/>
      </c>
      <c r="H907" s="22" t="str">
        <f t="shared" si="4"/>
        <v/>
      </c>
    </row>
    <row r="908" ht="15.75" customHeight="1">
      <c r="A908" s="31" t="str">
        <f>'EQUITY BACKTEST'!A911</f>
        <v/>
      </c>
      <c r="B908" s="22" t="str">
        <f>'EQUITY BACKTEST'!B911</f>
        <v/>
      </c>
      <c r="C908" s="22" t="str">
        <f>1/'EQUITY BACKTEST'!E911</f>
        <v>#DIV/0!</v>
      </c>
      <c r="D908" s="22" t="str">
        <f t="shared" si="1"/>
        <v>#DIV/0!</v>
      </c>
      <c r="E908" s="22" t="str">
        <f t="shared" ref="E908:F908" si="908">IF(A908&lt;&gt;"", (B908 - B907) / B907, "")</f>
        <v/>
      </c>
      <c r="F908" s="22" t="str">
        <f t="shared" si="908"/>
        <v/>
      </c>
      <c r="H908" s="22" t="str">
        <f t="shared" si="4"/>
        <v/>
      </c>
    </row>
    <row r="909" ht="15.75" customHeight="1">
      <c r="A909" s="31" t="str">
        <f>'EQUITY BACKTEST'!A912</f>
        <v/>
      </c>
      <c r="B909" s="22" t="str">
        <f>'EQUITY BACKTEST'!B912</f>
        <v/>
      </c>
      <c r="C909" s="22" t="str">
        <f>1/'EQUITY BACKTEST'!E912</f>
        <v>#DIV/0!</v>
      </c>
      <c r="D909" s="22" t="str">
        <f t="shared" si="1"/>
        <v>#DIV/0!</v>
      </c>
      <c r="E909" s="22" t="str">
        <f t="shared" ref="E909:F909" si="909">IF(A909&lt;&gt;"", (B909 - B908) / B908, "")</f>
        <v/>
      </c>
      <c r="F909" s="22" t="str">
        <f t="shared" si="909"/>
        <v/>
      </c>
      <c r="H909" s="22" t="str">
        <f t="shared" si="4"/>
        <v/>
      </c>
    </row>
    <row r="910" ht="15.75" customHeight="1">
      <c r="A910" s="31" t="str">
        <f>'EQUITY BACKTEST'!A913</f>
        <v/>
      </c>
      <c r="B910" s="22" t="str">
        <f>'EQUITY BACKTEST'!B913</f>
        <v/>
      </c>
      <c r="C910" s="22" t="str">
        <f>1/'EQUITY BACKTEST'!E913</f>
        <v>#DIV/0!</v>
      </c>
      <c r="D910" s="22" t="str">
        <f t="shared" si="1"/>
        <v>#DIV/0!</v>
      </c>
      <c r="E910" s="22" t="str">
        <f t="shared" ref="E910:F910" si="910">IF(A910&lt;&gt;"", (B910 - B909) / B909, "")</f>
        <v/>
      </c>
      <c r="F910" s="22" t="str">
        <f t="shared" si="910"/>
        <v/>
      </c>
      <c r="H910" s="22" t="str">
        <f t="shared" si="4"/>
        <v/>
      </c>
    </row>
    <row r="911" ht="15.75" customHeight="1">
      <c r="A911" s="31" t="str">
        <f>'EQUITY BACKTEST'!A914</f>
        <v/>
      </c>
      <c r="B911" s="22" t="str">
        <f>'EQUITY BACKTEST'!B914</f>
        <v/>
      </c>
      <c r="C911" s="22" t="str">
        <f>1/'EQUITY BACKTEST'!E914</f>
        <v>#DIV/0!</v>
      </c>
      <c r="D911" s="22" t="str">
        <f t="shared" si="1"/>
        <v>#DIV/0!</v>
      </c>
      <c r="E911" s="22" t="str">
        <f t="shared" ref="E911:F911" si="911">IF(A911&lt;&gt;"", (B911 - B910) / B910, "")</f>
        <v/>
      </c>
      <c r="F911" s="22" t="str">
        <f t="shared" si="911"/>
        <v/>
      </c>
      <c r="H911" s="22" t="str">
        <f t="shared" si="4"/>
        <v/>
      </c>
    </row>
    <row r="912" ht="15.75" customHeight="1">
      <c r="A912" s="31" t="str">
        <f>'EQUITY BACKTEST'!A915</f>
        <v/>
      </c>
      <c r="B912" s="22" t="str">
        <f>'EQUITY BACKTEST'!B915</f>
        <v/>
      </c>
      <c r="C912" s="22" t="str">
        <f>1/'EQUITY BACKTEST'!E915</f>
        <v>#DIV/0!</v>
      </c>
      <c r="D912" s="22" t="str">
        <f t="shared" si="1"/>
        <v>#DIV/0!</v>
      </c>
      <c r="E912" s="22" t="str">
        <f t="shared" ref="E912:F912" si="912">IF(A912&lt;&gt;"", (B912 - B911) / B911, "")</f>
        <v/>
      </c>
      <c r="F912" s="22" t="str">
        <f t="shared" si="912"/>
        <v/>
      </c>
      <c r="H912" s="22" t="str">
        <f t="shared" si="4"/>
        <v/>
      </c>
    </row>
    <row r="913" ht="15.75" customHeight="1">
      <c r="A913" s="31" t="str">
        <f>'EQUITY BACKTEST'!A916</f>
        <v/>
      </c>
      <c r="B913" s="22" t="str">
        <f>'EQUITY BACKTEST'!B916</f>
        <v/>
      </c>
      <c r="C913" s="22" t="str">
        <f>1/'EQUITY BACKTEST'!E916</f>
        <v>#DIV/0!</v>
      </c>
      <c r="D913" s="22" t="str">
        <f t="shared" si="1"/>
        <v>#DIV/0!</v>
      </c>
      <c r="E913" s="22" t="str">
        <f t="shared" ref="E913:F913" si="913">IF(A913&lt;&gt;"", (B913 - B912) / B912, "")</f>
        <v/>
      </c>
      <c r="F913" s="22" t="str">
        <f t="shared" si="913"/>
        <v/>
      </c>
      <c r="H913" s="22" t="str">
        <f t="shared" si="4"/>
        <v/>
      </c>
    </row>
    <row r="914" ht="15.75" customHeight="1">
      <c r="A914" s="31" t="str">
        <f>'EQUITY BACKTEST'!A917</f>
        <v/>
      </c>
      <c r="B914" s="22" t="str">
        <f>'EQUITY BACKTEST'!B917</f>
        <v/>
      </c>
      <c r="C914" s="22" t="str">
        <f>1/'EQUITY BACKTEST'!E917</f>
        <v>#DIV/0!</v>
      </c>
      <c r="D914" s="22" t="str">
        <f t="shared" si="1"/>
        <v>#DIV/0!</v>
      </c>
      <c r="E914" s="22" t="str">
        <f t="shared" ref="E914:F914" si="914">IF(A914&lt;&gt;"", (B914 - B913) / B913, "")</f>
        <v/>
      </c>
      <c r="F914" s="22" t="str">
        <f t="shared" si="914"/>
        <v/>
      </c>
      <c r="H914" s="22" t="str">
        <f t="shared" si="4"/>
        <v/>
      </c>
    </row>
    <row r="915" ht="15.75" customHeight="1">
      <c r="A915" s="31" t="str">
        <f>'EQUITY BACKTEST'!A918</f>
        <v/>
      </c>
      <c r="B915" s="22" t="str">
        <f>'EQUITY BACKTEST'!B918</f>
        <v/>
      </c>
      <c r="C915" s="22" t="str">
        <f>1/'EQUITY BACKTEST'!E918</f>
        <v>#DIV/0!</v>
      </c>
      <c r="D915" s="22" t="str">
        <f t="shared" si="1"/>
        <v>#DIV/0!</v>
      </c>
      <c r="E915" s="22" t="str">
        <f t="shared" ref="E915:F915" si="915">IF(A915&lt;&gt;"", (B915 - B914) / B914, "")</f>
        <v/>
      </c>
      <c r="F915" s="22" t="str">
        <f t="shared" si="915"/>
        <v/>
      </c>
      <c r="H915" s="22" t="str">
        <f t="shared" si="4"/>
        <v/>
      </c>
    </row>
    <row r="916" ht="15.75" customHeight="1">
      <c r="A916" s="31" t="str">
        <f>'EQUITY BACKTEST'!A919</f>
        <v/>
      </c>
      <c r="B916" s="22" t="str">
        <f>'EQUITY BACKTEST'!B919</f>
        <v/>
      </c>
      <c r="C916" s="22" t="str">
        <f>1/'EQUITY BACKTEST'!E919</f>
        <v>#DIV/0!</v>
      </c>
      <c r="D916" s="22" t="str">
        <f t="shared" si="1"/>
        <v>#DIV/0!</v>
      </c>
      <c r="E916" s="22" t="str">
        <f t="shared" ref="E916:F916" si="916">IF(A916&lt;&gt;"", (B916 - B915) / B915, "")</f>
        <v/>
      </c>
      <c r="F916" s="22" t="str">
        <f t="shared" si="916"/>
        <v/>
      </c>
      <c r="H916" s="22" t="str">
        <f t="shared" si="4"/>
        <v/>
      </c>
    </row>
    <row r="917" ht="15.75" customHeight="1">
      <c r="A917" s="31" t="str">
        <f>'EQUITY BACKTEST'!A920</f>
        <v/>
      </c>
      <c r="B917" s="22" t="str">
        <f>'EQUITY BACKTEST'!B920</f>
        <v/>
      </c>
      <c r="C917" s="22" t="str">
        <f>1/'EQUITY BACKTEST'!E920</f>
        <v>#DIV/0!</v>
      </c>
      <c r="D917" s="22" t="str">
        <f t="shared" si="1"/>
        <v>#DIV/0!</v>
      </c>
      <c r="E917" s="22" t="str">
        <f t="shared" ref="E917:F917" si="917">IF(A917&lt;&gt;"", (B917 - B916) / B916, "")</f>
        <v/>
      </c>
      <c r="F917" s="22" t="str">
        <f t="shared" si="917"/>
        <v/>
      </c>
      <c r="H917" s="22" t="str">
        <f t="shared" si="4"/>
        <v/>
      </c>
    </row>
    <row r="918" ht="15.75" customHeight="1">
      <c r="A918" s="31" t="str">
        <f>'EQUITY BACKTEST'!A921</f>
        <v/>
      </c>
      <c r="B918" s="22" t="str">
        <f>'EQUITY BACKTEST'!B921</f>
        <v/>
      </c>
      <c r="C918" s="22" t="str">
        <f>1/'EQUITY BACKTEST'!E921</f>
        <v>#DIV/0!</v>
      </c>
      <c r="D918" s="22" t="str">
        <f t="shared" si="1"/>
        <v>#DIV/0!</v>
      </c>
      <c r="E918" s="22" t="str">
        <f t="shared" ref="E918:F918" si="918">IF(A918&lt;&gt;"", (B918 - B917) / B917, "")</f>
        <v/>
      </c>
      <c r="F918" s="22" t="str">
        <f t="shared" si="918"/>
        <v/>
      </c>
      <c r="H918" s="22" t="str">
        <f t="shared" si="4"/>
        <v/>
      </c>
    </row>
    <row r="919" ht="15.75" customHeight="1">
      <c r="A919" s="31" t="str">
        <f>'EQUITY BACKTEST'!A922</f>
        <v/>
      </c>
      <c r="B919" s="22" t="str">
        <f>'EQUITY BACKTEST'!B922</f>
        <v/>
      </c>
      <c r="C919" s="22" t="str">
        <f>1/'EQUITY BACKTEST'!E922</f>
        <v>#DIV/0!</v>
      </c>
      <c r="D919" s="22" t="str">
        <f t="shared" si="1"/>
        <v>#DIV/0!</v>
      </c>
      <c r="E919" s="22" t="str">
        <f t="shared" ref="E919:F919" si="919">IF(A919&lt;&gt;"", (B919 - B918) / B918, "")</f>
        <v/>
      </c>
      <c r="F919" s="22" t="str">
        <f t="shared" si="919"/>
        <v/>
      </c>
      <c r="H919" s="22" t="str">
        <f t="shared" si="4"/>
        <v/>
      </c>
    </row>
    <row r="920" ht="15.75" customHeight="1">
      <c r="A920" s="31" t="str">
        <f>'EQUITY BACKTEST'!A923</f>
        <v/>
      </c>
      <c r="B920" s="22" t="str">
        <f>'EQUITY BACKTEST'!B923</f>
        <v/>
      </c>
      <c r="C920" s="22" t="str">
        <f>1/'EQUITY BACKTEST'!E923</f>
        <v>#DIV/0!</v>
      </c>
      <c r="D920" s="22" t="str">
        <f t="shared" si="1"/>
        <v>#DIV/0!</v>
      </c>
      <c r="E920" s="22" t="str">
        <f t="shared" ref="E920:F920" si="920">IF(A920&lt;&gt;"", (B920 - B919) / B919, "")</f>
        <v/>
      </c>
      <c r="F920" s="22" t="str">
        <f t="shared" si="920"/>
        <v/>
      </c>
      <c r="H920" s="22" t="str">
        <f t="shared" si="4"/>
        <v/>
      </c>
    </row>
    <row r="921" ht="15.75" customHeight="1">
      <c r="A921" s="31" t="str">
        <f>'EQUITY BACKTEST'!A924</f>
        <v/>
      </c>
      <c r="B921" s="22" t="str">
        <f>'EQUITY BACKTEST'!B924</f>
        <v/>
      </c>
      <c r="C921" s="22" t="str">
        <f>1/'EQUITY BACKTEST'!E924</f>
        <v>#DIV/0!</v>
      </c>
      <c r="D921" s="22" t="str">
        <f t="shared" si="1"/>
        <v>#DIV/0!</v>
      </c>
      <c r="E921" s="22" t="str">
        <f t="shared" ref="E921:F921" si="921">IF(A921&lt;&gt;"", (B921 - B920) / B920, "")</f>
        <v/>
      </c>
      <c r="F921" s="22" t="str">
        <f t="shared" si="921"/>
        <v/>
      </c>
      <c r="H921" s="22" t="str">
        <f t="shared" si="4"/>
        <v/>
      </c>
    </row>
    <row r="922" ht="15.75" customHeight="1">
      <c r="A922" s="31" t="str">
        <f>'EQUITY BACKTEST'!A925</f>
        <v/>
      </c>
      <c r="B922" s="22" t="str">
        <f>'EQUITY BACKTEST'!B925</f>
        <v/>
      </c>
      <c r="C922" s="22" t="str">
        <f>1/'EQUITY BACKTEST'!E925</f>
        <v>#DIV/0!</v>
      </c>
      <c r="D922" s="22" t="str">
        <f t="shared" si="1"/>
        <v>#DIV/0!</v>
      </c>
      <c r="E922" s="22" t="str">
        <f t="shared" ref="E922:F922" si="922">IF(A922&lt;&gt;"", (B922 - B921) / B921, "")</f>
        <v/>
      </c>
      <c r="F922" s="22" t="str">
        <f t="shared" si="922"/>
        <v/>
      </c>
      <c r="H922" s="22" t="str">
        <f t="shared" si="4"/>
        <v/>
      </c>
    </row>
    <row r="923" ht="15.75" customHeight="1">
      <c r="A923" s="31" t="str">
        <f>'EQUITY BACKTEST'!A926</f>
        <v/>
      </c>
      <c r="B923" s="22" t="str">
        <f>'EQUITY BACKTEST'!B926</f>
        <v/>
      </c>
      <c r="C923" s="22" t="str">
        <f>1/'EQUITY BACKTEST'!E926</f>
        <v>#DIV/0!</v>
      </c>
      <c r="D923" s="22" t="str">
        <f t="shared" si="1"/>
        <v>#DIV/0!</v>
      </c>
      <c r="E923" s="22" t="str">
        <f t="shared" ref="E923:F923" si="923">IF(A923&lt;&gt;"", (B923 - B922) / B922, "")</f>
        <v/>
      </c>
      <c r="F923" s="22" t="str">
        <f t="shared" si="923"/>
        <v/>
      </c>
      <c r="H923" s="22" t="str">
        <f t="shared" si="4"/>
        <v/>
      </c>
    </row>
    <row r="924" ht="15.75" customHeight="1">
      <c r="A924" s="31" t="str">
        <f>'EQUITY BACKTEST'!A927</f>
        <v/>
      </c>
      <c r="B924" s="22" t="str">
        <f>'EQUITY BACKTEST'!B927</f>
        <v/>
      </c>
      <c r="C924" s="22" t="str">
        <f>1/'EQUITY BACKTEST'!E927</f>
        <v>#DIV/0!</v>
      </c>
      <c r="D924" s="22" t="str">
        <f t="shared" si="1"/>
        <v>#DIV/0!</v>
      </c>
      <c r="E924" s="22" t="str">
        <f t="shared" ref="E924:F924" si="924">IF(A924&lt;&gt;"", (B924 - B923) / B923, "")</f>
        <v/>
      </c>
      <c r="F924" s="22" t="str">
        <f t="shared" si="924"/>
        <v/>
      </c>
      <c r="H924" s="22" t="str">
        <f t="shared" si="4"/>
        <v/>
      </c>
    </row>
    <row r="925" ht="15.75" customHeight="1">
      <c r="A925" s="31" t="str">
        <f>'EQUITY BACKTEST'!A928</f>
        <v/>
      </c>
      <c r="B925" s="22" t="str">
        <f>'EQUITY BACKTEST'!B928</f>
        <v/>
      </c>
      <c r="C925" s="22" t="str">
        <f>1/'EQUITY BACKTEST'!E928</f>
        <v>#DIV/0!</v>
      </c>
      <c r="D925" s="22" t="str">
        <f t="shared" si="1"/>
        <v>#DIV/0!</v>
      </c>
      <c r="E925" s="22" t="str">
        <f t="shared" ref="E925:F925" si="925">IF(A925&lt;&gt;"", (B925 - B924) / B924, "")</f>
        <v/>
      </c>
      <c r="F925" s="22" t="str">
        <f t="shared" si="925"/>
        <v/>
      </c>
      <c r="H925" s="22" t="str">
        <f t="shared" si="4"/>
        <v/>
      </c>
    </row>
    <row r="926" ht="15.75" customHeight="1">
      <c r="A926" s="31" t="str">
        <f>'EQUITY BACKTEST'!A929</f>
        <v/>
      </c>
      <c r="B926" s="22" t="str">
        <f>'EQUITY BACKTEST'!B929</f>
        <v/>
      </c>
      <c r="C926" s="22" t="str">
        <f>1/'EQUITY BACKTEST'!E929</f>
        <v>#DIV/0!</v>
      </c>
      <c r="D926" s="22" t="str">
        <f t="shared" si="1"/>
        <v>#DIV/0!</v>
      </c>
      <c r="E926" s="22" t="str">
        <f t="shared" ref="E926:F926" si="926">IF(A926&lt;&gt;"", (B926 - B925) / B925, "")</f>
        <v/>
      </c>
      <c r="F926" s="22" t="str">
        <f t="shared" si="926"/>
        <v/>
      </c>
      <c r="H926" s="22" t="str">
        <f t="shared" si="4"/>
        <v/>
      </c>
    </row>
    <row r="927" ht="15.75" customHeight="1">
      <c r="A927" s="31" t="str">
        <f>'EQUITY BACKTEST'!A930</f>
        <v/>
      </c>
      <c r="B927" s="22" t="str">
        <f>'EQUITY BACKTEST'!B930</f>
        <v/>
      </c>
      <c r="C927" s="22" t="str">
        <f>1/'EQUITY BACKTEST'!E930</f>
        <v>#DIV/0!</v>
      </c>
      <c r="D927" s="22" t="str">
        <f t="shared" si="1"/>
        <v>#DIV/0!</v>
      </c>
      <c r="E927" s="22" t="str">
        <f t="shared" ref="E927:F927" si="927">IF(A927&lt;&gt;"", (B927 - B926) / B926, "")</f>
        <v/>
      </c>
      <c r="F927" s="22" t="str">
        <f t="shared" si="927"/>
        <v/>
      </c>
      <c r="H927" s="22" t="str">
        <f t="shared" si="4"/>
        <v/>
      </c>
    </row>
    <row r="928" ht="15.75" customHeight="1">
      <c r="A928" s="31" t="str">
        <f>'EQUITY BACKTEST'!A931</f>
        <v/>
      </c>
      <c r="B928" s="22" t="str">
        <f>'EQUITY BACKTEST'!B931</f>
        <v/>
      </c>
      <c r="C928" s="22" t="str">
        <f>1/'EQUITY BACKTEST'!E931</f>
        <v>#DIV/0!</v>
      </c>
      <c r="D928" s="22" t="str">
        <f t="shared" si="1"/>
        <v>#DIV/0!</v>
      </c>
      <c r="E928" s="22" t="str">
        <f t="shared" ref="E928:F928" si="928">IF(A928&lt;&gt;"", (B928 - B927) / B927, "")</f>
        <v/>
      </c>
      <c r="F928" s="22" t="str">
        <f t="shared" si="928"/>
        <v/>
      </c>
      <c r="H928" s="22" t="str">
        <f t="shared" si="4"/>
        <v/>
      </c>
    </row>
    <row r="929" ht="15.75" customHeight="1">
      <c r="A929" s="31" t="str">
        <f>'EQUITY BACKTEST'!A932</f>
        <v/>
      </c>
      <c r="B929" s="22" t="str">
        <f>'EQUITY BACKTEST'!B932</f>
        <v/>
      </c>
      <c r="C929" s="22" t="str">
        <f>1/'EQUITY BACKTEST'!E932</f>
        <v>#DIV/0!</v>
      </c>
      <c r="D929" s="22" t="str">
        <f t="shared" si="1"/>
        <v>#DIV/0!</v>
      </c>
      <c r="E929" s="22" t="str">
        <f t="shared" ref="E929:F929" si="929">IF(A929&lt;&gt;"", (B929 - B928) / B928, "")</f>
        <v/>
      </c>
      <c r="F929" s="22" t="str">
        <f t="shared" si="929"/>
        <v/>
      </c>
      <c r="H929" s="22" t="str">
        <f t="shared" si="4"/>
        <v/>
      </c>
    </row>
    <row r="930" ht="15.75" customHeight="1">
      <c r="A930" s="31" t="str">
        <f>'EQUITY BACKTEST'!A933</f>
        <v/>
      </c>
      <c r="B930" s="22" t="str">
        <f>'EQUITY BACKTEST'!B933</f>
        <v/>
      </c>
      <c r="C930" s="22" t="str">
        <f>1/'EQUITY BACKTEST'!E933</f>
        <v>#DIV/0!</v>
      </c>
      <c r="D930" s="22" t="str">
        <f t="shared" si="1"/>
        <v>#DIV/0!</v>
      </c>
      <c r="E930" s="22" t="str">
        <f t="shared" ref="E930:F930" si="930">IF(A930&lt;&gt;"", (B930 - B929) / B929, "")</f>
        <v/>
      </c>
      <c r="F930" s="22" t="str">
        <f t="shared" si="930"/>
        <v/>
      </c>
      <c r="H930" s="22" t="str">
        <f t="shared" si="4"/>
        <v/>
      </c>
    </row>
    <row r="931" ht="15.75" customHeight="1">
      <c r="A931" s="31" t="str">
        <f>'EQUITY BACKTEST'!A934</f>
        <v/>
      </c>
      <c r="B931" s="22" t="str">
        <f>'EQUITY BACKTEST'!B934</f>
        <v/>
      </c>
      <c r="C931" s="22" t="str">
        <f>1/'EQUITY BACKTEST'!E934</f>
        <v>#DIV/0!</v>
      </c>
      <c r="D931" s="22" t="str">
        <f t="shared" si="1"/>
        <v>#DIV/0!</v>
      </c>
      <c r="E931" s="22" t="str">
        <f t="shared" ref="E931:F931" si="931">IF(A931&lt;&gt;"", (B931 - B930) / B930, "")</f>
        <v/>
      </c>
      <c r="F931" s="22" t="str">
        <f t="shared" si="931"/>
        <v/>
      </c>
      <c r="H931" s="22" t="str">
        <f t="shared" si="4"/>
        <v/>
      </c>
    </row>
    <row r="932" ht="15.75" customHeight="1">
      <c r="A932" s="31" t="str">
        <f>'EQUITY BACKTEST'!A935</f>
        <v/>
      </c>
      <c r="B932" s="22" t="str">
        <f>'EQUITY BACKTEST'!B935</f>
        <v/>
      </c>
      <c r="C932" s="22" t="str">
        <f>1/'EQUITY BACKTEST'!E935</f>
        <v>#DIV/0!</v>
      </c>
      <c r="D932" s="22" t="str">
        <f t="shared" si="1"/>
        <v>#DIV/0!</v>
      </c>
      <c r="E932" s="22" t="str">
        <f t="shared" ref="E932:F932" si="932">IF(A932&lt;&gt;"", (B932 - B931) / B931, "")</f>
        <v/>
      </c>
      <c r="F932" s="22" t="str">
        <f t="shared" si="932"/>
        <v/>
      </c>
      <c r="H932" s="22" t="str">
        <f t="shared" si="4"/>
        <v/>
      </c>
    </row>
    <row r="933" ht="15.75" customHeight="1">
      <c r="A933" s="31" t="str">
        <f>'EQUITY BACKTEST'!A936</f>
        <v/>
      </c>
      <c r="B933" s="22" t="str">
        <f>'EQUITY BACKTEST'!B936</f>
        <v/>
      </c>
      <c r="C933" s="22" t="str">
        <f>1/'EQUITY BACKTEST'!E936</f>
        <v>#DIV/0!</v>
      </c>
      <c r="D933" s="22" t="str">
        <f t="shared" si="1"/>
        <v>#DIV/0!</v>
      </c>
      <c r="E933" s="22" t="str">
        <f t="shared" ref="E933:F933" si="933">IF(A933&lt;&gt;"", (B933 - B932) / B932, "")</f>
        <v/>
      </c>
      <c r="F933" s="22" t="str">
        <f t="shared" si="933"/>
        <v/>
      </c>
      <c r="H933" s="22" t="str">
        <f t="shared" si="4"/>
        <v/>
      </c>
    </row>
    <row r="934" ht="15.75" customHeight="1">
      <c r="A934" s="31" t="str">
        <f>'EQUITY BACKTEST'!A937</f>
        <v/>
      </c>
      <c r="B934" s="22" t="str">
        <f>'EQUITY BACKTEST'!B937</f>
        <v/>
      </c>
      <c r="C934" s="22" t="str">
        <f>1/'EQUITY BACKTEST'!E937</f>
        <v>#DIV/0!</v>
      </c>
      <c r="D934" s="22" t="str">
        <f t="shared" si="1"/>
        <v>#DIV/0!</v>
      </c>
      <c r="E934" s="22" t="str">
        <f t="shared" ref="E934:F934" si="934">IF(A934&lt;&gt;"", (B934 - B933) / B933, "")</f>
        <v/>
      </c>
      <c r="F934" s="22" t="str">
        <f t="shared" si="934"/>
        <v/>
      </c>
      <c r="H934" s="22" t="str">
        <f t="shared" si="4"/>
        <v/>
      </c>
    </row>
    <row r="935" ht="15.75" customHeight="1">
      <c r="A935" s="31" t="str">
        <f>'EQUITY BACKTEST'!A938</f>
        <v/>
      </c>
      <c r="B935" s="22" t="str">
        <f>'EQUITY BACKTEST'!B938</f>
        <v/>
      </c>
      <c r="C935" s="22" t="str">
        <f>1/'EQUITY BACKTEST'!E938</f>
        <v>#DIV/0!</v>
      </c>
      <c r="D935" s="22" t="str">
        <f t="shared" si="1"/>
        <v>#DIV/0!</v>
      </c>
      <c r="E935" s="22" t="str">
        <f t="shared" ref="E935:F935" si="935">IF(A935&lt;&gt;"", (B935 - B934) / B934, "")</f>
        <v/>
      </c>
      <c r="F935" s="22" t="str">
        <f t="shared" si="935"/>
        <v/>
      </c>
      <c r="H935" s="22" t="str">
        <f t="shared" si="4"/>
        <v/>
      </c>
    </row>
    <row r="936" ht="15.75" customHeight="1">
      <c r="A936" s="31" t="str">
        <f>'EQUITY BACKTEST'!A939</f>
        <v/>
      </c>
      <c r="B936" s="22" t="str">
        <f>'EQUITY BACKTEST'!B939</f>
        <v/>
      </c>
      <c r="C936" s="22" t="str">
        <f>1/'EQUITY BACKTEST'!E939</f>
        <v>#DIV/0!</v>
      </c>
      <c r="D936" s="22" t="str">
        <f t="shared" si="1"/>
        <v>#DIV/0!</v>
      </c>
      <c r="E936" s="22" t="str">
        <f t="shared" ref="E936:F936" si="936">IF(A936&lt;&gt;"", (B936 - B935) / B935, "")</f>
        <v/>
      </c>
      <c r="F936" s="22" t="str">
        <f t="shared" si="936"/>
        <v/>
      </c>
      <c r="H936" s="22" t="str">
        <f t="shared" si="4"/>
        <v/>
      </c>
    </row>
    <row r="937" ht="15.75" customHeight="1">
      <c r="A937" s="31" t="str">
        <f>'EQUITY BACKTEST'!A940</f>
        <v/>
      </c>
      <c r="B937" s="22" t="str">
        <f>'EQUITY BACKTEST'!B940</f>
        <v/>
      </c>
      <c r="C937" s="22" t="str">
        <f>1/'EQUITY BACKTEST'!E940</f>
        <v>#DIV/0!</v>
      </c>
      <c r="D937" s="22" t="str">
        <f t="shared" si="1"/>
        <v>#DIV/0!</v>
      </c>
      <c r="E937" s="22" t="str">
        <f t="shared" ref="E937:F937" si="937">IF(A937&lt;&gt;"", (B937 - B936) / B936, "")</f>
        <v/>
      </c>
      <c r="F937" s="22" t="str">
        <f t="shared" si="937"/>
        <v/>
      </c>
      <c r="H937" s="22" t="str">
        <f t="shared" si="4"/>
        <v/>
      </c>
    </row>
    <row r="938" ht="15.75" customHeight="1">
      <c r="A938" s="31" t="str">
        <f>'EQUITY BACKTEST'!A941</f>
        <v/>
      </c>
      <c r="B938" s="22" t="str">
        <f>'EQUITY BACKTEST'!B941</f>
        <v/>
      </c>
      <c r="C938" s="22" t="str">
        <f>1/'EQUITY BACKTEST'!E941</f>
        <v>#DIV/0!</v>
      </c>
      <c r="D938" s="22" t="str">
        <f t="shared" si="1"/>
        <v>#DIV/0!</v>
      </c>
      <c r="E938" s="22" t="str">
        <f t="shared" ref="E938:F938" si="938">IF(A938&lt;&gt;"", (B938 - B937) / B937, "")</f>
        <v/>
      </c>
      <c r="F938" s="22" t="str">
        <f t="shared" si="938"/>
        <v/>
      </c>
      <c r="H938" s="22" t="str">
        <f t="shared" si="4"/>
        <v/>
      </c>
    </row>
    <row r="939" ht="15.75" customHeight="1">
      <c r="A939" s="31" t="str">
        <f>'EQUITY BACKTEST'!A942</f>
        <v/>
      </c>
      <c r="B939" s="22" t="str">
        <f>'EQUITY BACKTEST'!B942</f>
        <v/>
      </c>
      <c r="C939" s="22" t="str">
        <f>1/'EQUITY BACKTEST'!E942</f>
        <v>#DIV/0!</v>
      </c>
      <c r="D939" s="22" t="str">
        <f t="shared" si="1"/>
        <v>#DIV/0!</v>
      </c>
      <c r="E939" s="22" t="str">
        <f t="shared" ref="E939:F939" si="939">IF(A939&lt;&gt;"", (B939 - B938) / B938, "")</f>
        <v/>
      </c>
      <c r="F939" s="22" t="str">
        <f t="shared" si="939"/>
        <v/>
      </c>
      <c r="H939" s="22" t="str">
        <f t="shared" si="4"/>
        <v/>
      </c>
    </row>
    <row r="940" ht="15.75" customHeight="1">
      <c r="A940" s="31" t="str">
        <f>'EQUITY BACKTEST'!A943</f>
        <v/>
      </c>
      <c r="B940" s="22" t="str">
        <f>'EQUITY BACKTEST'!B943</f>
        <v/>
      </c>
      <c r="C940" s="22" t="str">
        <f>1/'EQUITY BACKTEST'!E943</f>
        <v>#DIV/0!</v>
      </c>
      <c r="D940" s="22" t="str">
        <f t="shared" si="1"/>
        <v>#DIV/0!</v>
      </c>
      <c r="E940" s="22" t="str">
        <f t="shared" ref="E940:F940" si="940">IF(A940&lt;&gt;"", (B940 - B939) / B939, "")</f>
        <v/>
      </c>
      <c r="F940" s="22" t="str">
        <f t="shared" si="940"/>
        <v/>
      </c>
      <c r="H940" s="22" t="str">
        <f t="shared" si="4"/>
        <v/>
      </c>
    </row>
    <row r="941" ht="15.75" customHeight="1">
      <c r="A941" s="31" t="str">
        <f>'EQUITY BACKTEST'!A944</f>
        <v/>
      </c>
      <c r="B941" s="22" t="str">
        <f>'EQUITY BACKTEST'!B944</f>
        <v/>
      </c>
      <c r="C941" s="22" t="str">
        <f>1/'EQUITY BACKTEST'!E944</f>
        <v>#DIV/0!</v>
      </c>
      <c r="D941" s="22" t="str">
        <f t="shared" si="1"/>
        <v>#DIV/0!</v>
      </c>
      <c r="E941" s="22" t="str">
        <f t="shared" ref="E941:F941" si="941">IF(A941&lt;&gt;"", (B941 - B940) / B940, "")</f>
        <v/>
      </c>
      <c r="F941" s="22" t="str">
        <f t="shared" si="941"/>
        <v/>
      </c>
      <c r="H941" s="22" t="str">
        <f t="shared" si="4"/>
        <v/>
      </c>
    </row>
    <row r="942" ht="15.75" customHeight="1">
      <c r="A942" s="31" t="str">
        <f>'EQUITY BACKTEST'!A945</f>
        <v/>
      </c>
      <c r="B942" s="22" t="str">
        <f>'EQUITY BACKTEST'!B945</f>
        <v/>
      </c>
      <c r="C942" s="22" t="str">
        <f>1/'EQUITY BACKTEST'!E945</f>
        <v>#DIV/0!</v>
      </c>
      <c r="D942" s="22" t="str">
        <f t="shared" si="1"/>
        <v>#DIV/0!</v>
      </c>
      <c r="E942" s="22" t="str">
        <f t="shared" ref="E942:F942" si="942">IF(A942&lt;&gt;"", (B942 - B941) / B941, "")</f>
        <v/>
      </c>
      <c r="F942" s="22" t="str">
        <f t="shared" si="942"/>
        <v/>
      </c>
      <c r="H942" s="22" t="str">
        <f t="shared" si="4"/>
        <v/>
      </c>
    </row>
    <row r="943" ht="15.75" customHeight="1">
      <c r="A943" s="31" t="str">
        <f>'EQUITY BACKTEST'!A946</f>
        <v/>
      </c>
      <c r="B943" s="22" t="str">
        <f>'EQUITY BACKTEST'!B946</f>
        <v/>
      </c>
      <c r="C943" s="22" t="str">
        <f>1/'EQUITY BACKTEST'!E946</f>
        <v>#DIV/0!</v>
      </c>
      <c r="D943" s="22" t="str">
        <f t="shared" si="1"/>
        <v>#DIV/0!</v>
      </c>
      <c r="E943" s="22" t="str">
        <f t="shared" ref="E943:F943" si="943">IF(A943&lt;&gt;"", (B943 - B942) / B942, "")</f>
        <v/>
      </c>
      <c r="F943" s="22" t="str">
        <f t="shared" si="943"/>
        <v/>
      </c>
      <c r="H943" s="22" t="str">
        <f t="shared" si="4"/>
        <v/>
      </c>
    </row>
    <row r="944" ht="15.75" customHeight="1">
      <c r="A944" s="31" t="str">
        <f>'EQUITY BACKTEST'!A947</f>
        <v/>
      </c>
      <c r="B944" s="22" t="str">
        <f>'EQUITY BACKTEST'!B947</f>
        <v/>
      </c>
      <c r="C944" s="22" t="str">
        <f>1/'EQUITY BACKTEST'!E947</f>
        <v>#DIV/0!</v>
      </c>
      <c r="D944" s="22" t="str">
        <f t="shared" si="1"/>
        <v>#DIV/0!</v>
      </c>
      <c r="E944" s="22" t="str">
        <f t="shared" ref="E944:F944" si="944">IF(A944&lt;&gt;"", (B944 - B943) / B943, "")</f>
        <v/>
      </c>
      <c r="F944" s="22" t="str">
        <f t="shared" si="944"/>
        <v/>
      </c>
      <c r="H944" s="22" t="str">
        <f t="shared" si="4"/>
        <v/>
      </c>
    </row>
    <row r="945" ht="15.75" customHeight="1">
      <c r="A945" s="31" t="str">
        <f>'EQUITY BACKTEST'!A948</f>
        <v/>
      </c>
      <c r="B945" s="22" t="str">
        <f>'EQUITY BACKTEST'!B948</f>
        <v/>
      </c>
      <c r="C945" s="22" t="str">
        <f>1/'EQUITY BACKTEST'!E948</f>
        <v>#DIV/0!</v>
      </c>
      <c r="D945" s="22" t="str">
        <f t="shared" si="1"/>
        <v>#DIV/0!</v>
      </c>
      <c r="E945" s="22" t="str">
        <f t="shared" ref="E945:F945" si="945">IF(A945&lt;&gt;"", (B945 - B944) / B944, "")</f>
        <v/>
      </c>
      <c r="F945" s="22" t="str">
        <f t="shared" si="945"/>
        <v/>
      </c>
      <c r="H945" s="22" t="str">
        <f t="shared" si="4"/>
        <v/>
      </c>
    </row>
    <row r="946" ht="15.75" customHeight="1">
      <c r="A946" s="31" t="str">
        <f>'EQUITY BACKTEST'!A949</f>
        <v/>
      </c>
      <c r="B946" s="22" t="str">
        <f>'EQUITY BACKTEST'!B949</f>
        <v/>
      </c>
      <c r="C946" s="22" t="str">
        <f>1/'EQUITY BACKTEST'!E949</f>
        <v>#DIV/0!</v>
      </c>
      <c r="D946" s="22" t="str">
        <f t="shared" si="1"/>
        <v>#DIV/0!</v>
      </c>
      <c r="E946" s="22" t="str">
        <f t="shared" ref="E946:F946" si="946">IF(A946&lt;&gt;"", (B946 - B945) / B945, "")</f>
        <v/>
      </c>
      <c r="F946" s="22" t="str">
        <f t="shared" si="946"/>
        <v/>
      </c>
      <c r="H946" s="22" t="str">
        <f t="shared" si="4"/>
        <v/>
      </c>
    </row>
    <row r="947" ht="15.75" customHeight="1">
      <c r="A947" s="31" t="str">
        <f>'EQUITY BACKTEST'!A950</f>
        <v/>
      </c>
      <c r="B947" s="22" t="str">
        <f>'EQUITY BACKTEST'!B950</f>
        <v/>
      </c>
      <c r="C947" s="22" t="str">
        <f>1/'EQUITY BACKTEST'!E950</f>
        <v>#DIV/0!</v>
      </c>
      <c r="D947" s="22" t="str">
        <f t="shared" si="1"/>
        <v>#DIV/0!</v>
      </c>
      <c r="E947" s="22" t="str">
        <f t="shared" ref="E947:F947" si="947">IF(A947&lt;&gt;"", (B947 - B946) / B946, "")</f>
        <v/>
      </c>
      <c r="F947" s="22" t="str">
        <f t="shared" si="947"/>
        <v/>
      </c>
      <c r="H947" s="22" t="str">
        <f t="shared" si="4"/>
        <v/>
      </c>
    </row>
    <row r="948" ht="15.75" customHeight="1">
      <c r="A948" s="31" t="str">
        <f>'EQUITY BACKTEST'!A951</f>
        <v/>
      </c>
      <c r="B948" s="22" t="str">
        <f>'EQUITY BACKTEST'!B951</f>
        <v/>
      </c>
      <c r="C948" s="22" t="str">
        <f>1/'EQUITY BACKTEST'!E951</f>
        <v>#DIV/0!</v>
      </c>
      <c r="D948" s="22" t="str">
        <f t="shared" si="1"/>
        <v>#DIV/0!</v>
      </c>
      <c r="E948" s="22" t="str">
        <f t="shared" ref="E948:F948" si="948">IF(A948&lt;&gt;"", (B948 - B947) / B947, "")</f>
        <v/>
      </c>
      <c r="F948" s="22" t="str">
        <f t="shared" si="948"/>
        <v/>
      </c>
      <c r="H948" s="22" t="str">
        <f t="shared" si="4"/>
        <v/>
      </c>
    </row>
    <row r="949" ht="15.75" customHeight="1">
      <c r="A949" s="31" t="str">
        <f>'EQUITY BACKTEST'!A952</f>
        <v/>
      </c>
      <c r="B949" s="22" t="str">
        <f>'EQUITY BACKTEST'!B952</f>
        <v/>
      </c>
      <c r="C949" s="22" t="str">
        <f>1/'EQUITY BACKTEST'!E952</f>
        <v>#DIV/0!</v>
      </c>
      <c r="D949" s="22" t="str">
        <f t="shared" si="1"/>
        <v>#DIV/0!</v>
      </c>
      <c r="E949" s="22" t="str">
        <f t="shared" ref="E949:F949" si="949">IF(A949&lt;&gt;"", (B949 - B948) / B948, "")</f>
        <v/>
      </c>
      <c r="F949" s="22" t="str">
        <f t="shared" si="949"/>
        <v/>
      </c>
      <c r="H949" s="22" t="str">
        <f t="shared" si="4"/>
        <v/>
      </c>
    </row>
    <row r="950" ht="15.75" customHeight="1">
      <c r="A950" s="31" t="str">
        <f>'EQUITY BACKTEST'!A953</f>
        <v/>
      </c>
      <c r="B950" s="22" t="str">
        <f>'EQUITY BACKTEST'!B953</f>
        <v/>
      </c>
      <c r="C950" s="22" t="str">
        <f>1/'EQUITY BACKTEST'!E953</f>
        <v>#DIV/0!</v>
      </c>
      <c r="D950" s="22" t="str">
        <f t="shared" si="1"/>
        <v>#DIV/0!</v>
      </c>
      <c r="E950" s="22" t="str">
        <f t="shared" ref="E950:F950" si="950">IF(A950&lt;&gt;"", (B950 - B949) / B949, "")</f>
        <v/>
      </c>
      <c r="F950" s="22" t="str">
        <f t="shared" si="950"/>
        <v/>
      </c>
      <c r="H950" s="22" t="str">
        <f t="shared" si="4"/>
        <v/>
      </c>
    </row>
    <row r="951" ht="15.75" customHeight="1">
      <c r="A951" s="31" t="str">
        <f>'EQUITY BACKTEST'!A954</f>
        <v/>
      </c>
      <c r="B951" s="22" t="str">
        <f>'EQUITY BACKTEST'!B954</f>
        <v/>
      </c>
      <c r="C951" s="22" t="str">
        <f>1/'EQUITY BACKTEST'!E954</f>
        <v>#DIV/0!</v>
      </c>
      <c r="D951" s="22" t="str">
        <f t="shared" si="1"/>
        <v>#DIV/0!</v>
      </c>
      <c r="E951" s="22" t="str">
        <f t="shared" ref="E951:F951" si="951">IF(A951&lt;&gt;"", (B951 - B950) / B950, "")</f>
        <v/>
      </c>
      <c r="F951" s="22" t="str">
        <f t="shared" si="951"/>
        <v/>
      </c>
      <c r="H951" s="22" t="str">
        <f t="shared" si="4"/>
        <v/>
      </c>
    </row>
    <row r="952" ht="15.75" customHeight="1">
      <c r="A952" s="31" t="str">
        <f>'EQUITY BACKTEST'!A955</f>
        <v/>
      </c>
      <c r="B952" s="22" t="str">
        <f>'EQUITY BACKTEST'!B955</f>
        <v/>
      </c>
      <c r="C952" s="22" t="str">
        <f>1/'EQUITY BACKTEST'!E955</f>
        <v>#DIV/0!</v>
      </c>
      <c r="D952" s="22" t="str">
        <f t="shared" si="1"/>
        <v>#DIV/0!</v>
      </c>
      <c r="E952" s="22" t="str">
        <f t="shared" ref="E952:F952" si="952">IF(A952&lt;&gt;"", (B952 - B951) / B951, "")</f>
        <v/>
      </c>
      <c r="F952" s="22" t="str">
        <f t="shared" si="952"/>
        <v/>
      </c>
      <c r="H952" s="22" t="str">
        <f t="shared" si="4"/>
        <v/>
      </c>
    </row>
    <row r="953" ht="15.75" customHeight="1">
      <c r="A953" s="31" t="str">
        <f>'EQUITY BACKTEST'!A956</f>
        <v/>
      </c>
      <c r="B953" s="22" t="str">
        <f>'EQUITY BACKTEST'!B956</f>
        <v/>
      </c>
      <c r="C953" s="22" t="str">
        <f>1/'EQUITY BACKTEST'!E956</f>
        <v>#DIV/0!</v>
      </c>
      <c r="D953" s="22" t="str">
        <f t="shared" si="1"/>
        <v>#DIV/0!</v>
      </c>
      <c r="E953" s="22" t="str">
        <f t="shared" ref="E953:F953" si="953">IF(A953&lt;&gt;"", (B953 - B952) / B952, "")</f>
        <v/>
      </c>
      <c r="F953" s="22" t="str">
        <f t="shared" si="953"/>
        <v/>
      </c>
      <c r="H953" s="22" t="str">
        <f t="shared" si="4"/>
        <v/>
      </c>
    </row>
    <row r="954" ht="15.75" customHeight="1">
      <c r="A954" s="31" t="str">
        <f>'EQUITY BACKTEST'!A957</f>
        <v/>
      </c>
      <c r="B954" s="22" t="str">
        <f>'EQUITY BACKTEST'!B957</f>
        <v/>
      </c>
      <c r="C954" s="22" t="str">
        <f>1/'EQUITY BACKTEST'!E957</f>
        <v>#DIV/0!</v>
      </c>
      <c r="D954" s="22" t="str">
        <f t="shared" si="1"/>
        <v>#DIV/0!</v>
      </c>
      <c r="E954" s="22" t="str">
        <f t="shared" ref="E954:F954" si="954">IF(A954&lt;&gt;"", (B954 - B953) / B953, "")</f>
        <v/>
      </c>
      <c r="F954" s="22" t="str">
        <f t="shared" si="954"/>
        <v/>
      </c>
      <c r="H954" s="22" t="str">
        <f t="shared" si="4"/>
        <v/>
      </c>
    </row>
    <row r="955" ht="15.75" customHeight="1">
      <c r="A955" s="31" t="str">
        <f>'EQUITY BACKTEST'!A958</f>
        <v/>
      </c>
      <c r="B955" s="22" t="str">
        <f>'EQUITY BACKTEST'!B958</f>
        <v/>
      </c>
      <c r="C955" s="22" t="str">
        <f>1/'EQUITY BACKTEST'!E958</f>
        <v>#DIV/0!</v>
      </c>
      <c r="D955" s="22" t="str">
        <f t="shared" si="1"/>
        <v>#DIV/0!</v>
      </c>
      <c r="E955" s="22" t="str">
        <f t="shared" ref="E955:F955" si="955">IF(A955&lt;&gt;"", (B955 - B954) / B954, "")</f>
        <v/>
      </c>
      <c r="F955" s="22" t="str">
        <f t="shared" si="955"/>
        <v/>
      </c>
      <c r="H955" s="22" t="str">
        <f t="shared" si="4"/>
        <v/>
      </c>
    </row>
    <row r="956" ht="15.75" customHeight="1">
      <c r="A956" s="31" t="str">
        <f>'EQUITY BACKTEST'!A959</f>
        <v/>
      </c>
      <c r="B956" s="22" t="str">
        <f>'EQUITY BACKTEST'!B959</f>
        <v/>
      </c>
      <c r="C956" s="22" t="str">
        <f>1/'EQUITY BACKTEST'!E959</f>
        <v>#DIV/0!</v>
      </c>
      <c r="D956" s="22" t="str">
        <f t="shared" si="1"/>
        <v>#DIV/0!</v>
      </c>
      <c r="E956" s="22" t="str">
        <f t="shared" ref="E956:F956" si="956">IF(A956&lt;&gt;"", (B956 - B955) / B955, "")</f>
        <v/>
      </c>
      <c r="F956" s="22" t="str">
        <f t="shared" si="956"/>
        <v/>
      </c>
      <c r="H956" s="22" t="str">
        <f t="shared" si="4"/>
        <v/>
      </c>
    </row>
    <row r="957" ht="15.75" customHeight="1">
      <c r="A957" s="31" t="str">
        <f>'EQUITY BACKTEST'!A960</f>
        <v/>
      </c>
      <c r="B957" s="22" t="str">
        <f>'EQUITY BACKTEST'!B960</f>
        <v/>
      </c>
      <c r="C957" s="22" t="str">
        <f>1/'EQUITY BACKTEST'!E960</f>
        <v>#DIV/0!</v>
      </c>
      <c r="D957" s="22" t="str">
        <f t="shared" si="1"/>
        <v>#DIV/0!</v>
      </c>
      <c r="E957" s="22" t="str">
        <f t="shared" ref="E957:F957" si="957">IF(A957&lt;&gt;"", (B957 - B956) / B956, "")</f>
        <v/>
      </c>
      <c r="F957" s="22" t="str">
        <f t="shared" si="957"/>
        <v/>
      </c>
      <c r="H957" s="22" t="str">
        <f t="shared" si="4"/>
        <v/>
      </c>
    </row>
    <row r="958" ht="15.75" customHeight="1">
      <c r="A958" s="31" t="str">
        <f>'EQUITY BACKTEST'!A961</f>
        <v/>
      </c>
      <c r="B958" s="22" t="str">
        <f>'EQUITY BACKTEST'!B961</f>
        <v/>
      </c>
      <c r="C958" s="22" t="str">
        <f>1/'EQUITY BACKTEST'!E961</f>
        <v>#DIV/0!</v>
      </c>
      <c r="D958" s="22" t="str">
        <f t="shared" si="1"/>
        <v>#DIV/0!</v>
      </c>
      <c r="E958" s="22" t="str">
        <f t="shared" ref="E958:F958" si="958">IF(A958&lt;&gt;"", (B958 - B957) / B957, "")</f>
        <v/>
      </c>
      <c r="F958" s="22" t="str">
        <f t="shared" si="958"/>
        <v/>
      </c>
      <c r="H958" s="22" t="str">
        <f t="shared" si="4"/>
        <v/>
      </c>
    </row>
    <row r="959" ht="15.75" customHeight="1">
      <c r="A959" s="31" t="str">
        <f>'EQUITY BACKTEST'!A962</f>
        <v/>
      </c>
      <c r="B959" s="22" t="str">
        <f>'EQUITY BACKTEST'!B962</f>
        <v/>
      </c>
      <c r="C959" s="22" t="str">
        <f>1/'EQUITY BACKTEST'!E962</f>
        <v>#DIV/0!</v>
      </c>
      <c r="D959" s="22" t="str">
        <f t="shared" si="1"/>
        <v>#DIV/0!</v>
      </c>
      <c r="E959" s="22" t="str">
        <f t="shared" ref="E959:F959" si="959">IF(A959&lt;&gt;"", (B959 - B958) / B958, "")</f>
        <v/>
      </c>
      <c r="F959" s="22" t="str">
        <f t="shared" si="959"/>
        <v/>
      </c>
      <c r="H959" s="22" t="str">
        <f t="shared" si="4"/>
        <v/>
      </c>
    </row>
    <row r="960" ht="15.75" customHeight="1">
      <c r="A960" s="31" t="str">
        <f>'EQUITY BACKTEST'!A963</f>
        <v/>
      </c>
      <c r="B960" s="22" t="str">
        <f>'EQUITY BACKTEST'!B963</f>
        <v/>
      </c>
      <c r="C960" s="22" t="str">
        <f>1/'EQUITY BACKTEST'!E963</f>
        <v>#DIV/0!</v>
      </c>
      <c r="D960" s="22" t="str">
        <f t="shared" si="1"/>
        <v>#DIV/0!</v>
      </c>
      <c r="E960" s="22" t="str">
        <f t="shared" ref="E960:F960" si="960">IF(A960&lt;&gt;"", (B960 - B959) / B959, "")</f>
        <v/>
      </c>
      <c r="F960" s="22" t="str">
        <f t="shared" si="960"/>
        <v/>
      </c>
      <c r="H960" s="22" t="str">
        <f t="shared" si="4"/>
        <v/>
      </c>
    </row>
    <row r="961" ht="15.75" customHeight="1">
      <c r="A961" s="31" t="str">
        <f>'EQUITY BACKTEST'!A964</f>
        <v/>
      </c>
      <c r="B961" s="22" t="str">
        <f>'EQUITY BACKTEST'!B964</f>
        <v/>
      </c>
      <c r="C961" s="22" t="str">
        <f>1/'EQUITY BACKTEST'!E964</f>
        <v>#DIV/0!</v>
      </c>
      <c r="D961" s="22" t="str">
        <f t="shared" si="1"/>
        <v>#DIV/0!</v>
      </c>
      <c r="E961" s="22" t="str">
        <f t="shared" ref="E961:F961" si="961">IF(A961&lt;&gt;"", (B961 - B960) / B960, "")</f>
        <v/>
      </c>
      <c r="F961" s="22" t="str">
        <f t="shared" si="961"/>
        <v/>
      </c>
      <c r="H961" s="22" t="str">
        <f t="shared" si="4"/>
        <v/>
      </c>
    </row>
    <row r="962" ht="15.75" customHeight="1">
      <c r="A962" s="31" t="str">
        <f>'EQUITY BACKTEST'!A965</f>
        <v/>
      </c>
      <c r="B962" s="22" t="str">
        <f>'EQUITY BACKTEST'!B965</f>
        <v/>
      </c>
      <c r="C962" s="22" t="str">
        <f>1/'EQUITY BACKTEST'!E965</f>
        <v>#DIV/0!</v>
      </c>
      <c r="D962" s="22" t="str">
        <f t="shared" si="1"/>
        <v>#DIV/0!</v>
      </c>
      <c r="E962" s="22" t="str">
        <f t="shared" ref="E962:F962" si="962">IF(A962&lt;&gt;"", (B962 - B961) / B961, "")</f>
        <v/>
      </c>
      <c r="F962" s="22" t="str">
        <f t="shared" si="962"/>
        <v/>
      </c>
      <c r="H962" s="22" t="str">
        <f t="shared" si="4"/>
        <v/>
      </c>
    </row>
    <row r="963" ht="15.75" customHeight="1">
      <c r="A963" s="31" t="str">
        <f>'EQUITY BACKTEST'!A966</f>
        <v/>
      </c>
      <c r="B963" s="22" t="str">
        <f>'EQUITY BACKTEST'!B966</f>
        <v/>
      </c>
      <c r="C963" s="22" t="str">
        <f>1/'EQUITY BACKTEST'!E966</f>
        <v>#DIV/0!</v>
      </c>
      <c r="D963" s="22" t="str">
        <f t="shared" si="1"/>
        <v>#DIV/0!</v>
      </c>
      <c r="E963" s="22" t="str">
        <f t="shared" ref="E963:F963" si="963">IF(A963&lt;&gt;"", (B963 - B962) / B962, "")</f>
        <v/>
      </c>
      <c r="F963" s="22" t="str">
        <f t="shared" si="963"/>
        <v/>
      </c>
      <c r="H963" s="22" t="str">
        <f t="shared" si="4"/>
        <v/>
      </c>
    </row>
    <row r="964" ht="15.75" customHeight="1">
      <c r="A964" s="31" t="str">
        <f>'EQUITY BACKTEST'!A967</f>
        <v/>
      </c>
      <c r="B964" s="22" t="str">
        <f>'EQUITY BACKTEST'!B967</f>
        <v/>
      </c>
      <c r="C964" s="22" t="str">
        <f>1/'EQUITY BACKTEST'!E967</f>
        <v>#DIV/0!</v>
      </c>
      <c r="D964" s="22" t="str">
        <f t="shared" si="1"/>
        <v>#DIV/0!</v>
      </c>
      <c r="E964" s="22" t="str">
        <f t="shared" ref="E964:F964" si="964">IF(A964&lt;&gt;"", (B964 - B963) / B963, "")</f>
        <v/>
      </c>
      <c r="F964" s="22" t="str">
        <f t="shared" si="964"/>
        <v/>
      </c>
      <c r="H964" s="22" t="str">
        <f t="shared" si="4"/>
        <v/>
      </c>
    </row>
    <row r="965" ht="15.75" customHeight="1">
      <c r="A965" s="31" t="str">
        <f>'EQUITY BACKTEST'!A968</f>
        <v/>
      </c>
      <c r="B965" s="22" t="str">
        <f>'EQUITY BACKTEST'!B968</f>
        <v/>
      </c>
      <c r="C965" s="22" t="str">
        <f>1/'EQUITY BACKTEST'!E968</f>
        <v>#DIV/0!</v>
      </c>
      <c r="D965" s="22" t="str">
        <f t="shared" si="1"/>
        <v>#DIV/0!</v>
      </c>
      <c r="E965" s="22" t="str">
        <f t="shared" ref="E965:F965" si="965">IF(A965&lt;&gt;"", (B965 - B964) / B964, "")</f>
        <v/>
      </c>
      <c r="F965" s="22" t="str">
        <f t="shared" si="965"/>
        <v/>
      </c>
      <c r="H965" s="22" t="str">
        <f t="shared" si="4"/>
        <v/>
      </c>
    </row>
    <row r="966" ht="15.75" customHeight="1">
      <c r="A966" s="31" t="str">
        <f>'EQUITY BACKTEST'!A969</f>
        <v/>
      </c>
      <c r="B966" s="22" t="str">
        <f>'EQUITY BACKTEST'!B969</f>
        <v/>
      </c>
      <c r="C966" s="22" t="str">
        <f>1/'EQUITY BACKTEST'!E969</f>
        <v>#DIV/0!</v>
      </c>
      <c r="D966" s="22" t="str">
        <f t="shared" si="1"/>
        <v>#DIV/0!</v>
      </c>
      <c r="E966" s="22" t="str">
        <f t="shared" ref="E966:F966" si="966">IF(A966&lt;&gt;"", (B966 - B965) / B965, "")</f>
        <v/>
      </c>
      <c r="F966" s="22" t="str">
        <f t="shared" si="966"/>
        <v/>
      </c>
      <c r="H966" s="22" t="str">
        <f t="shared" si="4"/>
        <v/>
      </c>
    </row>
    <row r="967" ht="15.75" customHeight="1">
      <c r="A967" s="31" t="str">
        <f>'EQUITY BACKTEST'!A970</f>
        <v/>
      </c>
      <c r="B967" s="22" t="str">
        <f>'EQUITY BACKTEST'!B970</f>
        <v/>
      </c>
      <c r="C967" s="22" t="str">
        <f>1/'EQUITY BACKTEST'!E970</f>
        <v>#DIV/0!</v>
      </c>
      <c r="D967" s="22" t="str">
        <f t="shared" si="1"/>
        <v>#DIV/0!</v>
      </c>
      <c r="E967" s="22" t="str">
        <f t="shared" ref="E967:F967" si="967">IF(A967&lt;&gt;"", (B967 - B966) / B966, "")</f>
        <v/>
      </c>
      <c r="F967" s="22" t="str">
        <f t="shared" si="967"/>
        <v/>
      </c>
      <c r="H967" s="22" t="str">
        <f t="shared" si="4"/>
        <v/>
      </c>
    </row>
    <row r="968" ht="15.75" customHeight="1">
      <c r="A968" s="31" t="str">
        <f>'EQUITY BACKTEST'!A971</f>
        <v/>
      </c>
      <c r="B968" s="22" t="str">
        <f>'EQUITY BACKTEST'!B971</f>
        <v/>
      </c>
      <c r="C968" s="22" t="str">
        <f>1/'EQUITY BACKTEST'!E971</f>
        <v>#DIV/0!</v>
      </c>
      <c r="D968" s="22" t="str">
        <f t="shared" si="1"/>
        <v>#DIV/0!</v>
      </c>
      <c r="E968" s="22" t="str">
        <f t="shared" ref="E968:F968" si="968">IF(A968&lt;&gt;"", (B968 - B967) / B967, "")</f>
        <v/>
      </c>
      <c r="F968" s="22" t="str">
        <f t="shared" si="968"/>
        <v/>
      </c>
      <c r="H968" s="22" t="str">
        <f t="shared" si="4"/>
        <v/>
      </c>
    </row>
    <row r="969" ht="15.75" customHeight="1">
      <c r="A969" s="31" t="str">
        <f>'EQUITY BACKTEST'!A972</f>
        <v/>
      </c>
      <c r="B969" s="22" t="str">
        <f>'EQUITY BACKTEST'!B972</f>
        <v/>
      </c>
      <c r="C969" s="22" t="str">
        <f>1/'EQUITY BACKTEST'!E972</f>
        <v>#DIV/0!</v>
      </c>
      <c r="D969" s="22" t="str">
        <f t="shared" si="1"/>
        <v>#DIV/0!</v>
      </c>
      <c r="E969" s="22" t="str">
        <f t="shared" ref="E969:F969" si="969">IF(A969&lt;&gt;"", (B969 - B968) / B968, "")</f>
        <v/>
      </c>
      <c r="F969" s="22" t="str">
        <f t="shared" si="969"/>
        <v/>
      </c>
      <c r="H969" s="22" t="str">
        <f t="shared" si="4"/>
        <v/>
      </c>
    </row>
    <row r="970" ht="15.75" customHeight="1">
      <c r="A970" s="31" t="str">
        <f>'EQUITY BACKTEST'!A973</f>
        <v/>
      </c>
      <c r="B970" s="22" t="str">
        <f>'EQUITY BACKTEST'!B973</f>
        <v/>
      </c>
      <c r="C970" s="22" t="str">
        <f>1/'EQUITY BACKTEST'!E973</f>
        <v>#DIV/0!</v>
      </c>
      <c r="D970" s="22" t="str">
        <f t="shared" si="1"/>
        <v>#DIV/0!</v>
      </c>
      <c r="E970" s="22" t="str">
        <f t="shared" ref="E970:F970" si="970">IF(A970&lt;&gt;"", (B970 - B969) / B969, "")</f>
        <v/>
      </c>
      <c r="F970" s="22" t="str">
        <f t="shared" si="970"/>
        <v/>
      </c>
      <c r="H970" s="22" t="str">
        <f t="shared" si="4"/>
        <v/>
      </c>
    </row>
    <row r="971" ht="15.75" customHeight="1">
      <c r="A971" s="31" t="str">
        <f>'EQUITY BACKTEST'!A974</f>
        <v/>
      </c>
      <c r="B971" s="22" t="str">
        <f>'EQUITY BACKTEST'!B974</f>
        <v/>
      </c>
      <c r="C971" s="22" t="str">
        <f>1/'EQUITY BACKTEST'!E974</f>
        <v>#DIV/0!</v>
      </c>
      <c r="D971" s="22" t="str">
        <f t="shared" si="1"/>
        <v>#DIV/0!</v>
      </c>
      <c r="E971" s="22" t="str">
        <f t="shared" ref="E971:F971" si="971">IF(A971&lt;&gt;"", (B971 - B970) / B970, "")</f>
        <v/>
      </c>
      <c r="F971" s="22" t="str">
        <f t="shared" si="971"/>
        <v/>
      </c>
      <c r="H971" s="22" t="str">
        <f t="shared" si="4"/>
        <v/>
      </c>
    </row>
    <row r="972" ht="15.75" customHeight="1">
      <c r="A972" s="31" t="str">
        <f>'EQUITY BACKTEST'!A975</f>
        <v/>
      </c>
      <c r="B972" s="22" t="str">
        <f>'EQUITY BACKTEST'!B975</f>
        <v/>
      </c>
      <c r="C972" s="22" t="str">
        <f>1/'EQUITY BACKTEST'!E975</f>
        <v>#DIV/0!</v>
      </c>
      <c r="D972" s="22" t="str">
        <f t="shared" si="1"/>
        <v>#DIV/0!</v>
      </c>
      <c r="E972" s="22" t="str">
        <f t="shared" ref="E972:F972" si="972">IF(A972&lt;&gt;"", (B972 - B971) / B971, "")</f>
        <v/>
      </c>
      <c r="F972" s="22" t="str">
        <f t="shared" si="972"/>
        <v/>
      </c>
      <c r="H972" s="22" t="str">
        <f t="shared" si="4"/>
        <v/>
      </c>
    </row>
    <row r="973" ht="15.75" customHeight="1">
      <c r="A973" s="31" t="str">
        <f>'EQUITY BACKTEST'!A976</f>
        <v/>
      </c>
      <c r="B973" s="22" t="str">
        <f>'EQUITY BACKTEST'!B976</f>
        <v/>
      </c>
      <c r="C973" s="22" t="str">
        <f>1/'EQUITY BACKTEST'!E976</f>
        <v>#DIV/0!</v>
      </c>
      <c r="D973" s="22" t="str">
        <f t="shared" si="1"/>
        <v>#DIV/0!</v>
      </c>
      <c r="E973" s="22" t="str">
        <f t="shared" ref="E973:F973" si="973">IF(A973&lt;&gt;"", (B973 - B972) / B972, "")</f>
        <v/>
      </c>
      <c r="F973" s="22" t="str">
        <f t="shared" si="973"/>
        <v/>
      </c>
      <c r="H973" s="22" t="str">
        <f t="shared" si="4"/>
        <v/>
      </c>
    </row>
    <row r="974" ht="15.75" customHeight="1">
      <c r="A974" s="31" t="str">
        <f>'EQUITY BACKTEST'!A977</f>
        <v/>
      </c>
      <c r="B974" s="22" t="str">
        <f>'EQUITY BACKTEST'!B977</f>
        <v/>
      </c>
      <c r="C974" s="22" t="str">
        <f>1/'EQUITY BACKTEST'!E977</f>
        <v>#DIV/0!</v>
      </c>
      <c r="D974" s="22" t="str">
        <f t="shared" si="1"/>
        <v>#DIV/0!</v>
      </c>
      <c r="E974" s="22" t="str">
        <f t="shared" ref="E974:F974" si="974">IF(A974&lt;&gt;"", (B974 - B973) / B973, "")</f>
        <v/>
      </c>
      <c r="F974" s="22" t="str">
        <f t="shared" si="974"/>
        <v/>
      </c>
      <c r="H974" s="22" t="str">
        <f t="shared" si="4"/>
        <v/>
      </c>
    </row>
    <row r="975" ht="15.75" customHeight="1">
      <c r="A975" s="31" t="str">
        <f>'EQUITY BACKTEST'!A978</f>
        <v/>
      </c>
      <c r="B975" s="22" t="str">
        <f>'EQUITY BACKTEST'!B978</f>
        <v/>
      </c>
      <c r="C975" s="22" t="str">
        <f>1/'EQUITY BACKTEST'!E978</f>
        <v>#DIV/0!</v>
      </c>
      <c r="D975" s="22" t="str">
        <f t="shared" si="1"/>
        <v>#DIV/0!</v>
      </c>
      <c r="E975" s="22" t="str">
        <f t="shared" ref="E975:F975" si="975">IF(A975&lt;&gt;"", (B975 - B974) / B974, "")</f>
        <v/>
      </c>
      <c r="F975" s="22" t="str">
        <f t="shared" si="975"/>
        <v/>
      </c>
      <c r="H975" s="22" t="str">
        <f t="shared" si="4"/>
        <v/>
      </c>
    </row>
    <row r="976" ht="15.75" customHeight="1">
      <c r="A976" s="31" t="str">
        <f>'EQUITY BACKTEST'!A979</f>
        <v/>
      </c>
      <c r="B976" s="22" t="str">
        <f>'EQUITY BACKTEST'!B979</f>
        <v/>
      </c>
      <c r="C976" s="22" t="str">
        <f>1/'EQUITY BACKTEST'!E979</f>
        <v>#DIV/0!</v>
      </c>
      <c r="D976" s="22" t="str">
        <f t="shared" si="1"/>
        <v>#DIV/0!</v>
      </c>
      <c r="E976" s="22" t="str">
        <f t="shared" ref="E976:F976" si="976">IF(A976&lt;&gt;"", (B976 - B975) / B975, "")</f>
        <v/>
      </c>
      <c r="F976" s="22" t="str">
        <f t="shared" si="976"/>
        <v/>
      </c>
      <c r="H976" s="22" t="str">
        <f t="shared" si="4"/>
        <v/>
      </c>
    </row>
    <row r="977" ht="15.75" customHeight="1">
      <c r="A977" s="31" t="str">
        <f>'EQUITY BACKTEST'!A980</f>
        <v/>
      </c>
      <c r="B977" s="22" t="str">
        <f>'EQUITY BACKTEST'!B980</f>
        <v/>
      </c>
      <c r="C977" s="22" t="str">
        <f>1/'EQUITY BACKTEST'!E980</f>
        <v>#DIV/0!</v>
      </c>
      <c r="D977" s="22" t="str">
        <f t="shared" si="1"/>
        <v>#DIV/0!</v>
      </c>
      <c r="E977" s="22" t="str">
        <f t="shared" ref="E977:F977" si="977">IF(A977&lt;&gt;"", (B977 - B976) / B976, "")</f>
        <v/>
      </c>
      <c r="F977" s="22" t="str">
        <f t="shared" si="977"/>
        <v/>
      </c>
      <c r="H977" s="22" t="str">
        <f t="shared" si="4"/>
        <v/>
      </c>
    </row>
    <row r="978" ht="15.75" customHeight="1">
      <c r="A978" s="31" t="str">
        <f>'EQUITY BACKTEST'!A981</f>
        <v/>
      </c>
      <c r="B978" s="22" t="str">
        <f>'EQUITY BACKTEST'!B981</f>
        <v/>
      </c>
      <c r="C978" s="22" t="str">
        <f>1/'EQUITY BACKTEST'!E981</f>
        <v>#DIV/0!</v>
      </c>
      <c r="D978" s="22" t="str">
        <f t="shared" si="1"/>
        <v>#DIV/0!</v>
      </c>
      <c r="E978" s="22" t="str">
        <f t="shared" ref="E978:F978" si="978">IF(A978&lt;&gt;"", (B978 - B977) / B977, "")</f>
        <v/>
      </c>
      <c r="F978" s="22" t="str">
        <f t="shared" si="978"/>
        <v/>
      </c>
      <c r="H978" s="22" t="str">
        <f t="shared" si="4"/>
        <v/>
      </c>
    </row>
    <row r="979" ht="15.75" customHeight="1">
      <c r="A979" s="31" t="str">
        <f>'EQUITY BACKTEST'!A982</f>
        <v/>
      </c>
      <c r="B979" s="22" t="str">
        <f>'EQUITY BACKTEST'!B982</f>
        <v/>
      </c>
      <c r="C979" s="22" t="str">
        <f>1/'EQUITY BACKTEST'!E982</f>
        <v>#DIV/0!</v>
      </c>
      <c r="D979" s="22" t="str">
        <f t="shared" si="1"/>
        <v>#DIV/0!</v>
      </c>
      <c r="E979" s="22" t="str">
        <f t="shared" ref="E979:F979" si="979">IF(A979&lt;&gt;"", (B979 - B978) / B978, "")</f>
        <v/>
      </c>
      <c r="F979" s="22" t="str">
        <f t="shared" si="979"/>
        <v/>
      </c>
      <c r="H979" s="22" t="str">
        <f t="shared" si="4"/>
        <v/>
      </c>
    </row>
    <row r="980" ht="15.75" customHeight="1">
      <c r="A980" s="31" t="str">
        <f>'EQUITY BACKTEST'!A983</f>
        <v/>
      </c>
      <c r="B980" s="22" t="str">
        <f>'EQUITY BACKTEST'!B983</f>
        <v/>
      </c>
      <c r="C980" s="22" t="str">
        <f>1/'EQUITY BACKTEST'!E983</f>
        <v>#DIV/0!</v>
      </c>
      <c r="D980" s="22" t="str">
        <f t="shared" si="1"/>
        <v>#DIV/0!</v>
      </c>
      <c r="E980" s="22" t="str">
        <f t="shared" ref="E980:F980" si="980">IF(A980&lt;&gt;"", (B980 - B979) / B979, "")</f>
        <v/>
      </c>
      <c r="F980" s="22" t="str">
        <f t="shared" si="980"/>
        <v/>
      </c>
      <c r="H980" s="22" t="str">
        <f t="shared" si="4"/>
        <v/>
      </c>
    </row>
    <row r="981" ht="15.75" customHeight="1">
      <c r="A981" s="31" t="str">
        <f>'EQUITY BACKTEST'!A984</f>
        <v/>
      </c>
      <c r="B981" s="22" t="str">
        <f>'EQUITY BACKTEST'!B984</f>
        <v/>
      </c>
      <c r="C981" s="22" t="str">
        <f>1/'EQUITY BACKTEST'!E984</f>
        <v>#DIV/0!</v>
      </c>
      <c r="D981" s="22" t="str">
        <f t="shared" si="1"/>
        <v>#DIV/0!</v>
      </c>
      <c r="E981" s="22" t="str">
        <f t="shared" ref="E981:F981" si="981">IF(A981&lt;&gt;"", (B981 - B980) / B980, "")</f>
        <v/>
      </c>
      <c r="F981" s="22" t="str">
        <f t="shared" si="981"/>
        <v/>
      </c>
      <c r="H981" s="22" t="str">
        <f t="shared" si="4"/>
        <v/>
      </c>
    </row>
    <row r="982" ht="15.75" customHeight="1">
      <c r="A982" s="31" t="str">
        <f>'EQUITY BACKTEST'!A985</f>
        <v/>
      </c>
      <c r="B982" s="22" t="str">
        <f>'EQUITY BACKTEST'!B985</f>
        <v/>
      </c>
      <c r="C982" s="22" t="str">
        <f>1/'EQUITY BACKTEST'!E985</f>
        <v>#DIV/0!</v>
      </c>
      <c r="D982" s="22" t="str">
        <f t="shared" si="1"/>
        <v>#DIV/0!</v>
      </c>
      <c r="E982" s="22" t="str">
        <f t="shared" ref="E982:F982" si="982">IF(A982&lt;&gt;"", (B982 - B981) / B981, "")</f>
        <v/>
      </c>
      <c r="F982" s="22" t="str">
        <f t="shared" si="982"/>
        <v/>
      </c>
      <c r="H982" s="22" t="str">
        <f t="shared" si="4"/>
        <v/>
      </c>
    </row>
    <row r="983" ht="15.75" customHeight="1">
      <c r="A983" s="31" t="str">
        <f>'EQUITY BACKTEST'!A986</f>
        <v/>
      </c>
      <c r="B983" s="22" t="str">
        <f>'EQUITY BACKTEST'!B986</f>
        <v/>
      </c>
      <c r="C983" s="22" t="str">
        <f>1/'EQUITY BACKTEST'!E986</f>
        <v>#DIV/0!</v>
      </c>
      <c r="D983" s="22" t="str">
        <f t="shared" si="1"/>
        <v>#DIV/0!</v>
      </c>
      <c r="E983" s="22" t="str">
        <f t="shared" ref="E983:F983" si="983">IF(A983&lt;&gt;"", (B983 - B982) / B982, "")</f>
        <v/>
      </c>
      <c r="F983" s="22" t="str">
        <f t="shared" si="983"/>
        <v/>
      </c>
      <c r="H983" s="22" t="str">
        <f t="shared" si="4"/>
        <v/>
      </c>
    </row>
    <row r="984" ht="15.75" customHeight="1">
      <c r="A984" s="31" t="str">
        <f>'EQUITY BACKTEST'!A987</f>
        <v/>
      </c>
      <c r="B984" s="22" t="str">
        <f>'EQUITY BACKTEST'!B987</f>
        <v/>
      </c>
      <c r="C984" s="22" t="str">
        <f>1/'EQUITY BACKTEST'!E987</f>
        <v>#DIV/0!</v>
      </c>
      <c r="D984" s="22" t="str">
        <f t="shared" si="1"/>
        <v>#DIV/0!</v>
      </c>
      <c r="E984" s="22" t="str">
        <f t="shared" ref="E984:F984" si="984">IF(A984&lt;&gt;"", (B984 - B983) / B983, "")</f>
        <v/>
      </c>
      <c r="F984" s="22" t="str">
        <f t="shared" si="984"/>
        <v/>
      </c>
      <c r="H984" s="22" t="str">
        <f t="shared" si="4"/>
        <v/>
      </c>
    </row>
    <row r="985" ht="15.75" customHeight="1">
      <c r="A985" s="31" t="str">
        <f>'EQUITY BACKTEST'!A988</f>
        <v/>
      </c>
      <c r="B985" s="22" t="str">
        <f>'EQUITY BACKTEST'!B988</f>
        <v/>
      </c>
      <c r="C985" s="22" t="str">
        <f>1/'EQUITY BACKTEST'!E988</f>
        <v>#DIV/0!</v>
      </c>
      <c r="D985" s="22" t="str">
        <f t="shared" si="1"/>
        <v>#DIV/0!</v>
      </c>
      <c r="E985" s="22" t="str">
        <f t="shared" ref="E985:F985" si="985">IF(A985&lt;&gt;"", (B985 - B984) / B984, "")</f>
        <v/>
      </c>
      <c r="F985" s="22" t="str">
        <f t="shared" si="985"/>
        <v/>
      </c>
      <c r="H985" s="22" t="str">
        <f t="shared" si="4"/>
        <v/>
      </c>
    </row>
    <row r="986" ht="15.75" customHeight="1">
      <c r="A986" s="31" t="str">
        <f>'EQUITY BACKTEST'!A989</f>
        <v/>
      </c>
      <c r="B986" s="22" t="str">
        <f>'EQUITY BACKTEST'!B989</f>
        <v/>
      </c>
      <c r="C986" s="22" t="str">
        <f>1/'EQUITY BACKTEST'!E989</f>
        <v>#DIV/0!</v>
      </c>
      <c r="D986" s="22" t="str">
        <f t="shared" si="1"/>
        <v>#DIV/0!</v>
      </c>
      <c r="E986" s="22" t="str">
        <f t="shared" ref="E986:F986" si="986">IF(A986&lt;&gt;"", (B986 - B985) / B985, "")</f>
        <v/>
      </c>
      <c r="F986" s="22" t="str">
        <f t="shared" si="986"/>
        <v/>
      </c>
      <c r="H986" s="22" t="str">
        <f t="shared" si="4"/>
        <v/>
      </c>
    </row>
    <row r="987" ht="15.75" customHeight="1">
      <c r="A987" s="31" t="str">
        <f>'EQUITY BACKTEST'!A990</f>
        <v/>
      </c>
      <c r="B987" s="22" t="str">
        <f>'EQUITY BACKTEST'!B990</f>
        <v/>
      </c>
      <c r="C987" s="22" t="str">
        <f>1/'EQUITY BACKTEST'!E990</f>
        <v>#DIV/0!</v>
      </c>
      <c r="D987" s="22" t="str">
        <f t="shared" si="1"/>
        <v>#DIV/0!</v>
      </c>
      <c r="E987" s="22" t="str">
        <f t="shared" ref="E987:F987" si="987">IF(A987&lt;&gt;"", (B987 - B986) / B986, "")</f>
        <v/>
      </c>
      <c r="F987" s="22" t="str">
        <f t="shared" si="987"/>
        <v/>
      </c>
      <c r="H987" s="22" t="str">
        <f t="shared" si="4"/>
        <v/>
      </c>
    </row>
    <row r="988" ht="15.75" customHeight="1">
      <c r="A988" s="31" t="str">
        <f>'EQUITY BACKTEST'!A991</f>
        <v/>
      </c>
      <c r="B988" s="22" t="str">
        <f>'EQUITY BACKTEST'!B991</f>
        <v/>
      </c>
      <c r="C988" s="22" t="str">
        <f>1/'EQUITY BACKTEST'!E991</f>
        <v>#DIV/0!</v>
      </c>
      <c r="D988" s="22" t="str">
        <f t="shared" si="1"/>
        <v>#DIV/0!</v>
      </c>
      <c r="E988" s="22" t="str">
        <f t="shared" ref="E988:F988" si="988">IF(A988&lt;&gt;"", (B988 - B987) / B987, "")</f>
        <v/>
      </c>
      <c r="F988" s="22" t="str">
        <f t="shared" si="988"/>
        <v/>
      </c>
      <c r="H988" s="22" t="str">
        <f t="shared" si="4"/>
        <v/>
      </c>
    </row>
    <row r="989" ht="15.75" customHeight="1">
      <c r="A989" s="31" t="str">
        <f>'EQUITY BACKTEST'!A992</f>
        <v/>
      </c>
      <c r="B989" s="22" t="str">
        <f>'EQUITY BACKTEST'!B992</f>
        <v/>
      </c>
      <c r="C989" s="22" t="str">
        <f>1/'EQUITY BACKTEST'!E992</f>
        <v>#DIV/0!</v>
      </c>
      <c r="D989" s="22" t="str">
        <f t="shared" si="1"/>
        <v>#DIV/0!</v>
      </c>
      <c r="E989" s="22" t="str">
        <f t="shared" ref="E989:F989" si="989">IF(A989&lt;&gt;"", (B989 - B988) / B988, "")</f>
        <v/>
      </c>
      <c r="F989" s="22" t="str">
        <f t="shared" si="989"/>
        <v/>
      </c>
      <c r="H989" s="22" t="str">
        <f t="shared" si="4"/>
        <v/>
      </c>
    </row>
    <row r="990" ht="15.75" customHeight="1">
      <c r="A990" s="31" t="str">
        <f>'EQUITY BACKTEST'!A993</f>
        <v/>
      </c>
      <c r="B990" s="22" t="str">
        <f>'EQUITY BACKTEST'!B993</f>
        <v/>
      </c>
      <c r="C990" s="22" t="str">
        <f>1/'EQUITY BACKTEST'!E993</f>
        <v>#DIV/0!</v>
      </c>
      <c r="D990" s="22" t="str">
        <f t="shared" si="1"/>
        <v>#DIV/0!</v>
      </c>
      <c r="E990" s="22" t="str">
        <f t="shared" ref="E990:F990" si="990">IF(A990&lt;&gt;"", (B990 - B989) / B989, "")</f>
        <v/>
      </c>
      <c r="F990" s="22" t="str">
        <f t="shared" si="990"/>
        <v/>
      </c>
      <c r="H990" s="22" t="str">
        <f t="shared" si="4"/>
        <v/>
      </c>
    </row>
    <row r="991" ht="15.75" customHeight="1">
      <c r="A991" s="31" t="str">
        <f>'EQUITY BACKTEST'!A994</f>
        <v/>
      </c>
      <c r="B991" s="22" t="str">
        <f>'EQUITY BACKTEST'!B994</f>
        <v/>
      </c>
      <c r="C991" s="22" t="str">
        <f>1/'EQUITY BACKTEST'!E994</f>
        <v>#DIV/0!</v>
      </c>
      <c r="D991" s="22" t="str">
        <f t="shared" si="1"/>
        <v>#DIV/0!</v>
      </c>
      <c r="E991" s="22" t="str">
        <f t="shared" ref="E991:F991" si="991">IF(A991&lt;&gt;"", (B991 - B990) / B990, "")</f>
        <v/>
      </c>
      <c r="F991" s="22" t="str">
        <f t="shared" si="991"/>
        <v/>
      </c>
      <c r="H991" s="22" t="str">
        <f t="shared" si="4"/>
        <v/>
      </c>
    </row>
    <row r="992" ht="15.75" customHeight="1">
      <c r="A992" s="31" t="str">
        <f>'EQUITY BACKTEST'!A995</f>
        <v/>
      </c>
      <c r="B992" s="22" t="str">
        <f>'EQUITY BACKTEST'!B995</f>
        <v/>
      </c>
      <c r="C992" s="22" t="str">
        <f>1/'EQUITY BACKTEST'!E995</f>
        <v>#DIV/0!</v>
      </c>
      <c r="D992" s="22" t="str">
        <f t="shared" si="1"/>
        <v>#DIV/0!</v>
      </c>
      <c r="E992" s="22" t="str">
        <f t="shared" ref="E992:F992" si="992">IF(A992&lt;&gt;"", (B992 - B991) / B991, "")</f>
        <v/>
      </c>
      <c r="F992" s="22" t="str">
        <f t="shared" si="992"/>
        <v/>
      </c>
      <c r="H992" s="22" t="str">
        <f t="shared" si="4"/>
        <v/>
      </c>
    </row>
    <row r="993" ht="15.75" customHeight="1">
      <c r="A993" s="31" t="str">
        <f>'EQUITY BACKTEST'!A996</f>
        <v/>
      </c>
      <c r="B993" s="22" t="str">
        <f>'EQUITY BACKTEST'!B996</f>
        <v/>
      </c>
      <c r="C993" s="22" t="str">
        <f>1/'EQUITY BACKTEST'!E996</f>
        <v>#DIV/0!</v>
      </c>
      <c r="D993" s="22" t="str">
        <f t="shared" si="1"/>
        <v>#DIV/0!</v>
      </c>
      <c r="E993" s="22" t="str">
        <f t="shared" ref="E993:F993" si="993">IF(A993&lt;&gt;"", (B993 - B992) / B992, "")</f>
        <v/>
      </c>
      <c r="F993" s="22" t="str">
        <f t="shared" si="993"/>
        <v/>
      </c>
      <c r="H993" s="22" t="str">
        <f t="shared" si="4"/>
        <v/>
      </c>
    </row>
    <row r="994" ht="15.75" customHeight="1">
      <c r="A994" s="31" t="str">
        <f>'EQUITY BACKTEST'!A997</f>
        <v/>
      </c>
      <c r="B994" s="22" t="str">
        <f>'EQUITY BACKTEST'!B997</f>
        <v/>
      </c>
      <c r="C994" s="22" t="str">
        <f>1/'EQUITY BACKTEST'!E997</f>
        <v>#DIV/0!</v>
      </c>
      <c r="D994" s="22" t="str">
        <f t="shared" si="1"/>
        <v>#DIV/0!</v>
      </c>
      <c r="E994" s="22" t="str">
        <f t="shared" ref="E994:F994" si="994">IF(A994&lt;&gt;"", (B994 - B993) / B993, "")</f>
        <v/>
      </c>
      <c r="F994" s="22" t="str">
        <f t="shared" si="994"/>
        <v/>
      </c>
      <c r="H994" s="22" t="str">
        <f t="shared" si="4"/>
        <v/>
      </c>
    </row>
    <row r="995" ht="15.75" customHeight="1">
      <c r="A995" s="31" t="str">
        <f>'EQUITY BACKTEST'!A998</f>
        <v/>
      </c>
      <c r="B995" s="22" t="str">
        <f>'EQUITY BACKTEST'!B998</f>
        <v/>
      </c>
      <c r="C995" s="22" t="str">
        <f>1/'EQUITY BACKTEST'!E998</f>
        <v>#DIV/0!</v>
      </c>
      <c r="D995" s="22" t="str">
        <f t="shared" si="1"/>
        <v>#DIV/0!</v>
      </c>
      <c r="E995" s="22" t="str">
        <f t="shared" ref="E995:F995" si="995">IF(A995&lt;&gt;"", (B995 - B994) / B994, "")</f>
        <v/>
      </c>
      <c r="F995" s="22" t="str">
        <f t="shared" si="995"/>
        <v/>
      </c>
      <c r="H995" s="22" t="str">
        <f t="shared" si="4"/>
        <v/>
      </c>
    </row>
    <row r="996" ht="15.75" customHeight="1">
      <c r="A996" s="31" t="str">
        <f>'EQUITY BACKTEST'!A999</f>
        <v/>
      </c>
      <c r="B996" s="22" t="str">
        <f>'EQUITY BACKTEST'!B999</f>
        <v/>
      </c>
      <c r="C996" s="22" t="str">
        <f>1/'EQUITY BACKTEST'!E999</f>
        <v>#DIV/0!</v>
      </c>
      <c r="D996" s="22" t="str">
        <f t="shared" si="1"/>
        <v>#DIV/0!</v>
      </c>
      <c r="E996" s="22" t="str">
        <f t="shared" ref="E996:F996" si="996">IF(A996&lt;&gt;"", (B996 - B995) / B995, "")</f>
        <v/>
      </c>
      <c r="F996" s="22" t="str">
        <f t="shared" si="996"/>
        <v/>
      </c>
      <c r="H996" s="22" t="str">
        <f t="shared" si="4"/>
        <v/>
      </c>
    </row>
    <row r="997" ht="15.75" customHeight="1">
      <c r="A997" s="31" t="str">
        <f>'EQUITY BACKTEST'!A1000</f>
        <v/>
      </c>
      <c r="B997" s="22" t="str">
        <f>'EQUITY BACKTEST'!B1000</f>
        <v/>
      </c>
      <c r="C997" s="22" t="str">
        <f>1/'EQUITY BACKTEST'!E1000</f>
        <v>#DIV/0!</v>
      </c>
      <c r="D997" s="22" t="str">
        <f t="shared" si="1"/>
        <v>#DIV/0!</v>
      </c>
      <c r="E997" s="22" t="str">
        <f t="shared" ref="E997:F997" si="997">IF(A997&lt;&gt;"", (B997 - B996) / B996, "")</f>
        <v/>
      </c>
      <c r="F997" s="22" t="str">
        <f t="shared" si="997"/>
        <v/>
      </c>
      <c r="H997" s="22" t="str">
        <f t="shared" si="4"/>
        <v/>
      </c>
    </row>
    <row r="998" ht="15.75" customHeight="1">
      <c r="A998" s="31" t="str">
        <f>'EQUITY BACKTEST'!A1001</f>
        <v/>
      </c>
      <c r="B998" s="22" t="str">
        <f>'EQUITY BACKTEST'!B1001</f>
        <v/>
      </c>
      <c r="C998" s="22" t="str">
        <f>1/'EQUITY BACKTEST'!E1001</f>
        <v>#DIV/0!</v>
      </c>
      <c r="D998" s="22" t="str">
        <f t="shared" si="1"/>
        <v>#DIV/0!</v>
      </c>
      <c r="E998" s="22" t="str">
        <f t="shared" ref="E998:F998" si="998">IF(A998&lt;&gt;"", (B998 - B997) / B997, "")</f>
        <v/>
      </c>
      <c r="F998" s="22" t="str">
        <f t="shared" si="998"/>
        <v/>
      </c>
      <c r="H998" s="22" t="str">
        <f t="shared" si="4"/>
        <v/>
      </c>
    </row>
    <row r="999" ht="15.75" customHeight="1">
      <c r="A999" s="31" t="str">
        <f>'EQUITY BACKTEST'!A1002</f>
        <v/>
      </c>
      <c r="B999" s="22" t="str">
        <f>'EQUITY BACKTEST'!B1002</f>
        <v/>
      </c>
      <c r="C999" s="22" t="str">
        <f>1/'EQUITY BACKTEST'!E1002</f>
        <v>#DIV/0!</v>
      </c>
      <c r="D999" s="22" t="str">
        <f t="shared" si="1"/>
        <v>#DIV/0!</v>
      </c>
      <c r="E999" s="22" t="str">
        <f t="shared" ref="E999:F999" si="999">IF(A999&lt;&gt;"", (B999 - B998) / B998, "")</f>
        <v/>
      </c>
      <c r="F999" s="22" t="str">
        <f t="shared" si="999"/>
        <v/>
      </c>
      <c r="H999" s="22" t="str">
        <f t="shared" si="4"/>
        <v/>
      </c>
    </row>
    <row r="1000" ht="15.75" customHeight="1">
      <c r="A1000" s="31" t="str">
        <f>'EQUITY BACKTEST'!A1003</f>
        <v/>
      </c>
      <c r="B1000" s="22" t="str">
        <f>'EQUITY BACKTEST'!B1003</f>
        <v/>
      </c>
      <c r="C1000" s="22" t="str">
        <f>1/'EQUITY BACKTEST'!E1003</f>
        <v>#DIV/0!</v>
      </c>
      <c r="D1000" s="22" t="str">
        <f t="shared" si="1"/>
        <v>#DIV/0!</v>
      </c>
      <c r="E1000" s="22" t="str">
        <f t="shared" ref="E1000:F1000" si="1000">IF(A1000&lt;&gt;"", (B1000 - B999) / B999, "")</f>
        <v/>
      </c>
      <c r="F1000" s="22" t="str">
        <f t="shared" si="1000"/>
        <v/>
      </c>
      <c r="H1000" s="22" t="str">
        <f t="shared" si="4"/>
        <v/>
      </c>
    </row>
    <row r="1001" ht="15.75" customHeight="1">
      <c r="A1001" s="31" t="str">
        <f>'EQUITY BACKTEST'!A1004</f>
        <v/>
      </c>
      <c r="B1001" s="22" t="str">
        <f>'EQUITY BACKTEST'!B1004</f>
        <v/>
      </c>
      <c r="C1001" s="22" t="str">
        <f>1/'EQUITY BACKTEST'!E1004</f>
        <v>#DIV/0!</v>
      </c>
      <c r="D1001" s="22" t="str">
        <f t="shared" si="1"/>
        <v>#DIV/0!</v>
      </c>
      <c r="E1001" s="22" t="str">
        <f t="shared" ref="E1001:F1001" si="1001">IF(A1001&lt;&gt;"", (B1001 - B1000) / B1000, "")</f>
        <v/>
      </c>
      <c r="F1001" s="22" t="str">
        <f t="shared" si="1001"/>
        <v/>
      </c>
      <c r="H1001" s="22" t="str">
        <f t="shared" si="4"/>
        <v/>
      </c>
    </row>
    <row r="1002" ht="15.75" customHeight="1">
      <c r="A1002" s="31" t="str">
        <f>'EQUITY BACKTEST'!A1005</f>
        <v/>
      </c>
      <c r="B1002" s="22" t="str">
        <f>'EQUITY BACKTEST'!B1005</f>
        <v/>
      </c>
      <c r="C1002" s="22" t="str">
        <f>1/'EQUITY BACKTEST'!E1005</f>
        <v>#DIV/0!</v>
      </c>
      <c r="D1002" s="22" t="str">
        <f t="shared" si="1"/>
        <v>#DIV/0!</v>
      </c>
      <c r="E1002" s="22" t="str">
        <f t="shared" ref="E1002:F1002" si="1002">IF(A1002&lt;&gt;"", (B1002 - B1001) / B1001, "")</f>
        <v/>
      </c>
      <c r="F1002" s="22" t="str">
        <f t="shared" si="1002"/>
        <v/>
      </c>
      <c r="H1002" s="22" t="str">
        <f t="shared" si="4"/>
        <v/>
      </c>
    </row>
    <row r="1003" ht="15.75" customHeight="1">
      <c r="A1003" s="31" t="str">
        <f>'EQUITY BACKTEST'!A1006</f>
        <v/>
      </c>
      <c r="B1003" s="22" t="str">
        <f>'EQUITY BACKTEST'!B1006</f>
        <v/>
      </c>
      <c r="C1003" s="22" t="str">
        <f>1/'EQUITY BACKTEST'!E1006</f>
        <v>#DIV/0!</v>
      </c>
      <c r="D1003" s="22" t="str">
        <f t="shared" si="1"/>
        <v>#DIV/0!</v>
      </c>
      <c r="E1003" s="22" t="str">
        <f t="shared" ref="E1003:F1003" si="1003">IF(A1003&lt;&gt;"", (B1003 - B1002) / B1002, "")</f>
        <v/>
      </c>
      <c r="F1003" s="22" t="str">
        <f t="shared" si="1003"/>
        <v/>
      </c>
      <c r="H1003" s="22" t="str">
        <f t="shared" si="4"/>
        <v/>
      </c>
    </row>
    <row r="1004" ht="15.75" customHeight="1">
      <c r="A1004" s="31" t="str">
        <f>'EQUITY BACKTEST'!A1007</f>
        <v/>
      </c>
      <c r="B1004" s="22" t="str">
        <f>'EQUITY BACKTEST'!B1007</f>
        <v/>
      </c>
      <c r="C1004" s="22" t="str">
        <f>1/'EQUITY BACKTEST'!E1007</f>
        <v>#DIV/0!</v>
      </c>
      <c r="D1004" s="22" t="str">
        <f t="shared" si="1"/>
        <v>#DIV/0!</v>
      </c>
      <c r="E1004" s="22" t="str">
        <f t="shared" ref="E1004:F1004" si="1004">IF(A1004&lt;&gt;"", (B1004 - B1003) / B1003, "")</f>
        <v/>
      </c>
      <c r="F1004" s="22" t="str">
        <f t="shared" si="1004"/>
        <v/>
      </c>
      <c r="H1004" s="22" t="str">
        <f t="shared" si="4"/>
        <v/>
      </c>
    </row>
    <row r="1005" ht="15.75" customHeight="1">
      <c r="A1005" s="31" t="str">
        <f>'EQUITY BACKTEST'!A1008</f>
        <v/>
      </c>
      <c r="B1005" s="22" t="str">
        <f>'EQUITY BACKTEST'!B1008</f>
        <v/>
      </c>
      <c r="C1005" s="22" t="str">
        <f>1/'EQUITY BACKTEST'!E1008</f>
        <v>#DIV/0!</v>
      </c>
      <c r="D1005" s="22" t="str">
        <f t="shared" si="1"/>
        <v>#DIV/0!</v>
      </c>
      <c r="E1005" s="22" t="str">
        <f t="shared" ref="E1005:F1005" si="1005">IF(A1005&lt;&gt;"", (B1005 - B1004) / B1004, "")</f>
        <v/>
      </c>
      <c r="F1005" s="22" t="str">
        <f t="shared" si="1005"/>
        <v/>
      </c>
      <c r="H1005" s="22" t="str">
        <f t="shared" si="4"/>
        <v/>
      </c>
    </row>
    <row r="1006" ht="15.75" customHeight="1">
      <c r="A1006" s="31" t="str">
        <f>'EQUITY BACKTEST'!A1009</f>
        <v/>
      </c>
      <c r="B1006" s="22" t="str">
        <f>'EQUITY BACKTEST'!B1009</f>
        <v/>
      </c>
      <c r="C1006" s="22" t="str">
        <f>1/'EQUITY BACKTEST'!E1009</f>
        <v>#DIV/0!</v>
      </c>
      <c r="D1006" s="22" t="str">
        <f t="shared" si="1"/>
        <v>#DIV/0!</v>
      </c>
      <c r="E1006" s="22" t="str">
        <f t="shared" ref="E1006:F1006" si="1006">IF(A1006&lt;&gt;"", (B1006 - B1005) / B1005, "")</f>
        <v/>
      </c>
      <c r="F1006" s="22" t="str">
        <f t="shared" si="1006"/>
        <v/>
      </c>
      <c r="H1006" s="22" t="str">
        <f t="shared" si="4"/>
        <v/>
      </c>
    </row>
    <row r="1007" ht="15.75" customHeight="1">
      <c r="A1007" s="31" t="str">
        <f>'EQUITY BACKTEST'!A1010</f>
        <v/>
      </c>
      <c r="B1007" s="22" t="str">
        <f>'EQUITY BACKTEST'!B1010</f>
        <v/>
      </c>
      <c r="C1007" s="22" t="str">
        <f>1/'EQUITY BACKTEST'!E1010</f>
        <v>#DIV/0!</v>
      </c>
      <c r="D1007" s="22" t="str">
        <f t="shared" si="1"/>
        <v>#DIV/0!</v>
      </c>
      <c r="E1007" s="22" t="str">
        <f t="shared" ref="E1007:F1007" si="1007">IF(A1007&lt;&gt;"", (B1007 - B1006) / B1006, "")</f>
        <v/>
      </c>
      <c r="F1007" s="22" t="str">
        <f t="shared" si="1007"/>
        <v/>
      </c>
      <c r="H1007" s="22" t="str">
        <f t="shared" si="4"/>
        <v/>
      </c>
    </row>
    <row r="1008" ht="15.75" customHeight="1">
      <c r="A1008" s="31" t="str">
        <f>'EQUITY BACKTEST'!A1011</f>
        <v/>
      </c>
      <c r="B1008" s="22" t="str">
        <f>'EQUITY BACKTEST'!B1011</f>
        <v/>
      </c>
      <c r="C1008" s="22" t="str">
        <f>1/'EQUITY BACKTEST'!E1011</f>
        <v>#DIV/0!</v>
      </c>
      <c r="D1008" s="22" t="str">
        <f t="shared" si="1"/>
        <v>#DIV/0!</v>
      </c>
      <c r="E1008" s="22" t="str">
        <f t="shared" ref="E1008:F1008" si="1008">IF(A1008&lt;&gt;"", (B1008 - B1007) / B1007, "")</f>
        <v/>
      </c>
      <c r="F1008" s="22" t="str">
        <f t="shared" si="1008"/>
        <v/>
      </c>
      <c r="H1008" s="22" t="str">
        <f t="shared" si="4"/>
        <v/>
      </c>
    </row>
    <row r="1009" ht="15.75" customHeight="1">
      <c r="A1009" s="31" t="str">
        <f>'EQUITY BACKTEST'!A1012</f>
        <v/>
      </c>
      <c r="B1009" s="22" t="str">
        <f>'EQUITY BACKTEST'!B1012</f>
        <v/>
      </c>
      <c r="C1009" s="22" t="str">
        <f>1/'EQUITY BACKTEST'!E1012</f>
        <v>#DIV/0!</v>
      </c>
      <c r="D1009" s="22" t="str">
        <f t="shared" si="1"/>
        <v>#DIV/0!</v>
      </c>
      <c r="E1009" s="22" t="str">
        <f t="shared" ref="E1009:F1009" si="1009">IF(A1009&lt;&gt;"", (B1009 - B1008) / B1008, "")</f>
        <v/>
      </c>
      <c r="F1009" s="22" t="str">
        <f t="shared" si="1009"/>
        <v/>
      </c>
      <c r="H1009" s="22" t="str">
        <f t="shared" si="4"/>
        <v/>
      </c>
    </row>
    <row r="1010" ht="15.75" customHeight="1">
      <c r="A1010" s="31" t="str">
        <f>'EQUITY BACKTEST'!A1013</f>
        <v/>
      </c>
      <c r="B1010" s="22" t="str">
        <f>'EQUITY BACKTEST'!B1013</f>
        <v/>
      </c>
      <c r="C1010" s="22" t="str">
        <f>1/'EQUITY BACKTEST'!E1013</f>
        <v>#DIV/0!</v>
      </c>
      <c r="D1010" s="22" t="str">
        <f t="shared" si="1"/>
        <v>#DIV/0!</v>
      </c>
      <c r="E1010" s="22" t="str">
        <f t="shared" ref="E1010:F1010" si="1010">IF(A1010&lt;&gt;"", (B1010 - B1009) / B1009, "")</f>
        <v/>
      </c>
      <c r="F1010" s="22" t="str">
        <f t="shared" si="1010"/>
        <v/>
      </c>
      <c r="H1010" s="22" t="str">
        <f t="shared" si="4"/>
        <v/>
      </c>
    </row>
    <row r="1011" ht="15.75" customHeight="1">
      <c r="A1011" s="31" t="str">
        <f>'EQUITY BACKTEST'!A1014</f>
        <v/>
      </c>
      <c r="B1011" s="22" t="str">
        <f>'EQUITY BACKTEST'!B1014</f>
        <v/>
      </c>
      <c r="C1011" s="22" t="str">
        <f>1/'EQUITY BACKTEST'!E1014</f>
        <v>#DIV/0!</v>
      </c>
      <c r="D1011" s="22" t="str">
        <f t="shared" si="1"/>
        <v>#DIV/0!</v>
      </c>
      <c r="E1011" s="22" t="str">
        <f t="shared" ref="E1011:F1011" si="1011">IF(A1011&lt;&gt;"", (B1011 - B1010) / B1010, "")</f>
        <v/>
      </c>
      <c r="F1011" s="22" t="str">
        <f t="shared" si="1011"/>
        <v/>
      </c>
      <c r="H1011" s="22" t="str">
        <f t="shared" si="4"/>
        <v/>
      </c>
    </row>
    <row r="1012" ht="15.75" customHeight="1">
      <c r="A1012" s="31" t="str">
        <f>'EQUITY BACKTEST'!A1015</f>
        <v/>
      </c>
      <c r="B1012" s="22" t="str">
        <f>'EQUITY BACKTEST'!B1015</f>
        <v/>
      </c>
      <c r="C1012" s="22" t="str">
        <f>1/'EQUITY BACKTEST'!E1015</f>
        <v>#DIV/0!</v>
      </c>
      <c r="D1012" s="22" t="str">
        <f t="shared" si="1"/>
        <v>#DIV/0!</v>
      </c>
      <c r="E1012" s="22" t="str">
        <f t="shared" ref="E1012:F1012" si="1012">IF(A1012&lt;&gt;"", (B1012 - B1011) / B1011, "")</f>
        <v/>
      </c>
      <c r="F1012" s="22" t="str">
        <f t="shared" si="1012"/>
        <v/>
      </c>
      <c r="H1012" s="22" t="str">
        <f t="shared" si="4"/>
        <v/>
      </c>
    </row>
    <row r="1013" ht="15.75" customHeight="1">
      <c r="A1013" s="31" t="str">
        <f>'EQUITY BACKTEST'!A1016</f>
        <v/>
      </c>
      <c r="B1013" s="22" t="str">
        <f>'EQUITY BACKTEST'!B1016</f>
        <v/>
      </c>
      <c r="C1013" s="22" t="str">
        <f>1/'EQUITY BACKTEST'!E1016</f>
        <v>#DIV/0!</v>
      </c>
      <c r="D1013" s="22" t="str">
        <f t="shared" si="1"/>
        <v>#DIV/0!</v>
      </c>
      <c r="E1013" s="22" t="str">
        <f t="shared" ref="E1013:F1013" si="1013">IF(A1013&lt;&gt;"", (B1013 - B1012) / B1012, "")</f>
        <v/>
      </c>
      <c r="F1013" s="22" t="str">
        <f t="shared" si="1013"/>
        <v/>
      </c>
      <c r="H1013" s="22" t="str">
        <f t="shared" si="4"/>
        <v/>
      </c>
    </row>
    <row r="1014" ht="15.75" customHeight="1">
      <c r="A1014" s="31" t="str">
        <f>'EQUITY BACKTEST'!A1017</f>
        <v/>
      </c>
      <c r="B1014" s="22" t="str">
        <f>'EQUITY BACKTEST'!B1017</f>
        <v/>
      </c>
      <c r="C1014" s="22" t="str">
        <f>1/'EQUITY BACKTEST'!E1017</f>
        <v>#DIV/0!</v>
      </c>
      <c r="D1014" s="22" t="str">
        <f t="shared" si="1"/>
        <v>#DIV/0!</v>
      </c>
      <c r="E1014" s="22" t="str">
        <f t="shared" ref="E1014:F1014" si="1014">IF(A1014&lt;&gt;"", (B1014 - B1013) / B1013, "")</f>
        <v/>
      </c>
      <c r="F1014" s="22" t="str">
        <f t="shared" si="1014"/>
        <v/>
      </c>
      <c r="H1014" s="22" t="str">
        <f t="shared" si="4"/>
        <v/>
      </c>
    </row>
    <row r="1015" ht="15.75" customHeight="1">
      <c r="A1015" s="31" t="str">
        <f>'EQUITY BACKTEST'!A1018</f>
        <v/>
      </c>
      <c r="B1015" s="22" t="str">
        <f>'EQUITY BACKTEST'!B1018</f>
        <v/>
      </c>
      <c r="C1015" s="22" t="str">
        <f>1/'EQUITY BACKTEST'!E1018</f>
        <v>#DIV/0!</v>
      </c>
      <c r="D1015" s="22" t="str">
        <f t="shared" si="1"/>
        <v>#DIV/0!</v>
      </c>
      <c r="E1015" s="22" t="str">
        <f t="shared" ref="E1015:F1015" si="1015">IF(A1015&lt;&gt;"", (B1015 - B1014) / B1014, "")</f>
        <v/>
      </c>
      <c r="F1015" s="22" t="str">
        <f t="shared" si="1015"/>
        <v/>
      </c>
      <c r="H1015" s="22" t="str">
        <f t="shared" si="4"/>
        <v/>
      </c>
    </row>
    <row r="1016" ht="15.75" customHeight="1">
      <c r="A1016" s="31" t="str">
        <f>'EQUITY BACKTEST'!A1019</f>
        <v/>
      </c>
      <c r="B1016" s="22" t="str">
        <f>'EQUITY BACKTEST'!B1019</f>
        <v/>
      </c>
      <c r="C1016" s="22" t="str">
        <f>1/'EQUITY BACKTEST'!E1019</f>
        <v>#DIV/0!</v>
      </c>
      <c r="D1016" s="22" t="str">
        <f t="shared" si="1"/>
        <v>#DIV/0!</v>
      </c>
      <c r="E1016" s="22" t="str">
        <f t="shared" ref="E1016:F1016" si="1016">IF(A1016&lt;&gt;"", (B1016 - B1015) / B1015, "")</f>
        <v/>
      </c>
      <c r="F1016" s="22" t="str">
        <f t="shared" si="1016"/>
        <v/>
      </c>
      <c r="H1016" s="22" t="str">
        <f t="shared" si="4"/>
        <v/>
      </c>
    </row>
    <row r="1017" ht="15.75" customHeight="1">
      <c r="A1017" s="31" t="str">
        <f>'EQUITY BACKTEST'!A1020</f>
        <v/>
      </c>
      <c r="B1017" s="22" t="str">
        <f>'EQUITY BACKTEST'!B1020</f>
        <v/>
      </c>
      <c r="C1017" s="22" t="str">
        <f>1/'EQUITY BACKTEST'!E1020</f>
        <v>#DIV/0!</v>
      </c>
      <c r="D1017" s="22" t="str">
        <f t="shared" si="1"/>
        <v>#DIV/0!</v>
      </c>
      <c r="E1017" s="22" t="str">
        <f t="shared" ref="E1017:F1017" si="1017">IF(A1017&lt;&gt;"", (B1017 - B1016) / B1016, "")</f>
        <v/>
      </c>
      <c r="F1017" s="22" t="str">
        <f t="shared" si="1017"/>
        <v/>
      </c>
      <c r="H1017" s="22" t="str">
        <f t="shared" si="4"/>
        <v/>
      </c>
    </row>
    <row r="1018" ht="15.75" customHeight="1">
      <c r="A1018" s="31" t="str">
        <f>'EQUITY BACKTEST'!A1021</f>
        <v/>
      </c>
      <c r="B1018" s="22" t="str">
        <f>'EQUITY BACKTEST'!B1021</f>
        <v/>
      </c>
      <c r="C1018" s="22" t="str">
        <f>1/'EQUITY BACKTEST'!E1021</f>
        <v>#DIV/0!</v>
      </c>
      <c r="D1018" s="22" t="str">
        <f t="shared" si="1"/>
        <v>#DIV/0!</v>
      </c>
      <c r="E1018" s="22" t="str">
        <f t="shared" ref="E1018:F1018" si="1018">IF(A1018&lt;&gt;"", (B1018 - B1017) / B1017, "")</f>
        <v/>
      </c>
      <c r="F1018" s="22" t="str">
        <f t="shared" si="1018"/>
        <v/>
      </c>
      <c r="H1018" s="22" t="str">
        <f t="shared" si="4"/>
        <v/>
      </c>
    </row>
    <row r="1019" ht="15.75" customHeight="1">
      <c r="A1019" s="31" t="str">
        <f>'EQUITY BACKTEST'!A1022</f>
        <v/>
      </c>
      <c r="B1019" s="22" t="str">
        <f>'EQUITY BACKTEST'!B1022</f>
        <v/>
      </c>
      <c r="C1019" s="22" t="str">
        <f>1/'EQUITY BACKTEST'!E1022</f>
        <v>#DIV/0!</v>
      </c>
      <c r="D1019" s="22" t="str">
        <f t="shared" si="1"/>
        <v>#DIV/0!</v>
      </c>
      <c r="E1019" s="22" t="str">
        <f t="shared" ref="E1019:F1019" si="1019">IF(A1019&lt;&gt;"", (B1019 - B1018) / B1018, "")</f>
        <v/>
      </c>
      <c r="F1019" s="22" t="str">
        <f t="shared" si="1019"/>
        <v/>
      </c>
      <c r="H1019" s="22" t="str">
        <f t="shared" si="4"/>
        <v/>
      </c>
    </row>
    <row r="1020" ht="15.75" customHeight="1">
      <c r="A1020" s="31" t="str">
        <f>'EQUITY BACKTEST'!A1023</f>
        <v/>
      </c>
      <c r="B1020" s="22" t="str">
        <f>'EQUITY BACKTEST'!B1023</f>
        <v/>
      </c>
      <c r="C1020" s="22" t="str">
        <f>1/'EQUITY BACKTEST'!E1023</f>
        <v>#DIV/0!</v>
      </c>
      <c r="D1020" s="22" t="str">
        <f t="shared" si="1"/>
        <v>#DIV/0!</v>
      </c>
      <c r="E1020" s="22" t="str">
        <f t="shared" ref="E1020:F1020" si="1020">IF(A1020&lt;&gt;"", (B1020 - B1019) / B1019, "")</f>
        <v/>
      </c>
      <c r="F1020" s="22" t="str">
        <f t="shared" si="1020"/>
        <v/>
      </c>
      <c r="H1020" s="22" t="str">
        <f t="shared" si="4"/>
        <v/>
      </c>
    </row>
    <row r="1021" ht="15.75" customHeight="1">
      <c r="A1021" s="31" t="str">
        <f>'EQUITY BACKTEST'!A1024</f>
        <v/>
      </c>
      <c r="B1021" s="22" t="str">
        <f>'EQUITY BACKTEST'!B1024</f>
        <v/>
      </c>
      <c r="C1021" s="22" t="str">
        <f>1/'EQUITY BACKTEST'!E1024</f>
        <v>#DIV/0!</v>
      </c>
      <c r="D1021" s="22" t="str">
        <f t="shared" si="1"/>
        <v>#DIV/0!</v>
      </c>
      <c r="E1021" s="22" t="str">
        <f t="shared" ref="E1021:F1021" si="1021">IF(A1021&lt;&gt;"", (B1021 - B1020) / B1020, "")</f>
        <v/>
      </c>
      <c r="F1021" s="22" t="str">
        <f t="shared" si="1021"/>
        <v/>
      </c>
      <c r="H1021" s="22" t="str">
        <f t="shared" si="4"/>
        <v/>
      </c>
    </row>
    <row r="1022" ht="15.75" customHeight="1">
      <c r="A1022" s="31" t="str">
        <f>'EQUITY BACKTEST'!A1025</f>
        <v/>
      </c>
      <c r="B1022" s="22" t="str">
        <f>'EQUITY BACKTEST'!B1025</f>
        <v/>
      </c>
      <c r="C1022" s="22" t="str">
        <f>1/'EQUITY BACKTEST'!E1025</f>
        <v>#DIV/0!</v>
      </c>
      <c r="D1022" s="22" t="str">
        <f t="shared" si="1"/>
        <v>#DIV/0!</v>
      </c>
      <c r="E1022" s="22" t="str">
        <f t="shared" ref="E1022:F1022" si="1022">IF(A1022&lt;&gt;"", (B1022 - B1021) / B1021, "")</f>
        <v/>
      </c>
      <c r="F1022" s="22" t="str">
        <f t="shared" si="1022"/>
        <v/>
      </c>
      <c r="H1022" s="22" t="str">
        <f t="shared" si="4"/>
        <v/>
      </c>
    </row>
    <row r="1023" ht="15.75" customHeight="1">
      <c r="A1023" s="31" t="str">
        <f>'EQUITY BACKTEST'!A1026</f>
        <v/>
      </c>
      <c r="B1023" s="22" t="str">
        <f>'EQUITY BACKTEST'!B1026</f>
        <v/>
      </c>
      <c r="C1023" s="22" t="str">
        <f>1/'EQUITY BACKTEST'!E1026</f>
        <v>#DIV/0!</v>
      </c>
      <c r="D1023" s="22" t="str">
        <f t="shared" si="1"/>
        <v>#DIV/0!</v>
      </c>
      <c r="E1023" s="22" t="str">
        <f t="shared" ref="E1023:F1023" si="1023">IF(A1023&lt;&gt;"", (B1023 - B1022) / B1022, "")</f>
        <v/>
      </c>
      <c r="F1023" s="22" t="str">
        <f t="shared" si="1023"/>
        <v/>
      </c>
      <c r="H1023" s="22" t="str">
        <f t="shared" si="4"/>
        <v/>
      </c>
    </row>
    <row r="1024" ht="15.75" customHeight="1">
      <c r="A1024" s="31" t="str">
        <f>'EQUITY BACKTEST'!A1027</f>
        <v/>
      </c>
      <c r="B1024" s="22" t="str">
        <f>'EQUITY BACKTEST'!B1027</f>
        <v/>
      </c>
      <c r="C1024" s="22" t="str">
        <f>1/'EQUITY BACKTEST'!E1027</f>
        <v>#DIV/0!</v>
      </c>
      <c r="D1024" s="22" t="str">
        <f t="shared" si="1"/>
        <v>#DIV/0!</v>
      </c>
      <c r="E1024" s="22" t="str">
        <f t="shared" ref="E1024:F1024" si="1024">IF(A1024&lt;&gt;"", (B1024 - B1023) / B1023, "")</f>
        <v/>
      </c>
      <c r="F1024" s="22" t="str">
        <f t="shared" si="1024"/>
        <v/>
      </c>
      <c r="H1024" s="22" t="str">
        <f t="shared" si="4"/>
        <v/>
      </c>
    </row>
    <row r="1025" ht="15.75" customHeight="1">
      <c r="A1025" s="31" t="str">
        <f>'EQUITY BACKTEST'!A1028</f>
        <v/>
      </c>
      <c r="B1025" s="22" t="str">
        <f>'EQUITY BACKTEST'!B1028</f>
        <v/>
      </c>
      <c r="C1025" s="22" t="str">
        <f>1/'EQUITY BACKTEST'!E1028</f>
        <v>#DIV/0!</v>
      </c>
      <c r="D1025" s="22" t="str">
        <f t="shared" si="1"/>
        <v>#DIV/0!</v>
      </c>
      <c r="E1025" s="22" t="str">
        <f t="shared" ref="E1025:F1025" si="1025">IF(A1025&lt;&gt;"", (B1025 - B1024) / B1024, "")</f>
        <v/>
      </c>
      <c r="F1025" s="22" t="str">
        <f t="shared" si="1025"/>
        <v/>
      </c>
      <c r="H1025" s="22" t="str">
        <f t="shared" si="4"/>
        <v/>
      </c>
    </row>
    <row r="1026" ht="15.75" customHeight="1">
      <c r="A1026" s="31" t="str">
        <f>'EQUITY BACKTEST'!A1029</f>
        <v/>
      </c>
      <c r="B1026" s="22" t="str">
        <f>'EQUITY BACKTEST'!B1029</f>
        <v/>
      </c>
      <c r="C1026" s="22" t="str">
        <f>1/'EQUITY BACKTEST'!E1029</f>
        <v>#DIV/0!</v>
      </c>
      <c r="D1026" s="22" t="str">
        <f t="shared" si="1"/>
        <v>#DIV/0!</v>
      </c>
      <c r="E1026" s="22" t="str">
        <f t="shared" ref="E1026:F1026" si="1026">IF(A1026&lt;&gt;"", (B1026 - B1025) / B1025, "")</f>
        <v/>
      </c>
      <c r="F1026" s="22" t="str">
        <f t="shared" si="1026"/>
        <v/>
      </c>
      <c r="H1026" s="22" t="str">
        <f t="shared" si="4"/>
        <v/>
      </c>
    </row>
    <row r="1027" ht="15.75" customHeight="1">
      <c r="A1027" s="31" t="str">
        <f>'EQUITY BACKTEST'!A1030</f>
        <v/>
      </c>
      <c r="B1027" s="22" t="str">
        <f>'EQUITY BACKTEST'!B1030</f>
        <v/>
      </c>
      <c r="C1027" s="22" t="str">
        <f>1/'EQUITY BACKTEST'!E1030</f>
        <v>#DIV/0!</v>
      </c>
      <c r="D1027" s="22" t="str">
        <f t="shared" si="1"/>
        <v>#DIV/0!</v>
      </c>
      <c r="E1027" s="22" t="str">
        <f t="shared" ref="E1027:F1027" si="1027">IF(A1027&lt;&gt;"", (B1027 - B1026) / B1026, "")</f>
        <v/>
      </c>
      <c r="F1027" s="22" t="str">
        <f t="shared" si="1027"/>
        <v/>
      </c>
      <c r="H1027" s="22" t="str">
        <f t="shared" si="4"/>
        <v/>
      </c>
    </row>
    <row r="1028" ht="15.75" customHeight="1">
      <c r="A1028" s="31" t="str">
        <f>'EQUITY BACKTEST'!A1031</f>
        <v/>
      </c>
      <c r="B1028" s="22" t="str">
        <f>'EQUITY BACKTEST'!B1031</f>
        <v/>
      </c>
      <c r="C1028" s="22" t="str">
        <f>1/'EQUITY BACKTEST'!E1031</f>
        <v>#DIV/0!</v>
      </c>
      <c r="D1028" s="22" t="str">
        <f t="shared" si="1"/>
        <v>#DIV/0!</v>
      </c>
      <c r="E1028" s="22" t="str">
        <f t="shared" ref="E1028:F1028" si="1028">IF(A1028&lt;&gt;"", (B1028 - B1027) / B1027, "")</f>
        <v/>
      </c>
      <c r="F1028" s="22" t="str">
        <f t="shared" si="1028"/>
        <v/>
      </c>
      <c r="H1028" s="22" t="str">
        <f t="shared" si="4"/>
        <v/>
      </c>
    </row>
    <row r="1029" ht="15.75" customHeight="1">
      <c r="A1029" s="31" t="str">
        <f>'EQUITY BACKTEST'!A1032</f>
        <v/>
      </c>
      <c r="B1029" s="22" t="str">
        <f>'EQUITY BACKTEST'!B1032</f>
        <v/>
      </c>
      <c r="C1029" s="22" t="str">
        <f>1/'EQUITY BACKTEST'!E1032</f>
        <v>#DIV/0!</v>
      </c>
      <c r="D1029" s="22" t="str">
        <f t="shared" si="1"/>
        <v>#DIV/0!</v>
      </c>
      <c r="E1029" s="22" t="str">
        <f t="shared" ref="E1029:F1029" si="1029">IF(A1029&lt;&gt;"", (B1029 - B1028) / B1028, "")</f>
        <v/>
      </c>
      <c r="F1029" s="22" t="str">
        <f t="shared" si="1029"/>
        <v/>
      </c>
      <c r="H1029" s="22" t="str">
        <f t="shared" si="4"/>
        <v/>
      </c>
    </row>
    <row r="1030" ht="15.75" customHeight="1">
      <c r="A1030" s="31" t="str">
        <f>'EQUITY BACKTEST'!A1033</f>
        <v/>
      </c>
      <c r="B1030" s="22" t="str">
        <f>'EQUITY BACKTEST'!B1033</f>
        <v/>
      </c>
      <c r="C1030" s="22" t="str">
        <f>1/'EQUITY BACKTEST'!E1033</f>
        <v>#DIV/0!</v>
      </c>
      <c r="D1030" s="22" t="str">
        <f t="shared" si="1"/>
        <v>#DIV/0!</v>
      </c>
      <c r="E1030" s="22" t="str">
        <f t="shared" ref="E1030:F1030" si="1030">IF(A1030&lt;&gt;"", (B1030 - B1029) / B1029, "")</f>
        <v/>
      </c>
      <c r="F1030" s="22" t="str">
        <f t="shared" si="1030"/>
        <v/>
      </c>
      <c r="H1030" s="22" t="str">
        <f t="shared" si="4"/>
        <v/>
      </c>
    </row>
    <row r="1031" ht="15.75" customHeight="1">
      <c r="A1031" s="31" t="str">
        <f>'EQUITY BACKTEST'!A1034</f>
        <v/>
      </c>
      <c r="B1031" s="22" t="str">
        <f>'EQUITY BACKTEST'!B1034</f>
        <v/>
      </c>
      <c r="C1031" s="22" t="str">
        <f>1/'EQUITY BACKTEST'!E1034</f>
        <v>#DIV/0!</v>
      </c>
      <c r="D1031" s="22" t="str">
        <f t="shared" si="1"/>
        <v>#DIV/0!</v>
      </c>
      <c r="E1031" s="22" t="str">
        <f t="shared" ref="E1031:F1031" si="1031">IF(A1031&lt;&gt;"", (B1031 - B1030) / B1030, "")</f>
        <v/>
      </c>
      <c r="F1031" s="22" t="str">
        <f t="shared" si="1031"/>
        <v/>
      </c>
      <c r="H1031" s="22" t="str">
        <f t="shared" si="4"/>
        <v/>
      </c>
    </row>
    <row r="1032" ht="15.75" customHeight="1">
      <c r="A1032" s="31" t="str">
        <f>'EQUITY BACKTEST'!A1035</f>
        <v/>
      </c>
      <c r="B1032" s="22" t="str">
        <f>'EQUITY BACKTEST'!B1035</f>
        <v/>
      </c>
      <c r="C1032" s="22" t="str">
        <f>1/'EQUITY BACKTEST'!E1035</f>
        <v>#DIV/0!</v>
      </c>
      <c r="D1032" s="22" t="str">
        <f t="shared" si="1"/>
        <v>#DIV/0!</v>
      </c>
      <c r="E1032" s="22" t="str">
        <f t="shared" ref="E1032:F1032" si="1032">IF(A1032&lt;&gt;"", (B1032 - B1031) / B1031, "")</f>
        <v/>
      </c>
      <c r="F1032" s="22" t="str">
        <f t="shared" si="1032"/>
        <v/>
      </c>
      <c r="H1032" s="22" t="str">
        <f t="shared" si="4"/>
        <v/>
      </c>
    </row>
    <row r="1033" ht="15.75" customHeight="1">
      <c r="A1033" s="31" t="str">
        <f>'EQUITY BACKTEST'!A1036</f>
        <v/>
      </c>
      <c r="B1033" s="22" t="str">
        <f>'EQUITY BACKTEST'!B1036</f>
        <v/>
      </c>
      <c r="C1033" s="22" t="str">
        <f>1/'EQUITY BACKTEST'!E1036</f>
        <v>#DIV/0!</v>
      </c>
      <c r="D1033" s="22" t="str">
        <f t="shared" si="1"/>
        <v>#DIV/0!</v>
      </c>
      <c r="E1033" s="22" t="str">
        <f t="shared" ref="E1033:F1033" si="1033">IF(A1033&lt;&gt;"", (B1033 - B1032) / B1032, "")</f>
        <v/>
      </c>
      <c r="F1033" s="22" t="str">
        <f t="shared" si="1033"/>
        <v/>
      </c>
      <c r="H1033" s="22" t="str">
        <f t="shared" si="4"/>
        <v/>
      </c>
    </row>
    <row r="1034" ht="15.75" customHeight="1">
      <c r="A1034" s="31" t="str">
        <f>'EQUITY BACKTEST'!A1037</f>
        <v/>
      </c>
      <c r="B1034" s="22" t="str">
        <f>'EQUITY BACKTEST'!B1037</f>
        <v/>
      </c>
      <c r="C1034" s="22" t="str">
        <f>1/'EQUITY BACKTEST'!E1037</f>
        <v>#DIV/0!</v>
      </c>
      <c r="D1034" s="22" t="str">
        <f t="shared" si="1"/>
        <v>#DIV/0!</v>
      </c>
      <c r="E1034" s="22" t="str">
        <f t="shared" ref="E1034:F1034" si="1034">IF(A1034&lt;&gt;"", (B1034 - B1033) / B1033, "")</f>
        <v/>
      </c>
      <c r="F1034" s="22" t="str">
        <f t="shared" si="1034"/>
        <v/>
      </c>
      <c r="H1034" s="22" t="str">
        <f t="shared" si="4"/>
        <v/>
      </c>
    </row>
    <row r="1035" ht="15.75" customHeight="1">
      <c r="A1035" s="31" t="str">
        <f>'EQUITY BACKTEST'!A1038</f>
        <v/>
      </c>
      <c r="B1035" s="22" t="str">
        <f>'EQUITY BACKTEST'!B1038</f>
        <v/>
      </c>
      <c r="C1035" s="22" t="str">
        <f>1/'EQUITY BACKTEST'!E1038</f>
        <v>#DIV/0!</v>
      </c>
      <c r="D1035" s="22" t="str">
        <f t="shared" si="1"/>
        <v>#DIV/0!</v>
      </c>
      <c r="E1035" s="22" t="str">
        <f t="shared" ref="E1035:F1035" si="1035">IF(A1035&lt;&gt;"", (B1035 - B1034) / B1034, "")</f>
        <v/>
      </c>
      <c r="F1035" s="22" t="str">
        <f t="shared" si="1035"/>
        <v/>
      </c>
      <c r="H1035" s="22" t="str">
        <f t="shared" si="4"/>
        <v/>
      </c>
    </row>
    <row r="1036" ht="15.75" customHeight="1">
      <c r="A1036" s="31" t="str">
        <f>'EQUITY BACKTEST'!A1039</f>
        <v/>
      </c>
      <c r="B1036" s="22" t="str">
        <f>'EQUITY BACKTEST'!B1039</f>
        <v/>
      </c>
      <c r="C1036" s="22" t="str">
        <f>1/'EQUITY BACKTEST'!E1039</f>
        <v>#DIV/0!</v>
      </c>
      <c r="D1036" s="22" t="str">
        <f t="shared" si="1"/>
        <v>#DIV/0!</v>
      </c>
      <c r="E1036" s="22" t="str">
        <f t="shared" ref="E1036:F1036" si="1036">IF(A1036&lt;&gt;"", (B1036 - B1035) / B1035, "")</f>
        <v/>
      </c>
      <c r="F1036" s="22" t="str">
        <f t="shared" si="1036"/>
        <v/>
      </c>
      <c r="H1036" s="22" t="str">
        <f t="shared" si="4"/>
        <v/>
      </c>
    </row>
    <row r="1037" ht="15.75" customHeight="1">
      <c r="A1037" s="31" t="str">
        <f>'EQUITY BACKTEST'!A1040</f>
        <v/>
      </c>
      <c r="B1037" s="22" t="str">
        <f>'EQUITY BACKTEST'!B1040</f>
        <v/>
      </c>
      <c r="C1037" s="22" t="str">
        <f>1/'EQUITY BACKTEST'!E1040</f>
        <v>#DIV/0!</v>
      </c>
      <c r="D1037" s="22" t="str">
        <f t="shared" si="1"/>
        <v>#DIV/0!</v>
      </c>
      <c r="E1037" s="22" t="str">
        <f t="shared" ref="E1037:F1037" si="1037">IF(A1037&lt;&gt;"", (B1037 - B1036) / B1036, "")</f>
        <v/>
      </c>
      <c r="F1037" s="22" t="str">
        <f t="shared" si="1037"/>
        <v/>
      </c>
      <c r="H1037" s="22" t="str">
        <f t="shared" si="4"/>
        <v/>
      </c>
    </row>
    <row r="1038" ht="15.75" customHeight="1">
      <c r="A1038" s="31" t="str">
        <f>'EQUITY BACKTEST'!A1041</f>
        <v/>
      </c>
      <c r="B1038" s="22" t="str">
        <f>'EQUITY BACKTEST'!B1041</f>
        <v/>
      </c>
      <c r="C1038" s="22" t="str">
        <f>1/'EQUITY BACKTEST'!E1041</f>
        <v>#DIV/0!</v>
      </c>
      <c r="D1038" s="22" t="str">
        <f t="shared" si="1"/>
        <v>#DIV/0!</v>
      </c>
      <c r="E1038" s="22" t="str">
        <f t="shared" ref="E1038:F1038" si="1038">IF(A1038&lt;&gt;"", (B1038 - B1037) / B1037, "")</f>
        <v/>
      </c>
      <c r="F1038" s="22" t="str">
        <f t="shared" si="1038"/>
        <v/>
      </c>
      <c r="H1038" s="22" t="str">
        <f t="shared" si="4"/>
        <v/>
      </c>
    </row>
    <row r="1039" ht="15.75" customHeight="1">
      <c r="A1039" s="31" t="str">
        <f>'EQUITY BACKTEST'!A1042</f>
        <v/>
      </c>
      <c r="B1039" s="22" t="str">
        <f>'EQUITY BACKTEST'!B1042</f>
        <v/>
      </c>
      <c r="C1039" s="22" t="str">
        <f>1/'EQUITY BACKTEST'!E1042</f>
        <v>#DIV/0!</v>
      </c>
      <c r="D1039" s="22" t="str">
        <f t="shared" si="1"/>
        <v>#DIV/0!</v>
      </c>
      <c r="E1039" s="22" t="str">
        <f t="shared" ref="E1039:F1039" si="1039">IF(A1039&lt;&gt;"", (B1039 - B1038) / B1038, "")</f>
        <v/>
      </c>
      <c r="F1039" s="22" t="str">
        <f t="shared" si="1039"/>
        <v/>
      </c>
      <c r="H1039" s="22" t="str">
        <f t="shared" si="4"/>
        <v/>
      </c>
    </row>
    <row r="1040" ht="15.75" customHeight="1">
      <c r="A1040" s="31" t="str">
        <f>'EQUITY BACKTEST'!A1043</f>
        <v/>
      </c>
      <c r="B1040" s="22" t="str">
        <f>'EQUITY BACKTEST'!B1043</f>
        <v/>
      </c>
      <c r="C1040" s="22" t="str">
        <f>1/'EQUITY BACKTEST'!E1043</f>
        <v>#DIV/0!</v>
      </c>
      <c r="D1040" s="22" t="str">
        <f t="shared" si="1"/>
        <v>#DIV/0!</v>
      </c>
      <c r="E1040" s="22" t="str">
        <f t="shared" ref="E1040:F1040" si="1040">IF(A1040&lt;&gt;"", (B1040 - B1039) / B1039, "")</f>
        <v/>
      </c>
      <c r="F1040" s="22" t="str">
        <f t="shared" si="1040"/>
        <v/>
      </c>
      <c r="H1040" s="22" t="str">
        <f t="shared" si="4"/>
        <v/>
      </c>
    </row>
    <row r="1041" ht="15.75" customHeight="1">
      <c r="A1041" s="31" t="str">
        <f>'EQUITY BACKTEST'!A1044</f>
        <v/>
      </c>
      <c r="B1041" s="22" t="str">
        <f>'EQUITY BACKTEST'!B1044</f>
        <v/>
      </c>
      <c r="C1041" s="22" t="str">
        <f>1/'EQUITY BACKTEST'!E1044</f>
        <v>#DIV/0!</v>
      </c>
      <c r="D1041" s="22" t="str">
        <f t="shared" si="1"/>
        <v>#DIV/0!</v>
      </c>
      <c r="E1041" s="22" t="str">
        <f t="shared" ref="E1041:F1041" si="1041">IF(A1041&lt;&gt;"", (B1041 - B1040) / B1040, "")</f>
        <v/>
      </c>
      <c r="F1041" s="22" t="str">
        <f t="shared" si="1041"/>
        <v/>
      </c>
      <c r="H1041" s="22" t="str">
        <f t="shared" si="4"/>
        <v/>
      </c>
    </row>
    <row r="1042" ht="15.75" customHeight="1">
      <c r="A1042" s="31" t="str">
        <f>'EQUITY BACKTEST'!A1045</f>
        <v/>
      </c>
      <c r="B1042" s="22" t="str">
        <f>'EQUITY BACKTEST'!B1045</f>
        <v/>
      </c>
      <c r="C1042" s="22" t="str">
        <f>1/'EQUITY BACKTEST'!E1045</f>
        <v>#DIV/0!</v>
      </c>
      <c r="D1042" s="22" t="str">
        <f t="shared" si="1"/>
        <v>#DIV/0!</v>
      </c>
      <c r="E1042" s="22" t="str">
        <f t="shared" ref="E1042:F1042" si="1042">IF(A1042&lt;&gt;"", (B1042 - B1041) / B1041, "")</f>
        <v/>
      </c>
      <c r="F1042" s="22" t="str">
        <f t="shared" si="1042"/>
        <v/>
      </c>
      <c r="H1042" s="22" t="str">
        <f t="shared" si="4"/>
        <v/>
      </c>
    </row>
    <row r="1043" ht="15.75" customHeight="1">
      <c r="A1043" s="31" t="str">
        <f>'EQUITY BACKTEST'!A1046</f>
        <v/>
      </c>
      <c r="B1043" s="22" t="str">
        <f>'EQUITY BACKTEST'!B1046</f>
        <v/>
      </c>
      <c r="C1043" s="22" t="str">
        <f>1/'EQUITY BACKTEST'!E1046</f>
        <v>#DIV/0!</v>
      </c>
      <c r="D1043" s="22" t="str">
        <f t="shared" si="1"/>
        <v>#DIV/0!</v>
      </c>
      <c r="E1043" s="22" t="str">
        <f t="shared" ref="E1043:F1043" si="1043">IF(A1043&lt;&gt;"", (B1043 - B1042) / B1042, "")</f>
        <v/>
      </c>
      <c r="F1043" s="22" t="str">
        <f t="shared" si="1043"/>
        <v/>
      </c>
      <c r="H1043" s="22" t="str">
        <f t="shared" si="4"/>
        <v/>
      </c>
    </row>
    <row r="1044" ht="15.75" customHeight="1">
      <c r="A1044" s="31" t="str">
        <f>'EQUITY BACKTEST'!A1047</f>
        <v/>
      </c>
      <c r="B1044" s="22" t="str">
        <f>'EQUITY BACKTEST'!B1047</f>
        <v/>
      </c>
      <c r="C1044" s="22" t="str">
        <f>1/'EQUITY BACKTEST'!E1047</f>
        <v>#DIV/0!</v>
      </c>
      <c r="D1044" s="22" t="str">
        <f t="shared" si="1"/>
        <v>#DIV/0!</v>
      </c>
      <c r="E1044" s="22" t="str">
        <f t="shared" ref="E1044:F1044" si="1044">IF(A1044&lt;&gt;"", (B1044 - B1043) / B1043, "")</f>
        <v/>
      </c>
      <c r="F1044" s="22" t="str">
        <f t="shared" si="1044"/>
        <v/>
      </c>
      <c r="H1044" s="22" t="str">
        <f t="shared" si="4"/>
        <v/>
      </c>
    </row>
    <row r="1045" ht="15.75" customHeight="1">
      <c r="A1045" s="31" t="str">
        <f>'EQUITY BACKTEST'!A1048</f>
        <v/>
      </c>
      <c r="B1045" s="22" t="str">
        <f>'EQUITY BACKTEST'!B1048</f>
        <v/>
      </c>
      <c r="C1045" s="22" t="str">
        <f>1/'EQUITY BACKTEST'!E1048</f>
        <v>#DIV/0!</v>
      </c>
      <c r="D1045" s="22" t="str">
        <f t="shared" si="1"/>
        <v>#DIV/0!</v>
      </c>
      <c r="E1045" s="22" t="str">
        <f t="shared" ref="E1045:F1045" si="1045">IF(A1045&lt;&gt;"", (B1045 - B1044) / B1044, "")</f>
        <v/>
      </c>
      <c r="F1045" s="22" t="str">
        <f t="shared" si="1045"/>
        <v/>
      </c>
      <c r="H1045" s="22" t="str">
        <f t="shared" si="4"/>
        <v/>
      </c>
    </row>
    <row r="1046" ht="15.75" customHeight="1">
      <c r="A1046" s="31" t="str">
        <f>'EQUITY BACKTEST'!A1049</f>
        <v/>
      </c>
      <c r="B1046" s="22" t="str">
        <f>'EQUITY BACKTEST'!B1049</f>
        <v/>
      </c>
      <c r="C1046" s="22" t="str">
        <f>1/'EQUITY BACKTEST'!E1049</f>
        <v>#DIV/0!</v>
      </c>
      <c r="D1046" s="22" t="str">
        <f t="shared" si="1"/>
        <v>#DIV/0!</v>
      </c>
      <c r="E1046" s="22" t="str">
        <f t="shared" ref="E1046:F1046" si="1046">IF(A1046&lt;&gt;"", (B1046 - B1045) / B1045, "")</f>
        <v/>
      </c>
      <c r="F1046" s="22" t="str">
        <f t="shared" si="1046"/>
        <v/>
      </c>
      <c r="H1046" s="22" t="str">
        <f t="shared" si="4"/>
        <v/>
      </c>
    </row>
    <row r="1047" ht="15.75" customHeight="1">
      <c r="A1047" s="31" t="str">
        <f>'EQUITY BACKTEST'!A1050</f>
        <v/>
      </c>
      <c r="B1047" s="22" t="str">
        <f>'EQUITY BACKTEST'!B1050</f>
        <v/>
      </c>
      <c r="C1047" s="22" t="str">
        <f>1/'EQUITY BACKTEST'!E1050</f>
        <v>#DIV/0!</v>
      </c>
      <c r="D1047" s="22" t="str">
        <f t="shared" si="1"/>
        <v>#DIV/0!</v>
      </c>
      <c r="E1047" s="22" t="str">
        <f t="shared" ref="E1047:F1047" si="1047">IF(A1047&lt;&gt;"", (B1047 - B1046) / B1046, "")</f>
        <v/>
      </c>
      <c r="F1047" s="22" t="str">
        <f t="shared" si="1047"/>
        <v/>
      </c>
      <c r="H1047" s="22" t="str">
        <f t="shared" si="4"/>
        <v/>
      </c>
    </row>
    <row r="1048" ht="15.75" customHeight="1">
      <c r="A1048" s="31" t="str">
        <f>'EQUITY BACKTEST'!A1051</f>
        <v/>
      </c>
      <c r="B1048" s="22" t="str">
        <f>'EQUITY BACKTEST'!B1051</f>
        <v/>
      </c>
      <c r="C1048" s="22" t="str">
        <f>1/'EQUITY BACKTEST'!E1051</f>
        <v>#DIV/0!</v>
      </c>
      <c r="D1048" s="22" t="str">
        <f t="shared" si="1"/>
        <v>#DIV/0!</v>
      </c>
      <c r="E1048" s="22" t="str">
        <f t="shared" ref="E1048:F1048" si="1048">IF(A1048&lt;&gt;"", (B1048 - B1047) / B1047, "")</f>
        <v/>
      </c>
      <c r="F1048" s="22" t="str">
        <f t="shared" si="1048"/>
        <v/>
      </c>
      <c r="H1048" s="22" t="str">
        <f t="shared" si="4"/>
        <v/>
      </c>
    </row>
    <row r="1049" ht="15.75" customHeight="1">
      <c r="A1049" s="31" t="str">
        <f>'EQUITY BACKTEST'!A1052</f>
        <v/>
      </c>
      <c r="B1049" s="22" t="str">
        <f>'EQUITY BACKTEST'!B1052</f>
        <v/>
      </c>
      <c r="C1049" s="22" t="str">
        <f>1/'EQUITY BACKTEST'!E1052</f>
        <v>#DIV/0!</v>
      </c>
      <c r="D1049" s="22" t="str">
        <f t="shared" si="1"/>
        <v>#DIV/0!</v>
      </c>
      <c r="E1049" s="22" t="str">
        <f t="shared" ref="E1049:F1049" si="1049">IF(A1049&lt;&gt;"", (B1049 - B1048) / B1048, "")</f>
        <v/>
      </c>
      <c r="F1049" s="22" t="str">
        <f t="shared" si="1049"/>
        <v/>
      </c>
      <c r="H1049" s="22" t="str">
        <f t="shared" si="4"/>
        <v/>
      </c>
    </row>
    <row r="1050" ht="15.75" customHeight="1">
      <c r="A1050" s="31" t="str">
        <f>'EQUITY BACKTEST'!A1053</f>
        <v/>
      </c>
      <c r="B1050" s="22" t="str">
        <f>'EQUITY BACKTEST'!B1053</f>
        <v/>
      </c>
      <c r="C1050" s="22" t="str">
        <f>1/'EQUITY BACKTEST'!E1053</f>
        <v>#DIV/0!</v>
      </c>
      <c r="D1050" s="22" t="str">
        <f t="shared" si="1"/>
        <v>#DIV/0!</v>
      </c>
      <c r="E1050" s="22" t="str">
        <f t="shared" ref="E1050:F1050" si="1050">IF(A1050&lt;&gt;"", (B1050 - B1049) / B1049, "")</f>
        <v/>
      </c>
      <c r="F1050" s="22" t="str">
        <f t="shared" si="1050"/>
        <v/>
      </c>
      <c r="H1050" s="22" t="str">
        <f t="shared" si="4"/>
        <v/>
      </c>
    </row>
    <row r="1051" ht="15.75" customHeight="1">
      <c r="A1051" s="31" t="str">
        <f>'EQUITY BACKTEST'!A1054</f>
        <v/>
      </c>
      <c r="B1051" s="22" t="str">
        <f>'EQUITY BACKTEST'!B1054</f>
        <v/>
      </c>
      <c r="C1051" s="22" t="str">
        <f>1/'EQUITY BACKTEST'!E1054</f>
        <v>#DIV/0!</v>
      </c>
      <c r="D1051" s="22" t="str">
        <f t="shared" si="1"/>
        <v>#DIV/0!</v>
      </c>
      <c r="E1051" s="22" t="str">
        <f t="shared" ref="E1051:F1051" si="1051">IF(A1051&lt;&gt;"", (B1051 - B1050) / B1050, "")</f>
        <v/>
      </c>
      <c r="F1051" s="22" t="str">
        <f t="shared" si="1051"/>
        <v/>
      </c>
      <c r="H1051" s="22" t="str">
        <f t="shared" si="4"/>
        <v/>
      </c>
    </row>
    <row r="1052" ht="15.75" customHeight="1">
      <c r="A1052" s="31" t="str">
        <f>'EQUITY BACKTEST'!A1055</f>
        <v/>
      </c>
      <c r="B1052" s="22" t="str">
        <f>'EQUITY BACKTEST'!B1055</f>
        <v/>
      </c>
      <c r="C1052" s="22" t="str">
        <f>1/'EQUITY BACKTEST'!E1055</f>
        <v>#DIV/0!</v>
      </c>
      <c r="D1052" s="22" t="str">
        <f t="shared" si="1"/>
        <v>#DIV/0!</v>
      </c>
      <c r="E1052" s="22" t="str">
        <f t="shared" ref="E1052:F1052" si="1052">IF(A1052&lt;&gt;"", (B1052 - B1051) / B1051, "")</f>
        <v/>
      </c>
      <c r="F1052" s="22" t="str">
        <f t="shared" si="1052"/>
        <v/>
      </c>
      <c r="H1052" s="22" t="str">
        <f t="shared" si="4"/>
        <v/>
      </c>
    </row>
    <row r="1053" ht="15.75" customHeight="1">
      <c r="A1053" s="31" t="str">
        <f>'EQUITY BACKTEST'!A1056</f>
        <v/>
      </c>
      <c r="B1053" s="22" t="str">
        <f>'EQUITY BACKTEST'!B1056</f>
        <v/>
      </c>
      <c r="C1053" s="22" t="str">
        <f>1/'EQUITY BACKTEST'!E1056</f>
        <v>#DIV/0!</v>
      </c>
      <c r="D1053" s="22" t="str">
        <f t="shared" si="1"/>
        <v>#DIV/0!</v>
      </c>
      <c r="E1053" s="22" t="str">
        <f t="shared" ref="E1053:F1053" si="1053">IF(A1053&lt;&gt;"", (B1053 - B1052) / B1052, "")</f>
        <v/>
      </c>
      <c r="F1053" s="22" t="str">
        <f t="shared" si="1053"/>
        <v/>
      </c>
      <c r="H1053" s="22" t="str">
        <f t="shared" si="4"/>
        <v/>
      </c>
    </row>
    <row r="1054" ht="15.75" customHeight="1">
      <c r="A1054" s="31" t="str">
        <f>'EQUITY BACKTEST'!A1057</f>
        <v/>
      </c>
      <c r="B1054" s="22" t="str">
        <f>'EQUITY BACKTEST'!B1057</f>
        <v/>
      </c>
      <c r="C1054" s="22" t="str">
        <f>1/'EQUITY BACKTEST'!E1057</f>
        <v>#DIV/0!</v>
      </c>
      <c r="D1054" s="22" t="str">
        <f t="shared" si="1"/>
        <v>#DIV/0!</v>
      </c>
      <c r="E1054" s="22" t="str">
        <f t="shared" ref="E1054:F1054" si="1054">IF(A1054&lt;&gt;"", (B1054 - B1053) / B1053, "")</f>
        <v/>
      </c>
      <c r="F1054" s="22" t="str">
        <f t="shared" si="1054"/>
        <v/>
      </c>
      <c r="H1054" s="22" t="str">
        <f t="shared" si="4"/>
        <v/>
      </c>
    </row>
    <row r="1055" ht="15.75" customHeight="1">
      <c r="A1055" s="31" t="str">
        <f>'EQUITY BACKTEST'!A1058</f>
        <v/>
      </c>
      <c r="B1055" s="22" t="str">
        <f>'EQUITY BACKTEST'!B1058</f>
        <v/>
      </c>
      <c r="C1055" s="22" t="str">
        <f>1/'EQUITY BACKTEST'!E1058</f>
        <v>#DIV/0!</v>
      </c>
      <c r="D1055" s="22" t="str">
        <f t="shared" si="1"/>
        <v>#DIV/0!</v>
      </c>
      <c r="E1055" s="22" t="str">
        <f t="shared" ref="E1055:F1055" si="1055">IF(A1055&lt;&gt;"", (B1055 - B1054) / B1054, "")</f>
        <v/>
      </c>
      <c r="F1055" s="22" t="str">
        <f t="shared" si="1055"/>
        <v/>
      </c>
      <c r="H1055" s="22" t="str">
        <f t="shared" si="4"/>
        <v/>
      </c>
    </row>
    <row r="1056" ht="15.75" customHeight="1">
      <c r="A1056" s="31" t="str">
        <f>'EQUITY BACKTEST'!A1059</f>
        <v/>
      </c>
      <c r="B1056" s="22" t="str">
        <f>'EQUITY BACKTEST'!B1059</f>
        <v/>
      </c>
      <c r="C1056" s="22" t="str">
        <f>1/'EQUITY BACKTEST'!E1059</f>
        <v>#DIV/0!</v>
      </c>
      <c r="D1056" s="22" t="str">
        <f t="shared" si="1"/>
        <v>#DIV/0!</v>
      </c>
      <c r="E1056" s="22" t="str">
        <f t="shared" ref="E1056:F1056" si="1056">IF(A1056&lt;&gt;"", (B1056 - B1055) / B1055, "")</f>
        <v/>
      </c>
      <c r="F1056" s="22" t="str">
        <f t="shared" si="1056"/>
        <v/>
      </c>
      <c r="H1056" s="22" t="str">
        <f t="shared" si="4"/>
        <v/>
      </c>
    </row>
    <row r="1057" ht="15.75" customHeight="1">
      <c r="A1057" s="31" t="str">
        <f>'EQUITY BACKTEST'!A1060</f>
        <v/>
      </c>
      <c r="B1057" s="22" t="str">
        <f>'EQUITY BACKTEST'!B1060</f>
        <v/>
      </c>
      <c r="C1057" s="22" t="str">
        <f>1/'EQUITY BACKTEST'!E1060</f>
        <v>#DIV/0!</v>
      </c>
      <c r="D1057" s="22" t="str">
        <f t="shared" si="1"/>
        <v>#DIV/0!</v>
      </c>
      <c r="E1057" s="22" t="str">
        <f t="shared" ref="E1057:F1057" si="1057">IF(A1057&lt;&gt;"", (B1057 - B1056) / B1056, "")</f>
        <v/>
      </c>
      <c r="F1057" s="22" t="str">
        <f t="shared" si="1057"/>
        <v/>
      </c>
      <c r="H1057" s="22" t="str">
        <f t="shared" si="4"/>
        <v/>
      </c>
    </row>
    <row r="1058" ht="15.75" customHeight="1">
      <c r="A1058" s="31" t="str">
        <f>'EQUITY BACKTEST'!A1061</f>
        <v/>
      </c>
      <c r="B1058" s="22" t="str">
        <f>'EQUITY BACKTEST'!B1061</f>
        <v/>
      </c>
      <c r="C1058" s="22" t="str">
        <f>1/'EQUITY BACKTEST'!E1061</f>
        <v>#DIV/0!</v>
      </c>
      <c r="D1058" s="22" t="str">
        <f t="shared" si="1"/>
        <v>#DIV/0!</v>
      </c>
      <c r="E1058" s="22" t="str">
        <f t="shared" ref="E1058:F1058" si="1058">IF(A1058&lt;&gt;"", (B1058 - B1057) / B1057, "")</f>
        <v/>
      </c>
      <c r="F1058" s="22" t="str">
        <f t="shared" si="1058"/>
        <v/>
      </c>
      <c r="H1058" s="22" t="str">
        <f t="shared" si="4"/>
        <v/>
      </c>
    </row>
    <row r="1059" ht="15.75" customHeight="1">
      <c r="A1059" s="31" t="str">
        <f>'EQUITY BACKTEST'!A1062</f>
        <v/>
      </c>
      <c r="B1059" s="22" t="str">
        <f>'EQUITY BACKTEST'!B1062</f>
        <v/>
      </c>
      <c r="C1059" s="22" t="str">
        <f>1/'EQUITY BACKTEST'!E1062</f>
        <v>#DIV/0!</v>
      </c>
      <c r="D1059" s="22" t="str">
        <f t="shared" si="1"/>
        <v>#DIV/0!</v>
      </c>
      <c r="E1059" s="22" t="str">
        <f t="shared" ref="E1059:F1059" si="1059">IF(A1059&lt;&gt;"", (B1059 - B1058) / B1058, "")</f>
        <v/>
      </c>
      <c r="F1059" s="22" t="str">
        <f t="shared" si="1059"/>
        <v/>
      </c>
      <c r="H1059" s="22" t="str">
        <f t="shared" si="4"/>
        <v/>
      </c>
    </row>
    <row r="1060" ht="15.75" customHeight="1">
      <c r="A1060" s="31" t="str">
        <f>'EQUITY BACKTEST'!A1063</f>
        <v/>
      </c>
      <c r="B1060" s="22" t="str">
        <f>'EQUITY BACKTEST'!B1063</f>
        <v/>
      </c>
      <c r="C1060" s="22" t="str">
        <f>1/'EQUITY BACKTEST'!E1063</f>
        <v>#DIV/0!</v>
      </c>
      <c r="D1060" s="22" t="str">
        <f t="shared" si="1"/>
        <v>#DIV/0!</v>
      </c>
      <c r="E1060" s="22" t="str">
        <f t="shared" ref="E1060:F1060" si="1060">IF(A1060&lt;&gt;"", (B1060 - B1059) / B1059, "")</f>
        <v/>
      </c>
      <c r="F1060" s="22" t="str">
        <f t="shared" si="1060"/>
        <v/>
      </c>
      <c r="H1060" s="22" t="str">
        <f t="shared" si="4"/>
        <v/>
      </c>
    </row>
    <row r="1061" ht="15.75" customHeight="1">
      <c r="A1061" s="31" t="str">
        <f>'EQUITY BACKTEST'!A1064</f>
        <v/>
      </c>
      <c r="B1061" s="22" t="str">
        <f>'EQUITY BACKTEST'!B1064</f>
        <v/>
      </c>
      <c r="C1061" s="22" t="str">
        <f>1/'EQUITY BACKTEST'!E1064</f>
        <v>#DIV/0!</v>
      </c>
      <c r="D1061" s="22" t="str">
        <f t="shared" si="1"/>
        <v>#DIV/0!</v>
      </c>
      <c r="E1061" s="22" t="str">
        <f t="shared" ref="E1061:F1061" si="1061">IF(A1061&lt;&gt;"", (B1061 - B1060) / B1060, "")</f>
        <v/>
      </c>
      <c r="F1061" s="22" t="str">
        <f t="shared" si="1061"/>
        <v/>
      </c>
      <c r="H1061" s="22" t="str">
        <f t="shared" si="4"/>
        <v/>
      </c>
    </row>
    <row r="1062" ht="15.75" customHeight="1">
      <c r="A1062" s="31" t="str">
        <f>'EQUITY BACKTEST'!A1065</f>
        <v/>
      </c>
      <c r="B1062" s="22" t="str">
        <f>'EQUITY BACKTEST'!B1065</f>
        <v/>
      </c>
      <c r="C1062" s="22" t="str">
        <f>1/'EQUITY BACKTEST'!E1065</f>
        <v>#DIV/0!</v>
      </c>
      <c r="D1062" s="22" t="str">
        <f t="shared" si="1"/>
        <v>#DIV/0!</v>
      </c>
      <c r="E1062" s="22" t="str">
        <f t="shared" ref="E1062:F1062" si="1062">IF(A1062&lt;&gt;"", (B1062 - B1061) / B1061, "")</f>
        <v/>
      </c>
      <c r="F1062" s="22" t="str">
        <f t="shared" si="1062"/>
        <v/>
      </c>
      <c r="H1062" s="22" t="str">
        <f t="shared" si="4"/>
        <v/>
      </c>
    </row>
    <row r="1063" ht="15.75" customHeight="1">
      <c r="A1063" s="31" t="str">
        <f>'EQUITY BACKTEST'!A1066</f>
        <v/>
      </c>
      <c r="B1063" s="22" t="str">
        <f>'EQUITY BACKTEST'!B1066</f>
        <v/>
      </c>
      <c r="C1063" s="22" t="str">
        <f>1/'EQUITY BACKTEST'!E1066</f>
        <v>#DIV/0!</v>
      </c>
      <c r="D1063" s="22" t="str">
        <f t="shared" si="1"/>
        <v>#DIV/0!</v>
      </c>
      <c r="E1063" s="22" t="str">
        <f t="shared" ref="E1063:F1063" si="1063">IF(A1063&lt;&gt;"", (B1063 - B1062) / B1062, "")</f>
        <v/>
      </c>
      <c r="F1063" s="22" t="str">
        <f t="shared" si="1063"/>
        <v/>
      </c>
      <c r="H1063" s="22" t="str">
        <f t="shared" si="4"/>
        <v/>
      </c>
    </row>
    <row r="1064" ht="15.75" customHeight="1">
      <c r="A1064" s="31" t="str">
        <f>'EQUITY BACKTEST'!A1067</f>
        <v/>
      </c>
      <c r="B1064" s="22" t="str">
        <f>'EQUITY BACKTEST'!B1067</f>
        <v/>
      </c>
      <c r="C1064" s="22" t="str">
        <f>1/'EQUITY BACKTEST'!E1067</f>
        <v>#DIV/0!</v>
      </c>
      <c r="D1064" s="22" t="str">
        <f t="shared" si="1"/>
        <v>#DIV/0!</v>
      </c>
      <c r="E1064" s="22" t="str">
        <f t="shared" ref="E1064:F1064" si="1064">IF(A1064&lt;&gt;"", (B1064 - B1063) / B1063, "")</f>
        <v/>
      </c>
      <c r="F1064" s="22" t="str">
        <f t="shared" si="1064"/>
        <v/>
      </c>
      <c r="H1064" s="22" t="str">
        <f t="shared" si="4"/>
        <v/>
      </c>
    </row>
    <row r="1065" ht="15.75" customHeight="1">
      <c r="A1065" s="31" t="str">
        <f>'EQUITY BACKTEST'!A1068</f>
        <v/>
      </c>
      <c r="B1065" s="22" t="str">
        <f>'EQUITY BACKTEST'!B1068</f>
        <v/>
      </c>
      <c r="C1065" s="22" t="str">
        <f>1/'EQUITY BACKTEST'!E1068</f>
        <v>#DIV/0!</v>
      </c>
      <c r="D1065" s="22" t="str">
        <f t="shared" si="1"/>
        <v>#DIV/0!</v>
      </c>
      <c r="E1065" s="22" t="str">
        <f t="shared" ref="E1065:F1065" si="1065">IF(A1065&lt;&gt;"", (B1065 - B1064) / B1064, "")</f>
        <v/>
      </c>
      <c r="F1065" s="22" t="str">
        <f t="shared" si="1065"/>
        <v/>
      </c>
      <c r="H1065" s="22" t="str">
        <f t="shared" si="4"/>
        <v/>
      </c>
    </row>
    <row r="1066" ht="15.75" customHeight="1">
      <c r="A1066" s="31" t="str">
        <f>'EQUITY BACKTEST'!A1069</f>
        <v/>
      </c>
      <c r="B1066" s="22" t="str">
        <f>'EQUITY BACKTEST'!B1069</f>
        <v/>
      </c>
      <c r="C1066" s="22" t="str">
        <f>1/'EQUITY BACKTEST'!E1069</f>
        <v>#DIV/0!</v>
      </c>
      <c r="D1066" s="22" t="str">
        <f t="shared" si="1"/>
        <v>#DIV/0!</v>
      </c>
      <c r="E1066" s="22" t="str">
        <f t="shared" ref="E1066:F1066" si="1066">IF(A1066&lt;&gt;"", (B1066 - B1065) / B1065, "")</f>
        <v/>
      </c>
      <c r="F1066" s="22" t="str">
        <f t="shared" si="1066"/>
        <v/>
      </c>
      <c r="H1066" s="22" t="str">
        <f t="shared" si="4"/>
        <v/>
      </c>
    </row>
    <row r="1067" ht="15.75" customHeight="1">
      <c r="A1067" s="31" t="str">
        <f>'EQUITY BACKTEST'!A1070</f>
        <v/>
      </c>
      <c r="B1067" s="22" t="str">
        <f>'EQUITY BACKTEST'!B1070</f>
        <v/>
      </c>
      <c r="C1067" s="22" t="str">
        <f>1/'EQUITY BACKTEST'!E1070</f>
        <v>#DIV/0!</v>
      </c>
      <c r="D1067" s="22" t="str">
        <f t="shared" si="1"/>
        <v>#DIV/0!</v>
      </c>
      <c r="E1067" s="22" t="str">
        <f t="shared" ref="E1067:F1067" si="1067">IF(A1067&lt;&gt;"", (B1067 - B1066) / B1066, "")</f>
        <v/>
      </c>
      <c r="F1067" s="22" t="str">
        <f t="shared" si="1067"/>
        <v/>
      </c>
      <c r="H1067" s="22" t="str">
        <f t="shared" si="4"/>
        <v/>
      </c>
    </row>
    <row r="1068" ht="15.75" customHeight="1">
      <c r="A1068" s="31" t="str">
        <f>'EQUITY BACKTEST'!A1071</f>
        <v/>
      </c>
      <c r="B1068" s="22" t="str">
        <f>'EQUITY BACKTEST'!B1071</f>
        <v/>
      </c>
      <c r="C1068" s="22" t="str">
        <f>1/'EQUITY BACKTEST'!E1071</f>
        <v>#DIV/0!</v>
      </c>
      <c r="D1068" s="22" t="str">
        <f t="shared" si="1"/>
        <v>#DIV/0!</v>
      </c>
      <c r="E1068" s="22" t="str">
        <f t="shared" ref="E1068:F1068" si="1068">IF(A1068&lt;&gt;"", (B1068 - B1067) / B1067, "")</f>
        <v/>
      </c>
      <c r="F1068" s="22" t="str">
        <f t="shared" si="1068"/>
        <v/>
      </c>
      <c r="H1068" s="22" t="str">
        <f t="shared" si="4"/>
        <v/>
      </c>
    </row>
    <row r="1069" ht="15.75" customHeight="1">
      <c r="A1069" s="31" t="str">
        <f>'EQUITY BACKTEST'!A1072</f>
        <v/>
      </c>
      <c r="B1069" s="22" t="str">
        <f>'EQUITY BACKTEST'!B1072</f>
        <v/>
      </c>
      <c r="C1069" s="22" t="str">
        <f>1/'EQUITY BACKTEST'!E1072</f>
        <v>#DIV/0!</v>
      </c>
      <c r="D1069" s="22" t="str">
        <f t="shared" si="1"/>
        <v>#DIV/0!</v>
      </c>
      <c r="E1069" s="22" t="str">
        <f t="shared" ref="E1069:F1069" si="1069">IF(A1069&lt;&gt;"", (B1069 - B1068) / B1068, "")</f>
        <v/>
      </c>
      <c r="F1069" s="22" t="str">
        <f t="shared" si="1069"/>
        <v/>
      </c>
      <c r="H1069" s="22" t="str">
        <f t="shared" si="4"/>
        <v/>
      </c>
    </row>
    <row r="1070" ht="15.75" customHeight="1">
      <c r="A1070" s="31" t="str">
        <f>'EQUITY BACKTEST'!A1073</f>
        <v/>
      </c>
      <c r="B1070" s="22" t="str">
        <f>'EQUITY BACKTEST'!B1073</f>
        <v/>
      </c>
      <c r="C1070" s="22" t="str">
        <f>1/'EQUITY BACKTEST'!E1073</f>
        <v>#DIV/0!</v>
      </c>
      <c r="D1070" s="22" t="str">
        <f t="shared" si="1"/>
        <v>#DIV/0!</v>
      </c>
      <c r="E1070" s="22" t="str">
        <f t="shared" ref="E1070:F1070" si="1070">IF(A1070&lt;&gt;"", (B1070 - B1069) / B1069, "")</f>
        <v/>
      </c>
      <c r="F1070" s="22" t="str">
        <f t="shared" si="1070"/>
        <v/>
      </c>
      <c r="H1070" s="22" t="str">
        <f t="shared" si="4"/>
        <v/>
      </c>
    </row>
    <row r="1071" ht="15.75" customHeight="1">
      <c r="A1071" s="31" t="str">
        <f>'EQUITY BACKTEST'!A1074</f>
        <v/>
      </c>
      <c r="B1071" s="22" t="str">
        <f>'EQUITY BACKTEST'!B1074</f>
        <v/>
      </c>
      <c r="C1071" s="22" t="str">
        <f>1/'EQUITY BACKTEST'!E1074</f>
        <v>#DIV/0!</v>
      </c>
      <c r="D1071" s="22" t="str">
        <f t="shared" si="1"/>
        <v>#DIV/0!</v>
      </c>
      <c r="E1071" s="22" t="str">
        <f t="shared" ref="E1071:F1071" si="1071">IF(A1071&lt;&gt;"", (B1071 - B1070) / B1070, "")</f>
        <v/>
      </c>
      <c r="F1071" s="22" t="str">
        <f t="shared" si="1071"/>
        <v/>
      </c>
      <c r="H1071" s="22" t="str">
        <f t="shared" si="4"/>
        <v/>
      </c>
    </row>
    <row r="1072" ht="15.75" customHeight="1">
      <c r="A1072" s="31" t="str">
        <f>'EQUITY BACKTEST'!A1075</f>
        <v/>
      </c>
      <c r="B1072" s="22" t="str">
        <f>'EQUITY BACKTEST'!B1075</f>
        <v/>
      </c>
      <c r="C1072" s="22" t="str">
        <f>1/'EQUITY BACKTEST'!E1075</f>
        <v>#DIV/0!</v>
      </c>
      <c r="D1072" s="22" t="str">
        <f t="shared" si="1"/>
        <v>#DIV/0!</v>
      </c>
      <c r="E1072" s="22" t="str">
        <f t="shared" ref="E1072:F1072" si="1072">IF(A1072&lt;&gt;"", (B1072 - B1071) / B1071, "")</f>
        <v/>
      </c>
      <c r="F1072" s="22" t="str">
        <f t="shared" si="1072"/>
        <v/>
      </c>
      <c r="H1072" s="22" t="str">
        <f t="shared" si="4"/>
        <v/>
      </c>
    </row>
    <row r="1073" ht="15.75" customHeight="1">
      <c r="A1073" s="31" t="str">
        <f>'EQUITY BACKTEST'!A1076</f>
        <v/>
      </c>
      <c r="B1073" s="22" t="str">
        <f>'EQUITY BACKTEST'!B1076</f>
        <v/>
      </c>
      <c r="C1073" s="22" t="str">
        <f>1/'EQUITY BACKTEST'!E1076</f>
        <v>#DIV/0!</v>
      </c>
      <c r="D1073" s="22" t="str">
        <f t="shared" si="1"/>
        <v>#DIV/0!</v>
      </c>
      <c r="E1073" s="22" t="str">
        <f t="shared" ref="E1073:F1073" si="1073">IF(A1073&lt;&gt;"", (B1073 - B1072) / B1072, "")</f>
        <v/>
      </c>
      <c r="F1073" s="22" t="str">
        <f t="shared" si="1073"/>
        <v/>
      </c>
      <c r="H1073" s="22" t="str">
        <f t="shared" si="4"/>
        <v/>
      </c>
    </row>
    <row r="1074" ht="15.75" customHeight="1">
      <c r="A1074" s="31" t="str">
        <f>'EQUITY BACKTEST'!A1077</f>
        <v/>
      </c>
      <c r="B1074" s="22" t="str">
        <f>'EQUITY BACKTEST'!B1077</f>
        <v/>
      </c>
      <c r="C1074" s="22" t="str">
        <f>1/'EQUITY BACKTEST'!E1077</f>
        <v>#DIV/0!</v>
      </c>
      <c r="D1074" s="22" t="str">
        <f t="shared" si="1"/>
        <v>#DIV/0!</v>
      </c>
      <c r="E1074" s="22" t="str">
        <f t="shared" ref="E1074:F1074" si="1074">IF(A1074&lt;&gt;"", (B1074 - B1073) / B1073, "")</f>
        <v/>
      </c>
      <c r="F1074" s="22" t="str">
        <f t="shared" si="1074"/>
        <v/>
      </c>
      <c r="H1074" s="22" t="str">
        <f t="shared" si="4"/>
        <v/>
      </c>
    </row>
    <row r="1075" ht="15.75" customHeight="1">
      <c r="A1075" s="31" t="str">
        <f>'EQUITY BACKTEST'!A1078</f>
        <v/>
      </c>
      <c r="B1075" s="22" t="str">
        <f>'EQUITY BACKTEST'!B1078</f>
        <v/>
      </c>
      <c r="C1075" s="22" t="str">
        <f>1/'EQUITY BACKTEST'!E1078</f>
        <v>#DIV/0!</v>
      </c>
      <c r="D1075" s="22" t="str">
        <f t="shared" si="1"/>
        <v>#DIV/0!</v>
      </c>
      <c r="E1075" s="22" t="str">
        <f t="shared" ref="E1075:F1075" si="1075">IF(A1075&lt;&gt;"", (B1075 - B1074) / B1074, "")</f>
        <v/>
      </c>
      <c r="F1075" s="22" t="str">
        <f t="shared" si="1075"/>
        <v/>
      </c>
      <c r="H1075" s="22" t="str">
        <f t="shared" si="4"/>
        <v/>
      </c>
    </row>
    <row r="1076" ht="15.75" customHeight="1">
      <c r="A1076" s="31" t="str">
        <f>'EQUITY BACKTEST'!A1079</f>
        <v/>
      </c>
      <c r="B1076" s="22" t="str">
        <f>'EQUITY BACKTEST'!B1079</f>
        <v/>
      </c>
      <c r="C1076" s="22" t="str">
        <f>1/'EQUITY BACKTEST'!E1079</f>
        <v>#DIV/0!</v>
      </c>
      <c r="D1076" s="22" t="str">
        <f t="shared" si="1"/>
        <v>#DIV/0!</v>
      </c>
      <c r="E1076" s="22" t="str">
        <f t="shared" ref="E1076:F1076" si="1076">IF(A1076&lt;&gt;"", (B1076 - B1075) / B1075, "")</f>
        <v/>
      </c>
      <c r="F1076" s="22" t="str">
        <f t="shared" si="1076"/>
        <v/>
      </c>
      <c r="H1076" s="22" t="str">
        <f t="shared" si="4"/>
        <v/>
      </c>
    </row>
    <row r="1077" ht="15.75" customHeight="1">
      <c r="A1077" s="31" t="str">
        <f>'EQUITY BACKTEST'!A1080</f>
        <v/>
      </c>
      <c r="B1077" s="22" t="str">
        <f>'EQUITY BACKTEST'!B1080</f>
        <v/>
      </c>
      <c r="C1077" s="22" t="str">
        <f>1/'EQUITY BACKTEST'!E1080</f>
        <v>#DIV/0!</v>
      </c>
      <c r="D1077" s="22" t="str">
        <f t="shared" si="1"/>
        <v>#DIV/0!</v>
      </c>
      <c r="E1077" s="22" t="str">
        <f t="shared" ref="E1077:F1077" si="1077">IF(A1077&lt;&gt;"", (B1077 - B1076) / B1076, "")</f>
        <v/>
      </c>
      <c r="F1077" s="22" t="str">
        <f t="shared" si="1077"/>
        <v/>
      </c>
      <c r="H1077" s="22" t="str">
        <f t="shared" si="4"/>
        <v/>
      </c>
    </row>
    <row r="1078" ht="15.75" customHeight="1">
      <c r="A1078" s="31" t="str">
        <f>'EQUITY BACKTEST'!A1081</f>
        <v/>
      </c>
      <c r="B1078" s="22" t="str">
        <f>'EQUITY BACKTEST'!B1081</f>
        <v/>
      </c>
      <c r="C1078" s="22" t="str">
        <f>1/'EQUITY BACKTEST'!E1081</f>
        <v>#DIV/0!</v>
      </c>
      <c r="D1078" s="22" t="str">
        <f t="shared" si="1"/>
        <v>#DIV/0!</v>
      </c>
      <c r="E1078" s="22" t="str">
        <f t="shared" ref="E1078:F1078" si="1078">IF(A1078&lt;&gt;"", (B1078 - B1077) / B1077, "")</f>
        <v/>
      </c>
      <c r="F1078" s="22" t="str">
        <f t="shared" si="1078"/>
        <v/>
      </c>
      <c r="H1078" s="22" t="str">
        <f t="shared" si="4"/>
        <v/>
      </c>
    </row>
    <row r="1079" ht="15.75" customHeight="1">
      <c r="A1079" s="31" t="str">
        <f>'EQUITY BACKTEST'!A1082</f>
        <v/>
      </c>
      <c r="B1079" s="22" t="str">
        <f>'EQUITY BACKTEST'!B1082</f>
        <v/>
      </c>
      <c r="C1079" s="22" t="str">
        <f>1/'EQUITY BACKTEST'!E1082</f>
        <v>#DIV/0!</v>
      </c>
      <c r="D1079" s="22" t="str">
        <f t="shared" si="1"/>
        <v>#DIV/0!</v>
      </c>
      <c r="E1079" s="22" t="str">
        <f t="shared" ref="E1079:F1079" si="1079">IF(A1079&lt;&gt;"", (B1079 - B1078) / B1078, "")</f>
        <v/>
      </c>
      <c r="F1079" s="22" t="str">
        <f t="shared" si="1079"/>
        <v/>
      </c>
      <c r="H1079" s="22" t="str">
        <f t="shared" si="4"/>
        <v/>
      </c>
    </row>
    <row r="1080" ht="15.75" customHeight="1">
      <c r="A1080" s="31" t="str">
        <f>'EQUITY BACKTEST'!A1083</f>
        <v/>
      </c>
      <c r="B1080" s="22" t="str">
        <f>'EQUITY BACKTEST'!B1083</f>
        <v/>
      </c>
      <c r="C1080" s="22" t="str">
        <f>1/'EQUITY BACKTEST'!E1083</f>
        <v>#DIV/0!</v>
      </c>
      <c r="D1080" s="22" t="str">
        <f t="shared" si="1"/>
        <v>#DIV/0!</v>
      </c>
      <c r="E1080" s="22" t="str">
        <f t="shared" ref="E1080:F1080" si="1080">IF(A1080&lt;&gt;"", (B1080 - B1079) / B1079, "")</f>
        <v/>
      </c>
      <c r="F1080" s="22" t="str">
        <f t="shared" si="1080"/>
        <v/>
      </c>
      <c r="H1080" s="22" t="str">
        <f t="shared" si="4"/>
        <v/>
      </c>
    </row>
    <row r="1081" ht="15.75" customHeight="1">
      <c r="A1081" s="31" t="str">
        <f>'EQUITY BACKTEST'!A1084</f>
        <v/>
      </c>
      <c r="B1081" s="22" t="str">
        <f>'EQUITY BACKTEST'!B1084</f>
        <v/>
      </c>
      <c r="C1081" s="22" t="str">
        <f>1/'EQUITY BACKTEST'!E1084</f>
        <v>#DIV/0!</v>
      </c>
      <c r="D1081" s="22" t="str">
        <f t="shared" si="1"/>
        <v>#DIV/0!</v>
      </c>
      <c r="E1081" s="22" t="str">
        <f t="shared" ref="E1081:F1081" si="1081">IF(A1081&lt;&gt;"", (B1081 - B1080) / B1080, "")</f>
        <v/>
      </c>
      <c r="F1081" s="22" t="str">
        <f t="shared" si="1081"/>
        <v/>
      </c>
      <c r="H1081" s="22" t="str">
        <f t="shared" si="4"/>
        <v/>
      </c>
    </row>
    <row r="1082" ht="15.75" customHeight="1">
      <c r="A1082" s="31" t="str">
        <f>'EQUITY BACKTEST'!A1085</f>
        <v/>
      </c>
      <c r="B1082" s="22" t="str">
        <f>'EQUITY BACKTEST'!B1085</f>
        <v/>
      </c>
      <c r="C1082" s="22" t="str">
        <f>1/'EQUITY BACKTEST'!E1085</f>
        <v>#DIV/0!</v>
      </c>
      <c r="D1082" s="22" t="str">
        <f t="shared" si="1"/>
        <v>#DIV/0!</v>
      </c>
      <c r="E1082" s="22" t="str">
        <f t="shared" ref="E1082:F1082" si="1082">IF(A1082&lt;&gt;"", (B1082 - B1081) / B1081, "")</f>
        <v/>
      </c>
      <c r="F1082" s="22" t="str">
        <f t="shared" si="1082"/>
        <v/>
      </c>
      <c r="H1082" s="22" t="str">
        <f t="shared" si="4"/>
        <v/>
      </c>
    </row>
    <row r="1083" ht="15.75" customHeight="1">
      <c r="A1083" s="31" t="str">
        <f>'EQUITY BACKTEST'!A1086</f>
        <v/>
      </c>
      <c r="B1083" s="22" t="str">
        <f>'EQUITY BACKTEST'!B1086</f>
        <v/>
      </c>
      <c r="C1083" s="22" t="str">
        <f>1/'EQUITY BACKTEST'!E1086</f>
        <v>#DIV/0!</v>
      </c>
      <c r="D1083" s="22" t="str">
        <f t="shared" si="1"/>
        <v>#DIV/0!</v>
      </c>
      <c r="E1083" s="22" t="str">
        <f t="shared" ref="E1083:F1083" si="1083">IF(A1083&lt;&gt;"", (B1083 - B1082) / B1082, "")</f>
        <v/>
      </c>
      <c r="F1083" s="22" t="str">
        <f t="shared" si="1083"/>
        <v/>
      </c>
      <c r="H1083" s="22" t="str">
        <f t="shared" si="4"/>
        <v/>
      </c>
    </row>
    <row r="1084" ht="15.75" customHeight="1">
      <c r="A1084" s="31" t="str">
        <f>'EQUITY BACKTEST'!A1087</f>
        <v/>
      </c>
      <c r="B1084" s="22" t="str">
        <f>'EQUITY BACKTEST'!B1087</f>
        <v/>
      </c>
      <c r="C1084" s="22" t="str">
        <f>1/'EQUITY BACKTEST'!E1087</f>
        <v>#DIV/0!</v>
      </c>
      <c r="D1084" s="22" t="str">
        <f t="shared" si="1"/>
        <v>#DIV/0!</v>
      </c>
      <c r="E1084" s="22" t="str">
        <f t="shared" ref="E1084:F1084" si="1084">IF(A1084&lt;&gt;"", (B1084 - B1083) / B1083, "")</f>
        <v/>
      </c>
      <c r="F1084" s="22" t="str">
        <f t="shared" si="1084"/>
        <v/>
      </c>
      <c r="H1084" s="22" t="str">
        <f t="shared" si="4"/>
        <v/>
      </c>
    </row>
    <row r="1085" ht="15.75" customHeight="1">
      <c r="A1085" s="31" t="str">
        <f>'EQUITY BACKTEST'!A1088</f>
        <v/>
      </c>
      <c r="B1085" s="22" t="str">
        <f>'EQUITY BACKTEST'!B1088</f>
        <v/>
      </c>
      <c r="C1085" s="22" t="str">
        <f>1/'EQUITY BACKTEST'!E1088</f>
        <v>#DIV/0!</v>
      </c>
      <c r="D1085" s="22" t="str">
        <f t="shared" si="1"/>
        <v>#DIV/0!</v>
      </c>
      <c r="E1085" s="22" t="str">
        <f t="shared" ref="E1085:F1085" si="1085">IF(A1085&lt;&gt;"", (B1085 - B1084) / B1084, "")</f>
        <v/>
      </c>
      <c r="F1085" s="22" t="str">
        <f t="shared" si="1085"/>
        <v/>
      </c>
      <c r="H1085" s="22" t="str">
        <f t="shared" si="4"/>
        <v/>
      </c>
    </row>
    <row r="1086" ht="15.75" customHeight="1">
      <c r="A1086" s="31" t="str">
        <f>'EQUITY BACKTEST'!A1089</f>
        <v/>
      </c>
      <c r="B1086" s="22" t="str">
        <f>'EQUITY BACKTEST'!B1089</f>
        <v/>
      </c>
      <c r="C1086" s="22" t="str">
        <f>1/'EQUITY BACKTEST'!E1089</f>
        <v>#DIV/0!</v>
      </c>
      <c r="D1086" s="22" t="str">
        <f t="shared" si="1"/>
        <v>#DIV/0!</v>
      </c>
      <c r="E1086" s="22" t="str">
        <f t="shared" ref="E1086:F1086" si="1086">IF(A1086&lt;&gt;"", (B1086 - B1085) / B1085, "")</f>
        <v/>
      </c>
      <c r="F1086" s="22" t="str">
        <f t="shared" si="1086"/>
        <v/>
      </c>
      <c r="H1086" s="22" t="str">
        <f t="shared" si="4"/>
        <v/>
      </c>
    </row>
    <row r="1087" ht="15.75" customHeight="1">
      <c r="A1087" s="31" t="str">
        <f>'EQUITY BACKTEST'!A1090</f>
        <v/>
      </c>
      <c r="B1087" s="22" t="str">
        <f>'EQUITY BACKTEST'!B1090</f>
        <v/>
      </c>
      <c r="C1087" s="22" t="str">
        <f>1/'EQUITY BACKTEST'!E1090</f>
        <v>#DIV/0!</v>
      </c>
      <c r="D1087" s="22" t="str">
        <f t="shared" si="1"/>
        <v>#DIV/0!</v>
      </c>
      <c r="E1087" s="22" t="str">
        <f t="shared" ref="E1087:F1087" si="1087">IF(A1087&lt;&gt;"", (B1087 - B1086) / B1086, "")</f>
        <v/>
      </c>
      <c r="F1087" s="22" t="str">
        <f t="shared" si="1087"/>
        <v/>
      </c>
      <c r="H1087" s="22" t="str">
        <f t="shared" si="4"/>
        <v/>
      </c>
    </row>
    <row r="1088" ht="15.75" customHeight="1">
      <c r="A1088" s="31" t="str">
        <f>'EQUITY BACKTEST'!A1091</f>
        <v/>
      </c>
      <c r="B1088" s="22" t="str">
        <f>'EQUITY BACKTEST'!B1091</f>
        <v/>
      </c>
      <c r="C1088" s="22" t="str">
        <f>1/'EQUITY BACKTEST'!E1091</f>
        <v>#DIV/0!</v>
      </c>
      <c r="D1088" s="22" t="str">
        <f t="shared" si="1"/>
        <v>#DIV/0!</v>
      </c>
      <c r="E1088" s="22" t="str">
        <f t="shared" ref="E1088:F1088" si="1088">IF(A1088&lt;&gt;"", (B1088 - B1087) / B1087, "")</f>
        <v/>
      </c>
      <c r="F1088" s="22" t="str">
        <f t="shared" si="1088"/>
        <v/>
      </c>
      <c r="H1088" s="22" t="str">
        <f t="shared" si="4"/>
        <v/>
      </c>
    </row>
    <row r="1089" ht="15.75" customHeight="1">
      <c r="A1089" s="31" t="str">
        <f>'EQUITY BACKTEST'!A1092</f>
        <v/>
      </c>
      <c r="B1089" s="22" t="str">
        <f>'EQUITY BACKTEST'!B1092</f>
        <v/>
      </c>
      <c r="C1089" s="22" t="str">
        <f>1/'EQUITY BACKTEST'!E1092</f>
        <v>#DIV/0!</v>
      </c>
      <c r="D1089" s="22" t="str">
        <f t="shared" si="1"/>
        <v>#DIV/0!</v>
      </c>
      <c r="E1089" s="22" t="str">
        <f t="shared" ref="E1089:F1089" si="1089">IF(A1089&lt;&gt;"", (B1089 - B1088) / B1088, "")</f>
        <v/>
      </c>
      <c r="F1089" s="22" t="str">
        <f t="shared" si="1089"/>
        <v/>
      </c>
      <c r="H1089" s="22" t="str">
        <f t="shared" si="4"/>
        <v/>
      </c>
    </row>
    <row r="1090" ht="15.75" customHeight="1">
      <c r="A1090" s="31" t="str">
        <f>'EQUITY BACKTEST'!A1093</f>
        <v/>
      </c>
      <c r="B1090" s="22" t="str">
        <f>'EQUITY BACKTEST'!B1093</f>
        <v/>
      </c>
      <c r="C1090" s="22" t="str">
        <f>1/'EQUITY BACKTEST'!E1093</f>
        <v>#DIV/0!</v>
      </c>
      <c r="D1090" s="22" t="str">
        <f t="shared" si="1"/>
        <v>#DIV/0!</v>
      </c>
      <c r="E1090" s="22" t="str">
        <f t="shared" ref="E1090:F1090" si="1090">IF(A1090&lt;&gt;"", (B1090 - B1089) / B1089, "")</f>
        <v/>
      </c>
      <c r="F1090" s="22" t="str">
        <f t="shared" si="1090"/>
        <v/>
      </c>
      <c r="H1090" s="22" t="str">
        <f t="shared" si="4"/>
        <v/>
      </c>
    </row>
    <row r="1091" ht="15.75" customHeight="1">
      <c r="A1091" s="31" t="str">
        <f>'EQUITY BACKTEST'!A1094</f>
        <v/>
      </c>
      <c r="B1091" s="22" t="str">
        <f>'EQUITY BACKTEST'!B1094</f>
        <v/>
      </c>
      <c r="C1091" s="22" t="str">
        <f>1/'EQUITY BACKTEST'!E1094</f>
        <v>#DIV/0!</v>
      </c>
      <c r="D1091" s="22" t="str">
        <f t="shared" si="1"/>
        <v>#DIV/0!</v>
      </c>
      <c r="E1091" s="22" t="str">
        <f t="shared" ref="E1091:F1091" si="1091">IF(A1091&lt;&gt;"", (B1091 - B1090) / B1090, "")</f>
        <v/>
      </c>
      <c r="F1091" s="22" t="str">
        <f t="shared" si="1091"/>
        <v/>
      </c>
      <c r="H1091" s="22" t="str">
        <f t="shared" si="4"/>
        <v/>
      </c>
    </row>
    <row r="1092" ht="15.75" customHeight="1">
      <c r="A1092" s="31" t="str">
        <f>'EQUITY BACKTEST'!A1095</f>
        <v/>
      </c>
      <c r="B1092" s="22" t="str">
        <f>'EQUITY BACKTEST'!B1095</f>
        <v/>
      </c>
      <c r="C1092" s="22" t="str">
        <f>1/'EQUITY BACKTEST'!E1095</f>
        <v>#DIV/0!</v>
      </c>
      <c r="D1092" s="22" t="str">
        <f t="shared" si="1"/>
        <v>#DIV/0!</v>
      </c>
      <c r="E1092" s="22" t="str">
        <f t="shared" ref="E1092:F1092" si="1092">IF(A1092&lt;&gt;"", (B1092 - B1091) / B1091, "")</f>
        <v/>
      </c>
      <c r="F1092" s="22" t="str">
        <f t="shared" si="1092"/>
        <v/>
      </c>
      <c r="H1092" s="22" t="str">
        <f t="shared" si="4"/>
        <v/>
      </c>
    </row>
    <row r="1093" ht="15.75" customHeight="1">
      <c r="A1093" s="31" t="str">
        <f>'EQUITY BACKTEST'!A1096</f>
        <v/>
      </c>
      <c r="B1093" s="22" t="str">
        <f>'EQUITY BACKTEST'!B1096</f>
        <v/>
      </c>
      <c r="C1093" s="22" t="str">
        <f>1/'EQUITY BACKTEST'!E1096</f>
        <v>#DIV/0!</v>
      </c>
      <c r="D1093" s="22" t="str">
        <f t="shared" si="1"/>
        <v>#DIV/0!</v>
      </c>
      <c r="E1093" s="22" t="str">
        <f t="shared" ref="E1093:F1093" si="1093">IF(A1093&lt;&gt;"", (B1093 - B1092) / B1092, "")</f>
        <v/>
      </c>
      <c r="F1093" s="22" t="str">
        <f t="shared" si="1093"/>
        <v/>
      </c>
      <c r="H1093" s="22" t="str">
        <f t="shared" si="4"/>
        <v/>
      </c>
    </row>
    <row r="1094" ht="15.75" customHeight="1">
      <c r="A1094" s="31" t="str">
        <f>'EQUITY BACKTEST'!A1097</f>
        <v/>
      </c>
      <c r="B1094" s="22" t="str">
        <f>'EQUITY BACKTEST'!B1097</f>
        <v/>
      </c>
      <c r="C1094" s="22" t="str">
        <f>1/'EQUITY BACKTEST'!E1097</f>
        <v>#DIV/0!</v>
      </c>
      <c r="D1094" s="22" t="str">
        <f t="shared" si="1"/>
        <v>#DIV/0!</v>
      </c>
      <c r="E1094" s="22" t="str">
        <f t="shared" ref="E1094:F1094" si="1094">IF(A1094&lt;&gt;"", (B1094 - B1093) / B1093, "")</f>
        <v/>
      </c>
      <c r="F1094" s="22" t="str">
        <f t="shared" si="1094"/>
        <v/>
      </c>
      <c r="H1094" s="22" t="str">
        <f t="shared" si="4"/>
        <v/>
      </c>
    </row>
    <row r="1095" ht="15.75" customHeight="1">
      <c r="A1095" s="31" t="str">
        <f>'EQUITY BACKTEST'!A1098</f>
        <v/>
      </c>
      <c r="B1095" s="22" t="str">
        <f>'EQUITY BACKTEST'!B1098</f>
        <v/>
      </c>
      <c r="C1095" s="22" t="str">
        <f>1/'EQUITY BACKTEST'!E1098</f>
        <v>#DIV/0!</v>
      </c>
      <c r="D1095" s="22" t="str">
        <f t="shared" si="1"/>
        <v>#DIV/0!</v>
      </c>
      <c r="E1095" s="22" t="str">
        <f t="shared" ref="E1095:F1095" si="1095">IF(A1095&lt;&gt;"", (B1095 - B1094) / B1094, "")</f>
        <v/>
      </c>
      <c r="F1095" s="22" t="str">
        <f t="shared" si="1095"/>
        <v/>
      </c>
      <c r="H1095" s="22" t="str">
        <f t="shared" si="4"/>
        <v/>
      </c>
    </row>
    <row r="1096" ht="15.75" customHeight="1">
      <c r="A1096" s="31" t="str">
        <f>'EQUITY BACKTEST'!A1099</f>
        <v/>
      </c>
      <c r="B1096" s="22" t="str">
        <f>'EQUITY BACKTEST'!B1099</f>
        <v/>
      </c>
      <c r="C1096" s="22" t="str">
        <f>1/'EQUITY BACKTEST'!E1099</f>
        <v>#DIV/0!</v>
      </c>
      <c r="D1096" s="22" t="str">
        <f t="shared" si="1"/>
        <v>#DIV/0!</v>
      </c>
      <c r="E1096" s="22" t="str">
        <f t="shared" ref="E1096:F1096" si="1096">IF(A1096&lt;&gt;"", (B1096 - B1095) / B1095, "")</f>
        <v/>
      </c>
      <c r="F1096" s="22" t="str">
        <f t="shared" si="1096"/>
        <v/>
      </c>
      <c r="H1096" s="22" t="str">
        <f t="shared" si="4"/>
        <v/>
      </c>
    </row>
    <row r="1097" ht="15.75" customHeight="1">
      <c r="A1097" s="31" t="str">
        <f>'EQUITY BACKTEST'!A1100</f>
        <v/>
      </c>
      <c r="B1097" s="22" t="str">
        <f>'EQUITY BACKTEST'!B1100</f>
        <v/>
      </c>
      <c r="C1097" s="22" t="str">
        <f>1/'EQUITY BACKTEST'!E1100</f>
        <v>#DIV/0!</v>
      </c>
      <c r="D1097" s="22" t="str">
        <f t="shared" si="1"/>
        <v>#DIV/0!</v>
      </c>
      <c r="E1097" s="22" t="str">
        <f t="shared" ref="E1097:F1097" si="1097">IF(A1097&lt;&gt;"", (B1097 - B1096) / B1096, "")</f>
        <v/>
      </c>
      <c r="F1097" s="22" t="str">
        <f t="shared" si="1097"/>
        <v/>
      </c>
      <c r="H1097" s="22" t="str">
        <f t="shared" si="4"/>
        <v/>
      </c>
    </row>
    <row r="1098" ht="15.75" customHeight="1">
      <c r="A1098" s="31" t="str">
        <f>'EQUITY BACKTEST'!A1101</f>
        <v/>
      </c>
      <c r="B1098" s="22" t="str">
        <f>'EQUITY BACKTEST'!B1101</f>
        <v/>
      </c>
      <c r="C1098" s="22" t="str">
        <f>1/'EQUITY BACKTEST'!E1101</f>
        <v>#DIV/0!</v>
      </c>
      <c r="D1098" s="22" t="str">
        <f t="shared" si="1"/>
        <v>#DIV/0!</v>
      </c>
      <c r="E1098" s="22" t="str">
        <f t="shared" ref="E1098:F1098" si="1098">IF(A1098&lt;&gt;"", (B1098 - B1097) / B1097, "")</f>
        <v/>
      </c>
      <c r="F1098" s="22" t="str">
        <f t="shared" si="1098"/>
        <v/>
      </c>
      <c r="H1098" s="22" t="str">
        <f t="shared" si="4"/>
        <v/>
      </c>
    </row>
    <row r="1099" ht="15.75" customHeight="1">
      <c r="A1099" s="31" t="str">
        <f>'EQUITY BACKTEST'!A1102</f>
        <v/>
      </c>
      <c r="B1099" s="22" t="str">
        <f>'EQUITY BACKTEST'!B1102</f>
        <v/>
      </c>
      <c r="C1099" s="22" t="str">
        <f>1/'EQUITY BACKTEST'!E1102</f>
        <v>#DIV/0!</v>
      </c>
      <c r="D1099" s="22" t="str">
        <f t="shared" si="1"/>
        <v>#DIV/0!</v>
      </c>
      <c r="E1099" s="22" t="str">
        <f t="shared" ref="E1099:F1099" si="1099">IF(A1099&lt;&gt;"", (B1099 - B1098) / B1098, "")</f>
        <v/>
      </c>
      <c r="F1099" s="22" t="str">
        <f t="shared" si="1099"/>
        <v/>
      </c>
      <c r="H1099" s="22" t="str">
        <f t="shared" si="4"/>
        <v/>
      </c>
    </row>
    <row r="1100" ht="15.75" customHeight="1">
      <c r="A1100" s="31" t="str">
        <f>'EQUITY BACKTEST'!A1103</f>
        <v/>
      </c>
      <c r="B1100" s="22" t="str">
        <f>'EQUITY BACKTEST'!B1103</f>
        <v/>
      </c>
      <c r="C1100" s="22" t="str">
        <f>1/'EQUITY BACKTEST'!E1103</f>
        <v>#DIV/0!</v>
      </c>
      <c r="D1100" s="22" t="str">
        <f t="shared" si="1"/>
        <v>#DIV/0!</v>
      </c>
      <c r="E1100" s="22" t="str">
        <f t="shared" ref="E1100:F1100" si="1100">IF(A1100&lt;&gt;"", (B1100 - B1099) / B1099, "")</f>
        <v/>
      </c>
      <c r="F1100" s="22" t="str">
        <f t="shared" si="1100"/>
        <v/>
      </c>
      <c r="H1100" s="22" t="str">
        <f t="shared" si="4"/>
        <v/>
      </c>
    </row>
    <row r="1101" ht="15.75" customHeight="1">
      <c r="A1101" s="31" t="str">
        <f>'EQUITY BACKTEST'!A1104</f>
        <v/>
      </c>
      <c r="B1101" s="22" t="str">
        <f>'EQUITY BACKTEST'!B1104</f>
        <v/>
      </c>
      <c r="C1101" s="22" t="str">
        <f>1/'EQUITY BACKTEST'!E1104</f>
        <v>#DIV/0!</v>
      </c>
      <c r="D1101" s="22" t="str">
        <f t="shared" si="1"/>
        <v>#DIV/0!</v>
      </c>
      <c r="E1101" s="22" t="str">
        <f t="shared" ref="E1101:F1101" si="1101">IF(A1101&lt;&gt;"", (B1101 - B1100) / B1100, "")</f>
        <v/>
      </c>
      <c r="F1101" s="22" t="str">
        <f t="shared" si="1101"/>
        <v/>
      </c>
      <c r="H1101" s="22" t="str">
        <f t="shared" si="4"/>
        <v/>
      </c>
    </row>
    <row r="1102" ht="15.75" customHeight="1">
      <c r="A1102" s="31" t="str">
        <f>'EQUITY BACKTEST'!A1105</f>
        <v/>
      </c>
      <c r="B1102" s="22" t="str">
        <f>'EQUITY BACKTEST'!B1105</f>
        <v/>
      </c>
      <c r="C1102" s="22" t="str">
        <f>1/'EQUITY BACKTEST'!E1105</f>
        <v>#DIV/0!</v>
      </c>
      <c r="D1102" s="22" t="str">
        <f t="shared" si="1"/>
        <v>#DIV/0!</v>
      </c>
      <c r="E1102" s="22" t="str">
        <f t="shared" ref="E1102:F1102" si="1102">IF(A1102&lt;&gt;"", (B1102 - B1101) / B1101, "")</f>
        <v/>
      </c>
      <c r="F1102" s="22" t="str">
        <f t="shared" si="1102"/>
        <v/>
      </c>
      <c r="H1102" s="22" t="str">
        <f t="shared" si="4"/>
        <v/>
      </c>
    </row>
    <row r="1103" ht="15.75" customHeight="1">
      <c r="A1103" s="31" t="str">
        <f>'EQUITY BACKTEST'!A1106</f>
        <v/>
      </c>
      <c r="B1103" s="22" t="str">
        <f>'EQUITY BACKTEST'!B1106</f>
        <v/>
      </c>
      <c r="C1103" s="22" t="str">
        <f>1/'EQUITY BACKTEST'!E1106</f>
        <v>#DIV/0!</v>
      </c>
      <c r="D1103" s="22" t="str">
        <f t="shared" si="1"/>
        <v>#DIV/0!</v>
      </c>
      <c r="E1103" s="22" t="str">
        <f t="shared" ref="E1103:F1103" si="1103">IF(A1103&lt;&gt;"", (B1103 - B1102) / B1102, "")</f>
        <v/>
      </c>
      <c r="F1103" s="22" t="str">
        <f t="shared" si="1103"/>
        <v/>
      </c>
      <c r="H1103" s="22" t="str">
        <f t="shared" si="4"/>
        <v/>
      </c>
    </row>
    <row r="1104" ht="15.75" customHeight="1">
      <c r="A1104" s="31" t="str">
        <f>'EQUITY BACKTEST'!A1107</f>
        <v/>
      </c>
      <c r="B1104" s="22" t="str">
        <f>'EQUITY BACKTEST'!B1107</f>
        <v/>
      </c>
      <c r="C1104" s="22" t="str">
        <f>1/'EQUITY BACKTEST'!E1107</f>
        <v>#DIV/0!</v>
      </c>
      <c r="D1104" s="22" t="str">
        <f t="shared" si="1"/>
        <v>#DIV/0!</v>
      </c>
      <c r="E1104" s="22" t="str">
        <f t="shared" ref="E1104:F1104" si="1104">IF(A1104&lt;&gt;"", (B1104 - B1103) / B1103, "")</f>
        <v/>
      </c>
      <c r="F1104" s="22" t="str">
        <f t="shared" si="1104"/>
        <v/>
      </c>
      <c r="H1104" s="22" t="str">
        <f t="shared" si="4"/>
        <v/>
      </c>
    </row>
    <row r="1105" ht="15.75" customHeight="1">
      <c r="A1105" s="31" t="str">
        <f>'EQUITY BACKTEST'!A1108</f>
        <v/>
      </c>
      <c r="B1105" s="22" t="str">
        <f>'EQUITY BACKTEST'!B1108</f>
        <v/>
      </c>
      <c r="C1105" s="22" t="str">
        <f>1/'EQUITY BACKTEST'!E1108</f>
        <v>#DIV/0!</v>
      </c>
      <c r="D1105" s="22" t="str">
        <f t="shared" si="1"/>
        <v>#DIV/0!</v>
      </c>
      <c r="E1105" s="22" t="str">
        <f t="shared" ref="E1105:F1105" si="1105">IF(A1105&lt;&gt;"", (B1105 - B1104) / B1104, "")</f>
        <v/>
      </c>
      <c r="F1105" s="22" t="str">
        <f t="shared" si="1105"/>
        <v/>
      </c>
      <c r="H1105" s="22" t="str">
        <f t="shared" si="4"/>
        <v/>
      </c>
    </row>
    <row r="1106" ht="15.75" customHeight="1">
      <c r="A1106" s="31" t="str">
        <f>'EQUITY BACKTEST'!A1109</f>
        <v/>
      </c>
      <c r="B1106" s="22" t="str">
        <f>'EQUITY BACKTEST'!B1109</f>
        <v/>
      </c>
      <c r="C1106" s="22" t="str">
        <f>1/'EQUITY BACKTEST'!E1109</f>
        <v>#DIV/0!</v>
      </c>
      <c r="D1106" s="22" t="str">
        <f t="shared" si="1"/>
        <v>#DIV/0!</v>
      </c>
      <c r="E1106" s="22" t="str">
        <f t="shared" ref="E1106:F1106" si="1106">IF(A1106&lt;&gt;"", (B1106 - B1105) / B1105, "")</f>
        <v/>
      </c>
      <c r="F1106" s="22" t="str">
        <f t="shared" si="1106"/>
        <v/>
      </c>
      <c r="H1106" s="22" t="str">
        <f t="shared" si="4"/>
        <v/>
      </c>
    </row>
    <row r="1107" ht="15.75" customHeight="1">
      <c r="A1107" s="31" t="str">
        <f>'EQUITY BACKTEST'!A1110</f>
        <v/>
      </c>
      <c r="B1107" s="22" t="str">
        <f>'EQUITY BACKTEST'!B1110</f>
        <v/>
      </c>
      <c r="C1107" s="22" t="str">
        <f>1/'EQUITY BACKTEST'!E1110</f>
        <v>#DIV/0!</v>
      </c>
      <c r="D1107" s="22" t="str">
        <f t="shared" si="1"/>
        <v>#DIV/0!</v>
      </c>
      <c r="E1107" s="22" t="str">
        <f t="shared" ref="E1107:F1107" si="1107">IF(A1107&lt;&gt;"", (B1107 - B1106) / B1106, "")</f>
        <v/>
      </c>
      <c r="F1107" s="22" t="str">
        <f t="shared" si="1107"/>
        <v/>
      </c>
      <c r="H1107" s="22" t="str">
        <f t="shared" si="4"/>
        <v/>
      </c>
    </row>
    <row r="1108" ht="15.75" customHeight="1">
      <c r="A1108" s="31" t="str">
        <f>'EQUITY BACKTEST'!A1111</f>
        <v/>
      </c>
      <c r="B1108" s="22" t="str">
        <f>'EQUITY BACKTEST'!B1111</f>
        <v/>
      </c>
      <c r="C1108" s="22" t="str">
        <f>1/'EQUITY BACKTEST'!E1111</f>
        <v>#DIV/0!</v>
      </c>
      <c r="D1108" s="22" t="str">
        <f t="shared" si="1"/>
        <v>#DIV/0!</v>
      </c>
      <c r="E1108" s="22" t="str">
        <f t="shared" ref="E1108:F1108" si="1108">IF(A1108&lt;&gt;"", (B1108 - B1107) / B1107, "")</f>
        <v/>
      </c>
      <c r="F1108" s="22" t="str">
        <f t="shared" si="1108"/>
        <v/>
      </c>
      <c r="H1108" s="22" t="str">
        <f t="shared" si="4"/>
        <v/>
      </c>
    </row>
    <row r="1109" ht="15.75" customHeight="1">
      <c r="A1109" s="31" t="str">
        <f>'EQUITY BACKTEST'!A1112</f>
        <v/>
      </c>
      <c r="B1109" s="22" t="str">
        <f>'EQUITY BACKTEST'!B1112</f>
        <v/>
      </c>
      <c r="C1109" s="22" t="str">
        <f>1/'EQUITY BACKTEST'!E1112</f>
        <v>#DIV/0!</v>
      </c>
      <c r="D1109" s="22" t="str">
        <f t="shared" si="1"/>
        <v>#DIV/0!</v>
      </c>
      <c r="E1109" s="22" t="str">
        <f t="shared" ref="E1109:F1109" si="1109">IF(A1109&lt;&gt;"", (B1109 - B1108) / B1108, "")</f>
        <v/>
      </c>
      <c r="F1109" s="22" t="str">
        <f t="shared" si="1109"/>
        <v/>
      </c>
      <c r="H1109" s="22" t="str">
        <f t="shared" si="4"/>
        <v/>
      </c>
    </row>
    <row r="1110" ht="15.75" customHeight="1">
      <c r="A1110" s="31" t="str">
        <f>'EQUITY BACKTEST'!A1113</f>
        <v/>
      </c>
      <c r="B1110" s="22" t="str">
        <f>'EQUITY BACKTEST'!B1113</f>
        <v/>
      </c>
      <c r="C1110" s="22" t="str">
        <f>1/'EQUITY BACKTEST'!E1113</f>
        <v>#DIV/0!</v>
      </c>
      <c r="D1110" s="22" t="str">
        <f t="shared" si="1"/>
        <v>#DIV/0!</v>
      </c>
      <c r="E1110" s="22" t="str">
        <f t="shared" ref="E1110:F1110" si="1110">IF(A1110&lt;&gt;"", (B1110 - B1109) / B1109, "")</f>
        <v/>
      </c>
      <c r="F1110" s="22" t="str">
        <f t="shared" si="1110"/>
        <v/>
      </c>
      <c r="H1110" s="22" t="str">
        <f t="shared" si="4"/>
        <v/>
      </c>
    </row>
    <row r="1111" ht="15.75" customHeight="1">
      <c r="A1111" s="31" t="str">
        <f>'EQUITY BACKTEST'!A1114</f>
        <v/>
      </c>
      <c r="B1111" s="22" t="str">
        <f>'EQUITY BACKTEST'!B1114</f>
        <v/>
      </c>
      <c r="C1111" s="22" t="str">
        <f>1/'EQUITY BACKTEST'!E1114</f>
        <v>#DIV/0!</v>
      </c>
      <c r="D1111" s="22" t="str">
        <f t="shared" si="1"/>
        <v>#DIV/0!</v>
      </c>
      <c r="E1111" s="22" t="str">
        <f t="shared" ref="E1111:F1111" si="1111">IF(A1111&lt;&gt;"", (B1111 - B1110) / B1110, "")</f>
        <v/>
      </c>
      <c r="F1111" s="22" t="str">
        <f t="shared" si="1111"/>
        <v/>
      </c>
      <c r="H1111" s="22" t="str">
        <f t="shared" si="4"/>
        <v/>
      </c>
    </row>
    <row r="1112" ht="15.75" customHeight="1">
      <c r="A1112" s="31" t="str">
        <f>'EQUITY BACKTEST'!A1115</f>
        <v/>
      </c>
      <c r="B1112" s="22" t="str">
        <f>'EQUITY BACKTEST'!B1115</f>
        <v/>
      </c>
      <c r="C1112" s="22" t="str">
        <f>1/'EQUITY BACKTEST'!E1115</f>
        <v>#DIV/0!</v>
      </c>
      <c r="D1112" s="22" t="str">
        <f t="shared" si="1"/>
        <v>#DIV/0!</v>
      </c>
      <c r="E1112" s="22" t="str">
        <f t="shared" ref="E1112:F1112" si="1112">IF(A1112&lt;&gt;"", (B1112 - B1111) / B1111, "")</f>
        <v/>
      </c>
      <c r="F1112" s="22" t="str">
        <f t="shared" si="1112"/>
        <v/>
      </c>
      <c r="H1112" s="22" t="str">
        <f t="shared" si="4"/>
        <v/>
      </c>
    </row>
    <row r="1113" ht="15.75" customHeight="1">
      <c r="A1113" s="31" t="str">
        <f>'EQUITY BACKTEST'!A1116</f>
        <v/>
      </c>
      <c r="B1113" s="22" t="str">
        <f>'EQUITY BACKTEST'!B1116</f>
        <v/>
      </c>
      <c r="C1113" s="22" t="str">
        <f>1/'EQUITY BACKTEST'!E1116</f>
        <v>#DIV/0!</v>
      </c>
      <c r="D1113" s="22" t="str">
        <f t="shared" si="1"/>
        <v>#DIV/0!</v>
      </c>
      <c r="E1113" s="22" t="str">
        <f t="shared" ref="E1113:F1113" si="1113">IF(A1113&lt;&gt;"", (B1113 - B1112) / B1112, "")</f>
        <v/>
      </c>
      <c r="F1113" s="22" t="str">
        <f t="shared" si="1113"/>
        <v/>
      </c>
      <c r="H1113" s="22" t="str">
        <f t="shared" si="4"/>
        <v/>
      </c>
    </row>
    <row r="1114" ht="15.75" customHeight="1">
      <c r="A1114" s="31" t="str">
        <f>'EQUITY BACKTEST'!A1117</f>
        <v/>
      </c>
      <c r="B1114" s="22" t="str">
        <f>'EQUITY BACKTEST'!B1117</f>
        <v/>
      </c>
      <c r="C1114" s="22" t="str">
        <f>1/'EQUITY BACKTEST'!E1117</f>
        <v>#DIV/0!</v>
      </c>
      <c r="D1114" s="22" t="str">
        <f t="shared" si="1"/>
        <v>#DIV/0!</v>
      </c>
      <c r="E1114" s="22" t="str">
        <f t="shared" ref="E1114:F1114" si="1114">IF(A1114&lt;&gt;"", (B1114 - B1113) / B1113, "")</f>
        <v/>
      </c>
      <c r="F1114" s="22" t="str">
        <f t="shared" si="1114"/>
        <v/>
      </c>
      <c r="H1114" s="22" t="str">
        <f t="shared" si="4"/>
        <v/>
      </c>
    </row>
    <row r="1115" ht="15.75" customHeight="1">
      <c r="A1115" s="31" t="str">
        <f>'EQUITY BACKTEST'!A1118</f>
        <v/>
      </c>
      <c r="B1115" s="22" t="str">
        <f>'EQUITY BACKTEST'!B1118</f>
        <v/>
      </c>
      <c r="C1115" s="22" t="str">
        <f>1/'EQUITY BACKTEST'!E1118</f>
        <v>#DIV/0!</v>
      </c>
      <c r="D1115" s="22" t="str">
        <f t="shared" si="1"/>
        <v>#DIV/0!</v>
      </c>
      <c r="E1115" s="22" t="str">
        <f t="shared" ref="E1115:F1115" si="1115">IF(A1115&lt;&gt;"", (B1115 - B1114) / B1114, "")</f>
        <v/>
      </c>
      <c r="F1115" s="22" t="str">
        <f t="shared" si="1115"/>
        <v/>
      </c>
      <c r="H1115" s="22" t="str">
        <f t="shared" si="4"/>
        <v/>
      </c>
    </row>
    <row r="1116" ht="15.75" customHeight="1">
      <c r="A1116" s="31" t="str">
        <f>'EQUITY BACKTEST'!A1119</f>
        <v/>
      </c>
      <c r="B1116" s="22" t="str">
        <f>'EQUITY BACKTEST'!B1119</f>
        <v/>
      </c>
      <c r="C1116" s="22" t="str">
        <f>1/'EQUITY BACKTEST'!E1119</f>
        <v>#DIV/0!</v>
      </c>
      <c r="D1116" s="22" t="str">
        <f t="shared" si="1"/>
        <v>#DIV/0!</v>
      </c>
      <c r="E1116" s="22" t="str">
        <f t="shared" ref="E1116:F1116" si="1116">IF(A1116&lt;&gt;"", (B1116 - B1115) / B1115, "")</f>
        <v/>
      </c>
      <c r="F1116" s="22" t="str">
        <f t="shared" si="1116"/>
        <v/>
      </c>
      <c r="H1116" s="22" t="str">
        <f t="shared" si="4"/>
        <v/>
      </c>
    </row>
    <row r="1117" ht="15.75" customHeight="1">
      <c r="A1117" s="31" t="str">
        <f>'EQUITY BACKTEST'!A1120</f>
        <v/>
      </c>
      <c r="B1117" s="22" t="str">
        <f>'EQUITY BACKTEST'!B1120</f>
        <v/>
      </c>
      <c r="C1117" s="22" t="str">
        <f>1/'EQUITY BACKTEST'!E1120</f>
        <v>#DIV/0!</v>
      </c>
      <c r="D1117" s="22" t="str">
        <f t="shared" si="1"/>
        <v>#DIV/0!</v>
      </c>
      <c r="E1117" s="22" t="str">
        <f t="shared" ref="E1117:F1117" si="1117">IF(A1117&lt;&gt;"", (B1117 - B1116) / B1116, "")</f>
        <v/>
      </c>
      <c r="F1117" s="22" t="str">
        <f t="shared" si="1117"/>
        <v/>
      </c>
      <c r="H1117" s="22" t="str">
        <f t="shared" si="4"/>
        <v/>
      </c>
    </row>
    <row r="1118" ht="15.75" customHeight="1">
      <c r="A1118" s="31" t="str">
        <f>'EQUITY BACKTEST'!A1121</f>
        <v/>
      </c>
      <c r="B1118" s="22" t="str">
        <f>'EQUITY BACKTEST'!B1121</f>
        <v/>
      </c>
      <c r="C1118" s="22" t="str">
        <f>1/'EQUITY BACKTEST'!E1121</f>
        <v>#DIV/0!</v>
      </c>
      <c r="D1118" s="22" t="str">
        <f t="shared" si="1"/>
        <v>#DIV/0!</v>
      </c>
      <c r="E1118" s="22" t="str">
        <f t="shared" ref="E1118:F1118" si="1118">IF(A1118&lt;&gt;"", (B1118 - B1117) / B1117, "")</f>
        <v/>
      </c>
      <c r="F1118" s="22" t="str">
        <f t="shared" si="1118"/>
        <v/>
      </c>
      <c r="H1118" s="22" t="str">
        <f t="shared" si="4"/>
        <v/>
      </c>
    </row>
    <row r="1119" ht="15.75" customHeight="1">
      <c r="A1119" s="31" t="str">
        <f>'EQUITY BACKTEST'!A1122</f>
        <v/>
      </c>
      <c r="B1119" s="22" t="str">
        <f>'EQUITY BACKTEST'!B1122</f>
        <v/>
      </c>
      <c r="C1119" s="22" t="str">
        <f>1/'EQUITY BACKTEST'!E1122</f>
        <v>#DIV/0!</v>
      </c>
      <c r="D1119" s="22" t="str">
        <f t="shared" si="1"/>
        <v>#DIV/0!</v>
      </c>
      <c r="E1119" s="22" t="str">
        <f t="shared" ref="E1119:F1119" si="1119">IF(A1119&lt;&gt;"", (B1119 - B1118) / B1118, "")</f>
        <v/>
      </c>
      <c r="F1119" s="22" t="str">
        <f t="shared" si="1119"/>
        <v/>
      </c>
      <c r="H1119" s="22" t="str">
        <f t="shared" si="4"/>
        <v/>
      </c>
    </row>
    <row r="1120" ht="15.75" customHeight="1">
      <c r="A1120" s="31" t="str">
        <f>'EQUITY BACKTEST'!A1123</f>
        <v/>
      </c>
      <c r="B1120" s="22" t="str">
        <f>'EQUITY BACKTEST'!B1123</f>
        <v/>
      </c>
      <c r="C1120" s="22" t="str">
        <f>1/'EQUITY BACKTEST'!E1123</f>
        <v>#DIV/0!</v>
      </c>
      <c r="D1120" s="22" t="str">
        <f t="shared" si="1"/>
        <v>#DIV/0!</v>
      </c>
      <c r="E1120" s="22" t="str">
        <f t="shared" ref="E1120:F1120" si="1120">IF(A1120&lt;&gt;"", (B1120 - B1119) / B1119, "")</f>
        <v/>
      </c>
      <c r="F1120" s="22" t="str">
        <f t="shared" si="1120"/>
        <v/>
      </c>
      <c r="H1120" s="22" t="str">
        <f t="shared" si="4"/>
        <v/>
      </c>
    </row>
    <row r="1121" ht="15.75" customHeight="1">
      <c r="A1121" s="31" t="str">
        <f>'EQUITY BACKTEST'!A1124</f>
        <v/>
      </c>
      <c r="B1121" s="22" t="str">
        <f>'EQUITY BACKTEST'!B1124</f>
        <v/>
      </c>
      <c r="C1121" s="22" t="str">
        <f>1/'EQUITY BACKTEST'!E1124</f>
        <v>#DIV/0!</v>
      </c>
      <c r="D1121" s="22" t="str">
        <f t="shared" si="1"/>
        <v>#DIV/0!</v>
      </c>
      <c r="E1121" s="22" t="str">
        <f t="shared" ref="E1121:F1121" si="1121">IF(A1121&lt;&gt;"", (B1121 - B1120) / B1120, "")</f>
        <v/>
      </c>
      <c r="F1121" s="22" t="str">
        <f t="shared" si="1121"/>
        <v/>
      </c>
      <c r="H1121" s="22" t="str">
        <f t="shared" si="4"/>
        <v/>
      </c>
    </row>
    <row r="1122" ht="15.75" customHeight="1">
      <c r="A1122" s="31" t="str">
        <f>'EQUITY BACKTEST'!A1125</f>
        <v/>
      </c>
      <c r="B1122" s="22" t="str">
        <f>'EQUITY BACKTEST'!B1125</f>
        <v/>
      </c>
      <c r="C1122" s="22" t="str">
        <f>1/'EQUITY BACKTEST'!E1125</f>
        <v>#DIV/0!</v>
      </c>
      <c r="D1122" s="22" t="str">
        <f t="shared" si="1"/>
        <v>#DIV/0!</v>
      </c>
      <c r="E1122" s="22" t="str">
        <f t="shared" ref="E1122:F1122" si="1122">IF(A1122&lt;&gt;"", (B1122 - B1121) / B1121, "")</f>
        <v/>
      </c>
      <c r="F1122" s="22" t="str">
        <f t="shared" si="1122"/>
        <v/>
      </c>
      <c r="H1122" s="22" t="str">
        <f t="shared" si="4"/>
        <v/>
      </c>
    </row>
    <row r="1123" ht="15.75" customHeight="1">
      <c r="A1123" s="31" t="str">
        <f>'EQUITY BACKTEST'!A1126</f>
        <v/>
      </c>
      <c r="B1123" s="22" t="str">
        <f>'EQUITY BACKTEST'!B1126</f>
        <v/>
      </c>
      <c r="C1123" s="22" t="str">
        <f>1/'EQUITY BACKTEST'!E1126</f>
        <v>#DIV/0!</v>
      </c>
      <c r="D1123" s="22" t="str">
        <f t="shared" si="1"/>
        <v>#DIV/0!</v>
      </c>
      <c r="E1123" s="22" t="str">
        <f t="shared" ref="E1123:F1123" si="1123">IF(A1123&lt;&gt;"", (B1123 - B1122) / B1122, "")</f>
        <v/>
      </c>
      <c r="F1123" s="22" t="str">
        <f t="shared" si="1123"/>
        <v/>
      </c>
      <c r="H1123" s="22" t="str">
        <f t="shared" si="4"/>
        <v/>
      </c>
    </row>
    <row r="1124" ht="15.75" customHeight="1">
      <c r="A1124" s="31" t="str">
        <f>'EQUITY BACKTEST'!A1127</f>
        <v/>
      </c>
      <c r="B1124" s="22" t="str">
        <f>'EQUITY BACKTEST'!B1127</f>
        <v/>
      </c>
      <c r="C1124" s="22" t="str">
        <f>1/'EQUITY BACKTEST'!E1127</f>
        <v>#DIV/0!</v>
      </c>
      <c r="D1124" s="22" t="str">
        <f t="shared" si="1"/>
        <v>#DIV/0!</v>
      </c>
      <c r="E1124" s="22" t="str">
        <f t="shared" ref="E1124:F1124" si="1124">IF(A1124&lt;&gt;"", (B1124 - B1123) / B1123, "")</f>
        <v/>
      </c>
      <c r="F1124" s="22" t="str">
        <f t="shared" si="1124"/>
        <v/>
      </c>
      <c r="H1124" s="22" t="str">
        <f t="shared" si="4"/>
        <v/>
      </c>
    </row>
    <row r="1125" ht="15.75" customHeight="1">
      <c r="A1125" s="31" t="str">
        <f>'EQUITY BACKTEST'!A1128</f>
        <v/>
      </c>
      <c r="B1125" s="22" t="str">
        <f>'EQUITY BACKTEST'!B1128</f>
        <v/>
      </c>
      <c r="C1125" s="22" t="str">
        <f>1/'EQUITY BACKTEST'!E1128</f>
        <v>#DIV/0!</v>
      </c>
      <c r="D1125" s="22" t="str">
        <f t="shared" si="1"/>
        <v>#DIV/0!</v>
      </c>
      <c r="E1125" s="22" t="str">
        <f t="shared" ref="E1125:F1125" si="1125">IF(A1125&lt;&gt;"", (B1125 - B1124) / B1124, "")</f>
        <v/>
      </c>
      <c r="F1125" s="22" t="str">
        <f t="shared" si="1125"/>
        <v/>
      </c>
      <c r="H1125" s="22" t="str">
        <f t="shared" si="4"/>
        <v/>
      </c>
    </row>
    <row r="1126" ht="15.75" customHeight="1">
      <c r="A1126" s="31" t="str">
        <f>'EQUITY BACKTEST'!A1129</f>
        <v/>
      </c>
      <c r="B1126" s="22" t="str">
        <f>'EQUITY BACKTEST'!B1129</f>
        <v/>
      </c>
      <c r="C1126" s="22" t="str">
        <f>1/'EQUITY BACKTEST'!E1129</f>
        <v>#DIV/0!</v>
      </c>
      <c r="D1126" s="22" t="str">
        <f t="shared" si="1"/>
        <v>#DIV/0!</v>
      </c>
      <c r="E1126" s="22" t="str">
        <f t="shared" ref="E1126:F1126" si="1126">IF(A1126&lt;&gt;"", (B1126 - B1125) / B1125, "")</f>
        <v/>
      </c>
      <c r="F1126" s="22" t="str">
        <f t="shared" si="1126"/>
        <v/>
      </c>
      <c r="H1126" s="22" t="str">
        <f t="shared" si="4"/>
        <v/>
      </c>
    </row>
    <row r="1127" ht="15.75" customHeight="1">
      <c r="A1127" s="31" t="str">
        <f>'EQUITY BACKTEST'!A1130</f>
        <v/>
      </c>
      <c r="B1127" s="22" t="str">
        <f>'EQUITY BACKTEST'!B1130</f>
        <v/>
      </c>
      <c r="C1127" s="22" t="str">
        <f>1/'EQUITY BACKTEST'!E1130</f>
        <v>#DIV/0!</v>
      </c>
      <c r="D1127" s="22" t="str">
        <f t="shared" si="1"/>
        <v>#DIV/0!</v>
      </c>
      <c r="E1127" s="22" t="str">
        <f t="shared" ref="E1127:F1127" si="1127">IF(A1127&lt;&gt;"", (B1127 - B1126) / B1126, "")</f>
        <v/>
      </c>
      <c r="F1127" s="22" t="str">
        <f t="shared" si="1127"/>
        <v/>
      </c>
      <c r="H1127" s="22" t="str">
        <f t="shared" si="4"/>
        <v/>
      </c>
    </row>
    <row r="1128" ht="15.75" customHeight="1">
      <c r="A1128" s="31" t="str">
        <f>'EQUITY BACKTEST'!A1131</f>
        <v/>
      </c>
      <c r="B1128" s="22" t="str">
        <f>'EQUITY BACKTEST'!B1131</f>
        <v/>
      </c>
      <c r="C1128" s="22" t="str">
        <f>1/'EQUITY BACKTEST'!E1131</f>
        <v>#DIV/0!</v>
      </c>
      <c r="D1128" s="22" t="str">
        <f t="shared" si="1"/>
        <v>#DIV/0!</v>
      </c>
      <c r="E1128" s="22" t="str">
        <f t="shared" ref="E1128:F1128" si="1128">IF(A1128&lt;&gt;"", (B1128 - B1127) / B1127, "")</f>
        <v/>
      </c>
      <c r="F1128" s="22" t="str">
        <f t="shared" si="1128"/>
        <v/>
      </c>
      <c r="H1128" s="22" t="str">
        <f t="shared" si="4"/>
        <v/>
      </c>
    </row>
    <row r="1129" ht="15.75" customHeight="1">
      <c r="A1129" s="31" t="str">
        <f>'EQUITY BACKTEST'!A1132</f>
        <v/>
      </c>
      <c r="B1129" s="22" t="str">
        <f>'EQUITY BACKTEST'!B1132</f>
        <v/>
      </c>
      <c r="C1129" s="22" t="str">
        <f>1/'EQUITY BACKTEST'!E1132</f>
        <v>#DIV/0!</v>
      </c>
      <c r="D1129" s="22" t="str">
        <f t="shared" si="1"/>
        <v>#DIV/0!</v>
      </c>
      <c r="E1129" s="22" t="str">
        <f t="shared" ref="E1129:F1129" si="1129">IF(A1129&lt;&gt;"", (B1129 - B1128) / B1128, "")</f>
        <v/>
      </c>
      <c r="F1129" s="22" t="str">
        <f t="shared" si="1129"/>
        <v/>
      </c>
      <c r="H1129" s="22" t="str">
        <f t="shared" si="4"/>
        <v/>
      </c>
    </row>
    <row r="1130" ht="15.75" customHeight="1">
      <c r="A1130" s="31" t="str">
        <f>'EQUITY BACKTEST'!A1133</f>
        <v/>
      </c>
      <c r="B1130" s="22" t="str">
        <f>'EQUITY BACKTEST'!B1133</f>
        <v/>
      </c>
      <c r="C1130" s="22" t="str">
        <f>1/'EQUITY BACKTEST'!E1133</f>
        <v>#DIV/0!</v>
      </c>
      <c r="D1130" s="22" t="str">
        <f t="shared" si="1"/>
        <v>#DIV/0!</v>
      </c>
      <c r="E1130" s="22" t="str">
        <f t="shared" ref="E1130:F1130" si="1130">IF(A1130&lt;&gt;"", (B1130 - B1129) / B1129, "")</f>
        <v/>
      </c>
      <c r="F1130" s="22" t="str">
        <f t="shared" si="1130"/>
        <v/>
      </c>
      <c r="H1130" s="22" t="str">
        <f t="shared" si="4"/>
        <v/>
      </c>
    </row>
    <row r="1131" ht="15.75" customHeight="1">
      <c r="A1131" s="31" t="str">
        <f>'EQUITY BACKTEST'!A1134</f>
        <v/>
      </c>
      <c r="B1131" s="22" t="str">
        <f>'EQUITY BACKTEST'!B1134</f>
        <v/>
      </c>
      <c r="C1131" s="22" t="str">
        <f>1/'EQUITY BACKTEST'!E1134</f>
        <v>#DIV/0!</v>
      </c>
      <c r="D1131" s="22" t="str">
        <f t="shared" si="1"/>
        <v>#DIV/0!</v>
      </c>
      <c r="E1131" s="22" t="str">
        <f t="shared" ref="E1131:F1131" si="1131">IF(A1131&lt;&gt;"", (B1131 - B1130) / B1130, "")</f>
        <v/>
      </c>
      <c r="F1131" s="22" t="str">
        <f t="shared" si="1131"/>
        <v/>
      </c>
      <c r="H1131" s="22" t="str">
        <f t="shared" si="4"/>
        <v/>
      </c>
    </row>
    <row r="1132" ht="15.75" customHeight="1">
      <c r="A1132" s="31" t="str">
        <f>'EQUITY BACKTEST'!A1135</f>
        <v/>
      </c>
      <c r="B1132" s="22" t="str">
        <f>'EQUITY BACKTEST'!B1135</f>
        <v/>
      </c>
      <c r="C1132" s="22" t="str">
        <f>1/'EQUITY BACKTEST'!E1135</f>
        <v>#DIV/0!</v>
      </c>
      <c r="D1132" s="22" t="str">
        <f t="shared" si="1"/>
        <v>#DIV/0!</v>
      </c>
      <c r="E1132" s="22" t="str">
        <f t="shared" ref="E1132:F1132" si="1132">IF(A1132&lt;&gt;"", (B1132 - B1131) / B1131, "")</f>
        <v/>
      </c>
      <c r="F1132" s="22" t="str">
        <f t="shared" si="1132"/>
        <v/>
      </c>
      <c r="H1132" s="22" t="str">
        <f t="shared" si="4"/>
        <v/>
      </c>
    </row>
    <row r="1133" ht="15.75" customHeight="1">
      <c r="A1133" s="31" t="str">
        <f>'EQUITY BACKTEST'!A1136</f>
        <v/>
      </c>
      <c r="B1133" s="22" t="str">
        <f>'EQUITY BACKTEST'!B1136</f>
        <v/>
      </c>
      <c r="C1133" s="22" t="str">
        <f>1/'EQUITY BACKTEST'!E1136</f>
        <v>#DIV/0!</v>
      </c>
      <c r="D1133" s="22" t="str">
        <f t="shared" si="1"/>
        <v>#DIV/0!</v>
      </c>
      <c r="E1133" s="22" t="str">
        <f t="shared" ref="E1133:F1133" si="1133">IF(A1133&lt;&gt;"", (B1133 - B1132) / B1132, "")</f>
        <v/>
      </c>
      <c r="F1133" s="22" t="str">
        <f t="shared" si="1133"/>
        <v/>
      </c>
      <c r="H1133" s="22" t="str">
        <f t="shared" si="4"/>
        <v/>
      </c>
    </row>
    <row r="1134" ht="15.75" customHeight="1">
      <c r="A1134" s="31" t="str">
        <f>'EQUITY BACKTEST'!A1137</f>
        <v/>
      </c>
      <c r="B1134" s="22" t="str">
        <f>'EQUITY BACKTEST'!B1137</f>
        <v/>
      </c>
      <c r="C1134" s="22" t="str">
        <f>1/'EQUITY BACKTEST'!E1137</f>
        <v>#DIV/0!</v>
      </c>
      <c r="D1134" s="22" t="str">
        <f t="shared" si="1"/>
        <v>#DIV/0!</v>
      </c>
      <c r="E1134" s="22" t="str">
        <f t="shared" ref="E1134:F1134" si="1134">IF(A1134&lt;&gt;"", (B1134 - B1133) / B1133, "")</f>
        <v/>
      </c>
      <c r="F1134" s="22" t="str">
        <f t="shared" si="1134"/>
        <v/>
      </c>
      <c r="H1134" s="22" t="str">
        <f t="shared" si="4"/>
        <v/>
      </c>
    </row>
    <row r="1135" ht="15.75" customHeight="1">
      <c r="A1135" s="31" t="str">
        <f>'EQUITY BACKTEST'!A1138</f>
        <v/>
      </c>
      <c r="B1135" s="22" t="str">
        <f>'EQUITY BACKTEST'!B1138</f>
        <v/>
      </c>
      <c r="C1135" s="22" t="str">
        <f>1/'EQUITY BACKTEST'!E1138</f>
        <v>#DIV/0!</v>
      </c>
      <c r="D1135" s="22" t="str">
        <f t="shared" si="1"/>
        <v>#DIV/0!</v>
      </c>
      <c r="E1135" s="22" t="str">
        <f t="shared" ref="E1135:F1135" si="1135">IF(A1135&lt;&gt;"", (B1135 - B1134) / B1134, "")</f>
        <v/>
      </c>
      <c r="F1135" s="22" t="str">
        <f t="shared" si="1135"/>
        <v/>
      </c>
      <c r="H1135" s="22" t="str">
        <f t="shared" si="4"/>
        <v/>
      </c>
    </row>
    <row r="1136" ht="15.75" customHeight="1">
      <c r="A1136" s="31" t="str">
        <f>'EQUITY BACKTEST'!A1139</f>
        <v/>
      </c>
      <c r="B1136" s="22" t="str">
        <f>'EQUITY BACKTEST'!B1139</f>
        <v/>
      </c>
      <c r="C1136" s="22" t="str">
        <f>1/'EQUITY BACKTEST'!E1139</f>
        <v>#DIV/0!</v>
      </c>
      <c r="D1136" s="22" t="str">
        <f t="shared" si="1"/>
        <v>#DIV/0!</v>
      </c>
      <c r="E1136" s="22" t="str">
        <f t="shared" ref="E1136:F1136" si="1136">IF(A1136&lt;&gt;"", (B1136 - B1135) / B1135, "")</f>
        <v/>
      </c>
      <c r="F1136" s="22" t="str">
        <f t="shared" si="1136"/>
        <v/>
      </c>
      <c r="H1136" s="22" t="str">
        <f t="shared" si="4"/>
        <v/>
      </c>
    </row>
    <row r="1137" ht="15.75" customHeight="1">
      <c r="A1137" s="31" t="str">
        <f>'EQUITY BACKTEST'!A1140</f>
        <v/>
      </c>
      <c r="B1137" s="22" t="str">
        <f>'EQUITY BACKTEST'!B1140</f>
        <v/>
      </c>
      <c r="C1137" s="22" t="str">
        <f>1/'EQUITY BACKTEST'!E1140</f>
        <v>#DIV/0!</v>
      </c>
      <c r="D1137" s="22" t="str">
        <f t="shared" si="1"/>
        <v>#DIV/0!</v>
      </c>
      <c r="E1137" s="22" t="str">
        <f t="shared" ref="E1137:F1137" si="1137">IF(A1137&lt;&gt;"", (B1137 - B1136) / B1136, "")</f>
        <v/>
      </c>
      <c r="F1137" s="22" t="str">
        <f t="shared" si="1137"/>
        <v/>
      </c>
      <c r="H1137" s="22" t="str">
        <f t="shared" si="4"/>
        <v/>
      </c>
    </row>
    <row r="1138" ht="15.75" customHeight="1">
      <c r="A1138" s="31" t="str">
        <f>'EQUITY BACKTEST'!A1141</f>
        <v/>
      </c>
      <c r="B1138" s="22" t="str">
        <f>'EQUITY BACKTEST'!B1141</f>
        <v/>
      </c>
      <c r="C1138" s="22" t="str">
        <f>1/'EQUITY BACKTEST'!E1141</f>
        <v>#DIV/0!</v>
      </c>
      <c r="D1138" s="22" t="str">
        <f t="shared" si="1"/>
        <v>#DIV/0!</v>
      </c>
      <c r="E1138" s="22" t="str">
        <f t="shared" ref="E1138:F1138" si="1138">IF(A1138&lt;&gt;"", (B1138 - B1137) / B1137, "")</f>
        <v/>
      </c>
      <c r="F1138" s="22" t="str">
        <f t="shared" si="1138"/>
        <v/>
      </c>
      <c r="H1138" s="22" t="str">
        <f t="shared" si="4"/>
        <v/>
      </c>
    </row>
    <row r="1139" ht="15.75" customHeight="1">
      <c r="A1139" s="31" t="str">
        <f>'EQUITY BACKTEST'!A1142</f>
        <v/>
      </c>
      <c r="B1139" s="22" t="str">
        <f>'EQUITY BACKTEST'!B1142</f>
        <v/>
      </c>
      <c r="C1139" s="22" t="str">
        <f>1/'EQUITY BACKTEST'!E1142</f>
        <v>#DIV/0!</v>
      </c>
      <c r="D1139" s="22" t="str">
        <f t="shared" si="1"/>
        <v>#DIV/0!</v>
      </c>
      <c r="E1139" s="22" t="str">
        <f t="shared" ref="E1139:F1139" si="1139">IF(A1139&lt;&gt;"", (B1139 - B1138) / B1138, "")</f>
        <v/>
      </c>
      <c r="F1139" s="22" t="str">
        <f t="shared" si="1139"/>
        <v/>
      </c>
      <c r="H1139" s="22" t="str">
        <f t="shared" si="4"/>
        <v/>
      </c>
    </row>
    <row r="1140" ht="15.75" customHeight="1">
      <c r="A1140" s="31" t="str">
        <f>'EQUITY BACKTEST'!A1143</f>
        <v/>
      </c>
      <c r="B1140" s="22" t="str">
        <f>'EQUITY BACKTEST'!B1143</f>
        <v/>
      </c>
      <c r="C1140" s="22" t="str">
        <f>1/'EQUITY BACKTEST'!E1143</f>
        <v>#DIV/0!</v>
      </c>
      <c r="D1140" s="22" t="str">
        <f t="shared" si="1"/>
        <v>#DIV/0!</v>
      </c>
      <c r="E1140" s="22" t="str">
        <f t="shared" ref="E1140:F1140" si="1140">IF(A1140&lt;&gt;"", (B1140 - B1139) / B1139, "")</f>
        <v/>
      </c>
      <c r="F1140" s="22" t="str">
        <f t="shared" si="1140"/>
        <v/>
      </c>
      <c r="H1140" s="22" t="str">
        <f t="shared" si="4"/>
        <v/>
      </c>
    </row>
    <row r="1141" ht="15.75" customHeight="1">
      <c r="A1141" s="31" t="str">
        <f>'EQUITY BACKTEST'!A1144</f>
        <v/>
      </c>
      <c r="B1141" s="22" t="str">
        <f>'EQUITY BACKTEST'!B1144</f>
        <v/>
      </c>
      <c r="C1141" s="22" t="str">
        <f>1/'EQUITY BACKTEST'!E1144</f>
        <v>#DIV/0!</v>
      </c>
      <c r="D1141" s="22" t="str">
        <f t="shared" si="1"/>
        <v>#DIV/0!</v>
      </c>
      <c r="E1141" s="22" t="str">
        <f t="shared" ref="E1141:F1141" si="1141">IF(A1141&lt;&gt;"", (B1141 - B1140) / B1140, "")</f>
        <v/>
      </c>
      <c r="F1141" s="22" t="str">
        <f t="shared" si="1141"/>
        <v/>
      </c>
      <c r="H1141" s="22" t="str">
        <f t="shared" si="4"/>
        <v/>
      </c>
    </row>
    <row r="1142" ht="15.75" customHeight="1">
      <c r="A1142" s="31" t="str">
        <f>'EQUITY BACKTEST'!A1145</f>
        <v/>
      </c>
      <c r="B1142" s="22" t="str">
        <f>'EQUITY BACKTEST'!B1145</f>
        <v/>
      </c>
      <c r="C1142" s="22" t="str">
        <f>1/'EQUITY BACKTEST'!E1145</f>
        <v>#DIV/0!</v>
      </c>
      <c r="D1142" s="22" t="str">
        <f t="shared" si="1"/>
        <v>#DIV/0!</v>
      </c>
      <c r="E1142" s="22" t="str">
        <f t="shared" ref="E1142:F1142" si="1142">IF(A1142&lt;&gt;"", (B1142 - B1141) / B1141, "")</f>
        <v/>
      </c>
      <c r="F1142" s="22" t="str">
        <f t="shared" si="1142"/>
        <v/>
      </c>
      <c r="H1142" s="22" t="str">
        <f t="shared" si="4"/>
        <v/>
      </c>
    </row>
    <row r="1143" ht="15.75" customHeight="1">
      <c r="A1143" s="31" t="str">
        <f>'EQUITY BACKTEST'!A1146</f>
        <v/>
      </c>
      <c r="B1143" s="22" t="str">
        <f>'EQUITY BACKTEST'!B1146</f>
        <v/>
      </c>
      <c r="C1143" s="22" t="str">
        <f>1/'EQUITY BACKTEST'!E1146</f>
        <v>#DIV/0!</v>
      </c>
      <c r="D1143" s="22" t="str">
        <f t="shared" si="1"/>
        <v>#DIV/0!</v>
      </c>
      <c r="E1143" s="22" t="str">
        <f t="shared" ref="E1143:F1143" si="1143">IF(A1143&lt;&gt;"", (B1143 - B1142) / B1142, "")</f>
        <v/>
      </c>
      <c r="F1143" s="22" t="str">
        <f t="shared" si="1143"/>
        <v/>
      </c>
      <c r="H1143" s="22" t="str">
        <f t="shared" si="4"/>
        <v/>
      </c>
    </row>
    <row r="1144" ht="15.75" customHeight="1">
      <c r="A1144" s="31" t="str">
        <f>'EQUITY BACKTEST'!A1147</f>
        <v/>
      </c>
      <c r="B1144" s="22" t="str">
        <f>'EQUITY BACKTEST'!B1147</f>
        <v/>
      </c>
      <c r="C1144" s="22" t="str">
        <f>1/'EQUITY BACKTEST'!E1147</f>
        <v>#DIV/0!</v>
      </c>
      <c r="D1144" s="22" t="str">
        <f t="shared" si="1"/>
        <v>#DIV/0!</v>
      </c>
      <c r="E1144" s="22" t="str">
        <f t="shared" ref="E1144:F1144" si="1144">IF(A1144&lt;&gt;"", (B1144 - B1143) / B1143, "")</f>
        <v/>
      </c>
      <c r="F1144" s="22" t="str">
        <f t="shared" si="1144"/>
        <v/>
      </c>
      <c r="H1144" s="22" t="str">
        <f t="shared" si="4"/>
        <v/>
      </c>
    </row>
    <row r="1145" ht="15.75" customHeight="1">
      <c r="A1145" s="31" t="str">
        <f>'EQUITY BACKTEST'!A1148</f>
        <v/>
      </c>
      <c r="B1145" s="22" t="str">
        <f>'EQUITY BACKTEST'!B1148</f>
        <v/>
      </c>
      <c r="C1145" s="22" t="str">
        <f>1/'EQUITY BACKTEST'!E1148</f>
        <v>#DIV/0!</v>
      </c>
      <c r="D1145" s="22" t="str">
        <f t="shared" si="1"/>
        <v>#DIV/0!</v>
      </c>
      <c r="E1145" s="22" t="str">
        <f t="shared" ref="E1145:F1145" si="1145">IF(A1145&lt;&gt;"", (B1145 - B1144) / B1144, "")</f>
        <v/>
      </c>
      <c r="F1145" s="22" t="str">
        <f t="shared" si="1145"/>
        <v/>
      </c>
      <c r="H1145" s="22" t="str">
        <f t="shared" si="4"/>
        <v/>
      </c>
    </row>
    <row r="1146" ht="15.75" customHeight="1">
      <c r="A1146" s="31" t="str">
        <f>'EQUITY BACKTEST'!A1149</f>
        <v/>
      </c>
      <c r="B1146" s="22" t="str">
        <f>'EQUITY BACKTEST'!B1149</f>
        <v/>
      </c>
      <c r="C1146" s="22" t="str">
        <f>1/'EQUITY BACKTEST'!E1149</f>
        <v>#DIV/0!</v>
      </c>
      <c r="D1146" s="22" t="str">
        <f t="shared" si="1"/>
        <v>#DIV/0!</v>
      </c>
      <c r="E1146" s="22" t="str">
        <f t="shared" ref="E1146:F1146" si="1146">IF(A1146&lt;&gt;"", (B1146 - B1145) / B1145, "")</f>
        <v/>
      </c>
      <c r="F1146" s="22" t="str">
        <f t="shared" si="1146"/>
        <v/>
      </c>
      <c r="H1146" s="22" t="str">
        <f t="shared" si="4"/>
        <v/>
      </c>
    </row>
    <row r="1147" ht="15.75" customHeight="1">
      <c r="A1147" s="31" t="str">
        <f>'EQUITY BACKTEST'!A1150</f>
        <v/>
      </c>
      <c r="B1147" s="22" t="str">
        <f>'EQUITY BACKTEST'!B1150</f>
        <v/>
      </c>
      <c r="C1147" s="22" t="str">
        <f>1/'EQUITY BACKTEST'!E1150</f>
        <v>#DIV/0!</v>
      </c>
      <c r="D1147" s="22" t="str">
        <f t="shared" si="1"/>
        <v>#DIV/0!</v>
      </c>
      <c r="E1147" s="22" t="str">
        <f t="shared" ref="E1147:F1147" si="1147">IF(A1147&lt;&gt;"", (B1147 - B1146) / B1146, "")</f>
        <v/>
      </c>
      <c r="F1147" s="22" t="str">
        <f t="shared" si="1147"/>
        <v/>
      </c>
      <c r="H1147" s="22" t="str">
        <f t="shared" si="4"/>
        <v/>
      </c>
    </row>
    <row r="1148" ht="15.75" customHeight="1">
      <c r="A1148" s="31" t="str">
        <f>'EQUITY BACKTEST'!A1151</f>
        <v/>
      </c>
      <c r="B1148" s="22" t="str">
        <f>'EQUITY BACKTEST'!B1151</f>
        <v/>
      </c>
      <c r="C1148" s="22" t="str">
        <f>1/'EQUITY BACKTEST'!E1151</f>
        <v>#DIV/0!</v>
      </c>
      <c r="D1148" s="22" t="str">
        <f t="shared" si="1"/>
        <v>#DIV/0!</v>
      </c>
      <c r="E1148" s="22" t="str">
        <f t="shared" ref="E1148:F1148" si="1148">IF(A1148&lt;&gt;"", (B1148 - B1147) / B1147, "")</f>
        <v/>
      </c>
      <c r="F1148" s="22" t="str">
        <f t="shared" si="1148"/>
        <v/>
      </c>
      <c r="H1148" s="22" t="str">
        <f t="shared" si="4"/>
        <v/>
      </c>
    </row>
    <row r="1149" ht="15.75" customHeight="1">
      <c r="A1149" s="31" t="str">
        <f>'EQUITY BACKTEST'!A1152</f>
        <v/>
      </c>
      <c r="B1149" s="22" t="str">
        <f>'EQUITY BACKTEST'!B1152</f>
        <v/>
      </c>
      <c r="C1149" s="22" t="str">
        <f>1/'EQUITY BACKTEST'!E1152</f>
        <v>#DIV/0!</v>
      </c>
      <c r="D1149" s="22" t="str">
        <f t="shared" si="1"/>
        <v>#DIV/0!</v>
      </c>
      <c r="E1149" s="22" t="str">
        <f t="shared" ref="E1149:F1149" si="1149">IF(A1149&lt;&gt;"", (B1149 - B1148) / B1148, "")</f>
        <v/>
      </c>
      <c r="F1149" s="22" t="str">
        <f t="shared" si="1149"/>
        <v/>
      </c>
      <c r="H1149" s="22" t="str">
        <f t="shared" si="4"/>
        <v/>
      </c>
    </row>
    <row r="1150" ht="15.75" customHeight="1">
      <c r="A1150" s="31" t="str">
        <f>'EQUITY BACKTEST'!A1153</f>
        <v/>
      </c>
      <c r="B1150" s="22" t="str">
        <f>'EQUITY BACKTEST'!B1153</f>
        <v/>
      </c>
      <c r="C1150" s="22" t="str">
        <f>1/'EQUITY BACKTEST'!E1153</f>
        <v>#DIV/0!</v>
      </c>
      <c r="D1150" s="22" t="str">
        <f t="shared" si="1"/>
        <v>#DIV/0!</v>
      </c>
      <c r="E1150" s="22" t="str">
        <f t="shared" ref="E1150:F1150" si="1150">IF(A1150&lt;&gt;"", (B1150 - B1149) / B1149, "")</f>
        <v/>
      </c>
      <c r="F1150" s="22" t="str">
        <f t="shared" si="1150"/>
        <v/>
      </c>
      <c r="H1150" s="22" t="str">
        <f t="shared" si="4"/>
        <v/>
      </c>
    </row>
    <row r="1151" ht="15.75" customHeight="1">
      <c r="A1151" s="31" t="str">
        <f>'EQUITY BACKTEST'!A1154</f>
        <v/>
      </c>
      <c r="B1151" s="22" t="str">
        <f>'EQUITY BACKTEST'!B1154</f>
        <v/>
      </c>
      <c r="C1151" s="22" t="str">
        <f>1/'EQUITY BACKTEST'!E1154</f>
        <v>#DIV/0!</v>
      </c>
      <c r="D1151" s="22" t="str">
        <f t="shared" si="1"/>
        <v>#DIV/0!</v>
      </c>
      <c r="E1151" s="22" t="str">
        <f t="shared" ref="E1151:F1151" si="1151">IF(A1151&lt;&gt;"", (B1151 - B1150) / B1150, "")</f>
        <v/>
      </c>
      <c r="F1151" s="22" t="str">
        <f t="shared" si="1151"/>
        <v/>
      </c>
      <c r="H1151" s="22" t="str">
        <f t="shared" si="4"/>
        <v/>
      </c>
    </row>
    <row r="1152" ht="15.75" customHeight="1">
      <c r="A1152" s="31" t="str">
        <f>'EQUITY BACKTEST'!A1155</f>
        <v/>
      </c>
      <c r="B1152" s="22" t="str">
        <f>'EQUITY BACKTEST'!B1155</f>
        <v/>
      </c>
      <c r="C1152" s="22" t="str">
        <f>1/'EQUITY BACKTEST'!E1155</f>
        <v>#DIV/0!</v>
      </c>
      <c r="D1152" s="22" t="str">
        <f t="shared" si="1"/>
        <v>#DIV/0!</v>
      </c>
      <c r="E1152" s="22" t="str">
        <f t="shared" ref="E1152:F1152" si="1152">IF(A1152&lt;&gt;"", (B1152 - B1151) / B1151, "")</f>
        <v/>
      </c>
      <c r="F1152" s="22" t="str">
        <f t="shared" si="1152"/>
        <v/>
      </c>
      <c r="H1152" s="22" t="str">
        <f t="shared" si="4"/>
        <v/>
      </c>
    </row>
    <row r="1153" ht="15.75" customHeight="1">
      <c r="A1153" s="31" t="str">
        <f>'EQUITY BACKTEST'!A1156</f>
        <v/>
      </c>
      <c r="B1153" s="22" t="str">
        <f>'EQUITY BACKTEST'!B1156</f>
        <v/>
      </c>
      <c r="C1153" s="22" t="str">
        <f>1/'EQUITY BACKTEST'!E1156</f>
        <v>#DIV/0!</v>
      </c>
      <c r="D1153" s="22" t="str">
        <f t="shared" si="1"/>
        <v>#DIV/0!</v>
      </c>
      <c r="E1153" s="22" t="str">
        <f t="shared" ref="E1153:F1153" si="1153">IF(A1153&lt;&gt;"", (B1153 - B1152) / B1152, "")</f>
        <v/>
      </c>
      <c r="F1153" s="22" t="str">
        <f t="shared" si="1153"/>
        <v/>
      </c>
      <c r="H1153" s="22" t="str">
        <f t="shared" si="4"/>
        <v/>
      </c>
    </row>
    <row r="1154" ht="15.75" customHeight="1">
      <c r="A1154" s="31" t="str">
        <f>'EQUITY BACKTEST'!A1157</f>
        <v/>
      </c>
      <c r="B1154" s="22" t="str">
        <f>'EQUITY BACKTEST'!B1157</f>
        <v/>
      </c>
      <c r="C1154" s="22" t="str">
        <f>1/'EQUITY BACKTEST'!E1157</f>
        <v>#DIV/0!</v>
      </c>
      <c r="D1154" s="22" t="str">
        <f t="shared" si="1"/>
        <v>#DIV/0!</v>
      </c>
      <c r="E1154" s="22" t="str">
        <f t="shared" ref="E1154:F1154" si="1154">IF(A1154&lt;&gt;"", (B1154 - B1153) / B1153, "")</f>
        <v/>
      </c>
      <c r="F1154" s="22" t="str">
        <f t="shared" si="1154"/>
        <v/>
      </c>
      <c r="H1154" s="22" t="str">
        <f t="shared" si="4"/>
        <v/>
      </c>
    </row>
    <row r="1155" ht="15.75" customHeight="1">
      <c r="A1155" s="31" t="str">
        <f>'EQUITY BACKTEST'!A1158</f>
        <v/>
      </c>
      <c r="B1155" s="22" t="str">
        <f>'EQUITY BACKTEST'!B1158</f>
        <v/>
      </c>
      <c r="C1155" s="22" t="str">
        <f>1/'EQUITY BACKTEST'!E1158</f>
        <v>#DIV/0!</v>
      </c>
      <c r="D1155" s="22" t="str">
        <f t="shared" si="1"/>
        <v>#DIV/0!</v>
      </c>
      <c r="E1155" s="22" t="str">
        <f t="shared" ref="E1155:F1155" si="1155">IF(A1155&lt;&gt;"", (B1155 - B1154) / B1154, "")</f>
        <v/>
      </c>
      <c r="F1155" s="22" t="str">
        <f t="shared" si="1155"/>
        <v/>
      </c>
      <c r="H1155" s="22" t="str">
        <f t="shared" si="4"/>
        <v/>
      </c>
    </row>
    <row r="1156" ht="15.75" customHeight="1">
      <c r="A1156" s="31" t="str">
        <f>'EQUITY BACKTEST'!A1159</f>
        <v/>
      </c>
      <c r="B1156" s="22" t="str">
        <f>'EQUITY BACKTEST'!B1159</f>
        <v/>
      </c>
      <c r="C1156" s="22" t="str">
        <f>1/'EQUITY BACKTEST'!E1159</f>
        <v>#DIV/0!</v>
      </c>
      <c r="D1156" s="22" t="str">
        <f t="shared" si="1"/>
        <v>#DIV/0!</v>
      </c>
      <c r="E1156" s="22" t="str">
        <f t="shared" ref="E1156:F1156" si="1156">IF(A1156&lt;&gt;"", (B1156 - B1155) / B1155, "")</f>
        <v/>
      </c>
      <c r="F1156" s="22" t="str">
        <f t="shared" si="1156"/>
        <v/>
      </c>
      <c r="H1156" s="22" t="str">
        <f t="shared" si="4"/>
        <v/>
      </c>
    </row>
    <row r="1157" ht="15.75" customHeight="1">
      <c r="A1157" s="31" t="str">
        <f>'EQUITY BACKTEST'!A1160</f>
        <v/>
      </c>
      <c r="B1157" s="22" t="str">
        <f>'EQUITY BACKTEST'!B1160</f>
        <v/>
      </c>
      <c r="C1157" s="22" t="str">
        <f>1/'EQUITY BACKTEST'!E1160</f>
        <v>#DIV/0!</v>
      </c>
      <c r="D1157" s="22" t="str">
        <f t="shared" si="1"/>
        <v>#DIV/0!</v>
      </c>
      <c r="E1157" s="22" t="str">
        <f t="shared" ref="E1157:F1157" si="1157">IF(A1157&lt;&gt;"", (B1157 - B1156) / B1156, "")</f>
        <v/>
      </c>
      <c r="F1157" s="22" t="str">
        <f t="shared" si="1157"/>
        <v/>
      </c>
      <c r="H1157" s="22" t="str">
        <f t="shared" si="4"/>
        <v/>
      </c>
    </row>
    <row r="1158" ht="15.75" customHeight="1">
      <c r="A1158" s="31" t="str">
        <f>'EQUITY BACKTEST'!A1161</f>
        <v/>
      </c>
      <c r="B1158" s="22" t="str">
        <f>'EQUITY BACKTEST'!B1161</f>
        <v/>
      </c>
      <c r="C1158" s="22" t="str">
        <f>1/'EQUITY BACKTEST'!E1161</f>
        <v>#DIV/0!</v>
      </c>
      <c r="D1158" s="22" t="str">
        <f t="shared" si="1"/>
        <v>#DIV/0!</v>
      </c>
      <c r="E1158" s="22" t="str">
        <f t="shared" ref="E1158:F1158" si="1158">IF(A1158&lt;&gt;"", (B1158 - B1157) / B1157, "")</f>
        <v/>
      </c>
      <c r="F1158" s="22" t="str">
        <f t="shared" si="1158"/>
        <v/>
      </c>
      <c r="H1158" s="22" t="str">
        <f t="shared" si="4"/>
        <v/>
      </c>
    </row>
    <row r="1159" ht="15.75" customHeight="1">
      <c r="A1159" s="31" t="str">
        <f>'EQUITY BACKTEST'!A1162</f>
        <v/>
      </c>
      <c r="B1159" s="22" t="str">
        <f>'EQUITY BACKTEST'!B1162</f>
        <v/>
      </c>
      <c r="C1159" s="22" t="str">
        <f>1/'EQUITY BACKTEST'!E1162</f>
        <v>#DIV/0!</v>
      </c>
      <c r="D1159" s="22" t="str">
        <f t="shared" si="1"/>
        <v>#DIV/0!</v>
      </c>
      <c r="E1159" s="22" t="str">
        <f t="shared" ref="E1159:F1159" si="1159">IF(A1159&lt;&gt;"", (B1159 - B1158) / B1158, "")</f>
        <v/>
      </c>
      <c r="F1159" s="22" t="str">
        <f t="shared" si="1159"/>
        <v/>
      </c>
      <c r="H1159" s="22" t="str">
        <f t="shared" si="4"/>
        <v/>
      </c>
    </row>
    <row r="1160" ht="15.75" customHeight="1">
      <c r="A1160" s="31" t="str">
        <f>'EQUITY BACKTEST'!A1163</f>
        <v/>
      </c>
      <c r="B1160" s="22" t="str">
        <f>'EQUITY BACKTEST'!B1163</f>
        <v/>
      </c>
      <c r="C1160" s="22" t="str">
        <f>1/'EQUITY BACKTEST'!E1163</f>
        <v>#DIV/0!</v>
      </c>
      <c r="D1160" s="22" t="str">
        <f t="shared" si="1"/>
        <v>#DIV/0!</v>
      </c>
      <c r="E1160" s="22" t="str">
        <f t="shared" ref="E1160:F1160" si="1160">IF(A1160&lt;&gt;"", (B1160 - B1159) / B1159, "")</f>
        <v/>
      </c>
      <c r="F1160" s="22" t="str">
        <f t="shared" si="1160"/>
        <v/>
      </c>
      <c r="H1160" s="22" t="str">
        <f t="shared" si="4"/>
        <v/>
      </c>
    </row>
    <row r="1161" ht="15.75" customHeight="1">
      <c r="A1161" s="31" t="str">
        <f>'EQUITY BACKTEST'!A1164</f>
        <v/>
      </c>
      <c r="B1161" s="22" t="str">
        <f>'EQUITY BACKTEST'!B1164</f>
        <v/>
      </c>
      <c r="C1161" s="22" t="str">
        <f>1/'EQUITY BACKTEST'!E1164</f>
        <v>#DIV/0!</v>
      </c>
      <c r="D1161" s="22" t="str">
        <f t="shared" si="1"/>
        <v>#DIV/0!</v>
      </c>
      <c r="E1161" s="22" t="str">
        <f t="shared" ref="E1161:F1161" si="1161">IF(A1161&lt;&gt;"", (B1161 - B1160) / B1160, "")</f>
        <v/>
      </c>
      <c r="F1161" s="22" t="str">
        <f t="shared" si="1161"/>
        <v/>
      </c>
      <c r="H1161" s="22" t="str">
        <f t="shared" si="4"/>
        <v/>
      </c>
    </row>
    <row r="1162" ht="15.75" customHeight="1">
      <c r="A1162" s="31" t="str">
        <f>'EQUITY BACKTEST'!A1165</f>
        <v/>
      </c>
      <c r="B1162" s="22" t="str">
        <f>'EQUITY BACKTEST'!B1165</f>
        <v/>
      </c>
      <c r="C1162" s="22" t="str">
        <f>1/'EQUITY BACKTEST'!E1165</f>
        <v>#DIV/0!</v>
      </c>
      <c r="D1162" s="22" t="str">
        <f t="shared" si="1"/>
        <v>#DIV/0!</v>
      </c>
      <c r="E1162" s="22" t="str">
        <f t="shared" ref="E1162:F1162" si="1162">IF(A1162&lt;&gt;"", (B1162 - B1161) / B1161, "")</f>
        <v/>
      </c>
      <c r="F1162" s="22" t="str">
        <f t="shared" si="1162"/>
        <v/>
      </c>
      <c r="H1162" s="22" t="str">
        <f t="shared" si="4"/>
        <v/>
      </c>
    </row>
    <row r="1163" ht="15.75" customHeight="1">
      <c r="A1163" s="31" t="str">
        <f>'EQUITY BACKTEST'!A1166</f>
        <v/>
      </c>
      <c r="B1163" s="22" t="str">
        <f>'EQUITY BACKTEST'!B1166</f>
        <v/>
      </c>
      <c r="C1163" s="22" t="str">
        <f>1/'EQUITY BACKTEST'!E1166</f>
        <v>#DIV/0!</v>
      </c>
      <c r="D1163" s="22" t="str">
        <f t="shared" si="1"/>
        <v>#DIV/0!</v>
      </c>
      <c r="E1163" s="22" t="str">
        <f t="shared" ref="E1163:F1163" si="1163">IF(A1163&lt;&gt;"", (B1163 - B1162) / B1162, "")</f>
        <v/>
      </c>
      <c r="F1163" s="22" t="str">
        <f t="shared" si="1163"/>
        <v/>
      </c>
      <c r="H1163" s="22" t="str">
        <f t="shared" si="4"/>
        <v/>
      </c>
    </row>
    <row r="1164" ht="15.75" customHeight="1">
      <c r="A1164" s="31" t="str">
        <f>'EQUITY BACKTEST'!A1167</f>
        <v/>
      </c>
      <c r="B1164" s="22" t="str">
        <f>'EQUITY BACKTEST'!B1167</f>
        <v/>
      </c>
      <c r="C1164" s="22" t="str">
        <f>1/'EQUITY BACKTEST'!E1167</f>
        <v>#DIV/0!</v>
      </c>
      <c r="D1164" s="22" t="str">
        <f t="shared" si="1"/>
        <v>#DIV/0!</v>
      </c>
      <c r="E1164" s="22" t="str">
        <f t="shared" ref="E1164:F1164" si="1164">IF(A1164&lt;&gt;"", (B1164 - B1163) / B1163, "")</f>
        <v/>
      </c>
      <c r="F1164" s="22" t="str">
        <f t="shared" si="1164"/>
        <v/>
      </c>
      <c r="H1164" s="22" t="str">
        <f t="shared" si="4"/>
        <v/>
      </c>
    </row>
    <row r="1165" ht="15.75" customHeight="1">
      <c r="A1165" s="31" t="str">
        <f>'EQUITY BACKTEST'!A1168</f>
        <v/>
      </c>
      <c r="B1165" s="22" t="str">
        <f>'EQUITY BACKTEST'!B1168</f>
        <v/>
      </c>
      <c r="C1165" s="22" t="str">
        <f>1/'EQUITY BACKTEST'!E1168</f>
        <v>#DIV/0!</v>
      </c>
      <c r="D1165" s="22" t="str">
        <f t="shared" si="1"/>
        <v>#DIV/0!</v>
      </c>
      <c r="E1165" s="22" t="str">
        <f t="shared" ref="E1165:F1165" si="1165">IF(A1165&lt;&gt;"", (B1165 - B1164) / B1164, "")</f>
        <v/>
      </c>
      <c r="F1165" s="22" t="str">
        <f t="shared" si="1165"/>
        <v/>
      </c>
      <c r="H1165" s="22" t="str">
        <f t="shared" si="4"/>
        <v/>
      </c>
    </row>
    <row r="1166" ht="15.75" customHeight="1">
      <c r="A1166" s="31" t="str">
        <f>'EQUITY BACKTEST'!A1169</f>
        <v/>
      </c>
      <c r="B1166" s="22" t="str">
        <f>'EQUITY BACKTEST'!B1169</f>
        <v/>
      </c>
      <c r="C1166" s="22" t="str">
        <f>1/'EQUITY BACKTEST'!E1169</f>
        <v>#DIV/0!</v>
      </c>
      <c r="D1166" s="22" t="str">
        <f t="shared" si="1"/>
        <v>#DIV/0!</v>
      </c>
      <c r="E1166" s="22" t="str">
        <f t="shared" ref="E1166:F1166" si="1166">IF(A1166&lt;&gt;"", (B1166 - B1165) / B1165, "")</f>
        <v/>
      </c>
      <c r="F1166" s="22" t="str">
        <f t="shared" si="1166"/>
        <v/>
      </c>
      <c r="H1166" s="22" t="str">
        <f t="shared" si="4"/>
        <v/>
      </c>
    </row>
    <row r="1167" ht="15.75" customHeight="1">
      <c r="A1167" s="31" t="str">
        <f>'EQUITY BACKTEST'!A1170</f>
        <v/>
      </c>
      <c r="B1167" s="22" t="str">
        <f>'EQUITY BACKTEST'!B1170</f>
        <v/>
      </c>
      <c r="C1167" s="22" t="str">
        <f>1/'EQUITY BACKTEST'!E1170</f>
        <v>#DIV/0!</v>
      </c>
      <c r="D1167" s="22" t="str">
        <f t="shared" si="1"/>
        <v>#DIV/0!</v>
      </c>
      <c r="E1167" s="22" t="str">
        <f t="shared" ref="E1167:F1167" si="1167">IF(A1167&lt;&gt;"", (B1167 - B1166) / B1166, "")</f>
        <v/>
      </c>
      <c r="F1167" s="22" t="str">
        <f t="shared" si="1167"/>
        <v/>
      </c>
      <c r="H1167" s="22" t="str">
        <f t="shared" si="4"/>
        <v/>
      </c>
    </row>
    <row r="1168" ht="15.75" customHeight="1">
      <c r="A1168" s="31" t="str">
        <f>'EQUITY BACKTEST'!A1171</f>
        <v/>
      </c>
      <c r="B1168" s="22" t="str">
        <f>'EQUITY BACKTEST'!B1171</f>
        <v/>
      </c>
      <c r="C1168" s="22" t="str">
        <f>1/'EQUITY BACKTEST'!E1171</f>
        <v>#DIV/0!</v>
      </c>
      <c r="D1168" s="22" t="str">
        <f t="shared" si="1"/>
        <v>#DIV/0!</v>
      </c>
      <c r="E1168" s="22" t="str">
        <f t="shared" ref="E1168:F1168" si="1168">IF(A1168&lt;&gt;"", (B1168 - B1167) / B1167, "")</f>
        <v/>
      </c>
      <c r="F1168" s="22" t="str">
        <f t="shared" si="1168"/>
        <v/>
      </c>
      <c r="H1168" s="22" t="str">
        <f t="shared" si="4"/>
        <v/>
      </c>
    </row>
    <row r="1169" ht="15.75" customHeight="1">
      <c r="A1169" s="31" t="str">
        <f>'EQUITY BACKTEST'!A1172</f>
        <v/>
      </c>
      <c r="B1169" s="22" t="str">
        <f>'EQUITY BACKTEST'!B1172</f>
        <v/>
      </c>
      <c r="C1169" s="22" t="str">
        <f>1/'EQUITY BACKTEST'!E1172</f>
        <v>#DIV/0!</v>
      </c>
      <c r="D1169" s="22" t="str">
        <f t="shared" si="1"/>
        <v>#DIV/0!</v>
      </c>
      <c r="E1169" s="22" t="str">
        <f t="shared" ref="E1169:F1169" si="1169">IF(A1169&lt;&gt;"", (B1169 - B1168) / B1168, "")</f>
        <v/>
      </c>
      <c r="F1169" s="22" t="str">
        <f t="shared" si="1169"/>
        <v/>
      </c>
      <c r="H1169" s="22" t="str">
        <f t="shared" si="4"/>
        <v/>
      </c>
    </row>
    <row r="1170" ht="15.75" customHeight="1">
      <c r="A1170" s="31" t="str">
        <f>'EQUITY BACKTEST'!A1173</f>
        <v/>
      </c>
      <c r="B1170" s="22" t="str">
        <f>'EQUITY BACKTEST'!B1173</f>
        <v/>
      </c>
      <c r="C1170" s="22" t="str">
        <f>1/'EQUITY BACKTEST'!E1173</f>
        <v>#DIV/0!</v>
      </c>
      <c r="D1170" s="22" t="str">
        <f t="shared" si="1"/>
        <v>#DIV/0!</v>
      </c>
      <c r="E1170" s="22" t="str">
        <f t="shared" ref="E1170:F1170" si="1170">IF(A1170&lt;&gt;"", (B1170 - B1169) / B1169, "")</f>
        <v/>
      </c>
      <c r="F1170" s="22" t="str">
        <f t="shared" si="1170"/>
        <v/>
      </c>
      <c r="H1170" s="22" t="str">
        <f t="shared" si="4"/>
        <v/>
      </c>
    </row>
    <row r="1171" ht="15.75" customHeight="1">
      <c r="A1171" s="31" t="str">
        <f>'EQUITY BACKTEST'!A1174</f>
        <v/>
      </c>
      <c r="B1171" s="22" t="str">
        <f>'EQUITY BACKTEST'!B1174</f>
        <v/>
      </c>
      <c r="C1171" s="22" t="str">
        <f>1/'EQUITY BACKTEST'!E1174</f>
        <v>#DIV/0!</v>
      </c>
      <c r="D1171" s="22" t="str">
        <f t="shared" si="1"/>
        <v>#DIV/0!</v>
      </c>
      <c r="E1171" s="22" t="str">
        <f t="shared" ref="E1171:F1171" si="1171">IF(A1171&lt;&gt;"", (B1171 - B1170) / B1170, "")</f>
        <v/>
      </c>
      <c r="F1171" s="22" t="str">
        <f t="shared" si="1171"/>
        <v/>
      </c>
      <c r="H1171" s="22" t="str">
        <f t="shared" si="4"/>
        <v/>
      </c>
    </row>
    <row r="1172" ht="15.75" customHeight="1">
      <c r="A1172" s="31" t="str">
        <f>'EQUITY BACKTEST'!A1175</f>
        <v/>
      </c>
      <c r="B1172" s="22" t="str">
        <f>'EQUITY BACKTEST'!B1175</f>
        <v/>
      </c>
      <c r="C1172" s="22" t="str">
        <f>1/'EQUITY BACKTEST'!E1175</f>
        <v>#DIV/0!</v>
      </c>
      <c r="D1172" s="22" t="str">
        <f t="shared" si="1"/>
        <v>#DIV/0!</v>
      </c>
      <c r="E1172" s="22" t="str">
        <f t="shared" ref="E1172:F1172" si="1172">IF(A1172&lt;&gt;"", (B1172 - B1171) / B1171, "")</f>
        <v/>
      </c>
      <c r="F1172" s="22" t="str">
        <f t="shared" si="1172"/>
        <v/>
      </c>
      <c r="H1172" s="22" t="str">
        <f t="shared" si="4"/>
        <v/>
      </c>
    </row>
    <row r="1173" ht="15.75" customHeight="1">
      <c r="A1173" s="31" t="str">
        <f>'EQUITY BACKTEST'!A1176</f>
        <v/>
      </c>
      <c r="B1173" s="22" t="str">
        <f>'EQUITY BACKTEST'!B1176</f>
        <v/>
      </c>
      <c r="C1173" s="22" t="str">
        <f>1/'EQUITY BACKTEST'!E1176</f>
        <v>#DIV/0!</v>
      </c>
      <c r="D1173" s="22" t="str">
        <f t="shared" si="1"/>
        <v>#DIV/0!</v>
      </c>
      <c r="E1173" s="22" t="str">
        <f t="shared" ref="E1173:F1173" si="1173">IF(A1173&lt;&gt;"", (B1173 - B1172) / B1172, "")</f>
        <v/>
      </c>
      <c r="F1173" s="22" t="str">
        <f t="shared" si="1173"/>
        <v/>
      </c>
      <c r="H1173" s="22" t="str">
        <f t="shared" si="4"/>
        <v/>
      </c>
    </row>
    <row r="1174" ht="15.75" customHeight="1">
      <c r="A1174" s="31" t="str">
        <f>'EQUITY BACKTEST'!A1177</f>
        <v/>
      </c>
      <c r="B1174" s="22" t="str">
        <f>'EQUITY BACKTEST'!B1177</f>
        <v/>
      </c>
      <c r="C1174" s="22" t="str">
        <f>1/'EQUITY BACKTEST'!E1177</f>
        <v>#DIV/0!</v>
      </c>
      <c r="D1174" s="22" t="str">
        <f t="shared" si="1"/>
        <v>#DIV/0!</v>
      </c>
      <c r="E1174" s="22" t="str">
        <f t="shared" ref="E1174:F1174" si="1174">IF(A1174&lt;&gt;"", (B1174 - B1173) / B1173, "")</f>
        <v/>
      </c>
      <c r="F1174" s="22" t="str">
        <f t="shared" si="1174"/>
        <v/>
      </c>
      <c r="H1174" s="22" t="str">
        <f t="shared" si="4"/>
        <v/>
      </c>
    </row>
    <row r="1175" ht="15.75" customHeight="1">
      <c r="A1175" s="31" t="str">
        <f>'EQUITY BACKTEST'!A1178</f>
        <v/>
      </c>
      <c r="B1175" s="22" t="str">
        <f>'EQUITY BACKTEST'!B1178</f>
        <v/>
      </c>
      <c r="C1175" s="22" t="str">
        <f>1/'EQUITY BACKTEST'!E1178</f>
        <v>#DIV/0!</v>
      </c>
      <c r="D1175" s="22" t="str">
        <f t="shared" si="1"/>
        <v>#DIV/0!</v>
      </c>
      <c r="E1175" s="22" t="str">
        <f t="shared" ref="E1175:F1175" si="1175">IF(A1175&lt;&gt;"", (B1175 - B1174) / B1174, "")</f>
        <v/>
      </c>
      <c r="F1175" s="22" t="str">
        <f t="shared" si="1175"/>
        <v/>
      </c>
      <c r="H1175" s="22" t="str">
        <f t="shared" si="4"/>
        <v/>
      </c>
    </row>
    <row r="1176" ht="15.75" customHeight="1">
      <c r="A1176" s="31" t="str">
        <f>'EQUITY BACKTEST'!A1179</f>
        <v/>
      </c>
      <c r="B1176" s="22" t="str">
        <f>'EQUITY BACKTEST'!B1179</f>
        <v/>
      </c>
      <c r="C1176" s="22" t="str">
        <f>1/'EQUITY BACKTEST'!E1179</f>
        <v>#DIV/0!</v>
      </c>
      <c r="D1176" s="22" t="str">
        <f t="shared" si="1"/>
        <v>#DIV/0!</v>
      </c>
      <c r="E1176" s="22" t="str">
        <f t="shared" ref="E1176:F1176" si="1176">IF(A1176&lt;&gt;"", (B1176 - B1175) / B1175, "")</f>
        <v/>
      </c>
      <c r="F1176" s="22" t="str">
        <f t="shared" si="1176"/>
        <v/>
      </c>
      <c r="H1176" s="22" t="str">
        <f t="shared" si="4"/>
        <v/>
      </c>
    </row>
    <row r="1177" ht="15.75" customHeight="1">
      <c r="A1177" s="31" t="str">
        <f>'EQUITY BACKTEST'!A1180</f>
        <v/>
      </c>
      <c r="B1177" s="22" t="str">
        <f>'EQUITY BACKTEST'!B1180</f>
        <v/>
      </c>
      <c r="C1177" s="22" t="str">
        <f>1/'EQUITY BACKTEST'!E1180</f>
        <v>#DIV/0!</v>
      </c>
      <c r="D1177" s="22" t="str">
        <f t="shared" si="1"/>
        <v>#DIV/0!</v>
      </c>
      <c r="E1177" s="22" t="str">
        <f t="shared" ref="E1177:F1177" si="1177">IF(A1177&lt;&gt;"", (B1177 - B1176) / B1176, "")</f>
        <v/>
      </c>
      <c r="F1177" s="22" t="str">
        <f t="shared" si="1177"/>
        <v/>
      </c>
      <c r="H1177" s="22" t="str">
        <f t="shared" si="4"/>
        <v/>
      </c>
    </row>
    <row r="1178" ht="15.75" customHeight="1">
      <c r="A1178" s="31" t="str">
        <f>'EQUITY BACKTEST'!A1181</f>
        <v/>
      </c>
      <c r="B1178" s="22" t="str">
        <f>'EQUITY BACKTEST'!B1181</f>
        <v/>
      </c>
      <c r="C1178" s="22" t="str">
        <f>1/'EQUITY BACKTEST'!E1181</f>
        <v>#DIV/0!</v>
      </c>
      <c r="D1178" s="22" t="str">
        <f t="shared" si="1"/>
        <v>#DIV/0!</v>
      </c>
      <c r="E1178" s="22" t="str">
        <f t="shared" ref="E1178:F1178" si="1178">IF(A1178&lt;&gt;"", (B1178 - B1177) / B1177, "")</f>
        <v/>
      </c>
      <c r="F1178" s="22" t="str">
        <f t="shared" si="1178"/>
        <v/>
      </c>
      <c r="H1178" s="22" t="str">
        <f t="shared" si="4"/>
        <v/>
      </c>
    </row>
    <row r="1179" ht="15.75" customHeight="1">
      <c r="A1179" s="31" t="str">
        <f>'EQUITY BACKTEST'!A1182</f>
        <v/>
      </c>
      <c r="B1179" s="22" t="str">
        <f>'EQUITY BACKTEST'!B1182</f>
        <v/>
      </c>
      <c r="C1179" s="22" t="str">
        <f>1/'EQUITY BACKTEST'!E1182</f>
        <v>#DIV/0!</v>
      </c>
      <c r="D1179" s="22" t="str">
        <f t="shared" si="1"/>
        <v>#DIV/0!</v>
      </c>
      <c r="E1179" s="22" t="str">
        <f t="shared" ref="E1179:F1179" si="1179">IF(A1179&lt;&gt;"", (B1179 - B1178) / B1178, "")</f>
        <v/>
      </c>
      <c r="F1179" s="22" t="str">
        <f t="shared" si="1179"/>
        <v/>
      </c>
      <c r="H1179" s="22" t="str">
        <f t="shared" si="4"/>
        <v/>
      </c>
    </row>
    <row r="1180" ht="15.75" customHeight="1">
      <c r="A1180" s="31" t="str">
        <f>'EQUITY BACKTEST'!A1183</f>
        <v/>
      </c>
      <c r="B1180" s="22" t="str">
        <f>'EQUITY BACKTEST'!B1183</f>
        <v/>
      </c>
      <c r="C1180" s="22" t="str">
        <f>1/'EQUITY BACKTEST'!E1183</f>
        <v>#DIV/0!</v>
      </c>
      <c r="D1180" s="22" t="str">
        <f t="shared" si="1"/>
        <v>#DIV/0!</v>
      </c>
      <c r="E1180" s="22" t="str">
        <f t="shared" ref="E1180:F1180" si="1180">IF(A1180&lt;&gt;"", (B1180 - B1179) / B1179, "")</f>
        <v/>
      </c>
      <c r="F1180" s="22" t="str">
        <f t="shared" si="1180"/>
        <v/>
      </c>
      <c r="H1180" s="22" t="str">
        <f t="shared" si="4"/>
        <v/>
      </c>
    </row>
    <row r="1181" ht="15.75" customHeight="1">
      <c r="A1181" s="31" t="str">
        <f>'EQUITY BACKTEST'!A1184</f>
        <v/>
      </c>
      <c r="B1181" s="22" t="str">
        <f>'EQUITY BACKTEST'!B1184</f>
        <v/>
      </c>
      <c r="C1181" s="22" t="str">
        <f>1/'EQUITY BACKTEST'!E1184</f>
        <v>#DIV/0!</v>
      </c>
      <c r="D1181" s="22" t="str">
        <f t="shared" si="1"/>
        <v>#DIV/0!</v>
      </c>
      <c r="E1181" s="22" t="str">
        <f t="shared" ref="E1181:F1181" si="1181">IF(A1181&lt;&gt;"", (B1181 - B1180) / B1180, "")</f>
        <v/>
      </c>
      <c r="F1181" s="22" t="str">
        <f t="shared" si="1181"/>
        <v/>
      </c>
      <c r="H1181" s="22" t="str">
        <f t="shared" si="4"/>
        <v/>
      </c>
    </row>
    <row r="1182" ht="15.75" customHeight="1">
      <c r="A1182" s="31" t="str">
        <f>'EQUITY BACKTEST'!A1185</f>
        <v/>
      </c>
      <c r="B1182" s="22" t="str">
        <f>'EQUITY BACKTEST'!B1185</f>
        <v/>
      </c>
      <c r="C1182" s="22" t="str">
        <f>1/'EQUITY BACKTEST'!E1185</f>
        <v>#DIV/0!</v>
      </c>
      <c r="D1182" s="22" t="str">
        <f t="shared" si="1"/>
        <v>#DIV/0!</v>
      </c>
      <c r="E1182" s="22" t="str">
        <f t="shared" ref="E1182:F1182" si="1182">IF(A1182&lt;&gt;"", (B1182 - B1181) / B1181, "")</f>
        <v/>
      </c>
      <c r="F1182" s="22" t="str">
        <f t="shared" si="1182"/>
        <v/>
      </c>
      <c r="H1182" s="22" t="str">
        <f t="shared" si="4"/>
        <v/>
      </c>
    </row>
    <row r="1183" ht="15.75" customHeight="1">
      <c r="A1183" s="31" t="str">
        <f>'EQUITY BACKTEST'!A1186</f>
        <v/>
      </c>
      <c r="B1183" s="22" t="str">
        <f>'EQUITY BACKTEST'!B1186</f>
        <v/>
      </c>
      <c r="C1183" s="22" t="str">
        <f>1/'EQUITY BACKTEST'!E1186</f>
        <v>#DIV/0!</v>
      </c>
      <c r="D1183" s="22" t="str">
        <f t="shared" si="1"/>
        <v>#DIV/0!</v>
      </c>
      <c r="E1183" s="22" t="str">
        <f t="shared" ref="E1183:F1183" si="1183">IF(A1183&lt;&gt;"", (B1183 - B1182) / B1182, "")</f>
        <v/>
      </c>
      <c r="F1183" s="22" t="str">
        <f t="shared" si="1183"/>
        <v/>
      </c>
      <c r="H1183" s="22" t="str">
        <f t="shared" si="4"/>
        <v/>
      </c>
    </row>
    <row r="1184" ht="15.75" customHeight="1">
      <c r="A1184" s="31" t="str">
        <f>'EQUITY BACKTEST'!A1187</f>
        <v/>
      </c>
      <c r="B1184" s="22" t="str">
        <f>'EQUITY BACKTEST'!B1187</f>
        <v/>
      </c>
      <c r="C1184" s="22" t="str">
        <f>1/'EQUITY BACKTEST'!E1187</f>
        <v>#DIV/0!</v>
      </c>
      <c r="D1184" s="22" t="str">
        <f t="shared" si="1"/>
        <v>#DIV/0!</v>
      </c>
      <c r="E1184" s="22" t="str">
        <f t="shared" ref="E1184:F1184" si="1184">IF(A1184&lt;&gt;"", (B1184 - B1183) / B1183, "")</f>
        <v/>
      </c>
      <c r="F1184" s="22" t="str">
        <f t="shared" si="1184"/>
        <v/>
      </c>
      <c r="H1184" s="22" t="str">
        <f t="shared" si="4"/>
        <v/>
      </c>
    </row>
    <row r="1185" ht="15.75" customHeight="1">
      <c r="A1185" s="31" t="str">
        <f>'EQUITY BACKTEST'!A1188</f>
        <v/>
      </c>
      <c r="B1185" s="22" t="str">
        <f>'EQUITY BACKTEST'!B1188</f>
        <v/>
      </c>
      <c r="C1185" s="22" t="str">
        <f>1/'EQUITY BACKTEST'!E1188</f>
        <v>#DIV/0!</v>
      </c>
      <c r="D1185" s="22" t="str">
        <f t="shared" si="1"/>
        <v>#DIV/0!</v>
      </c>
      <c r="E1185" s="22" t="str">
        <f t="shared" ref="E1185:F1185" si="1185">IF(A1185&lt;&gt;"", (B1185 - B1184) / B1184, "")</f>
        <v/>
      </c>
      <c r="F1185" s="22" t="str">
        <f t="shared" si="1185"/>
        <v/>
      </c>
      <c r="H1185" s="22" t="str">
        <f t="shared" si="4"/>
        <v/>
      </c>
    </row>
    <row r="1186" ht="15.75" customHeight="1">
      <c r="A1186" s="31" t="str">
        <f>'EQUITY BACKTEST'!A1189</f>
        <v/>
      </c>
      <c r="B1186" s="22" t="str">
        <f>'EQUITY BACKTEST'!B1189</f>
        <v/>
      </c>
      <c r="C1186" s="22" t="str">
        <f>1/'EQUITY BACKTEST'!E1189</f>
        <v>#DIV/0!</v>
      </c>
      <c r="D1186" s="22" t="str">
        <f t="shared" si="1"/>
        <v>#DIV/0!</v>
      </c>
      <c r="E1186" s="22" t="str">
        <f t="shared" ref="E1186:F1186" si="1186">IF(A1186&lt;&gt;"", (B1186 - B1185) / B1185, "")</f>
        <v/>
      </c>
      <c r="F1186" s="22" t="str">
        <f t="shared" si="1186"/>
        <v/>
      </c>
      <c r="H1186" s="22" t="str">
        <f t="shared" si="4"/>
        <v/>
      </c>
    </row>
    <row r="1187" ht="15.75" customHeight="1">
      <c r="A1187" s="31" t="str">
        <f>'EQUITY BACKTEST'!A1190</f>
        <v/>
      </c>
      <c r="B1187" s="22" t="str">
        <f>'EQUITY BACKTEST'!B1190</f>
        <v/>
      </c>
      <c r="C1187" s="22" t="str">
        <f>1/'EQUITY BACKTEST'!E1190</f>
        <v>#DIV/0!</v>
      </c>
      <c r="D1187" s="22" t="str">
        <f t="shared" si="1"/>
        <v>#DIV/0!</v>
      </c>
      <c r="E1187" s="22" t="str">
        <f t="shared" ref="E1187:F1187" si="1187">IF(A1187&lt;&gt;"", (B1187 - B1186) / B1186, "")</f>
        <v/>
      </c>
      <c r="F1187" s="22" t="str">
        <f t="shared" si="1187"/>
        <v/>
      </c>
      <c r="H1187" s="22" t="str">
        <f t="shared" si="4"/>
        <v/>
      </c>
    </row>
    <row r="1188" ht="15.75" customHeight="1">
      <c r="A1188" s="31" t="str">
        <f>'EQUITY BACKTEST'!A1191</f>
        <v/>
      </c>
      <c r="B1188" s="22" t="str">
        <f>'EQUITY BACKTEST'!B1191</f>
        <v/>
      </c>
      <c r="C1188" s="22" t="str">
        <f>1/'EQUITY BACKTEST'!E1191</f>
        <v>#DIV/0!</v>
      </c>
      <c r="D1188" s="22" t="str">
        <f t="shared" si="1"/>
        <v>#DIV/0!</v>
      </c>
      <c r="E1188" s="22" t="str">
        <f t="shared" ref="E1188:F1188" si="1188">IF(A1188&lt;&gt;"", (B1188 - B1187) / B1187, "")</f>
        <v/>
      </c>
      <c r="F1188" s="22" t="str">
        <f t="shared" si="1188"/>
        <v/>
      </c>
      <c r="H1188" s="22" t="str">
        <f t="shared" si="4"/>
        <v/>
      </c>
    </row>
    <row r="1189" ht="15.75" customHeight="1">
      <c r="A1189" s="31" t="str">
        <f>'EQUITY BACKTEST'!A1192</f>
        <v/>
      </c>
      <c r="B1189" s="22" t="str">
        <f>'EQUITY BACKTEST'!B1192</f>
        <v/>
      </c>
      <c r="C1189" s="22" t="str">
        <f>1/'EQUITY BACKTEST'!E1192</f>
        <v>#DIV/0!</v>
      </c>
      <c r="D1189" s="22" t="str">
        <f t="shared" si="1"/>
        <v>#DIV/0!</v>
      </c>
      <c r="E1189" s="22" t="str">
        <f t="shared" ref="E1189:F1189" si="1189">IF(A1189&lt;&gt;"", (B1189 - B1188) / B1188, "")</f>
        <v/>
      </c>
      <c r="F1189" s="22" t="str">
        <f t="shared" si="1189"/>
        <v/>
      </c>
      <c r="H1189" s="22" t="str">
        <f t="shared" si="4"/>
        <v/>
      </c>
    </row>
    <row r="1190" ht="15.75" customHeight="1">
      <c r="A1190" s="31" t="str">
        <f>'EQUITY BACKTEST'!A1193</f>
        <v/>
      </c>
      <c r="B1190" s="22" t="str">
        <f>'EQUITY BACKTEST'!B1193</f>
        <v/>
      </c>
      <c r="C1190" s="22" t="str">
        <f>1/'EQUITY BACKTEST'!E1193</f>
        <v>#DIV/0!</v>
      </c>
      <c r="D1190" s="22" t="str">
        <f t="shared" si="1"/>
        <v>#DIV/0!</v>
      </c>
      <c r="E1190" s="22" t="str">
        <f t="shared" ref="E1190:F1190" si="1190">IF(A1190&lt;&gt;"", (B1190 - B1189) / B1189, "")</f>
        <v/>
      </c>
      <c r="F1190" s="22" t="str">
        <f t="shared" si="1190"/>
        <v/>
      </c>
      <c r="H1190" s="22" t="str">
        <f t="shared" si="4"/>
        <v/>
      </c>
    </row>
    <row r="1191" ht="15.75" customHeight="1">
      <c r="A1191" s="31" t="str">
        <f>'EQUITY BACKTEST'!A1194</f>
        <v/>
      </c>
      <c r="B1191" s="22" t="str">
        <f>'EQUITY BACKTEST'!B1194</f>
        <v/>
      </c>
      <c r="C1191" s="22" t="str">
        <f>1/'EQUITY BACKTEST'!E1194</f>
        <v>#DIV/0!</v>
      </c>
      <c r="D1191" s="22" t="str">
        <f t="shared" si="1"/>
        <v>#DIV/0!</v>
      </c>
      <c r="E1191" s="22" t="str">
        <f t="shared" ref="E1191:F1191" si="1191">IF(A1191&lt;&gt;"", (B1191 - B1190) / B1190, "")</f>
        <v/>
      </c>
      <c r="F1191" s="22" t="str">
        <f t="shared" si="1191"/>
        <v/>
      </c>
      <c r="H1191" s="22" t="str">
        <f t="shared" si="4"/>
        <v/>
      </c>
    </row>
    <row r="1192" ht="15.75" customHeight="1">
      <c r="A1192" s="31" t="str">
        <f>'EQUITY BACKTEST'!A1195</f>
        <v/>
      </c>
      <c r="B1192" s="22" t="str">
        <f>'EQUITY BACKTEST'!B1195</f>
        <v/>
      </c>
      <c r="C1192" s="22" t="str">
        <f>1/'EQUITY BACKTEST'!E1195</f>
        <v>#DIV/0!</v>
      </c>
      <c r="D1192" s="22" t="str">
        <f t="shared" si="1"/>
        <v>#DIV/0!</v>
      </c>
      <c r="E1192" s="22" t="str">
        <f t="shared" ref="E1192:F1192" si="1192">IF(A1192&lt;&gt;"", (B1192 - B1191) / B1191, "")</f>
        <v/>
      </c>
      <c r="F1192" s="22" t="str">
        <f t="shared" si="1192"/>
        <v/>
      </c>
      <c r="H1192" s="22" t="str">
        <f t="shared" si="4"/>
        <v/>
      </c>
    </row>
    <row r="1193" ht="15.75" customHeight="1">
      <c r="A1193" s="31" t="str">
        <f>'EQUITY BACKTEST'!A1196</f>
        <v/>
      </c>
      <c r="B1193" s="22" t="str">
        <f>'EQUITY BACKTEST'!B1196</f>
        <v/>
      </c>
      <c r="C1193" s="22" t="str">
        <f>1/'EQUITY BACKTEST'!E1196</f>
        <v>#DIV/0!</v>
      </c>
      <c r="D1193" s="22" t="str">
        <f t="shared" si="1"/>
        <v>#DIV/0!</v>
      </c>
      <c r="E1193" s="22" t="str">
        <f t="shared" ref="E1193:F1193" si="1193">IF(A1193&lt;&gt;"", (B1193 - B1192) / B1192, "")</f>
        <v/>
      </c>
      <c r="F1193" s="22" t="str">
        <f t="shared" si="1193"/>
        <v/>
      </c>
      <c r="H1193" s="22" t="str">
        <f t="shared" si="4"/>
        <v/>
      </c>
    </row>
    <row r="1194" ht="15.75" customHeight="1">
      <c r="A1194" s="31" t="str">
        <f>'EQUITY BACKTEST'!A1197</f>
        <v/>
      </c>
      <c r="B1194" s="22" t="str">
        <f>'EQUITY BACKTEST'!B1197</f>
        <v/>
      </c>
      <c r="C1194" s="22" t="str">
        <f>1/'EQUITY BACKTEST'!E1197</f>
        <v>#DIV/0!</v>
      </c>
      <c r="D1194" s="22" t="str">
        <f t="shared" si="1"/>
        <v>#DIV/0!</v>
      </c>
      <c r="E1194" s="22" t="str">
        <f t="shared" ref="E1194:F1194" si="1194">IF(A1194&lt;&gt;"", (B1194 - B1193) / B1193, "")</f>
        <v/>
      </c>
      <c r="F1194" s="22" t="str">
        <f t="shared" si="1194"/>
        <v/>
      </c>
      <c r="H1194" s="22" t="str">
        <f t="shared" si="4"/>
        <v/>
      </c>
    </row>
    <row r="1195" ht="15.75" customHeight="1">
      <c r="A1195" s="31" t="str">
        <f>'EQUITY BACKTEST'!A1198</f>
        <v/>
      </c>
      <c r="B1195" s="22" t="str">
        <f>'EQUITY BACKTEST'!B1198</f>
        <v/>
      </c>
      <c r="C1195" s="22" t="str">
        <f>1/'EQUITY BACKTEST'!E1198</f>
        <v>#DIV/0!</v>
      </c>
      <c r="D1195" s="22" t="str">
        <f t="shared" si="1"/>
        <v>#DIV/0!</v>
      </c>
      <c r="E1195" s="22" t="str">
        <f t="shared" ref="E1195:F1195" si="1195">IF(A1195&lt;&gt;"", (B1195 - B1194) / B1194, "")</f>
        <v/>
      </c>
      <c r="F1195" s="22" t="str">
        <f t="shared" si="1195"/>
        <v/>
      </c>
      <c r="H1195" s="22" t="str">
        <f t="shared" si="4"/>
        <v/>
      </c>
    </row>
    <row r="1196" ht="15.75" customHeight="1">
      <c r="A1196" s="31" t="str">
        <f>'EQUITY BACKTEST'!A1199</f>
        <v/>
      </c>
      <c r="B1196" s="22" t="str">
        <f>'EQUITY BACKTEST'!B1199</f>
        <v/>
      </c>
      <c r="C1196" s="22" t="str">
        <f>1/'EQUITY BACKTEST'!E1199</f>
        <v>#DIV/0!</v>
      </c>
      <c r="D1196" s="22" t="str">
        <f t="shared" si="1"/>
        <v>#DIV/0!</v>
      </c>
      <c r="E1196" s="22" t="str">
        <f t="shared" ref="E1196:F1196" si="1196">IF(A1196&lt;&gt;"", (B1196 - B1195) / B1195, "")</f>
        <v/>
      </c>
      <c r="F1196" s="22" t="str">
        <f t="shared" si="1196"/>
        <v/>
      </c>
      <c r="H1196" s="22" t="str">
        <f t="shared" si="4"/>
        <v/>
      </c>
    </row>
    <row r="1197" ht="15.75" customHeight="1">
      <c r="A1197" s="31" t="str">
        <f>'EQUITY BACKTEST'!A1200</f>
        <v/>
      </c>
      <c r="B1197" s="22" t="str">
        <f>'EQUITY BACKTEST'!B1200</f>
        <v/>
      </c>
      <c r="C1197" s="22" t="str">
        <f>1/'EQUITY BACKTEST'!E1200</f>
        <v>#DIV/0!</v>
      </c>
      <c r="D1197" s="22" t="str">
        <f t="shared" si="1"/>
        <v>#DIV/0!</v>
      </c>
      <c r="E1197" s="22" t="str">
        <f t="shared" ref="E1197:F1197" si="1197">IF(A1197&lt;&gt;"", (B1197 - B1196) / B1196, "")</f>
        <v/>
      </c>
      <c r="F1197" s="22" t="str">
        <f t="shared" si="1197"/>
        <v/>
      </c>
      <c r="H1197" s="22" t="str">
        <f t="shared" si="4"/>
        <v/>
      </c>
    </row>
    <row r="1198" ht="15.75" customHeight="1">
      <c r="A1198" s="31" t="str">
        <f>'EQUITY BACKTEST'!A1201</f>
        <v/>
      </c>
      <c r="B1198" s="22" t="str">
        <f>'EQUITY BACKTEST'!B1201</f>
        <v/>
      </c>
      <c r="C1198" s="22" t="str">
        <f>1/'EQUITY BACKTEST'!E1201</f>
        <v>#DIV/0!</v>
      </c>
      <c r="D1198" s="22" t="str">
        <f t="shared" si="1"/>
        <v>#DIV/0!</v>
      </c>
      <c r="E1198" s="22" t="str">
        <f t="shared" ref="E1198:F1198" si="1198">IF(A1198&lt;&gt;"", (B1198 - B1197) / B1197, "")</f>
        <v/>
      </c>
      <c r="F1198" s="22" t="str">
        <f t="shared" si="1198"/>
        <v/>
      </c>
      <c r="H1198" s="22" t="str">
        <f t="shared" si="4"/>
        <v/>
      </c>
    </row>
    <row r="1199" ht="15.75" customHeight="1">
      <c r="A1199" s="31" t="str">
        <f>'EQUITY BACKTEST'!A1202</f>
        <v/>
      </c>
      <c r="B1199" s="22" t="str">
        <f>'EQUITY BACKTEST'!B1202</f>
        <v/>
      </c>
      <c r="C1199" s="22" t="str">
        <f>1/'EQUITY BACKTEST'!E1202</f>
        <v>#DIV/0!</v>
      </c>
      <c r="D1199" s="22" t="str">
        <f t="shared" si="1"/>
        <v>#DIV/0!</v>
      </c>
      <c r="E1199" s="22" t="str">
        <f t="shared" ref="E1199:F1199" si="1199">IF(A1199&lt;&gt;"", (B1199 - B1198) / B1198, "")</f>
        <v/>
      </c>
      <c r="F1199" s="22" t="str">
        <f t="shared" si="1199"/>
        <v/>
      </c>
      <c r="H1199" s="22" t="str">
        <f t="shared" si="4"/>
        <v/>
      </c>
    </row>
    <row r="1200" ht="15.75" customHeight="1">
      <c r="A1200" s="31" t="str">
        <f>'EQUITY BACKTEST'!A1203</f>
        <v/>
      </c>
      <c r="B1200" s="22" t="str">
        <f>'EQUITY BACKTEST'!B1203</f>
        <v/>
      </c>
      <c r="C1200" s="22" t="str">
        <f>1/'EQUITY BACKTEST'!E1203</f>
        <v>#DIV/0!</v>
      </c>
      <c r="D1200" s="22" t="str">
        <f t="shared" si="1"/>
        <v>#DIV/0!</v>
      </c>
      <c r="E1200" s="22" t="str">
        <f t="shared" ref="E1200:F1200" si="1200">IF(A1200&lt;&gt;"", (B1200 - B1199) / B1199, "")</f>
        <v/>
      </c>
      <c r="F1200" s="22" t="str">
        <f t="shared" si="1200"/>
        <v/>
      </c>
      <c r="H1200" s="22" t="str">
        <f t="shared" si="4"/>
        <v/>
      </c>
    </row>
    <row r="1201" ht="15.75" customHeight="1">
      <c r="A1201" s="31" t="str">
        <f>'EQUITY BACKTEST'!A1204</f>
        <v/>
      </c>
      <c r="B1201" s="22" t="str">
        <f>'EQUITY BACKTEST'!B1204</f>
        <v/>
      </c>
      <c r="C1201" s="22" t="str">
        <f>1/'EQUITY BACKTEST'!E1204</f>
        <v>#DIV/0!</v>
      </c>
      <c r="D1201" s="22" t="str">
        <f t="shared" si="1"/>
        <v>#DIV/0!</v>
      </c>
      <c r="E1201" s="22" t="str">
        <f t="shared" ref="E1201:F1201" si="1201">IF(A1201&lt;&gt;"", (B1201 - B1200) / B1200, "")</f>
        <v/>
      </c>
      <c r="F1201" s="22" t="str">
        <f t="shared" si="1201"/>
        <v/>
      </c>
      <c r="H1201" s="22" t="str">
        <f t="shared" si="4"/>
        <v/>
      </c>
    </row>
    <row r="1202" ht="15.75" customHeight="1">
      <c r="A1202" s="31" t="str">
        <f>'EQUITY BACKTEST'!A1205</f>
        <v/>
      </c>
      <c r="B1202" s="22" t="str">
        <f>'EQUITY BACKTEST'!B1205</f>
        <v/>
      </c>
      <c r="C1202" s="22" t="str">
        <f>1/'EQUITY BACKTEST'!E1205</f>
        <v>#DIV/0!</v>
      </c>
      <c r="D1202" s="22" t="str">
        <f t="shared" si="1"/>
        <v>#DIV/0!</v>
      </c>
      <c r="E1202" s="22" t="str">
        <f t="shared" ref="E1202:F1202" si="1202">IF(A1202&lt;&gt;"", (B1202 - B1201) / B1201, "")</f>
        <v/>
      </c>
      <c r="F1202" s="22" t="str">
        <f t="shared" si="1202"/>
        <v/>
      </c>
      <c r="H1202" s="22" t="str">
        <f t="shared" si="4"/>
        <v/>
      </c>
    </row>
    <row r="1203" ht="15.75" customHeight="1">
      <c r="A1203" s="31" t="str">
        <f>'EQUITY BACKTEST'!A1206</f>
        <v/>
      </c>
      <c r="B1203" s="22" t="str">
        <f>'EQUITY BACKTEST'!B1206</f>
        <v/>
      </c>
      <c r="C1203" s="22" t="str">
        <f>1/'EQUITY BACKTEST'!E1206</f>
        <v>#DIV/0!</v>
      </c>
      <c r="D1203" s="22" t="str">
        <f t="shared" si="1"/>
        <v>#DIV/0!</v>
      </c>
      <c r="E1203" s="22" t="str">
        <f t="shared" ref="E1203:F1203" si="1203">IF(A1203&lt;&gt;"", (B1203 - B1202) / B1202, "")</f>
        <v/>
      </c>
      <c r="F1203" s="22" t="str">
        <f t="shared" si="1203"/>
        <v/>
      </c>
      <c r="H1203" s="22" t="str">
        <f t="shared" si="4"/>
        <v/>
      </c>
    </row>
    <row r="1204" ht="15.75" customHeight="1">
      <c r="A1204" s="31" t="str">
        <f>'EQUITY BACKTEST'!A1207</f>
        <v/>
      </c>
      <c r="B1204" s="22" t="str">
        <f>'EQUITY BACKTEST'!B1207</f>
        <v/>
      </c>
      <c r="C1204" s="22" t="str">
        <f>1/'EQUITY BACKTEST'!E1207</f>
        <v>#DIV/0!</v>
      </c>
      <c r="D1204" s="22" t="str">
        <f t="shared" si="1"/>
        <v>#DIV/0!</v>
      </c>
      <c r="E1204" s="22" t="str">
        <f t="shared" ref="E1204:F1204" si="1204">IF(A1204&lt;&gt;"", (B1204 - B1203) / B1203, "")</f>
        <v/>
      </c>
      <c r="F1204" s="22" t="str">
        <f t="shared" si="1204"/>
        <v/>
      </c>
      <c r="H1204" s="22" t="str">
        <f t="shared" si="4"/>
        <v/>
      </c>
    </row>
    <row r="1205" ht="15.75" customHeight="1">
      <c r="A1205" s="31" t="str">
        <f>'EQUITY BACKTEST'!A1208</f>
        <v/>
      </c>
      <c r="B1205" s="22" t="str">
        <f>'EQUITY BACKTEST'!B1208</f>
        <v/>
      </c>
      <c r="C1205" s="22" t="str">
        <f>1/'EQUITY BACKTEST'!E1208</f>
        <v>#DIV/0!</v>
      </c>
      <c r="D1205" s="22" t="str">
        <f t="shared" si="1"/>
        <v>#DIV/0!</v>
      </c>
      <c r="E1205" s="22" t="str">
        <f t="shared" ref="E1205:F1205" si="1205">IF(A1205&lt;&gt;"", (B1205 - B1204) / B1204, "")</f>
        <v/>
      </c>
      <c r="F1205" s="22" t="str">
        <f t="shared" si="1205"/>
        <v/>
      </c>
      <c r="H1205" s="22" t="str">
        <f t="shared" si="4"/>
        <v/>
      </c>
    </row>
    <row r="1206" ht="15.75" customHeight="1">
      <c r="A1206" s="31" t="str">
        <f>'EQUITY BACKTEST'!A1209</f>
        <v/>
      </c>
      <c r="B1206" s="22" t="str">
        <f>'EQUITY BACKTEST'!B1209</f>
        <v/>
      </c>
      <c r="C1206" s="22" t="str">
        <f>1/'EQUITY BACKTEST'!E1209</f>
        <v>#DIV/0!</v>
      </c>
      <c r="D1206" s="22" t="str">
        <f t="shared" si="1"/>
        <v>#DIV/0!</v>
      </c>
      <c r="E1206" s="22" t="str">
        <f t="shared" ref="E1206:F1206" si="1206">IF(A1206&lt;&gt;"", (B1206 - B1205) / B1205, "")</f>
        <v/>
      </c>
      <c r="F1206" s="22" t="str">
        <f t="shared" si="1206"/>
        <v/>
      </c>
      <c r="H1206" s="22" t="str">
        <f t="shared" si="4"/>
        <v/>
      </c>
    </row>
    <row r="1207" ht="15.75" customHeight="1">
      <c r="A1207" s="31" t="str">
        <f>'EQUITY BACKTEST'!A1210</f>
        <v/>
      </c>
      <c r="B1207" s="22" t="str">
        <f>'EQUITY BACKTEST'!B1210</f>
        <v/>
      </c>
      <c r="C1207" s="22" t="str">
        <f>1/'EQUITY BACKTEST'!E1210</f>
        <v>#DIV/0!</v>
      </c>
      <c r="D1207" s="22" t="str">
        <f t="shared" si="1"/>
        <v>#DIV/0!</v>
      </c>
      <c r="E1207" s="22" t="str">
        <f t="shared" ref="E1207:F1207" si="1207">IF(A1207&lt;&gt;"", (B1207 - B1206) / B1206, "")</f>
        <v/>
      </c>
      <c r="F1207" s="22" t="str">
        <f t="shared" si="1207"/>
        <v/>
      </c>
      <c r="H1207" s="22" t="str">
        <f t="shared" si="4"/>
        <v/>
      </c>
    </row>
    <row r="1208" ht="15.75" customHeight="1">
      <c r="A1208" s="31" t="str">
        <f>'EQUITY BACKTEST'!A1211</f>
        <v/>
      </c>
      <c r="B1208" s="22" t="str">
        <f>'EQUITY BACKTEST'!B1211</f>
        <v/>
      </c>
      <c r="C1208" s="22" t="str">
        <f>1/'EQUITY BACKTEST'!E1211</f>
        <v>#DIV/0!</v>
      </c>
      <c r="D1208" s="22" t="str">
        <f t="shared" si="1"/>
        <v>#DIV/0!</v>
      </c>
      <c r="E1208" s="22" t="str">
        <f t="shared" ref="E1208:F1208" si="1208">IF(A1208&lt;&gt;"", (B1208 - B1207) / B1207, "")</f>
        <v/>
      </c>
      <c r="F1208" s="22" t="str">
        <f t="shared" si="1208"/>
        <v/>
      </c>
      <c r="H1208" s="22" t="str">
        <f t="shared" si="4"/>
        <v/>
      </c>
    </row>
    <row r="1209" ht="15.75" customHeight="1">
      <c r="A1209" s="31" t="str">
        <f>'EQUITY BACKTEST'!A1212</f>
        <v/>
      </c>
      <c r="B1209" s="22" t="str">
        <f>'EQUITY BACKTEST'!B1212</f>
        <v/>
      </c>
      <c r="C1209" s="22" t="str">
        <f>1/'EQUITY BACKTEST'!E1212</f>
        <v>#DIV/0!</v>
      </c>
      <c r="D1209" s="22" t="str">
        <f t="shared" si="1"/>
        <v>#DIV/0!</v>
      </c>
      <c r="E1209" s="22" t="str">
        <f t="shared" ref="E1209:F1209" si="1209">IF(A1209&lt;&gt;"", (B1209 - B1208) / B1208, "")</f>
        <v/>
      </c>
      <c r="F1209" s="22" t="str">
        <f t="shared" si="1209"/>
        <v/>
      </c>
      <c r="H1209" s="22" t="str">
        <f t="shared" si="4"/>
        <v/>
      </c>
    </row>
    <row r="1210" ht="15.75" customHeight="1">
      <c r="A1210" s="31" t="str">
        <f>'EQUITY BACKTEST'!A1213</f>
        <v/>
      </c>
      <c r="B1210" s="22" t="str">
        <f>'EQUITY BACKTEST'!B1213</f>
        <v/>
      </c>
      <c r="C1210" s="22" t="str">
        <f>1/'EQUITY BACKTEST'!E1213</f>
        <v>#DIV/0!</v>
      </c>
      <c r="D1210" s="22" t="str">
        <f t="shared" si="1"/>
        <v>#DIV/0!</v>
      </c>
      <c r="E1210" s="22" t="str">
        <f t="shared" ref="E1210:F1210" si="1210">IF(A1210&lt;&gt;"", (B1210 - B1209) / B1209, "")</f>
        <v/>
      </c>
      <c r="F1210" s="22" t="str">
        <f t="shared" si="1210"/>
        <v/>
      </c>
      <c r="H1210" s="22" t="str">
        <f t="shared" si="4"/>
        <v/>
      </c>
    </row>
    <row r="1211" ht="15.75" customHeight="1">
      <c r="A1211" s="31" t="str">
        <f>'EQUITY BACKTEST'!A1214</f>
        <v/>
      </c>
      <c r="B1211" s="22" t="str">
        <f>'EQUITY BACKTEST'!B1214</f>
        <v/>
      </c>
      <c r="C1211" s="22" t="str">
        <f>1/'EQUITY BACKTEST'!E1214</f>
        <v>#DIV/0!</v>
      </c>
      <c r="D1211" s="22" t="str">
        <f t="shared" si="1"/>
        <v>#DIV/0!</v>
      </c>
      <c r="E1211" s="22" t="str">
        <f t="shared" ref="E1211:F1211" si="1211">IF(A1211&lt;&gt;"", (B1211 - B1210) / B1210, "")</f>
        <v/>
      </c>
      <c r="F1211" s="22" t="str">
        <f t="shared" si="1211"/>
        <v/>
      </c>
      <c r="H1211" s="22" t="str">
        <f t="shared" si="4"/>
        <v/>
      </c>
    </row>
    <row r="1212" ht="15.75" customHeight="1">
      <c r="A1212" s="31" t="str">
        <f>'EQUITY BACKTEST'!A1215</f>
        <v/>
      </c>
      <c r="B1212" s="22" t="str">
        <f>'EQUITY BACKTEST'!B1215</f>
        <v/>
      </c>
      <c r="C1212" s="22" t="str">
        <f>1/'EQUITY BACKTEST'!E1215</f>
        <v>#DIV/0!</v>
      </c>
      <c r="D1212" s="22" t="str">
        <f t="shared" si="1"/>
        <v>#DIV/0!</v>
      </c>
      <c r="E1212" s="22" t="str">
        <f t="shared" ref="E1212:F1212" si="1212">IF(A1212&lt;&gt;"", (B1212 - B1211) / B1211, "")</f>
        <v/>
      </c>
      <c r="F1212" s="22" t="str">
        <f t="shared" si="1212"/>
        <v/>
      </c>
      <c r="H1212" s="22" t="str">
        <f t="shared" si="4"/>
        <v/>
      </c>
    </row>
    <row r="1213" ht="15.75" customHeight="1">
      <c r="A1213" s="31" t="str">
        <f>'EQUITY BACKTEST'!A1216</f>
        <v/>
      </c>
      <c r="B1213" s="22" t="str">
        <f>'EQUITY BACKTEST'!B1216</f>
        <v/>
      </c>
      <c r="C1213" s="22" t="str">
        <f>1/'EQUITY BACKTEST'!E1216</f>
        <v>#DIV/0!</v>
      </c>
      <c r="D1213" s="22" t="str">
        <f t="shared" si="1"/>
        <v>#DIV/0!</v>
      </c>
      <c r="E1213" s="22" t="str">
        <f t="shared" ref="E1213:F1213" si="1213">IF(A1213&lt;&gt;"", (B1213 - B1212) / B1212, "")</f>
        <v/>
      </c>
      <c r="F1213" s="22" t="str">
        <f t="shared" si="1213"/>
        <v/>
      </c>
      <c r="H1213" s="22" t="str">
        <f t="shared" si="4"/>
        <v/>
      </c>
    </row>
    <row r="1214" ht="15.75" customHeight="1">
      <c r="A1214" s="31" t="str">
        <f>'EQUITY BACKTEST'!A1217</f>
        <v/>
      </c>
      <c r="B1214" s="22" t="str">
        <f>'EQUITY BACKTEST'!B1217</f>
        <v/>
      </c>
      <c r="C1214" s="22" t="str">
        <f>1/'EQUITY BACKTEST'!E1217</f>
        <v>#DIV/0!</v>
      </c>
      <c r="D1214" s="22" t="str">
        <f t="shared" si="1"/>
        <v>#DIV/0!</v>
      </c>
      <c r="E1214" s="22" t="str">
        <f t="shared" ref="E1214:F1214" si="1214">IF(A1214&lt;&gt;"", (B1214 - B1213) / B1213, "")</f>
        <v/>
      </c>
      <c r="F1214" s="22" t="str">
        <f t="shared" si="1214"/>
        <v/>
      </c>
      <c r="H1214" s="22" t="str">
        <f t="shared" si="4"/>
        <v/>
      </c>
    </row>
    <row r="1215" ht="15.75" customHeight="1">
      <c r="A1215" s="31" t="str">
        <f>'EQUITY BACKTEST'!A1218</f>
        <v/>
      </c>
      <c r="B1215" s="22" t="str">
        <f>'EQUITY BACKTEST'!B1218</f>
        <v/>
      </c>
      <c r="C1215" s="22" t="str">
        <f>1/'EQUITY BACKTEST'!E1218</f>
        <v>#DIV/0!</v>
      </c>
      <c r="D1215" s="22" t="str">
        <f t="shared" si="1"/>
        <v>#DIV/0!</v>
      </c>
      <c r="E1215" s="22" t="str">
        <f t="shared" ref="E1215:F1215" si="1215">IF(A1215&lt;&gt;"", (B1215 - B1214) / B1214, "")</f>
        <v/>
      </c>
      <c r="F1215" s="22" t="str">
        <f t="shared" si="1215"/>
        <v/>
      </c>
      <c r="H1215" s="22" t="str">
        <f t="shared" si="4"/>
        <v/>
      </c>
    </row>
    <row r="1216" ht="15.75" customHeight="1">
      <c r="A1216" s="31" t="str">
        <f>'EQUITY BACKTEST'!A1219</f>
        <v/>
      </c>
      <c r="B1216" s="22" t="str">
        <f>'EQUITY BACKTEST'!B1219</f>
        <v/>
      </c>
      <c r="C1216" s="22" t="str">
        <f>1/'EQUITY BACKTEST'!E1219</f>
        <v>#DIV/0!</v>
      </c>
      <c r="D1216" s="22" t="str">
        <f t="shared" si="1"/>
        <v>#DIV/0!</v>
      </c>
      <c r="E1216" s="22" t="str">
        <f t="shared" ref="E1216:F1216" si="1216">IF(A1216&lt;&gt;"", (B1216 - B1215) / B1215, "")</f>
        <v/>
      </c>
      <c r="F1216" s="22" t="str">
        <f t="shared" si="1216"/>
        <v/>
      </c>
      <c r="H1216" s="22" t="str">
        <f t="shared" si="4"/>
        <v/>
      </c>
    </row>
    <row r="1217" ht="15.75" customHeight="1">
      <c r="A1217" s="31" t="str">
        <f>'EQUITY BACKTEST'!A1220</f>
        <v/>
      </c>
      <c r="B1217" s="22" t="str">
        <f>'EQUITY BACKTEST'!B1220</f>
        <v/>
      </c>
      <c r="C1217" s="22" t="str">
        <f>1/'EQUITY BACKTEST'!E1220</f>
        <v>#DIV/0!</v>
      </c>
      <c r="D1217" s="22" t="str">
        <f t="shared" si="1"/>
        <v>#DIV/0!</v>
      </c>
      <c r="E1217" s="22" t="str">
        <f t="shared" ref="E1217:F1217" si="1217">IF(A1217&lt;&gt;"", (B1217 - B1216) / B1216, "")</f>
        <v/>
      </c>
      <c r="F1217" s="22" t="str">
        <f t="shared" si="1217"/>
        <v/>
      </c>
      <c r="H1217" s="22" t="str">
        <f t="shared" si="4"/>
        <v/>
      </c>
    </row>
    <row r="1218" ht="15.75" customHeight="1">
      <c r="A1218" s="31" t="str">
        <f>'EQUITY BACKTEST'!A1221</f>
        <v/>
      </c>
      <c r="B1218" s="22" t="str">
        <f>'EQUITY BACKTEST'!B1221</f>
        <v/>
      </c>
      <c r="C1218" s="22" t="str">
        <f>1/'EQUITY BACKTEST'!E1221</f>
        <v>#DIV/0!</v>
      </c>
      <c r="D1218" s="22" t="str">
        <f t="shared" si="1"/>
        <v>#DIV/0!</v>
      </c>
      <c r="E1218" s="22" t="str">
        <f t="shared" ref="E1218:F1218" si="1218">IF(A1218&lt;&gt;"", (B1218 - B1217) / B1217, "")</f>
        <v/>
      </c>
      <c r="F1218" s="22" t="str">
        <f t="shared" si="1218"/>
        <v/>
      </c>
      <c r="H1218" s="22" t="str">
        <f t="shared" si="4"/>
        <v/>
      </c>
    </row>
    <row r="1219" ht="15.75" customHeight="1">
      <c r="A1219" s="31" t="str">
        <f>'EQUITY BACKTEST'!A1222</f>
        <v/>
      </c>
      <c r="B1219" s="22" t="str">
        <f>'EQUITY BACKTEST'!B1222</f>
        <v/>
      </c>
      <c r="C1219" s="22" t="str">
        <f>1/'EQUITY BACKTEST'!E1222</f>
        <v>#DIV/0!</v>
      </c>
      <c r="D1219" s="22" t="str">
        <f t="shared" si="1"/>
        <v>#DIV/0!</v>
      </c>
      <c r="E1219" s="22" t="str">
        <f t="shared" ref="E1219:F1219" si="1219">IF(A1219&lt;&gt;"", (B1219 - B1218) / B1218, "")</f>
        <v/>
      </c>
      <c r="F1219" s="22" t="str">
        <f t="shared" si="1219"/>
        <v/>
      </c>
      <c r="H1219" s="22" t="str">
        <f t="shared" si="4"/>
        <v/>
      </c>
    </row>
    <row r="1220" ht="15.75" customHeight="1">
      <c r="A1220" s="31" t="str">
        <f>'EQUITY BACKTEST'!A1223</f>
        <v/>
      </c>
      <c r="B1220" s="22" t="str">
        <f>'EQUITY BACKTEST'!B1223</f>
        <v/>
      </c>
      <c r="C1220" s="22" t="str">
        <f>1/'EQUITY BACKTEST'!E1223</f>
        <v>#DIV/0!</v>
      </c>
      <c r="D1220" s="22" t="str">
        <f t="shared" si="1"/>
        <v>#DIV/0!</v>
      </c>
      <c r="E1220" s="22" t="str">
        <f t="shared" ref="E1220:F1220" si="1220">IF(A1220&lt;&gt;"", (B1220 - B1219) / B1219, "")</f>
        <v/>
      </c>
      <c r="F1220" s="22" t="str">
        <f t="shared" si="1220"/>
        <v/>
      </c>
      <c r="H1220" s="22" t="str">
        <f t="shared" si="4"/>
        <v/>
      </c>
    </row>
    <row r="1221" ht="15.75" customHeight="1">
      <c r="A1221" s="31" t="str">
        <f>'EQUITY BACKTEST'!A1224</f>
        <v/>
      </c>
      <c r="B1221" s="22" t="str">
        <f>'EQUITY BACKTEST'!B1224</f>
        <v/>
      </c>
      <c r="C1221" s="22" t="str">
        <f>1/'EQUITY BACKTEST'!E1224</f>
        <v>#DIV/0!</v>
      </c>
      <c r="D1221" s="22" t="str">
        <f t="shared" si="1"/>
        <v>#DIV/0!</v>
      </c>
      <c r="E1221" s="22" t="str">
        <f t="shared" ref="E1221:F1221" si="1221">IF(A1221&lt;&gt;"", (B1221 - B1220) / B1220, "")</f>
        <v/>
      </c>
      <c r="F1221" s="22" t="str">
        <f t="shared" si="1221"/>
        <v/>
      </c>
      <c r="H1221" s="22" t="str">
        <f t="shared" si="4"/>
        <v/>
      </c>
    </row>
    <row r="1222" ht="15.75" customHeight="1">
      <c r="A1222" s="31" t="str">
        <f>'EQUITY BACKTEST'!A1225</f>
        <v/>
      </c>
      <c r="B1222" s="22" t="str">
        <f>'EQUITY BACKTEST'!B1225</f>
        <v/>
      </c>
      <c r="C1222" s="22" t="str">
        <f>1/'EQUITY BACKTEST'!E1225</f>
        <v>#DIV/0!</v>
      </c>
      <c r="D1222" s="22" t="str">
        <f t="shared" si="1"/>
        <v>#DIV/0!</v>
      </c>
      <c r="E1222" s="22" t="str">
        <f t="shared" ref="E1222:F1222" si="1222">IF(A1222&lt;&gt;"", (B1222 - B1221) / B1221, "")</f>
        <v/>
      </c>
      <c r="F1222" s="22" t="str">
        <f t="shared" si="1222"/>
        <v/>
      </c>
      <c r="H1222" s="22" t="str">
        <f t="shared" si="4"/>
        <v/>
      </c>
    </row>
    <row r="1223" ht="15.75" customHeight="1">
      <c r="A1223" s="31" t="str">
        <f>'EQUITY BACKTEST'!A1226</f>
        <v/>
      </c>
      <c r="B1223" s="22" t="str">
        <f>'EQUITY BACKTEST'!B1226</f>
        <v/>
      </c>
      <c r="C1223" s="22" t="str">
        <f>1/'EQUITY BACKTEST'!E1226</f>
        <v>#DIV/0!</v>
      </c>
      <c r="D1223" s="22" t="str">
        <f t="shared" si="1"/>
        <v>#DIV/0!</v>
      </c>
      <c r="E1223" s="22" t="str">
        <f t="shared" ref="E1223:F1223" si="1223">IF(A1223&lt;&gt;"", (B1223 - B1222) / B1222, "")</f>
        <v/>
      </c>
      <c r="F1223" s="22" t="str">
        <f t="shared" si="1223"/>
        <v/>
      </c>
      <c r="H1223" s="22" t="str">
        <f t="shared" si="4"/>
        <v/>
      </c>
    </row>
    <row r="1224" ht="15.75" customHeight="1">
      <c r="A1224" s="31" t="str">
        <f>'EQUITY BACKTEST'!A1227</f>
        <v/>
      </c>
      <c r="B1224" s="22" t="str">
        <f>'EQUITY BACKTEST'!B1227</f>
        <v/>
      </c>
      <c r="C1224" s="22" t="str">
        <f>1/'EQUITY BACKTEST'!E1227</f>
        <v>#DIV/0!</v>
      </c>
      <c r="D1224" s="22" t="str">
        <f t="shared" si="1"/>
        <v>#DIV/0!</v>
      </c>
      <c r="E1224" s="22" t="str">
        <f t="shared" ref="E1224:F1224" si="1224">IF(A1224&lt;&gt;"", (B1224 - B1223) / B1223, "")</f>
        <v/>
      </c>
      <c r="F1224" s="22" t="str">
        <f t="shared" si="1224"/>
        <v/>
      </c>
      <c r="H1224" s="22" t="str">
        <f t="shared" si="4"/>
        <v/>
      </c>
    </row>
    <row r="1225" ht="15.75" customHeight="1">
      <c r="A1225" s="31" t="str">
        <f>'EQUITY BACKTEST'!A1228</f>
        <v/>
      </c>
      <c r="B1225" s="22" t="str">
        <f>'EQUITY BACKTEST'!B1228</f>
        <v/>
      </c>
      <c r="C1225" s="22" t="str">
        <f>1/'EQUITY BACKTEST'!E1228</f>
        <v>#DIV/0!</v>
      </c>
      <c r="D1225" s="22" t="str">
        <f t="shared" si="1"/>
        <v>#DIV/0!</v>
      </c>
      <c r="E1225" s="22" t="str">
        <f t="shared" ref="E1225:F1225" si="1225">IF(A1225&lt;&gt;"", (B1225 - B1224) / B1224, "")</f>
        <v/>
      </c>
      <c r="F1225" s="22" t="str">
        <f t="shared" si="1225"/>
        <v/>
      </c>
      <c r="H1225" s="22" t="str">
        <f t="shared" si="4"/>
        <v/>
      </c>
    </row>
    <row r="1226" ht="15.75" customHeight="1">
      <c r="A1226" s="31" t="str">
        <f>'EQUITY BACKTEST'!A1229</f>
        <v/>
      </c>
      <c r="B1226" s="22" t="str">
        <f>'EQUITY BACKTEST'!B1229</f>
        <v/>
      </c>
      <c r="C1226" s="22" t="str">
        <f>1/'EQUITY BACKTEST'!E1229</f>
        <v>#DIV/0!</v>
      </c>
      <c r="D1226" s="22" t="str">
        <f t="shared" si="1"/>
        <v>#DIV/0!</v>
      </c>
      <c r="E1226" s="22" t="str">
        <f t="shared" ref="E1226:F1226" si="1226">IF(A1226&lt;&gt;"", (B1226 - B1225) / B1225, "")</f>
        <v/>
      </c>
      <c r="F1226" s="22" t="str">
        <f t="shared" si="1226"/>
        <v/>
      </c>
      <c r="H1226" s="22" t="str">
        <f t="shared" si="4"/>
        <v/>
      </c>
    </row>
    <row r="1227" ht="15.75" customHeight="1">
      <c r="A1227" s="31" t="str">
        <f>'EQUITY BACKTEST'!A1230</f>
        <v/>
      </c>
      <c r="B1227" s="22" t="str">
        <f>'EQUITY BACKTEST'!B1230</f>
        <v/>
      </c>
      <c r="C1227" s="22" t="str">
        <f>1/'EQUITY BACKTEST'!E1230</f>
        <v>#DIV/0!</v>
      </c>
      <c r="D1227" s="22" t="str">
        <f t="shared" si="1"/>
        <v>#DIV/0!</v>
      </c>
      <c r="E1227" s="22" t="str">
        <f t="shared" ref="E1227:F1227" si="1227">IF(A1227&lt;&gt;"", (B1227 - B1226) / B1226, "")</f>
        <v/>
      </c>
      <c r="F1227" s="22" t="str">
        <f t="shared" si="1227"/>
        <v/>
      </c>
      <c r="H1227" s="22" t="str">
        <f t="shared" si="4"/>
        <v/>
      </c>
    </row>
    <row r="1228" ht="15.75" customHeight="1">
      <c r="A1228" s="31" t="str">
        <f>'EQUITY BACKTEST'!A1231</f>
        <v/>
      </c>
      <c r="B1228" s="22" t="str">
        <f>'EQUITY BACKTEST'!B1231</f>
        <v/>
      </c>
      <c r="C1228" s="22" t="str">
        <f>1/'EQUITY BACKTEST'!E1231</f>
        <v>#DIV/0!</v>
      </c>
      <c r="D1228" s="22" t="str">
        <f t="shared" si="1"/>
        <v>#DIV/0!</v>
      </c>
      <c r="E1228" s="22" t="str">
        <f t="shared" ref="E1228:F1228" si="1228">IF(A1228&lt;&gt;"", (B1228 - B1227) / B1227, "")</f>
        <v/>
      </c>
      <c r="F1228" s="22" t="str">
        <f t="shared" si="1228"/>
        <v/>
      </c>
      <c r="H1228" s="22" t="str">
        <f t="shared" si="4"/>
        <v/>
      </c>
    </row>
    <row r="1229" ht="15.75" customHeight="1">
      <c r="A1229" s="31" t="str">
        <f>'EQUITY BACKTEST'!A1232</f>
        <v/>
      </c>
      <c r="B1229" s="22" t="str">
        <f>'EQUITY BACKTEST'!B1232</f>
        <v/>
      </c>
      <c r="C1229" s="22" t="str">
        <f>1/'EQUITY BACKTEST'!E1232</f>
        <v>#DIV/0!</v>
      </c>
      <c r="D1229" s="22" t="str">
        <f t="shared" si="1"/>
        <v>#DIV/0!</v>
      </c>
      <c r="E1229" s="22" t="str">
        <f t="shared" ref="E1229:F1229" si="1229">IF(A1229&lt;&gt;"", (B1229 - B1228) / B1228, "")</f>
        <v/>
      </c>
      <c r="F1229" s="22" t="str">
        <f t="shared" si="1229"/>
        <v/>
      </c>
      <c r="H1229" s="22" t="str">
        <f t="shared" si="4"/>
        <v/>
      </c>
    </row>
    <row r="1230" ht="15.75" customHeight="1">
      <c r="A1230" s="31" t="str">
        <f>'EQUITY BACKTEST'!A1233</f>
        <v/>
      </c>
      <c r="B1230" s="22" t="str">
        <f>'EQUITY BACKTEST'!B1233</f>
        <v/>
      </c>
      <c r="C1230" s="22" t="str">
        <f>1/'EQUITY BACKTEST'!E1233</f>
        <v>#DIV/0!</v>
      </c>
      <c r="D1230" s="22" t="str">
        <f t="shared" si="1"/>
        <v>#DIV/0!</v>
      </c>
      <c r="E1230" s="22" t="str">
        <f t="shared" ref="E1230:F1230" si="1230">IF(A1230&lt;&gt;"", (B1230 - B1229) / B1229, "")</f>
        <v/>
      </c>
      <c r="F1230" s="22" t="str">
        <f t="shared" si="1230"/>
        <v/>
      </c>
      <c r="H1230" s="22" t="str">
        <f t="shared" si="4"/>
        <v/>
      </c>
    </row>
    <row r="1231" ht="15.75" customHeight="1">
      <c r="A1231" s="31" t="str">
        <f>'EQUITY BACKTEST'!A1234</f>
        <v/>
      </c>
      <c r="B1231" s="22" t="str">
        <f>'EQUITY BACKTEST'!B1234</f>
        <v/>
      </c>
      <c r="C1231" s="22" t="str">
        <f>1/'EQUITY BACKTEST'!E1234</f>
        <v>#DIV/0!</v>
      </c>
      <c r="D1231" s="22" t="str">
        <f t="shared" si="1"/>
        <v>#DIV/0!</v>
      </c>
      <c r="E1231" s="22" t="str">
        <f t="shared" ref="E1231:F1231" si="1231">IF(A1231&lt;&gt;"", (B1231 - B1230) / B1230, "")</f>
        <v/>
      </c>
      <c r="F1231" s="22" t="str">
        <f t="shared" si="1231"/>
        <v/>
      </c>
      <c r="H1231" s="22" t="str">
        <f t="shared" si="4"/>
        <v/>
      </c>
    </row>
    <row r="1232" ht="15.75" customHeight="1">
      <c r="A1232" s="31" t="str">
        <f>'EQUITY BACKTEST'!A1235</f>
        <v/>
      </c>
      <c r="B1232" s="22" t="str">
        <f>'EQUITY BACKTEST'!B1235</f>
        <v/>
      </c>
      <c r="C1232" s="22" t="str">
        <f>1/'EQUITY BACKTEST'!E1235</f>
        <v>#DIV/0!</v>
      </c>
      <c r="D1232" s="22" t="str">
        <f t="shared" si="1"/>
        <v>#DIV/0!</v>
      </c>
      <c r="E1232" s="22" t="str">
        <f t="shared" ref="E1232:F1232" si="1232">IF(A1232&lt;&gt;"", (B1232 - B1231) / B1231, "")</f>
        <v/>
      </c>
      <c r="F1232" s="22" t="str">
        <f t="shared" si="1232"/>
        <v/>
      </c>
      <c r="H1232" s="22" t="str">
        <f t="shared" si="4"/>
        <v/>
      </c>
    </row>
    <row r="1233" ht="15.75" customHeight="1">
      <c r="A1233" s="31" t="str">
        <f>'EQUITY BACKTEST'!A1236</f>
        <v/>
      </c>
      <c r="B1233" s="22" t="str">
        <f>'EQUITY BACKTEST'!B1236</f>
        <v/>
      </c>
      <c r="C1233" s="22" t="str">
        <f>1/'EQUITY BACKTEST'!E1236</f>
        <v>#DIV/0!</v>
      </c>
      <c r="D1233" s="22" t="str">
        <f t="shared" si="1"/>
        <v>#DIV/0!</v>
      </c>
      <c r="E1233" s="22" t="str">
        <f t="shared" ref="E1233:F1233" si="1233">IF(A1233&lt;&gt;"", (B1233 - B1232) / B1232, "")</f>
        <v/>
      </c>
      <c r="F1233" s="22" t="str">
        <f t="shared" si="1233"/>
        <v/>
      </c>
      <c r="H1233" s="22" t="str">
        <f t="shared" si="4"/>
        <v/>
      </c>
    </row>
    <row r="1234" ht="15.75" customHeight="1">
      <c r="A1234" s="31" t="str">
        <f>'EQUITY BACKTEST'!A1237</f>
        <v/>
      </c>
      <c r="B1234" s="22" t="str">
        <f>'EQUITY BACKTEST'!B1237</f>
        <v/>
      </c>
      <c r="C1234" s="22" t="str">
        <f>1/'EQUITY BACKTEST'!E1237</f>
        <v>#DIV/0!</v>
      </c>
      <c r="D1234" s="22" t="str">
        <f t="shared" si="1"/>
        <v>#DIV/0!</v>
      </c>
      <c r="E1234" s="22" t="str">
        <f t="shared" ref="E1234:F1234" si="1234">IF(A1234&lt;&gt;"", (B1234 - B1233) / B1233, "")</f>
        <v/>
      </c>
      <c r="F1234" s="22" t="str">
        <f t="shared" si="1234"/>
        <v/>
      </c>
      <c r="H1234" s="22" t="str">
        <f t="shared" si="4"/>
        <v/>
      </c>
    </row>
    <row r="1235" ht="15.75" customHeight="1">
      <c r="A1235" s="31" t="str">
        <f>'EQUITY BACKTEST'!A1238</f>
        <v/>
      </c>
      <c r="B1235" s="22" t="str">
        <f>'EQUITY BACKTEST'!B1238</f>
        <v/>
      </c>
      <c r="C1235" s="22" t="str">
        <f>1/'EQUITY BACKTEST'!E1238</f>
        <v>#DIV/0!</v>
      </c>
      <c r="D1235" s="22" t="str">
        <f t="shared" si="1"/>
        <v>#DIV/0!</v>
      </c>
      <c r="E1235" s="22" t="str">
        <f t="shared" ref="E1235:F1235" si="1235">IF(A1235&lt;&gt;"", (B1235 - B1234) / B1234, "")</f>
        <v/>
      </c>
      <c r="F1235" s="22" t="str">
        <f t="shared" si="1235"/>
        <v/>
      </c>
      <c r="H1235" s="22" t="str">
        <f t="shared" si="4"/>
        <v/>
      </c>
    </row>
    <row r="1236" ht="15.75" customHeight="1">
      <c r="A1236" s="31" t="str">
        <f>'EQUITY BACKTEST'!A1239</f>
        <v/>
      </c>
      <c r="B1236" s="22" t="str">
        <f>'EQUITY BACKTEST'!B1239</f>
        <v/>
      </c>
      <c r="C1236" s="22" t="str">
        <f>1/'EQUITY BACKTEST'!E1239</f>
        <v>#DIV/0!</v>
      </c>
      <c r="D1236" s="22" t="str">
        <f t="shared" si="1"/>
        <v>#DIV/0!</v>
      </c>
      <c r="E1236" s="22" t="str">
        <f t="shared" ref="E1236:F1236" si="1236">IF(A1236&lt;&gt;"", (B1236 - B1235) / B1235, "")</f>
        <v/>
      </c>
      <c r="F1236" s="22" t="str">
        <f t="shared" si="1236"/>
        <v/>
      </c>
      <c r="H1236" s="22" t="str">
        <f t="shared" si="4"/>
        <v/>
      </c>
    </row>
    <row r="1237" ht="15.75" customHeight="1">
      <c r="A1237" s="31" t="str">
        <f>'EQUITY BACKTEST'!A1240</f>
        <v/>
      </c>
      <c r="B1237" s="22" t="str">
        <f>'EQUITY BACKTEST'!B1240</f>
        <v/>
      </c>
      <c r="C1237" s="22" t="str">
        <f>1/'EQUITY BACKTEST'!E1240</f>
        <v>#DIV/0!</v>
      </c>
      <c r="D1237" s="22" t="str">
        <f t="shared" si="1"/>
        <v>#DIV/0!</v>
      </c>
      <c r="E1237" s="22" t="str">
        <f t="shared" ref="E1237:F1237" si="1237">IF(A1237&lt;&gt;"", (B1237 - B1236) / B1236, "")</f>
        <v/>
      </c>
      <c r="F1237" s="22" t="str">
        <f t="shared" si="1237"/>
        <v/>
      </c>
      <c r="H1237" s="22" t="str">
        <f t="shared" si="4"/>
        <v/>
      </c>
    </row>
    <row r="1238" ht="15.75" customHeight="1">
      <c r="A1238" s="31" t="str">
        <f>'EQUITY BACKTEST'!A1241</f>
        <v/>
      </c>
      <c r="B1238" s="22" t="str">
        <f>'EQUITY BACKTEST'!B1241</f>
        <v/>
      </c>
      <c r="C1238" s="22" t="str">
        <f>1/'EQUITY BACKTEST'!E1241</f>
        <v>#DIV/0!</v>
      </c>
      <c r="D1238" s="22" t="str">
        <f t="shared" si="1"/>
        <v>#DIV/0!</v>
      </c>
      <c r="E1238" s="22" t="str">
        <f t="shared" ref="E1238:F1238" si="1238">IF(A1238&lt;&gt;"", (B1238 - B1237) / B1237, "")</f>
        <v/>
      </c>
      <c r="F1238" s="22" t="str">
        <f t="shared" si="1238"/>
        <v/>
      </c>
      <c r="H1238" s="22" t="str">
        <f t="shared" si="4"/>
        <v/>
      </c>
    </row>
    <row r="1239" ht="15.75" customHeight="1">
      <c r="A1239" s="31" t="str">
        <f>'EQUITY BACKTEST'!A1242</f>
        <v/>
      </c>
      <c r="B1239" s="22" t="str">
        <f>'EQUITY BACKTEST'!B1242</f>
        <v/>
      </c>
      <c r="C1239" s="22" t="str">
        <f>1/'EQUITY BACKTEST'!E1242</f>
        <v>#DIV/0!</v>
      </c>
      <c r="D1239" s="22" t="str">
        <f t="shared" si="1"/>
        <v>#DIV/0!</v>
      </c>
      <c r="E1239" s="22" t="str">
        <f t="shared" ref="E1239:F1239" si="1239">IF(A1239&lt;&gt;"", (B1239 - B1238) / B1238, "")</f>
        <v/>
      </c>
      <c r="F1239" s="22" t="str">
        <f t="shared" si="1239"/>
        <v/>
      </c>
      <c r="H1239" s="22" t="str">
        <f t="shared" si="4"/>
        <v/>
      </c>
    </row>
    <row r="1240" ht="15.75" customHeight="1">
      <c r="A1240" s="31" t="str">
        <f>'EQUITY BACKTEST'!A1243</f>
        <v/>
      </c>
      <c r="B1240" s="22" t="str">
        <f>'EQUITY BACKTEST'!B1243</f>
        <v/>
      </c>
      <c r="C1240" s="22" t="str">
        <f>1/'EQUITY BACKTEST'!E1243</f>
        <v>#DIV/0!</v>
      </c>
      <c r="D1240" s="22" t="str">
        <f t="shared" si="1"/>
        <v>#DIV/0!</v>
      </c>
      <c r="E1240" s="22" t="str">
        <f t="shared" ref="E1240:F1240" si="1240">IF(A1240&lt;&gt;"", (B1240 - B1239) / B1239, "")</f>
        <v/>
      </c>
      <c r="F1240" s="22" t="str">
        <f t="shared" si="1240"/>
        <v/>
      </c>
      <c r="H1240" s="22" t="str">
        <f t="shared" si="4"/>
        <v/>
      </c>
    </row>
    <row r="1241" ht="15.75" customHeight="1">
      <c r="A1241" s="31" t="str">
        <f>'EQUITY BACKTEST'!A1244</f>
        <v/>
      </c>
      <c r="B1241" s="22" t="str">
        <f>'EQUITY BACKTEST'!B1244</f>
        <v/>
      </c>
      <c r="C1241" s="22" t="str">
        <f>1/'EQUITY BACKTEST'!E1244</f>
        <v>#DIV/0!</v>
      </c>
      <c r="D1241" s="22" t="str">
        <f t="shared" si="1"/>
        <v>#DIV/0!</v>
      </c>
      <c r="E1241" s="22" t="str">
        <f t="shared" ref="E1241:F1241" si="1241">IF(A1241&lt;&gt;"", (B1241 - B1240) / B1240, "")</f>
        <v/>
      </c>
      <c r="F1241" s="22" t="str">
        <f t="shared" si="1241"/>
        <v/>
      </c>
      <c r="H1241" s="22" t="str">
        <f t="shared" si="4"/>
        <v/>
      </c>
    </row>
    <row r="1242" ht="15.75" customHeight="1">
      <c r="A1242" s="31" t="str">
        <f>'EQUITY BACKTEST'!A1245</f>
        <v/>
      </c>
      <c r="B1242" s="22" t="str">
        <f>'EQUITY BACKTEST'!B1245</f>
        <v/>
      </c>
      <c r="C1242" s="22" t="str">
        <f>1/'EQUITY BACKTEST'!E1245</f>
        <v>#DIV/0!</v>
      </c>
      <c r="D1242" s="22" t="str">
        <f t="shared" si="1"/>
        <v>#DIV/0!</v>
      </c>
      <c r="E1242" s="22" t="str">
        <f t="shared" ref="E1242:F1242" si="1242">IF(A1242&lt;&gt;"", (B1242 - B1241) / B1241, "")</f>
        <v/>
      </c>
      <c r="F1242" s="22" t="str">
        <f t="shared" si="1242"/>
        <v/>
      </c>
      <c r="H1242" s="22" t="str">
        <f t="shared" si="4"/>
        <v/>
      </c>
    </row>
    <row r="1243" ht="15.75" customHeight="1">
      <c r="A1243" s="31" t="str">
        <f>'EQUITY BACKTEST'!A1246</f>
        <v/>
      </c>
      <c r="B1243" s="22" t="str">
        <f>'EQUITY BACKTEST'!B1246</f>
        <v/>
      </c>
      <c r="C1243" s="22" t="str">
        <f>1/'EQUITY BACKTEST'!E1246</f>
        <v>#DIV/0!</v>
      </c>
      <c r="D1243" s="22" t="str">
        <f t="shared" si="1"/>
        <v>#DIV/0!</v>
      </c>
      <c r="E1243" s="22" t="str">
        <f t="shared" ref="E1243:F1243" si="1243">IF(A1243&lt;&gt;"", (B1243 - B1242) / B1242, "")</f>
        <v/>
      </c>
      <c r="F1243" s="22" t="str">
        <f t="shared" si="1243"/>
        <v/>
      </c>
      <c r="H1243" s="22" t="str">
        <f t="shared" si="4"/>
        <v/>
      </c>
    </row>
    <row r="1244" ht="15.75" customHeight="1">
      <c r="A1244" s="31" t="str">
        <f>'EQUITY BACKTEST'!A1247</f>
        <v/>
      </c>
      <c r="B1244" s="22" t="str">
        <f>'EQUITY BACKTEST'!B1247</f>
        <v/>
      </c>
      <c r="C1244" s="22" t="str">
        <f>1/'EQUITY BACKTEST'!E1247</f>
        <v>#DIV/0!</v>
      </c>
      <c r="D1244" s="22" t="str">
        <f t="shared" si="1"/>
        <v>#DIV/0!</v>
      </c>
      <c r="E1244" s="22" t="str">
        <f t="shared" ref="E1244:F1244" si="1244">IF(A1244&lt;&gt;"", (B1244 - B1243) / B1243, "")</f>
        <v/>
      </c>
      <c r="F1244" s="22" t="str">
        <f t="shared" si="1244"/>
        <v/>
      </c>
      <c r="H1244" s="22" t="str">
        <f t="shared" si="4"/>
        <v/>
      </c>
    </row>
    <row r="1245" ht="15.75" customHeight="1">
      <c r="A1245" s="31" t="str">
        <f>'EQUITY BACKTEST'!A1248</f>
        <v/>
      </c>
      <c r="B1245" s="22" t="str">
        <f>'EQUITY BACKTEST'!B1248</f>
        <v/>
      </c>
      <c r="C1245" s="22" t="str">
        <f>1/'EQUITY BACKTEST'!E1248</f>
        <v>#DIV/0!</v>
      </c>
      <c r="D1245" s="22" t="str">
        <f t="shared" si="1"/>
        <v>#DIV/0!</v>
      </c>
      <c r="E1245" s="22" t="str">
        <f t="shared" ref="E1245:F1245" si="1245">IF(A1245&lt;&gt;"", (B1245 - B1244) / B1244, "")</f>
        <v/>
      </c>
      <c r="F1245" s="22" t="str">
        <f t="shared" si="1245"/>
        <v/>
      </c>
      <c r="H1245" s="22" t="str">
        <f t="shared" si="4"/>
        <v/>
      </c>
    </row>
    <row r="1246" ht="15.75" customHeight="1">
      <c r="A1246" s="31" t="str">
        <f>'EQUITY BACKTEST'!A1249</f>
        <v/>
      </c>
      <c r="B1246" s="22" t="str">
        <f>'EQUITY BACKTEST'!B1249</f>
        <v/>
      </c>
      <c r="C1246" s="22" t="str">
        <f>1/'EQUITY BACKTEST'!E1249</f>
        <v>#DIV/0!</v>
      </c>
      <c r="D1246" s="22" t="str">
        <f t="shared" si="1"/>
        <v>#DIV/0!</v>
      </c>
      <c r="E1246" s="22" t="str">
        <f t="shared" ref="E1246:F1246" si="1246">IF(A1246&lt;&gt;"", (B1246 - B1245) / B1245, "")</f>
        <v/>
      </c>
      <c r="F1246" s="22" t="str">
        <f t="shared" si="1246"/>
        <v/>
      </c>
      <c r="H1246" s="22" t="str">
        <f t="shared" si="4"/>
        <v/>
      </c>
    </row>
    <row r="1247" ht="15.75" customHeight="1">
      <c r="A1247" s="31" t="str">
        <f>'EQUITY BACKTEST'!A1250</f>
        <v/>
      </c>
      <c r="B1247" s="22" t="str">
        <f>'EQUITY BACKTEST'!B1250</f>
        <v/>
      </c>
      <c r="C1247" s="22" t="str">
        <f>1/'EQUITY BACKTEST'!E1250</f>
        <v>#DIV/0!</v>
      </c>
      <c r="D1247" s="22" t="str">
        <f t="shared" si="1"/>
        <v>#DIV/0!</v>
      </c>
      <c r="E1247" s="22" t="str">
        <f t="shared" ref="E1247:F1247" si="1247">IF(A1247&lt;&gt;"", (B1247 - B1246) / B1246, "")</f>
        <v/>
      </c>
      <c r="F1247" s="22" t="str">
        <f t="shared" si="1247"/>
        <v/>
      </c>
      <c r="H1247" s="22" t="str">
        <f t="shared" si="4"/>
        <v/>
      </c>
    </row>
    <row r="1248" ht="15.75" customHeight="1">
      <c r="A1248" s="31" t="str">
        <f>'EQUITY BACKTEST'!A1251</f>
        <v/>
      </c>
      <c r="B1248" s="22" t="str">
        <f>'EQUITY BACKTEST'!B1251</f>
        <v/>
      </c>
      <c r="C1248" s="22" t="str">
        <f>1/'EQUITY BACKTEST'!E1251</f>
        <v>#DIV/0!</v>
      </c>
      <c r="D1248" s="22" t="str">
        <f t="shared" si="1"/>
        <v>#DIV/0!</v>
      </c>
      <c r="E1248" s="22" t="str">
        <f t="shared" ref="E1248:F1248" si="1248">IF(A1248&lt;&gt;"", (B1248 - B1247) / B1247, "")</f>
        <v/>
      </c>
      <c r="F1248" s="22" t="str">
        <f t="shared" si="1248"/>
        <v/>
      </c>
      <c r="H1248" s="22" t="str">
        <f t="shared" si="4"/>
        <v/>
      </c>
    </row>
    <row r="1249" ht="15.75" customHeight="1">
      <c r="A1249" s="31" t="str">
        <f>'EQUITY BACKTEST'!A1252</f>
        <v/>
      </c>
      <c r="B1249" s="22" t="str">
        <f>'EQUITY BACKTEST'!B1252</f>
        <v/>
      </c>
      <c r="C1249" s="22" t="str">
        <f>1/'EQUITY BACKTEST'!E1252</f>
        <v>#DIV/0!</v>
      </c>
      <c r="D1249" s="22" t="str">
        <f t="shared" si="1"/>
        <v>#DIV/0!</v>
      </c>
      <c r="E1249" s="22" t="str">
        <f t="shared" ref="E1249:F1249" si="1249">IF(A1249&lt;&gt;"", (B1249 - B1248) / B1248, "")</f>
        <v/>
      </c>
      <c r="F1249" s="22" t="str">
        <f t="shared" si="1249"/>
        <v/>
      </c>
      <c r="H1249" s="22" t="str">
        <f t="shared" si="4"/>
        <v/>
      </c>
    </row>
    <row r="1250" ht="15.75" customHeight="1">
      <c r="A1250" s="31" t="str">
        <f>'EQUITY BACKTEST'!A1253</f>
        <v/>
      </c>
      <c r="B1250" s="22" t="str">
        <f>'EQUITY BACKTEST'!B1253</f>
        <v/>
      </c>
      <c r="C1250" s="22" t="str">
        <f>1/'EQUITY BACKTEST'!E1253</f>
        <v>#DIV/0!</v>
      </c>
      <c r="D1250" s="22" t="str">
        <f t="shared" si="1"/>
        <v>#DIV/0!</v>
      </c>
      <c r="E1250" s="22" t="str">
        <f t="shared" ref="E1250:F1250" si="1250">IF(A1250&lt;&gt;"", (B1250 - B1249) / B1249, "")</f>
        <v/>
      </c>
      <c r="F1250" s="22" t="str">
        <f t="shared" si="1250"/>
        <v/>
      </c>
      <c r="H1250" s="22" t="str">
        <f t="shared" si="4"/>
        <v/>
      </c>
    </row>
    <row r="1251" ht="15.75" customHeight="1">
      <c r="A1251" s="31" t="str">
        <f>'EQUITY BACKTEST'!A1254</f>
        <v/>
      </c>
      <c r="B1251" s="22" t="str">
        <f>'EQUITY BACKTEST'!B1254</f>
        <v/>
      </c>
      <c r="C1251" s="22" t="str">
        <f>1/'EQUITY BACKTEST'!E1254</f>
        <v>#DIV/0!</v>
      </c>
      <c r="D1251" s="22" t="str">
        <f t="shared" si="1"/>
        <v>#DIV/0!</v>
      </c>
      <c r="E1251" s="22" t="str">
        <f t="shared" ref="E1251:F1251" si="1251">IF(A1251&lt;&gt;"", (B1251 - B1250) / B1250, "")</f>
        <v/>
      </c>
      <c r="F1251" s="22" t="str">
        <f t="shared" si="1251"/>
        <v/>
      </c>
      <c r="H1251" s="22" t="str">
        <f t="shared" si="4"/>
        <v/>
      </c>
    </row>
    <row r="1252" ht="15.75" customHeight="1">
      <c r="A1252" s="31" t="str">
        <f>'EQUITY BACKTEST'!A1255</f>
        <v/>
      </c>
      <c r="B1252" s="22" t="str">
        <f>'EQUITY BACKTEST'!B1255</f>
        <v/>
      </c>
      <c r="C1252" s="22" t="str">
        <f>1/'EQUITY BACKTEST'!E1255</f>
        <v>#DIV/0!</v>
      </c>
      <c r="D1252" s="22" t="str">
        <f t="shared" si="1"/>
        <v>#DIV/0!</v>
      </c>
      <c r="E1252" s="22" t="str">
        <f t="shared" ref="E1252:F1252" si="1252">IF(A1252&lt;&gt;"", (B1252 - B1251) / B1251, "")</f>
        <v/>
      </c>
      <c r="F1252" s="22" t="str">
        <f t="shared" si="1252"/>
        <v/>
      </c>
      <c r="H1252" s="22" t="str">
        <f t="shared" si="4"/>
        <v/>
      </c>
    </row>
    <row r="1253" ht="15.75" customHeight="1">
      <c r="A1253" s="31" t="str">
        <f>'EQUITY BACKTEST'!A1256</f>
        <v/>
      </c>
      <c r="B1253" s="22" t="str">
        <f>'EQUITY BACKTEST'!B1256</f>
        <v/>
      </c>
      <c r="C1253" s="22" t="str">
        <f>1/'EQUITY BACKTEST'!E1256</f>
        <v>#DIV/0!</v>
      </c>
      <c r="D1253" s="22" t="str">
        <f t="shared" si="1"/>
        <v>#DIV/0!</v>
      </c>
      <c r="E1253" s="22" t="str">
        <f t="shared" ref="E1253:F1253" si="1253">IF(A1253&lt;&gt;"", (B1253 - B1252) / B1252, "")</f>
        <v/>
      </c>
      <c r="F1253" s="22" t="str">
        <f t="shared" si="1253"/>
        <v/>
      </c>
      <c r="H1253" s="22" t="str">
        <f t="shared" si="4"/>
        <v/>
      </c>
    </row>
    <row r="1254" ht="15.75" customHeight="1">
      <c r="A1254" s="31" t="str">
        <f>'EQUITY BACKTEST'!A1257</f>
        <v/>
      </c>
      <c r="B1254" s="22" t="str">
        <f>'EQUITY BACKTEST'!B1257</f>
        <v/>
      </c>
      <c r="C1254" s="22" t="str">
        <f>1/'EQUITY BACKTEST'!E1257</f>
        <v>#DIV/0!</v>
      </c>
      <c r="D1254" s="22" t="str">
        <f t="shared" si="1"/>
        <v>#DIV/0!</v>
      </c>
      <c r="E1254" s="22" t="str">
        <f t="shared" ref="E1254:F1254" si="1254">IF(A1254&lt;&gt;"", (B1254 - B1253) / B1253, "")</f>
        <v/>
      </c>
      <c r="F1254" s="22" t="str">
        <f t="shared" si="1254"/>
        <v/>
      </c>
      <c r="H1254" s="22" t="str">
        <f t="shared" si="4"/>
        <v/>
      </c>
    </row>
    <row r="1255" ht="15.75" customHeight="1">
      <c r="A1255" s="31" t="str">
        <f>'EQUITY BACKTEST'!A1258</f>
        <v/>
      </c>
      <c r="B1255" s="22" t="str">
        <f>'EQUITY BACKTEST'!B1258</f>
        <v/>
      </c>
      <c r="C1255" s="22" t="str">
        <f>1/'EQUITY BACKTEST'!E1258</f>
        <v>#DIV/0!</v>
      </c>
      <c r="D1255" s="22" t="str">
        <f t="shared" si="1"/>
        <v>#DIV/0!</v>
      </c>
      <c r="E1255" s="22" t="str">
        <f t="shared" ref="E1255:F1255" si="1255">IF(A1255&lt;&gt;"", (B1255 - B1254) / B1254, "")</f>
        <v/>
      </c>
      <c r="F1255" s="22" t="str">
        <f t="shared" si="1255"/>
        <v/>
      </c>
      <c r="H1255" s="22" t="str">
        <f t="shared" si="4"/>
        <v/>
      </c>
    </row>
    <row r="1256" ht="15.75" customHeight="1">
      <c r="A1256" s="31" t="str">
        <f>'EQUITY BACKTEST'!A1259</f>
        <v/>
      </c>
      <c r="B1256" s="22" t="str">
        <f>'EQUITY BACKTEST'!B1259</f>
        <v/>
      </c>
      <c r="C1256" s="22" t="str">
        <f>1/'EQUITY BACKTEST'!E1259</f>
        <v>#DIV/0!</v>
      </c>
      <c r="D1256" s="22" t="str">
        <f t="shared" si="1"/>
        <v>#DIV/0!</v>
      </c>
      <c r="E1256" s="22" t="str">
        <f t="shared" ref="E1256:F1256" si="1256">IF(A1256&lt;&gt;"", (B1256 - B1255) / B1255, "")</f>
        <v/>
      </c>
      <c r="F1256" s="22" t="str">
        <f t="shared" si="1256"/>
        <v/>
      </c>
      <c r="H1256" s="22" t="str">
        <f t="shared" si="4"/>
        <v/>
      </c>
    </row>
    <row r="1257" ht="15.75" customHeight="1">
      <c r="A1257" s="31" t="str">
        <f>'EQUITY BACKTEST'!A1260</f>
        <v/>
      </c>
      <c r="B1257" s="22" t="str">
        <f>'EQUITY BACKTEST'!B1260</f>
        <v/>
      </c>
      <c r="C1257" s="22" t="str">
        <f>1/'EQUITY BACKTEST'!E1260</f>
        <v>#DIV/0!</v>
      </c>
      <c r="D1257" s="22" t="str">
        <f t="shared" si="1"/>
        <v>#DIV/0!</v>
      </c>
      <c r="E1257" s="22" t="str">
        <f t="shared" ref="E1257:F1257" si="1257">IF(A1257&lt;&gt;"", (B1257 - B1256) / B1256, "")</f>
        <v/>
      </c>
      <c r="F1257" s="22" t="str">
        <f t="shared" si="1257"/>
        <v/>
      </c>
      <c r="H1257" s="22" t="str">
        <f t="shared" si="4"/>
        <v/>
      </c>
    </row>
    <row r="1258" ht="15.75" customHeight="1">
      <c r="A1258" s="31" t="str">
        <f>'EQUITY BACKTEST'!A1261</f>
        <v/>
      </c>
      <c r="B1258" s="22" t="str">
        <f>'EQUITY BACKTEST'!B1261</f>
        <v/>
      </c>
      <c r="C1258" s="22" t="str">
        <f>1/'EQUITY BACKTEST'!E1261</f>
        <v>#DIV/0!</v>
      </c>
      <c r="D1258" s="22" t="str">
        <f t="shared" si="1"/>
        <v>#DIV/0!</v>
      </c>
      <c r="E1258" s="22" t="str">
        <f t="shared" ref="E1258:F1258" si="1258">IF(A1258&lt;&gt;"", (B1258 - B1257) / B1257, "")</f>
        <v/>
      </c>
      <c r="F1258" s="22" t="str">
        <f t="shared" si="1258"/>
        <v/>
      </c>
      <c r="H1258" s="22" t="str">
        <f t="shared" si="4"/>
        <v/>
      </c>
    </row>
    <row r="1259" ht="15.75" customHeight="1">
      <c r="A1259" s="31" t="str">
        <f>'EQUITY BACKTEST'!A1262</f>
        <v/>
      </c>
      <c r="B1259" s="22" t="str">
        <f>'EQUITY BACKTEST'!B1262</f>
        <v/>
      </c>
      <c r="C1259" s="22" t="str">
        <f>1/'EQUITY BACKTEST'!E1262</f>
        <v>#DIV/0!</v>
      </c>
      <c r="D1259" s="22" t="str">
        <f t="shared" si="1"/>
        <v>#DIV/0!</v>
      </c>
      <c r="E1259" s="22" t="str">
        <f t="shared" ref="E1259:F1259" si="1259">IF(A1259&lt;&gt;"", (B1259 - B1258) / B1258, "")</f>
        <v/>
      </c>
      <c r="F1259" s="22" t="str">
        <f t="shared" si="1259"/>
        <v/>
      </c>
      <c r="H1259" s="22" t="str">
        <f t="shared" si="4"/>
        <v/>
      </c>
    </row>
    <row r="1260" ht="15.75" customHeight="1">
      <c r="A1260" s="31" t="str">
        <f>'EQUITY BACKTEST'!A1263</f>
        <v/>
      </c>
      <c r="B1260" s="22" t="str">
        <f>'EQUITY BACKTEST'!B1263</f>
        <v/>
      </c>
      <c r="C1260" s="22" t="str">
        <f>1/'EQUITY BACKTEST'!E1263</f>
        <v>#DIV/0!</v>
      </c>
      <c r="D1260" s="22" t="str">
        <f t="shared" si="1"/>
        <v>#DIV/0!</v>
      </c>
      <c r="E1260" s="22" t="str">
        <f t="shared" ref="E1260:F1260" si="1260">IF(A1260&lt;&gt;"", (B1260 - B1259) / B1259, "")</f>
        <v/>
      </c>
      <c r="F1260" s="22" t="str">
        <f t="shared" si="1260"/>
        <v/>
      </c>
      <c r="H1260" s="22" t="str">
        <f t="shared" si="4"/>
        <v/>
      </c>
    </row>
    <row r="1261" ht="15.75" customHeight="1">
      <c r="A1261" s="31" t="str">
        <f>'EQUITY BACKTEST'!A1264</f>
        <v/>
      </c>
      <c r="B1261" s="22" t="str">
        <f>'EQUITY BACKTEST'!B1264</f>
        <v/>
      </c>
      <c r="C1261" s="22" t="str">
        <f>1/'EQUITY BACKTEST'!E1264</f>
        <v>#DIV/0!</v>
      </c>
      <c r="D1261" s="22" t="str">
        <f t="shared" si="1"/>
        <v>#DIV/0!</v>
      </c>
      <c r="E1261" s="22" t="str">
        <f t="shared" ref="E1261:F1261" si="1261">IF(A1261&lt;&gt;"", (B1261 - B1260) / B1260, "")</f>
        <v/>
      </c>
      <c r="F1261" s="22" t="str">
        <f t="shared" si="1261"/>
        <v/>
      </c>
      <c r="H1261" s="22" t="str">
        <f t="shared" si="4"/>
        <v/>
      </c>
    </row>
    <row r="1262" ht="15.75" customHeight="1">
      <c r="A1262" s="31" t="str">
        <f>'EQUITY BACKTEST'!A1265</f>
        <v/>
      </c>
      <c r="B1262" s="22" t="str">
        <f>'EQUITY BACKTEST'!B1265</f>
        <v/>
      </c>
      <c r="C1262" s="22" t="str">
        <f>1/'EQUITY BACKTEST'!E1265</f>
        <v>#DIV/0!</v>
      </c>
      <c r="D1262" s="22" t="str">
        <f t="shared" si="1"/>
        <v>#DIV/0!</v>
      </c>
      <c r="E1262" s="22" t="str">
        <f t="shared" ref="E1262:F1262" si="1262">IF(A1262&lt;&gt;"", (B1262 - B1261) / B1261, "")</f>
        <v/>
      </c>
      <c r="F1262" s="22" t="str">
        <f t="shared" si="1262"/>
        <v/>
      </c>
      <c r="H1262" s="22" t="str">
        <f t="shared" si="4"/>
        <v/>
      </c>
    </row>
    <row r="1263" ht="15.75" customHeight="1">
      <c r="A1263" s="31" t="str">
        <f>'EQUITY BACKTEST'!A1266</f>
        <v/>
      </c>
      <c r="B1263" s="22" t="str">
        <f>'EQUITY BACKTEST'!B1266</f>
        <v/>
      </c>
      <c r="C1263" s="22" t="str">
        <f>1/'EQUITY BACKTEST'!E1266</f>
        <v>#DIV/0!</v>
      </c>
      <c r="D1263" s="22" t="str">
        <f t="shared" si="1"/>
        <v>#DIV/0!</v>
      </c>
      <c r="E1263" s="22" t="str">
        <f t="shared" ref="E1263:F1263" si="1263">IF(A1263&lt;&gt;"", (B1263 - B1262) / B1262, "")</f>
        <v/>
      </c>
      <c r="F1263" s="22" t="str">
        <f t="shared" si="1263"/>
        <v/>
      </c>
      <c r="H1263" s="22" t="str">
        <f t="shared" si="4"/>
        <v/>
      </c>
    </row>
    <row r="1264" ht="15.75" customHeight="1">
      <c r="A1264" s="31" t="str">
        <f>'EQUITY BACKTEST'!A1267</f>
        <v/>
      </c>
      <c r="B1264" s="22" t="str">
        <f>'EQUITY BACKTEST'!B1267</f>
        <v/>
      </c>
      <c r="C1264" s="22" t="str">
        <f>1/'EQUITY BACKTEST'!E1267</f>
        <v>#DIV/0!</v>
      </c>
      <c r="D1264" s="22" t="str">
        <f t="shared" si="1"/>
        <v>#DIV/0!</v>
      </c>
      <c r="E1264" s="22" t="str">
        <f t="shared" ref="E1264:F1264" si="1264">IF(A1264&lt;&gt;"", (B1264 - B1263) / B1263, "")</f>
        <v/>
      </c>
      <c r="F1264" s="22" t="str">
        <f t="shared" si="1264"/>
        <v/>
      </c>
      <c r="H1264" s="22" t="str">
        <f t="shared" si="4"/>
        <v/>
      </c>
    </row>
    <row r="1265" ht="15.75" customHeight="1">
      <c r="A1265" s="31" t="str">
        <f>'EQUITY BACKTEST'!A1268</f>
        <v/>
      </c>
      <c r="B1265" s="22" t="str">
        <f>'EQUITY BACKTEST'!B1268</f>
        <v/>
      </c>
      <c r="C1265" s="22" t="str">
        <f>1/'EQUITY BACKTEST'!E1268</f>
        <v>#DIV/0!</v>
      </c>
      <c r="D1265" s="22" t="str">
        <f t="shared" si="1"/>
        <v>#DIV/0!</v>
      </c>
      <c r="E1265" s="22" t="str">
        <f t="shared" ref="E1265:F1265" si="1265">IF(A1265&lt;&gt;"", (B1265 - B1264) / B1264, "")</f>
        <v/>
      </c>
      <c r="F1265" s="22" t="str">
        <f t="shared" si="1265"/>
        <v/>
      </c>
      <c r="H1265" s="22" t="str">
        <f t="shared" si="4"/>
        <v/>
      </c>
    </row>
    <row r="1266" ht="15.75" customHeight="1">
      <c r="A1266" s="31" t="str">
        <f>'EQUITY BACKTEST'!A1269</f>
        <v/>
      </c>
      <c r="B1266" s="22" t="str">
        <f>'EQUITY BACKTEST'!B1269</f>
        <v/>
      </c>
      <c r="C1266" s="22" t="str">
        <f>1/'EQUITY BACKTEST'!E1269</f>
        <v>#DIV/0!</v>
      </c>
      <c r="D1266" s="22" t="str">
        <f t="shared" si="1"/>
        <v>#DIV/0!</v>
      </c>
      <c r="E1266" s="22" t="str">
        <f t="shared" ref="E1266:F1266" si="1266">IF(A1266&lt;&gt;"", (B1266 - B1265) / B1265, "")</f>
        <v/>
      </c>
      <c r="F1266" s="22" t="str">
        <f t="shared" si="1266"/>
        <v/>
      </c>
      <c r="H1266" s="22" t="str">
        <f t="shared" si="4"/>
        <v/>
      </c>
    </row>
    <row r="1267" ht="15.75" customHeight="1">
      <c r="A1267" s="31" t="str">
        <f>'EQUITY BACKTEST'!A1270</f>
        <v/>
      </c>
      <c r="B1267" s="22" t="str">
        <f>'EQUITY BACKTEST'!B1270</f>
        <v/>
      </c>
      <c r="C1267" s="22" t="str">
        <f>1/'EQUITY BACKTEST'!E1270</f>
        <v>#DIV/0!</v>
      </c>
      <c r="D1267" s="22" t="str">
        <f t="shared" si="1"/>
        <v>#DIV/0!</v>
      </c>
      <c r="E1267" s="22" t="str">
        <f t="shared" ref="E1267:F1267" si="1267">IF(A1267&lt;&gt;"", (B1267 - B1266) / B1266, "")</f>
        <v/>
      </c>
      <c r="F1267" s="22" t="str">
        <f t="shared" si="1267"/>
        <v/>
      </c>
      <c r="H1267" s="22" t="str">
        <f t="shared" si="4"/>
        <v/>
      </c>
    </row>
    <row r="1268" ht="15.75" customHeight="1">
      <c r="A1268" s="31" t="str">
        <f>'EQUITY BACKTEST'!A1271</f>
        <v/>
      </c>
      <c r="B1268" s="22" t="str">
        <f>'EQUITY BACKTEST'!B1271</f>
        <v/>
      </c>
      <c r="C1268" s="22" t="str">
        <f>1/'EQUITY BACKTEST'!E1271</f>
        <v>#DIV/0!</v>
      </c>
      <c r="D1268" s="22" t="str">
        <f t="shared" si="1"/>
        <v>#DIV/0!</v>
      </c>
      <c r="E1268" s="22" t="str">
        <f t="shared" ref="E1268:F1268" si="1268">IF(A1268&lt;&gt;"", (B1268 - B1267) / B1267, "")</f>
        <v/>
      </c>
      <c r="F1268" s="22" t="str">
        <f t="shared" si="1268"/>
        <v/>
      </c>
      <c r="H1268" s="22" t="str">
        <f t="shared" si="4"/>
        <v/>
      </c>
    </row>
    <row r="1269" ht="15.75" customHeight="1">
      <c r="A1269" s="31" t="str">
        <f>'EQUITY BACKTEST'!A1272</f>
        <v/>
      </c>
      <c r="B1269" s="22" t="str">
        <f>'EQUITY BACKTEST'!B1272</f>
        <v/>
      </c>
      <c r="C1269" s="22" t="str">
        <f>1/'EQUITY BACKTEST'!E1272</f>
        <v>#DIV/0!</v>
      </c>
      <c r="D1269" s="22" t="str">
        <f t="shared" si="1"/>
        <v>#DIV/0!</v>
      </c>
      <c r="E1269" s="22" t="str">
        <f t="shared" ref="E1269:F1269" si="1269">IF(A1269&lt;&gt;"", (B1269 - B1268) / B1268, "")</f>
        <v/>
      </c>
      <c r="F1269" s="22" t="str">
        <f t="shared" si="1269"/>
        <v/>
      </c>
      <c r="H1269" s="22" t="str">
        <f t="shared" si="4"/>
        <v/>
      </c>
    </row>
    <row r="1270" ht="15.75" customHeight="1">
      <c r="A1270" s="31" t="str">
        <f>'EQUITY BACKTEST'!A1273</f>
        <v/>
      </c>
      <c r="B1270" s="22" t="str">
        <f>'EQUITY BACKTEST'!B1273</f>
        <v/>
      </c>
      <c r="C1270" s="22" t="str">
        <f>1/'EQUITY BACKTEST'!E1273</f>
        <v>#DIV/0!</v>
      </c>
      <c r="D1270" s="22" t="str">
        <f t="shared" si="1"/>
        <v>#DIV/0!</v>
      </c>
      <c r="E1270" s="22" t="str">
        <f t="shared" ref="E1270:F1270" si="1270">IF(A1270&lt;&gt;"", (B1270 - B1269) / B1269, "")</f>
        <v/>
      </c>
      <c r="F1270" s="22" t="str">
        <f t="shared" si="1270"/>
        <v/>
      </c>
      <c r="H1270" s="22" t="str">
        <f t="shared" si="4"/>
        <v/>
      </c>
    </row>
    <row r="1271" ht="15.75" customHeight="1">
      <c r="A1271" s="31" t="str">
        <f>'EQUITY BACKTEST'!A1274</f>
        <v/>
      </c>
      <c r="B1271" s="22" t="str">
        <f>'EQUITY BACKTEST'!B1274</f>
        <v/>
      </c>
      <c r="C1271" s="22" t="str">
        <f>1/'EQUITY BACKTEST'!E1274</f>
        <v>#DIV/0!</v>
      </c>
      <c r="D1271" s="22" t="str">
        <f t="shared" si="1"/>
        <v>#DIV/0!</v>
      </c>
      <c r="E1271" s="22" t="str">
        <f t="shared" ref="E1271:F1271" si="1271">IF(A1271&lt;&gt;"", (B1271 - B1270) / B1270, "")</f>
        <v/>
      </c>
      <c r="F1271" s="22" t="str">
        <f t="shared" si="1271"/>
        <v/>
      </c>
      <c r="H1271" s="22" t="str">
        <f t="shared" si="4"/>
        <v/>
      </c>
    </row>
    <row r="1272" ht="15.75" customHeight="1">
      <c r="A1272" s="31" t="str">
        <f>'EQUITY BACKTEST'!A1275</f>
        <v/>
      </c>
      <c r="B1272" s="22" t="str">
        <f>'EQUITY BACKTEST'!B1275</f>
        <v/>
      </c>
      <c r="C1272" s="22" t="str">
        <f>1/'EQUITY BACKTEST'!E1275</f>
        <v>#DIV/0!</v>
      </c>
      <c r="D1272" s="22" t="str">
        <f t="shared" si="1"/>
        <v>#DIV/0!</v>
      </c>
      <c r="E1272" s="22" t="str">
        <f t="shared" ref="E1272:F1272" si="1272">IF(A1272&lt;&gt;"", (B1272 - B1271) / B1271, "")</f>
        <v/>
      </c>
      <c r="F1272" s="22" t="str">
        <f t="shared" si="1272"/>
        <v/>
      </c>
      <c r="H1272" s="22" t="str">
        <f t="shared" si="4"/>
        <v/>
      </c>
    </row>
    <row r="1273" ht="15.75" customHeight="1">
      <c r="A1273" s="31" t="str">
        <f>'EQUITY BACKTEST'!A1276</f>
        <v/>
      </c>
      <c r="B1273" s="22" t="str">
        <f>'EQUITY BACKTEST'!B1276</f>
        <v/>
      </c>
      <c r="C1273" s="22" t="str">
        <f>1/'EQUITY BACKTEST'!E1276</f>
        <v>#DIV/0!</v>
      </c>
      <c r="D1273" s="22" t="str">
        <f t="shared" si="1"/>
        <v>#DIV/0!</v>
      </c>
      <c r="E1273" s="22" t="str">
        <f t="shared" ref="E1273:F1273" si="1273">IF(A1273&lt;&gt;"", (B1273 - B1272) / B1272, "")</f>
        <v/>
      </c>
      <c r="F1273" s="22" t="str">
        <f t="shared" si="1273"/>
        <v/>
      </c>
      <c r="H1273" s="22" t="str">
        <f t="shared" si="4"/>
        <v/>
      </c>
    </row>
    <row r="1274" ht="15.75" customHeight="1">
      <c r="A1274" s="31" t="str">
        <f>'EQUITY BACKTEST'!A1277</f>
        <v/>
      </c>
      <c r="B1274" s="22" t="str">
        <f>'EQUITY BACKTEST'!B1277</f>
        <v/>
      </c>
      <c r="C1274" s="22" t="str">
        <f>1/'EQUITY BACKTEST'!E1277</f>
        <v>#DIV/0!</v>
      </c>
      <c r="D1274" s="22" t="str">
        <f t="shared" si="1"/>
        <v>#DIV/0!</v>
      </c>
      <c r="E1274" s="22" t="str">
        <f t="shared" ref="E1274:F1274" si="1274">IF(A1274&lt;&gt;"", (B1274 - B1273) / B1273, "")</f>
        <v/>
      </c>
      <c r="F1274" s="22" t="str">
        <f t="shared" si="1274"/>
        <v/>
      </c>
      <c r="H1274" s="22" t="str">
        <f t="shared" si="4"/>
        <v/>
      </c>
    </row>
    <row r="1275" ht="15.75" customHeight="1">
      <c r="A1275" s="31" t="str">
        <f>'EQUITY BACKTEST'!A1278</f>
        <v/>
      </c>
      <c r="B1275" s="22" t="str">
        <f>'EQUITY BACKTEST'!B1278</f>
        <v/>
      </c>
      <c r="C1275" s="22" t="str">
        <f>1/'EQUITY BACKTEST'!E1278</f>
        <v>#DIV/0!</v>
      </c>
      <c r="D1275" s="22" t="str">
        <f t="shared" si="1"/>
        <v>#DIV/0!</v>
      </c>
      <c r="E1275" s="22" t="str">
        <f t="shared" ref="E1275:F1275" si="1275">IF(A1275&lt;&gt;"", (B1275 - B1274) / B1274, "")</f>
        <v/>
      </c>
      <c r="F1275" s="22" t="str">
        <f t="shared" si="1275"/>
        <v/>
      </c>
      <c r="H1275" s="22" t="str">
        <f t="shared" si="4"/>
        <v/>
      </c>
    </row>
    <row r="1276" ht="15.75" customHeight="1">
      <c r="A1276" s="31" t="str">
        <f>'EQUITY BACKTEST'!A1279</f>
        <v/>
      </c>
      <c r="B1276" s="22" t="str">
        <f>'EQUITY BACKTEST'!B1279</f>
        <v/>
      </c>
      <c r="C1276" s="22" t="str">
        <f>1/'EQUITY BACKTEST'!E1279</f>
        <v>#DIV/0!</v>
      </c>
      <c r="D1276" s="22" t="str">
        <f t="shared" si="1"/>
        <v>#DIV/0!</v>
      </c>
      <c r="E1276" s="22" t="str">
        <f t="shared" ref="E1276:F1276" si="1276">IF(A1276&lt;&gt;"", (B1276 - B1275) / B1275, "")</f>
        <v/>
      </c>
      <c r="F1276" s="22" t="str">
        <f t="shared" si="1276"/>
        <v/>
      </c>
      <c r="H1276" s="22" t="str">
        <f t="shared" si="4"/>
        <v/>
      </c>
    </row>
    <row r="1277" ht="15.75" customHeight="1">
      <c r="A1277" s="31" t="str">
        <f>'EQUITY BACKTEST'!A1280</f>
        <v/>
      </c>
      <c r="B1277" s="22" t="str">
        <f>'EQUITY BACKTEST'!B1280</f>
        <v/>
      </c>
      <c r="C1277" s="22" t="str">
        <f>1/'EQUITY BACKTEST'!E1280</f>
        <v>#DIV/0!</v>
      </c>
      <c r="D1277" s="22" t="str">
        <f t="shared" si="1"/>
        <v>#DIV/0!</v>
      </c>
      <c r="E1277" s="22" t="str">
        <f t="shared" ref="E1277:F1277" si="1277">IF(A1277&lt;&gt;"", (B1277 - B1276) / B1276, "")</f>
        <v/>
      </c>
      <c r="F1277" s="22" t="str">
        <f t="shared" si="1277"/>
        <v/>
      </c>
      <c r="H1277" s="22" t="str">
        <f t="shared" si="4"/>
        <v/>
      </c>
    </row>
    <row r="1278" ht="15.75" customHeight="1">
      <c r="A1278" s="31" t="str">
        <f>'EQUITY BACKTEST'!A1281</f>
        <v/>
      </c>
      <c r="B1278" s="22" t="str">
        <f>'EQUITY BACKTEST'!B1281</f>
        <v/>
      </c>
      <c r="C1278" s="22" t="str">
        <f>1/'EQUITY BACKTEST'!E1281</f>
        <v>#DIV/0!</v>
      </c>
      <c r="D1278" s="22" t="str">
        <f t="shared" si="1"/>
        <v>#DIV/0!</v>
      </c>
      <c r="E1278" s="22" t="str">
        <f t="shared" ref="E1278:F1278" si="1278">IF(A1278&lt;&gt;"", (B1278 - B1277) / B1277, "")</f>
        <v/>
      </c>
      <c r="F1278" s="22" t="str">
        <f t="shared" si="1278"/>
        <v/>
      </c>
      <c r="H1278" s="22" t="str">
        <f t="shared" si="4"/>
        <v/>
      </c>
    </row>
    <row r="1279" ht="15.75" customHeight="1">
      <c r="A1279" s="31" t="str">
        <f>'EQUITY BACKTEST'!A1282</f>
        <v/>
      </c>
      <c r="B1279" s="22" t="str">
        <f>'EQUITY BACKTEST'!B1282</f>
        <v/>
      </c>
      <c r="C1279" s="22" t="str">
        <f>1/'EQUITY BACKTEST'!E1282</f>
        <v>#DIV/0!</v>
      </c>
      <c r="D1279" s="22" t="str">
        <f t="shared" si="1"/>
        <v>#DIV/0!</v>
      </c>
      <c r="E1279" s="22" t="str">
        <f t="shared" ref="E1279:F1279" si="1279">IF(A1279&lt;&gt;"", (B1279 - B1278) / B1278, "")</f>
        <v/>
      </c>
      <c r="F1279" s="22" t="str">
        <f t="shared" si="1279"/>
        <v/>
      </c>
      <c r="H1279" s="22" t="str">
        <f t="shared" si="4"/>
        <v/>
      </c>
    </row>
    <row r="1280" ht="15.75" customHeight="1">
      <c r="A1280" s="31" t="str">
        <f>'EQUITY BACKTEST'!A1283</f>
        <v/>
      </c>
      <c r="B1280" s="22" t="str">
        <f>'EQUITY BACKTEST'!B1283</f>
        <v/>
      </c>
      <c r="C1280" s="22" t="str">
        <f>1/'EQUITY BACKTEST'!E1283</f>
        <v>#DIV/0!</v>
      </c>
      <c r="D1280" s="22" t="str">
        <f t="shared" si="1"/>
        <v>#DIV/0!</v>
      </c>
      <c r="E1280" s="22" t="str">
        <f t="shared" ref="E1280:F1280" si="1280">IF(A1280&lt;&gt;"", (B1280 - B1279) / B1279, "")</f>
        <v/>
      </c>
      <c r="F1280" s="22" t="str">
        <f t="shared" si="1280"/>
        <v/>
      </c>
      <c r="H1280" s="22" t="str">
        <f t="shared" si="4"/>
        <v/>
      </c>
    </row>
    <row r="1281" ht="15.75" customHeight="1">
      <c r="A1281" s="31" t="str">
        <f>'EQUITY BACKTEST'!A1284</f>
        <v/>
      </c>
      <c r="B1281" s="22" t="str">
        <f>'EQUITY BACKTEST'!B1284</f>
        <v/>
      </c>
      <c r="C1281" s="22" t="str">
        <f>1/'EQUITY BACKTEST'!E1284</f>
        <v>#DIV/0!</v>
      </c>
      <c r="D1281" s="22" t="str">
        <f t="shared" si="1"/>
        <v>#DIV/0!</v>
      </c>
      <c r="E1281" s="22" t="str">
        <f t="shared" ref="E1281:F1281" si="1281">IF(A1281&lt;&gt;"", (B1281 - B1280) / B1280, "")</f>
        <v/>
      </c>
      <c r="F1281" s="22" t="str">
        <f t="shared" si="1281"/>
        <v/>
      </c>
      <c r="H1281" s="22" t="str">
        <f t="shared" si="4"/>
        <v/>
      </c>
    </row>
    <row r="1282" ht="15.75" customHeight="1">
      <c r="A1282" s="31" t="str">
        <f>'EQUITY BACKTEST'!A1285</f>
        <v/>
      </c>
      <c r="B1282" s="22" t="str">
        <f>'EQUITY BACKTEST'!B1285</f>
        <v/>
      </c>
      <c r="C1282" s="22" t="str">
        <f>1/'EQUITY BACKTEST'!E1285</f>
        <v>#DIV/0!</v>
      </c>
      <c r="D1282" s="22" t="str">
        <f t="shared" si="1"/>
        <v>#DIV/0!</v>
      </c>
      <c r="E1282" s="22" t="str">
        <f t="shared" ref="E1282:F1282" si="1282">IF(A1282&lt;&gt;"", (B1282 - B1281) / B1281, "")</f>
        <v/>
      </c>
      <c r="F1282" s="22" t="str">
        <f t="shared" si="1282"/>
        <v/>
      </c>
      <c r="H1282" s="22" t="str">
        <f t="shared" si="4"/>
        <v/>
      </c>
    </row>
    <row r="1283" ht="15.75" customHeight="1">
      <c r="A1283" s="31" t="str">
        <f>'EQUITY BACKTEST'!A1286</f>
        <v/>
      </c>
      <c r="B1283" s="22" t="str">
        <f>'EQUITY BACKTEST'!B1286</f>
        <v/>
      </c>
      <c r="C1283" s="22" t="str">
        <f>1/'EQUITY BACKTEST'!E1286</f>
        <v>#DIV/0!</v>
      </c>
      <c r="D1283" s="22" t="str">
        <f t="shared" si="1"/>
        <v>#DIV/0!</v>
      </c>
      <c r="E1283" s="22" t="str">
        <f t="shared" ref="E1283:F1283" si="1283">IF(A1283&lt;&gt;"", (B1283 - B1282) / B1282, "")</f>
        <v/>
      </c>
      <c r="F1283" s="22" t="str">
        <f t="shared" si="1283"/>
        <v/>
      </c>
      <c r="H1283" s="22" t="str">
        <f t="shared" si="4"/>
        <v/>
      </c>
    </row>
    <row r="1284" ht="15.75" customHeight="1">
      <c r="A1284" s="31" t="str">
        <f>'EQUITY BACKTEST'!A1287</f>
        <v/>
      </c>
      <c r="B1284" s="22" t="str">
        <f>'EQUITY BACKTEST'!B1287</f>
        <v/>
      </c>
      <c r="C1284" s="22" t="str">
        <f>1/'EQUITY BACKTEST'!E1287</f>
        <v>#DIV/0!</v>
      </c>
      <c r="D1284" s="22" t="str">
        <f t="shared" si="1"/>
        <v>#DIV/0!</v>
      </c>
      <c r="E1284" s="22" t="str">
        <f t="shared" ref="E1284:F1284" si="1284">IF(A1284&lt;&gt;"", (B1284 - B1283) / B1283, "")</f>
        <v/>
      </c>
      <c r="F1284" s="22" t="str">
        <f t="shared" si="1284"/>
        <v/>
      </c>
      <c r="H1284" s="22" t="str">
        <f t="shared" si="4"/>
        <v/>
      </c>
    </row>
    <row r="1285" ht="15.75" customHeight="1">
      <c r="A1285" s="31" t="str">
        <f>'EQUITY BACKTEST'!A1288</f>
        <v/>
      </c>
      <c r="B1285" s="22" t="str">
        <f>'EQUITY BACKTEST'!B1288</f>
        <v/>
      </c>
      <c r="C1285" s="22" t="str">
        <f>1/'EQUITY BACKTEST'!E1288</f>
        <v>#DIV/0!</v>
      </c>
      <c r="D1285" s="22" t="str">
        <f t="shared" si="1"/>
        <v>#DIV/0!</v>
      </c>
      <c r="E1285" s="22" t="str">
        <f t="shared" ref="E1285:F1285" si="1285">IF(A1285&lt;&gt;"", (B1285 - B1284) / B1284, "")</f>
        <v/>
      </c>
      <c r="F1285" s="22" t="str">
        <f t="shared" si="1285"/>
        <v/>
      </c>
      <c r="H1285" s="22" t="str">
        <f t="shared" si="4"/>
        <v/>
      </c>
    </row>
    <row r="1286" ht="15.75" customHeight="1">
      <c r="A1286" s="31" t="str">
        <f>'EQUITY BACKTEST'!A1289</f>
        <v/>
      </c>
      <c r="B1286" s="22" t="str">
        <f>'EQUITY BACKTEST'!B1289</f>
        <v/>
      </c>
      <c r="C1286" s="22" t="str">
        <f>1/'EQUITY BACKTEST'!E1289</f>
        <v>#DIV/0!</v>
      </c>
      <c r="D1286" s="22" t="str">
        <f t="shared" si="1"/>
        <v>#DIV/0!</v>
      </c>
      <c r="E1286" s="22" t="str">
        <f t="shared" ref="E1286:F1286" si="1286">IF(A1286&lt;&gt;"", (B1286 - B1285) / B1285, "")</f>
        <v/>
      </c>
      <c r="F1286" s="22" t="str">
        <f t="shared" si="1286"/>
        <v/>
      </c>
      <c r="H1286" s="22" t="str">
        <f t="shared" si="4"/>
        <v/>
      </c>
    </row>
    <row r="1287" ht="15.75" customHeight="1">
      <c r="A1287" s="31" t="str">
        <f>'EQUITY BACKTEST'!A1290</f>
        <v/>
      </c>
      <c r="B1287" s="22" t="str">
        <f>'EQUITY BACKTEST'!B1290</f>
        <v/>
      </c>
      <c r="C1287" s="22" t="str">
        <f>1/'EQUITY BACKTEST'!E1290</f>
        <v>#DIV/0!</v>
      </c>
      <c r="D1287" s="22" t="str">
        <f t="shared" si="1"/>
        <v>#DIV/0!</v>
      </c>
      <c r="E1287" s="22" t="str">
        <f t="shared" ref="E1287:F1287" si="1287">IF(A1287&lt;&gt;"", (B1287 - B1286) / B1286, "")</f>
        <v/>
      </c>
      <c r="F1287" s="22" t="str">
        <f t="shared" si="1287"/>
        <v/>
      </c>
      <c r="H1287" s="22" t="str">
        <f t="shared" si="4"/>
        <v/>
      </c>
    </row>
    <row r="1288" ht="15.75" customHeight="1">
      <c r="A1288" s="31" t="str">
        <f>'EQUITY BACKTEST'!A1291</f>
        <v/>
      </c>
      <c r="B1288" s="22" t="str">
        <f>'EQUITY BACKTEST'!B1291</f>
        <v/>
      </c>
      <c r="C1288" s="22" t="str">
        <f>1/'EQUITY BACKTEST'!E1291</f>
        <v>#DIV/0!</v>
      </c>
      <c r="D1288" s="22" t="str">
        <f t="shared" si="1"/>
        <v>#DIV/0!</v>
      </c>
      <c r="E1288" s="22" t="str">
        <f t="shared" ref="E1288:F1288" si="1288">IF(A1288&lt;&gt;"", (B1288 - B1287) / B1287, "")</f>
        <v/>
      </c>
      <c r="F1288" s="22" t="str">
        <f t="shared" si="1288"/>
        <v/>
      </c>
      <c r="H1288" s="22" t="str">
        <f t="shared" si="4"/>
        <v/>
      </c>
    </row>
    <row r="1289" ht="15.75" customHeight="1">
      <c r="A1289" s="31" t="str">
        <f>'EQUITY BACKTEST'!A1292</f>
        <v/>
      </c>
      <c r="B1289" s="22" t="str">
        <f>'EQUITY BACKTEST'!B1292</f>
        <v/>
      </c>
      <c r="C1289" s="22" t="str">
        <f>1/'EQUITY BACKTEST'!E1292</f>
        <v>#DIV/0!</v>
      </c>
      <c r="D1289" s="22" t="str">
        <f t="shared" si="1"/>
        <v>#DIV/0!</v>
      </c>
      <c r="E1289" s="22" t="str">
        <f t="shared" ref="E1289:F1289" si="1289">IF(A1289&lt;&gt;"", (B1289 - B1288) / B1288, "")</f>
        <v/>
      </c>
      <c r="F1289" s="22" t="str">
        <f t="shared" si="1289"/>
        <v/>
      </c>
      <c r="H1289" s="22" t="str">
        <f t="shared" si="4"/>
        <v/>
      </c>
    </row>
    <row r="1290" ht="15.75" customHeight="1">
      <c r="A1290" s="31" t="str">
        <f>'EQUITY BACKTEST'!A1293</f>
        <v/>
      </c>
      <c r="B1290" s="22" t="str">
        <f>'EQUITY BACKTEST'!B1293</f>
        <v/>
      </c>
      <c r="C1290" s="22" t="str">
        <f>1/'EQUITY BACKTEST'!E1293</f>
        <v>#DIV/0!</v>
      </c>
      <c r="D1290" s="22" t="str">
        <f t="shared" si="1"/>
        <v>#DIV/0!</v>
      </c>
      <c r="E1290" s="22" t="str">
        <f t="shared" ref="E1290:F1290" si="1290">IF(A1290&lt;&gt;"", (B1290 - B1289) / B1289, "")</f>
        <v/>
      </c>
      <c r="F1290" s="22" t="str">
        <f t="shared" si="1290"/>
        <v/>
      </c>
      <c r="H1290" s="22" t="str">
        <f t="shared" si="4"/>
        <v/>
      </c>
    </row>
    <row r="1291" ht="15.75" customHeight="1">
      <c r="A1291" s="31" t="str">
        <f>'EQUITY BACKTEST'!A1294</f>
        <v/>
      </c>
      <c r="B1291" s="22" t="str">
        <f>'EQUITY BACKTEST'!B1294</f>
        <v/>
      </c>
      <c r="C1291" s="22" t="str">
        <f>1/'EQUITY BACKTEST'!E1294</f>
        <v>#DIV/0!</v>
      </c>
      <c r="D1291" s="22" t="str">
        <f t="shared" si="1"/>
        <v>#DIV/0!</v>
      </c>
      <c r="E1291" s="22" t="str">
        <f t="shared" ref="E1291:F1291" si="1291">IF(A1291&lt;&gt;"", (B1291 - B1290) / B1290, "")</f>
        <v/>
      </c>
      <c r="F1291" s="22" t="str">
        <f t="shared" si="1291"/>
        <v/>
      </c>
      <c r="H1291" s="22" t="str">
        <f t="shared" si="4"/>
        <v/>
      </c>
    </row>
    <row r="1292" ht="15.75" customHeight="1">
      <c r="A1292" s="31" t="str">
        <f>'EQUITY BACKTEST'!A1295</f>
        <v/>
      </c>
      <c r="B1292" s="22" t="str">
        <f>'EQUITY BACKTEST'!B1295</f>
        <v/>
      </c>
      <c r="C1292" s="22" t="str">
        <f>1/'EQUITY BACKTEST'!E1295</f>
        <v>#DIV/0!</v>
      </c>
      <c r="D1292" s="22" t="str">
        <f t="shared" si="1"/>
        <v>#DIV/0!</v>
      </c>
      <c r="E1292" s="22" t="str">
        <f t="shared" ref="E1292:F1292" si="1292">IF(A1292&lt;&gt;"", (B1292 - B1291) / B1291, "")</f>
        <v/>
      </c>
      <c r="F1292" s="22" t="str">
        <f t="shared" si="1292"/>
        <v/>
      </c>
      <c r="H1292" s="22" t="str">
        <f t="shared" si="4"/>
        <v/>
      </c>
    </row>
    <row r="1293" ht="15.75" customHeight="1">
      <c r="A1293" s="31" t="str">
        <f>'EQUITY BACKTEST'!A1296</f>
        <v/>
      </c>
      <c r="B1293" s="22" t="str">
        <f>'EQUITY BACKTEST'!B1296</f>
        <v/>
      </c>
      <c r="C1293" s="22" t="str">
        <f>1/'EQUITY BACKTEST'!E1296</f>
        <v>#DIV/0!</v>
      </c>
      <c r="D1293" s="22" t="str">
        <f t="shared" si="1"/>
        <v>#DIV/0!</v>
      </c>
      <c r="E1293" s="22" t="str">
        <f t="shared" ref="E1293:F1293" si="1293">IF(A1293&lt;&gt;"", (B1293 - B1292) / B1292, "")</f>
        <v/>
      </c>
      <c r="F1293" s="22" t="str">
        <f t="shared" si="1293"/>
        <v/>
      </c>
      <c r="H1293" s="22" t="str">
        <f t="shared" si="4"/>
        <v/>
      </c>
    </row>
    <row r="1294" ht="15.75" customHeight="1">
      <c r="A1294" s="31" t="str">
        <f>'EQUITY BACKTEST'!A1297</f>
        <v/>
      </c>
      <c r="B1294" s="22" t="str">
        <f>'EQUITY BACKTEST'!B1297</f>
        <v/>
      </c>
      <c r="C1294" s="22" t="str">
        <f>1/'EQUITY BACKTEST'!E1297</f>
        <v>#DIV/0!</v>
      </c>
      <c r="D1294" s="22" t="str">
        <f t="shared" si="1"/>
        <v>#DIV/0!</v>
      </c>
      <c r="E1294" s="22" t="str">
        <f t="shared" ref="E1294:F1294" si="1294">IF(A1294&lt;&gt;"", (B1294 - B1293) / B1293, "")</f>
        <v/>
      </c>
      <c r="F1294" s="22" t="str">
        <f t="shared" si="1294"/>
        <v/>
      </c>
      <c r="H1294" s="22" t="str">
        <f t="shared" si="4"/>
        <v/>
      </c>
    </row>
    <row r="1295" ht="15.75" customHeight="1">
      <c r="A1295" s="31" t="str">
        <f>'EQUITY BACKTEST'!A1298</f>
        <v/>
      </c>
      <c r="B1295" s="22" t="str">
        <f>'EQUITY BACKTEST'!B1298</f>
        <v/>
      </c>
      <c r="C1295" s="22" t="str">
        <f>1/'EQUITY BACKTEST'!E1298</f>
        <v>#DIV/0!</v>
      </c>
      <c r="D1295" s="22" t="str">
        <f t="shared" si="1"/>
        <v>#DIV/0!</v>
      </c>
      <c r="E1295" s="22" t="str">
        <f t="shared" ref="E1295:F1295" si="1295">IF(A1295&lt;&gt;"", (B1295 - B1294) / B1294, "")</f>
        <v/>
      </c>
      <c r="F1295" s="22" t="str">
        <f t="shared" si="1295"/>
        <v/>
      </c>
      <c r="H1295" s="22" t="str">
        <f t="shared" si="4"/>
        <v/>
      </c>
    </row>
    <row r="1296" ht="15.75" customHeight="1">
      <c r="A1296" s="31" t="str">
        <f>'EQUITY BACKTEST'!A1299</f>
        <v/>
      </c>
      <c r="B1296" s="22" t="str">
        <f>'EQUITY BACKTEST'!B1299</f>
        <v/>
      </c>
      <c r="C1296" s="22" t="str">
        <f>1/'EQUITY BACKTEST'!E1299</f>
        <v>#DIV/0!</v>
      </c>
      <c r="D1296" s="22" t="str">
        <f t="shared" si="1"/>
        <v>#DIV/0!</v>
      </c>
      <c r="E1296" s="22" t="str">
        <f t="shared" ref="E1296:F1296" si="1296">IF(A1296&lt;&gt;"", (B1296 - B1295) / B1295, "")</f>
        <v/>
      </c>
      <c r="F1296" s="22" t="str">
        <f t="shared" si="1296"/>
        <v/>
      </c>
      <c r="H1296" s="22" t="str">
        <f t="shared" si="4"/>
        <v/>
      </c>
    </row>
    <row r="1297" ht="15.75" customHeight="1">
      <c r="A1297" s="31" t="str">
        <f>'EQUITY BACKTEST'!A1300</f>
        <v/>
      </c>
      <c r="B1297" s="22" t="str">
        <f>'EQUITY BACKTEST'!B1300</f>
        <v/>
      </c>
      <c r="C1297" s="22" t="str">
        <f>1/'EQUITY BACKTEST'!E1300</f>
        <v>#DIV/0!</v>
      </c>
      <c r="D1297" s="22" t="str">
        <f t="shared" si="1"/>
        <v>#DIV/0!</v>
      </c>
      <c r="E1297" s="22" t="str">
        <f t="shared" ref="E1297:F1297" si="1297">IF(A1297&lt;&gt;"", (B1297 - B1296) / B1296, "")</f>
        <v/>
      </c>
      <c r="F1297" s="22" t="str">
        <f t="shared" si="1297"/>
        <v/>
      </c>
      <c r="H1297" s="22" t="str">
        <f t="shared" si="4"/>
        <v/>
      </c>
    </row>
    <row r="1298" ht="15.75" customHeight="1">
      <c r="A1298" s="31" t="str">
        <f>'EQUITY BACKTEST'!A1301</f>
        <v/>
      </c>
      <c r="B1298" s="22" t="str">
        <f>'EQUITY BACKTEST'!B1301</f>
        <v/>
      </c>
      <c r="C1298" s="22" t="str">
        <f>1/'EQUITY BACKTEST'!E1301</f>
        <v>#DIV/0!</v>
      </c>
      <c r="D1298" s="22" t="str">
        <f t="shared" si="1"/>
        <v>#DIV/0!</v>
      </c>
      <c r="E1298" s="22" t="str">
        <f t="shared" ref="E1298:F1298" si="1298">IF(A1298&lt;&gt;"", (B1298 - B1297) / B1297, "")</f>
        <v/>
      </c>
      <c r="F1298" s="22" t="str">
        <f t="shared" si="1298"/>
        <v/>
      </c>
      <c r="H1298" s="22" t="str">
        <f t="shared" si="4"/>
        <v/>
      </c>
    </row>
    <row r="1299" ht="15.75" customHeight="1">
      <c r="A1299" s="31" t="str">
        <f>'EQUITY BACKTEST'!A1302</f>
        <v/>
      </c>
      <c r="B1299" s="22" t="str">
        <f>'EQUITY BACKTEST'!B1302</f>
        <v/>
      </c>
      <c r="C1299" s="22" t="str">
        <f>1/'EQUITY BACKTEST'!E1302</f>
        <v>#DIV/0!</v>
      </c>
      <c r="D1299" s="22" t="str">
        <f t="shared" si="1"/>
        <v>#DIV/0!</v>
      </c>
      <c r="E1299" s="22" t="str">
        <f t="shared" ref="E1299:F1299" si="1299">IF(A1299&lt;&gt;"", (B1299 - B1298) / B1298, "")</f>
        <v/>
      </c>
      <c r="F1299" s="22" t="str">
        <f t="shared" si="1299"/>
        <v/>
      </c>
      <c r="H1299" s="22" t="str">
        <f t="shared" si="4"/>
        <v/>
      </c>
    </row>
    <row r="1300" ht="15.75" customHeight="1">
      <c r="A1300" s="31" t="str">
        <f>'EQUITY BACKTEST'!A1303</f>
        <v/>
      </c>
      <c r="B1300" s="22" t="str">
        <f>'EQUITY BACKTEST'!B1303</f>
        <v/>
      </c>
      <c r="C1300" s="22" t="str">
        <f>1/'EQUITY BACKTEST'!E1303</f>
        <v>#DIV/0!</v>
      </c>
      <c r="D1300" s="22" t="str">
        <f t="shared" si="1"/>
        <v>#DIV/0!</v>
      </c>
      <c r="E1300" s="22" t="str">
        <f t="shared" ref="E1300:F1300" si="1300">IF(A1300&lt;&gt;"", (B1300 - B1299) / B1299, "")</f>
        <v/>
      </c>
      <c r="F1300" s="22" t="str">
        <f t="shared" si="1300"/>
        <v/>
      </c>
      <c r="H1300" s="22" t="str">
        <f t="shared" si="4"/>
        <v/>
      </c>
    </row>
    <row r="1301" ht="15.75" customHeight="1">
      <c r="A1301" s="31" t="str">
        <f>'EQUITY BACKTEST'!A1304</f>
        <v/>
      </c>
      <c r="B1301" s="22" t="str">
        <f>'EQUITY BACKTEST'!B1304</f>
        <v/>
      </c>
      <c r="C1301" s="22" t="str">
        <f>1/'EQUITY BACKTEST'!E1304</f>
        <v>#DIV/0!</v>
      </c>
      <c r="D1301" s="22" t="str">
        <f t="shared" si="1"/>
        <v>#DIV/0!</v>
      </c>
      <c r="E1301" s="22" t="str">
        <f t="shared" ref="E1301:F1301" si="1301">IF(A1301&lt;&gt;"", (B1301 - B1300) / B1300, "")</f>
        <v/>
      </c>
      <c r="F1301" s="22" t="str">
        <f t="shared" si="1301"/>
        <v/>
      </c>
      <c r="H1301" s="22" t="str">
        <f t="shared" si="4"/>
        <v/>
      </c>
    </row>
    <row r="1302" ht="15.75" customHeight="1">
      <c r="A1302" s="31" t="str">
        <f>'EQUITY BACKTEST'!A1305</f>
        <v/>
      </c>
      <c r="B1302" s="22" t="str">
        <f>'EQUITY BACKTEST'!B1305</f>
        <v/>
      </c>
      <c r="C1302" s="22" t="str">
        <f>1/'EQUITY BACKTEST'!E1305</f>
        <v>#DIV/0!</v>
      </c>
      <c r="D1302" s="22" t="str">
        <f t="shared" si="1"/>
        <v>#DIV/0!</v>
      </c>
      <c r="E1302" s="22" t="str">
        <f t="shared" ref="E1302:F1302" si="1302">IF(A1302&lt;&gt;"", (B1302 - B1301) / B1301, "")</f>
        <v/>
      </c>
      <c r="F1302" s="22" t="str">
        <f t="shared" si="1302"/>
        <v/>
      </c>
      <c r="H1302" s="22" t="str">
        <f t="shared" si="4"/>
        <v/>
      </c>
    </row>
    <row r="1303" ht="15.75" customHeight="1">
      <c r="A1303" s="31" t="str">
        <f>'EQUITY BACKTEST'!A1306</f>
        <v/>
      </c>
      <c r="B1303" s="22" t="str">
        <f>'EQUITY BACKTEST'!B1306</f>
        <v/>
      </c>
      <c r="C1303" s="22" t="str">
        <f>1/'EQUITY BACKTEST'!E1306</f>
        <v>#DIV/0!</v>
      </c>
      <c r="D1303" s="22" t="str">
        <f t="shared" si="1"/>
        <v>#DIV/0!</v>
      </c>
      <c r="E1303" s="22" t="str">
        <f t="shared" ref="E1303:F1303" si="1303">IF(A1303&lt;&gt;"", (B1303 - B1302) / B1302, "")</f>
        <v/>
      </c>
      <c r="F1303" s="22" t="str">
        <f t="shared" si="1303"/>
        <v/>
      </c>
      <c r="H1303" s="22" t="str">
        <f t="shared" si="4"/>
        <v/>
      </c>
    </row>
    <row r="1304" ht="15.75" customHeight="1">
      <c r="A1304" s="31" t="str">
        <f>'EQUITY BACKTEST'!A1307</f>
        <v/>
      </c>
      <c r="B1304" s="22" t="str">
        <f>'EQUITY BACKTEST'!B1307</f>
        <v/>
      </c>
      <c r="C1304" s="22" t="str">
        <f>1/'EQUITY BACKTEST'!E1307</f>
        <v>#DIV/0!</v>
      </c>
      <c r="D1304" s="22" t="str">
        <f t="shared" si="1"/>
        <v>#DIV/0!</v>
      </c>
      <c r="E1304" s="22" t="str">
        <f t="shared" ref="E1304:F1304" si="1304">IF(A1304&lt;&gt;"", (B1304 - B1303) / B1303, "")</f>
        <v/>
      </c>
      <c r="F1304" s="22" t="str">
        <f t="shared" si="1304"/>
        <v/>
      </c>
      <c r="H1304" s="22" t="str">
        <f t="shared" si="4"/>
        <v/>
      </c>
    </row>
    <row r="1305" ht="15.75" customHeight="1">
      <c r="A1305" s="31" t="str">
        <f>'EQUITY BACKTEST'!A1308</f>
        <v/>
      </c>
      <c r="B1305" s="22" t="str">
        <f>'EQUITY BACKTEST'!B1308</f>
        <v/>
      </c>
      <c r="C1305" s="22" t="str">
        <f>1/'EQUITY BACKTEST'!E1308</f>
        <v>#DIV/0!</v>
      </c>
      <c r="D1305" s="22" t="str">
        <f t="shared" si="1"/>
        <v>#DIV/0!</v>
      </c>
      <c r="E1305" s="22" t="str">
        <f t="shared" ref="E1305:F1305" si="1305">IF(A1305&lt;&gt;"", (B1305 - B1304) / B1304, "")</f>
        <v/>
      </c>
      <c r="F1305" s="22" t="str">
        <f t="shared" si="1305"/>
        <v/>
      </c>
      <c r="H1305" s="22" t="str">
        <f t="shared" si="4"/>
        <v/>
      </c>
    </row>
    <row r="1306" ht="15.75" customHeight="1">
      <c r="A1306" s="31" t="str">
        <f>'EQUITY BACKTEST'!A1309</f>
        <v/>
      </c>
      <c r="B1306" s="22" t="str">
        <f>'EQUITY BACKTEST'!B1309</f>
        <v/>
      </c>
      <c r="C1306" s="22" t="str">
        <f>1/'EQUITY BACKTEST'!E1309</f>
        <v>#DIV/0!</v>
      </c>
      <c r="D1306" s="22" t="str">
        <f t="shared" si="1"/>
        <v>#DIV/0!</v>
      </c>
      <c r="E1306" s="22" t="str">
        <f t="shared" ref="E1306:F1306" si="1306">IF(A1306&lt;&gt;"", (B1306 - B1305) / B1305, "")</f>
        <v/>
      </c>
      <c r="F1306" s="22" t="str">
        <f t="shared" si="1306"/>
        <v/>
      </c>
      <c r="H1306" s="22" t="str">
        <f t="shared" si="4"/>
        <v/>
      </c>
    </row>
    <row r="1307" ht="15.75" customHeight="1">
      <c r="A1307" s="31" t="str">
        <f>'EQUITY BACKTEST'!A1310</f>
        <v/>
      </c>
      <c r="B1307" s="22" t="str">
        <f>'EQUITY BACKTEST'!B1310</f>
        <v/>
      </c>
      <c r="C1307" s="22" t="str">
        <f>1/'EQUITY BACKTEST'!E1310</f>
        <v>#DIV/0!</v>
      </c>
      <c r="D1307" s="22" t="str">
        <f t="shared" si="1"/>
        <v>#DIV/0!</v>
      </c>
      <c r="E1307" s="22" t="str">
        <f t="shared" ref="E1307:F1307" si="1307">IF(A1307&lt;&gt;"", (B1307 - B1306) / B1306, "")</f>
        <v/>
      </c>
      <c r="F1307" s="22" t="str">
        <f t="shared" si="1307"/>
        <v/>
      </c>
      <c r="H1307" s="22" t="str">
        <f t="shared" si="4"/>
        <v/>
      </c>
    </row>
    <row r="1308" ht="15.75" customHeight="1">
      <c r="A1308" s="31" t="str">
        <f>'EQUITY BACKTEST'!A1311</f>
        <v/>
      </c>
      <c r="B1308" s="22" t="str">
        <f>'EQUITY BACKTEST'!B1311</f>
        <v/>
      </c>
      <c r="C1308" s="22" t="str">
        <f>1/'EQUITY BACKTEST'!E1311</f>
        <v>#DIV/0!</v>
      </c>
      <c r="D1308" s="22" t="str">
        <f t="shared" si="1"/>
        <v>#DIV/0!</v>
      </c>
      <c r="E1308" s="22" t="str">
        <f t="shared" ref="E1308:F1308" si="1308">IF(A1308&lt;&gt;"", (B1308 - B1307) / B1307, "")</f>
        <v/>
      </c>
      <c r="F1308" s="22" t="str">
        <f t="shared" si="1308"/>
        <v/>
      </c>
      <c r="H1308" s="22" t="str">
        <f t="shared" si="4"/>
        <v/>
      </c>
    </row>
    <row r="1309" ht="15.75" customHeight="1">
      <c r="A1309" s="31" t="str">
        <f>'EQUITY BACKTEST'!A1312</f>
        <v/>
      </c>
      <c r="B1309" s="22" t="str">
        <f>'EQUITY BACKTEST'!B1312</f>
        <v/>
      </c>
      <c r="C1309" s="22" t="str">
        <f>1/'EQUITY BACKTEST'!E1312</f>
        <v>#DIV/0!</v>
      </c>
      <c r="D1309" s="22" t="str">
        <f t="shared" si="1"/>
        <v>#DIV/0!</v>
      </c>
      <c r="E1309" s="22" t="str">
        <f t="shared" ref="E1309:F1309" si="1309">IF(A1309&lt;&gt;"", (B1309 - B1308) / B1308, "")</f>
        <v/>
      </c>
      <c r="F1309" s="22" t="str">
        <f t="shared" si="1309"/>
        <v/>
      </c>
      <c r="H1309" s="22" t="str">
        <f t="shared" si="4"/>
        <v/>
      </c>
    </row>
    <row r="1310" ht="15.75" customHeight="1">
      <c r="A1310" s="31" t="str">
        <f>'EQUITY BACKTEST'!A1313</f>
        <v/>
      </c>
      <c r="B1310" s="22" t="str">
        <f>'EQUITY BACKTEST'!B1313</f>
        <v/>
      </c>
      <c r="C1310" s="22" t="str">
        <f>1/'EQUITY BACKTEST'!E1313</f>
        <v>#DIV/0!</v>
      </c>
      <c r="D1310" s="22" t="str">
        <f t="shared" si="1"/>
        <v>#DIV/0!</v>
      </c>
      <c r="E1310" s="22" t="str">
        <f t="shared" ref="E1310:F1310" si="1310">IF(A1310&lt;&gt;"", (B1310 - B1309) / B1309, "")</f>
        <v/>
      </c>
      <c r="F1310" s="22" t="str">
        <f t="shared" si="1310"/>
        <v/>
      </c>
      <c r="H1310" s="22" t="str">
        <f t="shared" si="4"/>
        <v/>
      </c>
    </row>
    <row r="1311" ht="15.75" customHeight="1">
      <c r="A1311" s="31" t="str">
        <f>'EQUITY BACKTEST'!A1314</f>
        <v/>
      </c>
      <c r="B1311" s="22" t="str">
        <f>'EQUITY BACKTEST'!B1314</f>
        <v/>
      </c>
      <c r="C1311" s="22" t="str">
        <f>1/'EQUITY BACKTEST'!E1314</f>
        <v>#DIV/0!</v>
      </c>
      <c r="D1311" s="22" t="str">
        <f t="shared" si="1"/>
        <v>#DIV/0!</v>
      </c>
      <c r="E1311" s="22" t="str">
        <f t="shared" ref="E1311:F1311" si="1311">IF(A1311&lt;&gt;"", (B1311 - B1310) / B1310, "")</f>
        <v/>
      </c>
      <c r="F1311" s="22" t="str">
        <f t="shared" si="1311"/>
        <v/>
      </c>
      <c r="H1311" s="22" t="str">
        <f t="shared" si="4"/>
        <v/>
      </c>
    </row>
    <row r="1312" ht="15.75" customHeight="1">
      <c r="A1312" s="31" t="str">
        <f>'EQUITY BACKTEST'!A1315</f>
        <v/>
      </c>
      <c r="B1312" s="22" t="str">
        <f>'EQUITY BACKTEST'!B1315</f>
        <v/>
      </c>
      <c r="C1312" s="22" t="str">
        <f>1/'EQUITY BACKTEST'!E1315</f>
        <v>#DIV/0!</v>
      </c>
      <c r="D1312" s="22" t="str">
        <f t="shared" si="1"/>
        <v>#DIV/0!</v>
      </c>
      <c r="E1312" s="22" t="str">
        <f t="shared" ref="E1312:F1312" si="1312">IF(A1312&lt;&gt;"", (B1312 - B1311) / B1311, "")</f>
        <v/>
      </c>
      <c r="F1312" s="22" t="str">
        <f t="shared" si="1312"/>
        <v/>
      </c>
      <c r="H1312" s="22" t="str">
        <f t="shared" si="4"/>
        <v/>
      </c>
    </row>
    <row r="1313" ht="15.75" customHeight="1">
      <c r="A1313" s="31" t="str">
        <f>'EQUITY BACKTEST'!A1316</f>
        <v/>
      </c>
      <c r="B1313" s="22" t="str">
        <f>'EQUITY BACKTEST'!B1316</f>
        <v/>
      </c>
      <c r="C1313" s="22" t="str">
        <f>1/'EQUITY BACKTEST'!E1316</f>
        <v>#DIV/0!</v>
      </c>
      <c r="D1313" s="22" t="str">
        <f t="shared" si="1"/>
        <v>#DIV/0!</v>
      </c>
      <c r="E1313" s="22" t="str">
        <f t="shared" ref="E1313:F1313" si="1313">IF(A1313&lt;&gt;"", (B1313 - B1312) / B1312, "")</f>
        <v/>
      </c>
      <c r="F1313" s="22" t="str">
        <f t="shared" si="1313"/>
        <v/>
      </c>
      <c r="H1313" s="22" t="str">
        <f t="shared" si="4"/>
        <v/>
      </c>
    </row>
    <row r="1314" ht="15.75" customHeight="1">
      <c r="A1314" s="31" t="str">
        <f>'EQUITY BACKTEST'!A1317</f>
        <v/>
      </c>
      <c r="B1314" s="22" t="str">
        <f>'EQUITY BACKTEST'!B1317</f>
        <v/>
      </c>
      <c r="C1314" s="22" t="str">
        <f>1/'EQUITY BACKTEST'!E1317</f>
        <v>#DIV/0!</v>
      </c>
      <c r="D1314" s="22" t="str">
        <f t="shared" si="1"/>
        <v>#DIV/0!</v>
      </c>
      <c r="E1314" s="22" t="str">
        <f t="shared" ref="E1314:F1314" si="1314">IF(A1314&lt;&gt;"", (B1314 - B1313) / B1313, "")</f>
        <v/>
      </c>
      <c r="F1314" s="22" t="str">
        <f t="shared" si="1314"/>
        <v/>
      </c>
      <c r="H1314" s="22" t="str">
        <f t="shared" si="4"/>
        <v/>
      </c>
    </row>
    <row r="1315" ht="15.75" customHeight="1">
      <c r="A1315" s="31" t="str">
        <f>'EQUITY BACKTEST'!A1318</f>
        <v/>
      </c>
      <c r="B1315" s="22" t="str">
        <f>'EQUITY BACKTEST'!B1318</f>
        <v/>
      </c>
      <c r="C1315" s="22" t="str">
        <f>1/'EQUITY BACKTEST'!E1318</f>
        <v>#DIV/0!</v>
      </c>
      <c r="D1315" s="22" t="str">
        <f t="shared" si="1"/>
        <v>#DIV/0!</v>
      </c>
      <c r="E1315" s="22" t="str">
        <f t="shared" ref="E1315:F1315" si="1315">IF(A1315&lt;&gt;"", (B1315 - B1314) / B1314, "")</f>
        <v/>
      </c>
      <c r="F1315" s="22" t="str">
        <f t="shared" si="1315"/>
        <v/>
      </c>
      <c r="H1315" s="22" t="str">
        <f t="shared" si="4"/>
        <v/>
      </c>
    </row>
    <row r="1316" ht="15.75" customHeight="1">
      <c r="A1316" s="31" t="str">
        <f>'EQUITY BACKTEST'!A1319</f>
        <v/>
      </c>
      <c r="B1316" s="22" t="str">
        <f>'EQUITY BACKTEST'!B1319</f>
        <v/>
      </c>
      <c r="C1316" s="22" t="str">
        <f>1/'EQUITY BACKTEST'!E1319</f>
        <v>#DIV/0!</v>
      </c>
      <c r="D1316" s="22" t="str">
        <f t="shared" si="1"/>
        <v>#DIV/0!</v>
      </c>
      <c r="E1316" s="22" t="str">
        <f t="shared" ref="E1316:F1316" si="1316">IF(A1316&lt;&gt;"", (B1316 - B1315) / B1315, "")</f>
        <v/>
      </c>
      <c r="F1316" s="22" t="str">
        <f t="shared" si="1316"/>
        <v/>
      </c>
      <c r="H1316" s="22" t="str">
        <f t="shared" si="4"/>
        <v/>
      </c>
    </row>
    <row r="1317" ht="15.75" customHeight="1">
      <c r="A1317" s="31" t="str">
        <f>'EQUITY BACKTEST'!A1320</f>
        <v/>
      </c>
      <c r="B1317" s="22" t="str">
        <f>'EQUITY BACKTEST'!B1320</f>
        <v/>
      </c>
      <c r="C1317" s="22" t="str">
        <f>1/'EQUITY BACKTEST'!E1320</f>
        <v>#DIV/0!</v>
      </c>
      <c r="D1317" s="22" t="str">
        <f t="shared" si="1"/>
        <v>#DIV/0!</v>
      </c>
      <c r="E1317" s="22" t="str">
        <f t="shared" ref="E1317:F1317" si="1317">IF(A1317&lt;&gt;"", (B1317 - B1316) / B1316, "")</f>
        <v/>
      </c>
      <c r="F1317" s="22" t="str">
        <f t="shared" si="1317"/>
        <v/>
      </c>
      <c r="H1317" s="22" t="str">
        <f t="shared" si="4"/>
        <v/>
      </c>
    </row>
    <row r="1318" ht="15.75" customHeight="1">
      <c r="A1318" s="31" t="str">
        <f>'EQUITY BACKTEST'!A1321</f>
        <v/>
      </c>
      <c r="B1318" s="22" t="str">
        <f>'EQUITY BACKTEST'!B1321</f>
        <v/>
      </c>
      <c r="C1318" s="22" t="str">
        <f>1/'EQUITY BACKTEST'!E1321</f>
        <v>#DIV/0!</v>
      </c>
      <c r="D1318" s="22" t="str">
        <f t="shared" si="1"/>
        <v>#DIV/0!</v>
      </c>
      <c r="E1318" s="22" t="str">
        <f t="shared" ref="E1318:F1318" si="1318">IF(A1318&lt;&gt;"", (B1318 - B1317) / B1317, "")</f>
        <v/>
      </c>
      <c r="F1318" s="22" t="str">
        <f t="shared" si="1318"/>
        <v/>
      </c>
      <c r="H1318" s="22" t="str">
        <f t="shared" si="4"/>
        <v/>
      </c>
    </row>
    <row r="1319" ht="15.75" customHeight="1">
      <c r="A1319" s="31" t="str">
        <f>'EQUITY BACKTEST'!A1322</f>
        <v/>
      </c>
      <c r="B1319" s="22" t="str">
        <f>'EQUITY BACKTEST'!B1322</f>
        <v/>
      </c>
      <c r="C1319" s="22" t="str">
        <f>1/'EQUITY BACKTEST'!E1322</f>
        <v>#DIV/0!</v>
      </c>
      <c r="D1319" s="22" t="str">
        <f t="shared" si="1"/>
        <v>#DIV/0!</v>
      </c>
      <c r="E1319" s="22" t="str">
        <f t="shared" ref="E1319:F1319" si="1319">IF(A1319&lt;&gt;"", (B1319 - B1318) / B1318, "")</f>
        <v/>
      </c>
      <c r="F1319" s="22" t="str">
        <f t="shared" si="1319"/>
        <v/>
      </c>
      <c r="H1319" s="22" t="str">
        <f t="shared" si="4"/>
        <v/>
      </c>
    </row>
    <row r="1320" ht="15.75" customHeight="1">
      <c r="A1320" s="31" t="str">
        <f>'EQUITY BACKTEST'!A1323</f>
        <v/>
      </c>
      <c r="B1320" s="22" t="str">
        <f>'EQUITY BACKTEST'!B1323</f>
        <v/>
      </c>
      <c r="C1320" s="22" t="str">
        <f>1/'EQUITY BACKTEST'!E1323</f>
        <v>#DIV/0!</v>
      </c>
      <c r="D1320" s="22" t="str">
        <f t="shared" si="1"/>
        <v>#DIV/0!</v>
      </c>
      <c r="E1320" s="22" t="str">
        <f t="shared" ref="E1320:F1320" si="1320">IF(A1320&lt;&gt;"", (B1320 - B1319) / B1319, "")</f>
        <v/>
      </c>
      <c r="F1320" s="22" t="str">
        <f t="shared" si="1320"/>
        <v/>
      </c>
      <c r="H1320" s="22" t="str">
        <f t="shared" si="4"/>
        <v/>
      </c>
    </row>
    <row r="1321" ht="15.75" customHeight="1">
      <c r="A1321" s="31" t="str">
        <f>'EQUITY BACKTEST'!A1324</f>
        <v/>
      </c>
      <c r="B1321" s="22" t="str">
        <f>'EQUITY BACKTEST'!B1324</f>
        <v/>
      </c>
      <c r="C1321" s="22" t="str">
        <f>1/'EQUITY BACKTEST'!E1324</f>
        <v>#DIV/0!</v>
      </c>
      <c r="D1321" s="22" t="str">
        <f t="shared" si="1"/>
        <v>#DIV/0!</v>
      </c>
      <c r="E1321" s="22" t="str">
        <f t="shared" ref="E1321:F1321" si="1321">IF(A1321&lt;&gt;"", (B1321 - B1320) / B1320, "")</f>
        <v/>
      </c>
      <c r="F1321" s="22" t="str">
        <f t="shared" si="1321"/>
        <v/>
      </c>
      <c r="H1321" s="22" t="str">
        <f t="shared" si="4"/>
        <v/>
      </c>
    </row>
    <row r="1322" ht="15.75" customHeight="1">
      <c r="A1322" s="31" t="str">
        <f>'EQUITY BACKTEST'!A1325</f>
        <v/>
      </c>
      <c r="B1322" s="22" t="str">
        <f>'EQUITY BACKTEST'!B1325</f>
        <v/>
      </c>
      <c r="C1322" s="22" t="str">
        <f>1/'EQUITY BACKTEST'!E1325</f>
        <v>#DIV/0!</v>
      </c>
      <c r="D1322" s="22" t="str">
        <f t="shared" si="1"/>
        <v>#DIV/0!</v>
      </c>
      <c r="E1322" s="22" t="str">
        <f t="shared" ref="E1322:F1322" si="1322">IF(A1322&lt;&gt;"", (B1322 - B1321) / B1321, "")</f>
        <v/>
      </c>
      <c r="F1322" s="22" t="str">
        <f t="shared" si="1322"/>
        <v/>
      </c>
      <c r="H1322" s="22" t="str">
        <f t="shared" si="4"/>
        <v/>
      </c>
    </row>
    <row r="1323" ht="15.75" customHeight="1">
      <c r="A1323" s="31" t="str">
        <f>'EQUITY BACKTEST'!A1326</f>
        <v/>
      </c>
      <c r="B1323" s="22" t="str">
        <f>'EQUITY BACKTEST'!B1326</f>
        <v/>
      </c>
      <c r="C1323" s="22" t="str">
        <f>1/'EQUITY BACKTEST'!E1326</f>
        <v>#DIV/0!</v>
      </c>
      <c r="D1323" s="22" t="str">
        <f t="shared" si="1"/>
        <v>#DIV/0!</v>
      </c>
      <c r="E1323" s="22" t="str">
        <f t="shared" ref="E1323:F1323" si="1323">IF(A1323&lt;&gt;"", (B1323 - B1322) / B1322, "")</f>
        <v/>
      </c>
      <c r="F1323" s="22" t="str">
        <f t="shared" si="1323"/>
        <v/>
      </c>
      <c r="H1323" s="22" t="str">
        <f t="shared" si="4"/>
        <v/>
      </c>
    </row>
    <row r="1324" ht="15.75" customHeight="1">
      <c r="A1324" s="31" t="str">
        <f>'EQUITY BACKTEST'!A1327</f>
        <v/>
      </c>
      <c r="B1324" s="22" t="str">
        <f>'EQUITY BACKTEST'!B1327</f>
        <v/>
      </c>
      <c r="C1324" s="22" t="str">
        <f>1/'EQUITY BACKTEST'!E1327</f>
        <v>#DIV/0!</v>
      </c>
      <c r="D1324" s="22" t="str">
        <f t="shared" si="1"/>
        <v>#DIV/0!</v>
      </c>
      <c r="E1324" s="22" t="str">
        <f t="shared" ref="E1324:F1324" si="1324">IF(A1324&lt;&gt;"", (B1324 - B1323) / B1323, "")</f>
        <v/>
      </c>
      <c r="F1324" s="22" t="str">
        <f t="shared" si="1324"/>
        <v/>
      </c>
      <c r="H1324" s="22" t="str">
        <f t="shared" si="4"/>
        <v/>
      </c>
    </row>
    <row r="1325" ht="15.75" customHeight="1">
      <c r="A1325" s="31" t="str">
        <f>'EQUITY BACKTEST'!A1328</f>
        <v/>
      </c>
      <c r="B1325" s="22" t="str">
        <f>'EQUITY BACKTEST'!B1328</f>
        <v/>
      </c>
      <c r="C1325" s="22" t="str">
        <f>1/'EQUITY BACKTEST'!E1328</f>
        <v>#DIV/0!</v>
      </c>
      <c r="D1325" s="22" t="str">
        <f t="shared" si="1"/>
        <v>#DIV/0!</v>
      </c>
      <c r="E1325" s="22" t="str">
        <f t="shared" ref="E1325:F1325" si="1325">IF(A1325&lt;&gt;"", (B1325 - B1324) / B1324, "")</f>
        <v/>
      </c>
      <c r="F1325" s="22" t="str">
        <f t="shared" si="1325"/>
        <v/>
      </c>
      <c r="H1325" s="22" t="str">
        <f t="shared" si="4"/>
        <v/>
      </c>
    </row>
    <row r="1326" ht="15.75" customHeight="1">
      <c r="A1326" s="31" t="str">
        <f>'EQUITY BACKTEST'!A1329</f>
        <v/>
      </c>
      <c r="B1326" s="22" t="str">
        <f>'EQUITY BACKTEST'!B1329</f>
        <v/>
      </c>
      <c r="C1326" s="22" t="str">
        <f>1/'EQUITY BACKTEST'!E1329</f>
        <v>#DIV/0!</v>
      </c>
      <c r="D1326" s="22" t="str">
        <f t="shared" si="1"/>
        <v>#DIV/0!</v>
      </c>
      <c r="E1326" s="22" t="str">
        <f t="shared" ref="E1326:F1326" si="1326">IF(A1326&lt;&gt;"", (B1326 - B1325) / B1325, "")</f>
        <v/>
      </c>
      <c r="F1326" s="22" t="str">
        <f t="shared" si="1326"/>
        <v/>
      </c>
      <c r="H1326" s="22" t="str">
        <f t="shared" si="4"/>
        <v/>
      </c>
    </row>
    <row r="1327" ht="15.75" customHeight="1">
      <c r="A1327" s="31" t="str">
        <f>'EQUITY BACKTEST'!A1330</f>
        <v/>
      </c>
      <c r="B1327" s="22" t="str">
        <f>'EQUITY BACKTEST'!B1330</f>
        <v/>
      </c>
      <c r="C1327" s="22" t="str">
        <f>1/'EQUITY BACKTEST'!E1330</f>
        <v>#DIV/0!</v>
      </c>
      <c r="D1327" s="22" t="str">
        <f t="shared" si="1"/>
        <v>#DIV/0!</v>
      </c>
      <c r="E1327" s="22" t="str">
        <f t="shared" ref="E1327:F1327" si="1327">IF(A1327&lt;&gt;"", (B1327 - B1326) / B1326, "")</f>
        <v/>
      </c>
      <c r="F1327" s="22" t="str">
        <f t="shared" si="1327"/>
        <v/>
      </c>
      <c r="H1327" s="22" t="str">
        <f t="shared" si="4"/>
        <v/>
      </c>
    </row>
    <row r="1328" ht="15.75" customHeight="1">
      <c r="A1328" s="31" t="str">
        <f>'EQUITY BACKTEST'!A1331</f>
        <v/>
      </c>
      <c r="B1328" s="22" t="str">
        <f>'EQUITY BACKTEST'!B1331</f>
        <v/>
      </c>
      <c r="C1328" s="22" t="str">
        <f>1/'EQUITY BACKTEST'!E1331</f>
        <v>#DIV/0!</v>
      </c>
      <c r="D1328" s="22" t="str">
        <f t="shared" si="1"/>
        <v>#DIV/0!</v>
      </c>
      <c r="E1328" s="22" t="str">
        <f t="shared" ref="E1328:F1328" si="1328">IF(A1328&lt;&gt;"", (B1328 - B1327) / B1327, "")</f>
        <v/>
      </c>
      <c r="F1328" s="22" t="str">
        <f t="shared" si="1328"/>
        <v/>
      </c>
      <c r="H1328" s="22" t="str">
        <f t="shared" si="4"/>
        <v/>
      </c>
    </row>
    <row r="1329" ht="15.75" customHeight="1">
      <c r="A1329" s="31" t="str">
        <f>'EQUITY BACKTEST'!A1332</f>
        <v/>
      </c>
      <c r="B1329" s="22" t="str">
        <f>'EQUITY BACKTEST'!B1332</f>
        <v/>
      </c>
      <c r="C1329" s="22" t="str">
        <f>1/'EQUITY BACKTEST'!E1332</f>
        <v>#DIV/0!</v>
      </c>
      <c r="D1329" s="22" t="str">
        <f t="shared" si="1"/>
        <v>#DIV/0!</v>
      </c>
      <c r="E1329" s="22" t="str">
        <f t="shared" ref="E1329:F1329" si="1329">IF(A1329&lt;&gt;"", (B1329 - B1328) / B1328, "")</f>
        <v/>
      </c>
      <c r="F1329" s="22" t="str">
        <f t="shared" si="1329"/>
        <v/>
      </c>
      <c r="H1329" s="22" t="str">
        <f t="shared" si="4"/>
        <v/>
      </c>
    </row>
    <row r="1330" ht="15.75" customHeight="1">
      <c r="A1330" s="31" t="str">
        <f>'EQUITY BACKTEST'!A1333</f>
        <v/>
      </c>
      <c r="B1330" s="22" t="str">
        <f>'EQUITY BACKTEST'!B1333</f>
        <v/>
      </c>
      <c r="C1330" s="22" t="str">
        <f>1/'EQUITY BACKTEST'!E1333</f>
        <v>#DIV/0!</v>
      </c>
      <c r="D1330" s="22" t="str">
        <f t="shared" si="1"/>
        <v>#DIV/0!</v>
      </c>
      <c r="E1330" s="22" t="str">
        <f t="shared" ref="E1330:F1330" si="1330">IF(A1330&lt;&gt;"", (B1330 - B1329) / B1329, "")</f>
        <v/>
      </c>
      <c r="F1330" s="22" t="str">
        <f t="shared" si="1330"/>
        <v/>
      </c>
      <c r="H1330" s="22" t="str">
        <f t="shared" si="4"/>
        <v/>
      </c>
    </row>
    <row r="1331" ht="15.75" customHeight="1">
      <c r="A1331" s="31" t="str">
        <f>'EQUITY BACKTEST'!A1334</f>
        <v/>
      </c>
      <c r="B1331" s="22" t="str">
        <f>'EQUITY BACKTEST'!B1334</f>
        <v/>
      </c>
      <c r="C1331" s="22" t="str">
        <f>1/'EQUITY BACKTEST'!E1334</f>
        <v>#DIV/0!</v>
      </c>
      <c r="D1331" s="22" t="str">
        <f t="shared" si="1"/>
        <v>#DIV/0!</v>
      </c>
      <c r="E1331" s="22" t="str">
        <f t="shared" ref="E1331:F1331" si="1331">IF(A1331&lt;&gt;"", (B1331 - B1330) / B1330, "")</f>
        <v/>
      </c>
      <c r="F1331" s="22" t="str">
        <f t="shared" si="1331"/>
        <v/>
      </c>
      <c r="H1331" s="22" t="str">
        <f t="shared" si="4"/>
        <v/>
      </c>
    </row>
    <row r="1332" ht="15.75" customHeight="1">
      <c r="A1332" s="31" t="str">
        <f>'EQUITY BACKTEST'!A1335</f>
        <v/>
      </c>
      <c r="B1332" s="22" t="str">
        <f>'EQUITY BACKTEST'!B1335</f>
        <v/>
      </c>
      <c r="C1332" s="22" t="str">
        <f>1/'EQUITY BACKTEST'!E1335</f>
        <v>#DIV/0!</v>
      </c>
      <c r="D1332" s="22" t="str">
        <f t="shared" si="1"/>
        <v>#DIV/0!</v>
      </c>
      <c r="E1332" s="22" t="str">
        <f t="shared" ref="E1332:F1332" si="1332">IF(A1332&lt;&gt;"", (B1332 - B1331) / B1331, "")</f>
        <v/>
      </c>
      <c r="F1332" s="22" t="str">
        <f t="shared" si="1332"/>
        <v/>
      </c>
      <c r="H1332" s="22" t="str">
        <f t="shared" si="4"/>
        <v/>
      </c>
    </row>
    <row r="1333" ht="15.75" customHeight="1">
      <c r="A1333" s="31" t="str">
        <f>'EQUITY BACKTEST'!A1336</f>
        <v/>
      </c>
      <c r="B1333" s="22" t="str">
        <f>'EQUITY BACKTEST'!B1336</f>
        <v/>
      </c>
      <c r="C1333" s="22" t="str">
        <f>1/'EQUITY BACKTEST'!E1336</f>
        <v>#DIV/0!</v>
      </c>
      <c r="D1333" s="22" t="str">
        <f t="shared" si="1"/>
        <v>#DIV/0!</v>
      </c>
      <c r="E1333" s="22" t="str">
        <f t="shared" ref="E1333:F1333" si="1333">IF(A1333&lt;&gt;"", (B1333 - B1332) / B1332, "")</f>
        <v/>
      </c>
      <c r="F1333" s="22" t="str">
        <f t="shared" si="1333"/>
        <v/>
      </c>
      <c r="H1333" s="22" t="str">
        <f t="shared" si="4"/>
        <v/>
      </c>
    </row>
    <row r="1334" ht="15.75" customHeight="1">
      <c r="A1334" s="31" t="str">
        <f>'EQUITY BACKTEST'!A1337</f>
        <v/>
      </c>
      <c r="B1334" s="22" t="str">
        <f>'EQUITY BACKTEST'!B1337</f>
        <v/>
      </c>
      <c r="C1334" s="22" t="str">
        <f>1/'EQUITY BACKTEST'!E1337</f>
        <v>#DIV/0!</v>
      </c>
      <c r="D1334" s="22" t="str">
        <f t="shared" si="1"/>
        <v>#DIV/0!</v>
      </c>
      <c r="E1334" s="22" t="str">
        <f t="shared" ref="E1334:F1334" si="1334">IF(A1334&lt;&gt;"", (B1334 - B1333) / B1333, "")</f>
        <v/>
      </c>
      <c r="F1334" s="22" t="str">
        <f t="shared" si="1334"/>
        <v/>
      </c>
      <c r="H1334" s="22" t="str">
        <f t="shared" si="4"/>
        <v/>
      </c>
    </row>
    <row r="1335" ht="15.75" customHeight="1">
      <c r="A1335" s="31" t="str">
        <f>'EQUITY BACKTEST'!A1338</f>
        <v/>
      </c>
      <c r="B1335" s="22" t="str">
        <f>'EQUITY BACKTEST'!B1338</f>
        <v/>
      </c>
      <c r="C1335" s="22" t="str">
        <f>1/'EQUITY BACKTEST'!E1338</f>
        <v>#DIV/0!</v>
      </c>
      <c r="D1335" s="22" t="str">
        <f t="shared" si="1"/>
        <v>#DIV/0!</v>
      </c>
      <c r="E1335" s="22" t="str">
        <f t="shared" ref="E1335:F1335" si="1335">IF(A1335&lt;&gt;"", (B1335 - B1334) / B1334, "")</f>
        <v/>
      </c>
      <c r="F1335" s="22" t="str">
        <f t="shared" si="1335"/>
        <v/>
      </c>
      <c r="H1335" s="22" t="str">
        <f t="shared" si="4"/>
        <v/>
      </c>
    </row>
    <row r="1336" ht="15.75" customHeight="1">
      <c r="A1336" s="31" t="str">
        <f>'EQUITY BACKTEST'!A1339</f>
        <v/>
      </c>
      <c r="B1336" s="22" t="str">
        <f>'EQUITY BACKTEST'!B1339</f>
        <v/>
      </c>
      <c r="C1336" s="22" t="str">
        <f>1/'EQUITY BACKTEST'!E1339</f>
        <v>#DIV/0!</v>
      </c>
      <c r="D1336" s="22" t="str">
        <f t="shared" si="1"/>
        <v>#DIV/0!</v>
      </c>
      <c r="E1336" s="22" t="str">
        <f t="shared" ref="E1336:F1336" si="1336">IF(A1336&lt;&gt;"", (B1336 - B1335) / B1335, "")</f>
        <v/>
      </c>
      <c r="F1336" s="22" t="str">
        <f t="shared" si="1336"/>
        <v/>
      </c>
      <c r="H1336" s="22" t="str">
        <f t="shared" si="4"/>
        <v/>
      </c>
    </row>
    <row r="1337" ht="15.75" customHeight="1">
      <c r="A1337" s="31" t="str">
        <f>'EQUITY BACKTEST'!A1340</f>
        <v/>
      </c>
      <c r="B1337" s="22" t="str">
        <f>'EQUITY BACKTEST'!B1340</f>
        <v/>
      </c>
      <c r="C1337" s="22" t="str">
        <f>1/'EQUITY BACKTEST'!E1340</f>
        <v>#DIV/0!</v>
      </c>
      <c r="D1337" s="22" t="str">
        <f t="shared" si="1"/>
        <v>#DIV/0!</v>
      </c>
      <c r="E1337" s="22" t="str">
        <f t="shared" ref="E1337:F1337" si="1337">IF(A1337&lt;&gt;"", (B1337 - B1336) / B1336, "")</f>
        <v/>
      </c>
      <c r="F1337" s="22" t="str">
        <f t="shared" si="1337"/>
        <v/>
      </c>
      <c r="H1337" s="22" t="str">
        <f t="shared" si="4"/>
        <v/>
      </c>
    </row>
    <row r="1338" ht="15.75" customHeight="1">
      <c r="A1338" s="31" t="str">
        <f>'EQUITY BACKTEST'!A1341</f>
        <v/>
      </c>
      <c r="B1338" s="22" t="str">
        <f>'EQUITY BACKTEST'!B1341</f>
        <v/>
      </c>
      <c r="C1338" s="22" t="str">
        <f>1/'EQUITY BACKTEST'!E1341</f>
        <v>#DIV/0!</v>
      </c>
      <c r="D1338" s="22" t="str">
        <f t="shared" si="1"/>
        <v>#DIV/0!</v>
      </c>
      <c r="E1338" s="22" t="str">
        <f t="shared" ref="E1338:F1338" si="1338">IF(A1338&lt;&gt;"", (B1338 - B1337) / B1337, "")</f>
        <v/>
      </c>
      <c r="F1338" s="22" t="str">
        <f t="shared" si="1338"/>
        <v/>
      </c>
      <c r="H1338" s="22" t="str">
        <f t="shared" si="4"/>
        <v/>
      </c>
    </row>
    <row r="1339" ht="15.75" customHeight="1">
      <c r="A1339" s="31" t="str">
        <f>'EQUITY BACKTEST'!A1342</f>
        <v/>
      </c>
      <c r="B1339" s="22" t="str">
        <f>'EQUITY BACKTEST'!B1342</f>
        <v/>
      </c>
      <c r="C1339" s="22" t="str">
        <f>1/'EQUITY BACKTEST'!E1342</f>
        <v>#DIV/0!</v>
      </c>
      <c r="D1339" s="22" t="str">
        <f t="shared" si="1"/>
        <v>#DIV/0!</v>
      </c>
      <c r="E1339" s="22" t="str">
        <f t="shared" ref="E1339:F1339" si="1339">IF(A1339&lt;&gt;"", (B1339 - B1338) / B1338, "")</f>
        <v/>
      </c>
      <c r="F1339" s="22" t="str">
        <f t="shared" si="1339"/>
        <v/>
      </c>
      <c r="H1339" s="22" t="str">
        <f t="shared" si="4"/>
        <v/>
      </c>
    </row>
    <row r="1340" ht="15.75" customHeight="1">
      <c r="A1340" s="31" t="str">
        <f>'EQUITY BACKTEST'!A1343</f>
        <v/>
      </c>
      <c r="B1340" s="22" t="str">
        <f>'EQUITY BACKTEST'!B1343</f>
        <v/>
      </c>
      <c r="C1340" s="22" t="str">
        <f>1/'EQUITY BACKTEST'!E1343</f>
        <v>#DIV/0!</v>
      </c>
      <c r="D1340" s="22" t="str">
        <f t="shared" si="1"/>
        <v>#DIV/0!</v>
      </c>
      <c r="E1340" s="22" t="str">
        <f t="shared" ref="E1340:F1340" si="1340">IF(A1340&lt;&gt;"", (B1340 - B1339) / B1339, "")</f>
        <v/>
      </c>
      <c r="F1340" s="22" t="str">
        <f t="shared" si="1340"/>
        <v/>
      </c>
      <c r="H1340" s="22" t="str">
        <f t="shared" si="4"/>
        <v/>
      </c>
    </row>
    <row r="1341" ht="15.75" customHeight="1">
      <c r="A1341" s="31" t="str">
        <f>'EQUITY BACKTEST'!A1344</f>
        <v/>
      </c>
      <c r="B1341" s="22" t="str">
        <f>'EQUITY BACKTEST'!B1344</f>
        <v/>
      </c>
      <c r="C1341" s="22" t="str">
        <f>1/'EQUITY BACKTEST'!E1344</f>
        <v>#DIV/0!</v>
      </c>
      <c r="D1341" s="22" t="str">
        <f t="shared" si="1"/>
        <v>#DIV/0!</v>
      </c>
      <c r="E1341" s="22" t="str">
        <f t="shared" ref="E1341:F1341" si="1341">IF(A1341&lt;&gt;"", (B1341 - B1340) / B1340, "")</f>
        <v/>
      </c>
      <c r="F1341" s="22" t="str">
        <f t="shared" si="1341"/>
        <v/>
      </c>
      <c r="H1341" s="22" t="str">
        <f t="shared" si="4"/>
        <v/>
      </c>
    </row>
    <row r="1342" ht="15.75" customHeight="1">
      <c r="A1342" s="31" t="str">
        <f>'EQUITY BACKTEST'!A1345</f>
        <v/>
      </c>
      <c r="B1342" s="22" t="str">
        <f>'EQUITY BACKTEST'!B1345</f>
        <v/>
      </c>
      <c r="C1342" s="22" t="str">
        <f>1/'EQUITY BACKTEST'!E1345</f>
        <v>#DIV/0!</v>
      </c>
      <c r="D1342" s="22" t="str">
        <f t="shared" si="1"/>
        <v>#DIV/0!</v>
      </c>
      <c r="E1342" s="22" t="str">
        <f t="shared" ref="E1342:F1342" si="1342">IF(A1342&lt;&gt;"", (B1342 - B1341) / B1341, "")</f>
        <v/>
      </c>
      <c r="F1342" s="22" t="str">
        <f t="shared" si="1342"/>
        <v/>
      </c>
      <c r="H1342" s="22" t="str">
        <f t="shared" si="4"/>
        <v/>
      </c>
    </row>
    <row r="1343" ht="15.75" customHeight="1">
      <c r="A1343" s="31" t="str">
        <f>'EQUITY BACKTEST'!A1346</f>
        <v/>
      </c>
      <c r="B1343" s="22" t="str">
        <f>'EQUITY BACKTEST'!B1346</f>
        <v/>
      </c>
      <c r="C1343" s="22" t="str">
        <f>1/'EQUITY BACKTEST'!E1346</f>
        <v>#DIV/0!</v>
      </c>
      <c r="D1343" s="22" t="str">
        <f t="shared" si="1"/>
        <v>#DIV/0!</v>
      </c>
      <c r="E1343" s="22" t="str">
        <f t="shared" ref="E1343:F1343" si="1343">IF(A1343&lt;&gt;"", (B1343 - B1342) / B1342, "")</f>
        <v/>
      </c>
      <c r="F1343" s="22" t="str">
        <f t="shared" si="1343"/>
        <v/>
      </c>
      <c r="H1343" s="22" t="str">
        <f t="shared" si="4"/>
        <v/>
      </c>
    </row>
    <row r="1344" ht="15.75" customHeight="1">
      <c r="A1344" s="31" t="str">
        <f>'EQUITY BACKTEST'!A1347</f>
        <v/>
      </c>
      <c r="B1344" s="22" t="str">
        <f>'EQUITY BACKTEST'!B1347</f>
        <v/>
      </c>
      <c r="C1344" s="22" t="str">
        <f>'EQUITY BACKTEST'!E1347</f>
        <v/>
      </c>
      <c r="E1344" s="22" t="str">
        <f t="shared" ref="E1344:F1344" si="1344">IF(A1344&lt;&gt;"", (B1344 - B1343) / B1343, "")</f>
        <v/>
      </c>
      <c r="F1344" s="22" t="str">
        <f t="shared" si="1344"/>
        <v/>
      </c>
    </row>
    <row r="1345" ht="15.75" customHeight="1">
      <c r="A1345" s="31" t="str">
        <f>'EQUITY BACKTEST'!A1348</f>
        <v/>
      </c>
      <c r="B1345" s="22" t="str">
        <f>'EQUITY BACKTEST'!B1348</f>
        <v/>
      </c>
      <c r="C1345" s="22" t="str">
        <f>'EQUITY BACKTEST'!E1348</f>
        <v/>
      </c>
      <c r="E1345" s="22" t="str">
        <f t="shared" ref="E1345:F1345" si="1345">IF(A1345&lt;&gt;"", (B1345 - B1344) / B1344, "")</f>
        <v/>
      </c>
      <c r="F1345" s="22" t="str">
        <f t="shared" si="1345"/>
        <v/>
      </c>
    </row>
    <row r="1346" ht="15.75" customHeight="1">
      <c r="A1346" s="31" t="str">
        <f>'EQUITY BACKTEST'!A1349</f>
        <v/>
      </c>
      <c r="B1346" s="22" t="str">
        <f>'EQUITY BACKTEST'!B1349</f>
        <v/>
      </c>
      <c r="C1346" s="22" t="str">
        <f>'EQUITY BACKTEST'!E1349</f>
        <v/>
      </c>
      <c r="E1346" s="22" t="str">
        <f t="shared" ref="E1346:F1346" si="1346">IF(A1346&lt;&gt;"", (B1346 - B1345) / B1345, "")</f>
        <v/>
      </c>
      <c r="F1346" s="22" t="str">
        <f t="shared" si="1346"/>
        <v/>
      </c>
    </row>
    <row r="1347" ht="15.75" customHeight="1">
      <c r="A1347" s="31" t="str">
        <f>'EQUITY BACKTEST'!A1350</f>
        <v/>
      </c>
      <c r="B1347" s="22" t="str">
        <f>'EQUITY BACKTEST'!B1350</f>
        <v/>
      </c>
      <c r="C1347" s="22" t="str">
        <f>'EQUITY BACKTEST'!E1350</f>
        <v/>
      </c>
      <c r="E1347" s="22" t="str">
        <f t="shared" ref="E1347:F1347" si="1347">IF(A1347&lt;&gt;"", (B1347 - B1346) / B1346, "")</f>
        <v/>
      </c>
      <c r="F1347" s="22" t="str">
        <f t="shared" si="1347"/>
        <v/>
      </c>
    </row>
    <row r="1348" ht="15.75" customHeight="1">
      <c r="A1348" s="31" t="str">
        <f>'EQUITY BACKTEST'!A1351</f>
        <v/>
      </c>
      <c r="B1348" s="22" t="str">
        <f>'EQUITY BACKTEST'!B1351</f>
        <v/>
      </c>
      <c r="C1348" s="22" t="str">
        <f>'EQUITY BACKTEST'!E1351</f>
        <v/>
      </c>
      <c r="E1348" s="22" t="str">
        <f t="shared" ref="E1348:F1348" si="1348">IF(A1348&lt;&gt;"", (B1348 - B1347) / B1347, "")</f>
        <v/>
      </c>
      <c r="F1348" s="22" t="str">
        <f t="shared" si="1348"/>
        <v/>
      </c>
    </row>
    <row r="1349" ht="15.75" customHeight="1">
      <c r="A1349" s="31" t="str">
        <f>'EQUITY BACKTEST'!A1352</f>
        <v/>
      </c>
      <c r="B1349" s="22" t="str">
        <f>'EQUITY BACKTEST'!B1352</f>
        <v/>
      </c>
      <c r="C1349" s="22" t="str">
        <f>'EQUITY BACKTEST'!E1352</f>
        <v/>
      </c>
      <c r="E1349" s="22" t="str">
        <f t="shared" ref="E1349:F1349" si="1349">IF(A1349&lt;&gt;"", (B1349 - B1348) / B1348, "")</f>
        <v/>
      </c>
      <c r="F1349" s="22" t="str">
        <f t="shared" si="1349"/>
        <v/>
      </c>
    </row>
    <row r="1350" ht="15.75" customHeight="1">
      <c r="A1350" s="31" t="str">
        <f>'EQUITY BACKTEST'!A1353</f>
        <v/>
      </c>
      <c r="B1350" s="22" t="str">
        <f>'EQUITY BACKTEST'!B1353</f>
        <v/>
      </c>
      <c r="C1350" s="22" t="str">
        <f>'EQUITY BACKTEST'!E1353</f>
        <v/>
      </c>
      <c r="E1350" s="22" t="str">
        <f t="shared" ref="E1350:F1350" si="1350">IF(A1350&lt;&gt;"", (B1350 - B1349) / B1349, "")</f>
        <v/>
      </c>
      <c r="F1350" s="22" t="str">
        <f t="shared" si="1350"/>
        <v/>
      </c>
    </row>
    <row r="1351" ht="15.75" customHeight="1">
      <c r="A1351" s="31" t="str">
        <f>'EQUITY BACKTEST'!A1354</f>
        <v/>
      </c>
      <c r="B1351" s="22" t="str">
        <f>'EQUITY BACKTEST'!B1354</f>
        <v/>
      </c>
      <c r="C1351" s="22" t="str">
        <f>'EQUITY BACKTEST'!E1354</f>
        <v/>
      </c>
      <c r="E1351" s="22" t="str">
        <f t="shared" ref="E1351:F1351" si="1351">IF(A1351&lt;&gt;"", (B1351 - B1350) / B1350, "")</f>
        <v/>
      </c>
      <c r="F1351" s="22" t="str">
        <f t="shared" si="1351"/>
        <v/>
      </c>
    </row>
    <row r="1352" ht="15.75" customHeight="1">
      <c r="A1352" s="31" t="str">
        <f>'EQUITY BACKTEST'!A1355</f>
        <v/>
      </c>
      <c r="B1352" s="22" t="str">
        <f>'EQUITY BACKTEST'!B1355</f>
        <v/>
      </c>
      <c r="C1352" s="22" t="str">
        <f>'EQUITY BACKTEST'!E1355</f>
        <v/>
      </c>
      <c r="E1352" s="22" t="str">
        <f t="shared" ref="E1352:F1352" si="1352">IF(A1352&lt;&gt;"", (B1352 - B1351) / B1351, "")</f>
        <v/>
      </c>
      <c r="F1352" s="22" t="str">
        <f t="shared" si="1352"/>
        <v/>
      </c>
    </row>
    <row r="1353" ht="15.75" customHeight="1">
      <c r="A1353" s="31" t="str">
        <f>'EQUITY BACKTEST'!A1356</f>
        <v/>
      </c>
      <c r="B1353" s="22" t="str">
        <f>'EQUITY BACKTEST'!B1356</f>
        <v/>
      </c>
      <c r="C1353" s="22" t="str">
        <f>'EQUITY BACKTEST'!E1356</f>
        <v/>
      </c>
    </row>
    <row r="1354" ht="15.75" customHeight="1">
      <c r="A1354" s="31" t="str">
        <f>'EQUITY BACKTEST'!A1357</f>
        <v/>
      </c>
      <c r="B1354" s="22" t="str">
        <f>'EQUITY BACKTEST'!B1357</f>
        <v/>
      </c>
      <c r="C1354" s="22" t="str">
        <f>'EQUITY BACKTEST'!E1357</f>
        <v/>
      </c>
    </row>
    <row r="1355" ht="15.75" customHeight="1">
      <c r="A1355" s="31" t="str">
        <f>'EQUITY BACKTEST'!A1358</f>
        <v/>
      </c>
      <c r="B1355" s="22" t="str">
        <f>'EQUITY BACKTEST'!B1358</f>
        <v/>
      </c>
      <c r="C1355" s="22" t="str">
        <f>'EQUITY BACKTEST'!E1358</f>
        <v/>
      </c>
    </row>
    <row r="1356" ht="15.75" customHeight="1">
      <c r="A1356" s="31" t="str">
        <f>'EQUITY BACKTEST'!A1359</f>
        <v/>
      </c>
      <c r="B1356" s="22" t="str">
        <f>'EQUITY BACKTEST'!B1359</f>
        <v/>
      </c>
      <c r="C1356" s="22" t="str">
        <f>'EQUITY BACKTEST'!E1359</f>
        <v/>
      </c>
    </row>
    <row r="1357" ht="15.75" customHeight="1">
      <c r="A1357" s="31" t="str">
        <f>'EQUITY BACKTEST'!A1360</f>
        <v/>
      </c>
      <c r="B1357" s="22" t="str">
        <f>'EQUITY BACKTEST'!B1360</f>
        <v/>
      </c>
      <c r="C1357" s="22" t="str">
        <f>'EQUITY BACKTEST'!E1360</f>
        <v/>
      </c>
    </row>
    <row r="1358" ht="15.75" customHeight="1">
      <c r="A1358" s="31" t="str">
        <f>'EQUITY BACKTEST'!A1361</f>
        <v/>
      </c>
      <c r="B1358" s="22" t="str">
        <f>'EQUITY BACKTEST'!B1361</f>
        <v/>
      </c>
      <c r="C1358" s="22" t="str">
        <f>'EQUITY BACKTEST'!E1361</f>
        <v/>
      </c>
    </row>
    <row r="1359" ht="15.75" customHeight="1">
      <c r="A1359" s="31" t="str">
        <f>'EQUITY BACKTEST'!A1362</f>
        <v/>
      </c>
      <c r="B1359" s="22" t="str">
        <f>'EQUITY BACKTEST'!B1362</f>
        <v/>
      </c>
      <c r="C1359" s="22" t="str">
        <f>'EQUITY BACKTEST'!E1362</f>
        <v/>
      </c>
    </row>
    <row r="1360" ht="15.75" customHeight="1">
      <c r="A1360" s="31" t="str">
        <f>'EQUITY BACKTEST'!A1363</f>
        <v/>
      </c>
      <c r="B1360" s="22" t="str">
        <f>'EQUITY BACKTEST'!B1363</f>
        <v/>
      </c>
      <c r="C1360" s="22" t="str">
        <f>'EQUITY BACKTEST'!E1363</f>
        <v/>
      </c>
    </row>
    <row r="1361" ht="15.75" customHeight="1">
      <c r="A1361" s="31" t="str">
        <f>'EQUITY BACKTEST'!A1364</f>
        <v/>
      </c>
      <c r="B1361" s="22" t="str">
        <f>'EQUITY BACKTEST'!B1364</f>
        <v/>
      </c>
      <c r="C1361" s="22" t="str">
        <f>'EQUITY BACKTEST'!E1364</f>
        <v/>
      </c>
    </row>
    <row r="1362" ht="15.75" customHeight="1">
      <c r="A1362" s="31" t="str">
        <f>'EQUITY BACKTEST'!A1365</f>
        <v/>
      </c>
      <c r="B1362" s="22" t="str">
        <f>'EQUITY BACKTEST'!B1365</f>
        <v/>
      </c>
      <c r="C1362" s="22" t="str">
        <f>'EQUITY BACKTEST'!E1365</f>
        <v/>
      </c>
    </row>
    <row r="1363" ht="15.75" customHeight="1">
      <c r="A1363" s="31" t="str">
        <f>'EQUITY BACKTEST'!A1366</f>
        <v/>
      </c>
      <c r="B1363" s="22" t="str">
        <f>'EQUITY BACKTEST'!B1366</f>
        <v/>
      </c>
      <c r="C1363" s="22" t="str">
        <f>'EQUITY BACKTEST'!E1366</f>
        <v/>
      </c>
    </row>
    <row r="1364" ht="15.75" customHeight="1">
      <c r="A1364" s="31" t="str">
        <f>'EQUITY BACKTEST'!A1367</f>
        <v/>
      </c>
      <c r="B1364" s="22" t="str">
        <f>'EQUITY BACKTEST'!B1367</f>
        <v/>
      </c>
      <c r="C1364" s="22" t="str">
        <f>'EQUITY BACKTEST'!E1367</f>
        <v/>
      </c>
    </row>
    <row r="1365" ht="15.75" customHeight="1">
      <c r="A1365" s="31" t="str">
        <f>'EQUITY BACKTEST'!A1368</f>
        <v/>
      </c>
      <c r="B1365" s="22" t="str">
        <f>'EQUITY BACKTEST'!B1368</f>
        <v/>
      </c>
      <c r="C1365" s="22" t="str">
        <f>'EQUITY BACKTEST'!E1368</f>
        <v/>
      </c>
    </row>
    <row r="1366" ht="15.75" customHeight="1">
      <c r="A1366" s="31" t="str">
        <f>'EQUITY BACKTEST'!A1369</f>
        <v/>
      </c>
      <c r="B1366" s="22" t="str">
        <f>'EQUITY BACKTEST'!B1369</f>
        <v/>
      </c>
      <c r="C1366" s="22" t="str">
        <f>'EQUITY BACKTEST'!E1369</f>
        <v/>
      </c>
    </row>
    <row r="1367" ht="15.75" customHeight="1">
      <c r="A1367" s="31" t="str">
        <f>'EQUITY BACKTEST'!A1370</f>
        <v/>
      </c>
      <c r="B1367" s="22" t="str">
        <f>'EQUITY BACKTEST'!B1370</f>
        <v/>
      </c>
      <c r="C1367" s="22" t="str">
        <f>'EQUITY BACKTEST'!E1370</f>
        <v/>
      </c>
    </row>
    <row r="1368" ht="15.75" customHeight="1">
      <c r="A1368" s="31" t="str">
        <f>'EQUITY BACKTEST'!A1371</f>
        <v/>
      </c>
      <c r="B1368" s="22" t="str">
        <f>'EQUITY BACKTEST'!B1371</f>
        <v/>
      </c>
      <c r="C1368" s="22" t="str">
        <f>'EQUITY BACKTEST'!E1371</f>
        <v/>
      </c>
    </row>
    <row r="1369" ht="15.75" customHeight="1">
      <c r="A1369" s="31" t="str">
        <f>'EQUITY BACKTEST'!A1372</f>
        <v/>
      </c>
      <c r="B1369" s="22" t="str">
        <f>'EQUITY BACKTEST'!B1372</f>
        <v/>
      </c>
      <c r="C1369" s="22" t="str">
        <f>'EQUITY BACKTEST'!E1372</f>
        <v/>
      </c>
    </row>
    <row r="1370" ht="15.75" customHeight="1">
      <c r="A1370" s="31" t="str">
        <f>'EQUITY BACKTEST'!A1373</f>
        <v/>
      </c>
      <c r="B1370" s="22" t="str">
        <f>'EQUITY BACKTEST'!B1373</f>
        <v/>
      </c>
      <c r="C1370" s="22" t="str">
        <f>'EQUITY BACKTEST'!E1373</f>
        <v/>
      </c>
    </row>
    <row r="1371" ht="15.75" customHeight="1">
      <c r="A1371" s="31" t="str">
        <f>'EQUITY BACKTEST'!A1374</f>
        <v/>
      </c>
      <c r="B1371" s="22" t="str">
        <f>'EQUITY BACKTEST'!B1374</f>
        <v/>
      </c>
      <c r="C1371" s="22" t="str">
        <f>'EQUITY BACKTEST'!E1374</f>
        <v/>
      </c>
    </row>
    <row r="1372" ht="15.75" customHeight="1">
      <c r="A1372" s="31" t="str">
        <f>'EQUITY BACKTEST'!A1375</f>
        <v/>
      </c>
      <c r="B1372" s="22" t="str">
        <f>'EQUITY BACKTEST'!B1375</f>
        <v/>
      </c>
      <c r="C1372" s="22" t="str">
        <f>'EQUITY BACKTEST'!E1375</f>
        <v/>
      </c>
    </row>
    <row r="1373" ht="15.75" customHeight="1">
      <c r="A1373" s="31" t="str">
        <f>'EQUITY BACKTEST'!A1376</f>
        <v/>
      </c>
      <c r="B1373" s="22" t="str">
        <f>'EQUITY BACKTEST'!B1376</f>
        <v/>
      </c>
      <c r="C1373" s="22" t="str">
        <f>'EQUITY BACKTEST'!E1376</f>
        <v/>
      </c>
    </row>
    <row r="1374" ht="15.75" customHeight="1">
      <c r="A1374" s="31" t="str">
        <f>'EQUITY BACKTEST'!A1377</f>
        <v/>
      </c>
      <c r="B1374" s="22" t="str">
        <f>'EQUITY BACKTEST'!B1377</f>
        <v/>
      </c>
      <c r="C1374" s="22" t="str">
        <f>'EQUITY BACKTEST'!E1377</f>
        <v/>
      </c>
    </row>
    <row r="1375" ht="15.75" customHeight="1">
      <c r="A1375" s="31" t="str">
        <f>'EQUITY BACKTEST'!A1378</f>
        <v/>
      </c>
      <c r="B1375" s="22" t="str">
        <f>'EQUITY BACKTEST'!B1378</f>
        <v/>
      </c>
      <c r="C1375" s="22" t="str">
        <f>'EQUITY BACKTEST'!E1378</f>
        <v/>
      </c>
    </row>
    <row r="1376" ht="15.75" customHeight="1">
      <c r="A1376" s="31" t="str">
        <f>'EQUITY BACKTEST'!A1379</f>
        <v/>
      </c>
      <c r="B1376" s="22" t="str">
        <f>'EQUITY BACKTEST'!B1379</f>
        <v/>
      </c>
      <c r="C1376" s="22" t="str">
        <f>'EQUITY BACKTEST'!E1379</f>
        <v/>
      </c>
    </row>
    <row r="1377" ht="15.75" customHeight="1">
      <c r="A1377" s="31" t="str">
        <f>'EQUITY BACKTEST'!A1380</f>
        <v/>
      </c>
      <c r="B1377" s="22" t="str">
        <f>'EQUITY BACKTEST'!B1380</f>
        <v/>
      </c>
      <c r="C1377" s="22" t="str">
        <f>'EQUITY BACKTEST'!E1380</f>
        <v/>
      </c>
    </row>
    <row r="1378" ht="15.75" customHeight="1">
      <c r="A1378" s="31" t="str">
        <f>'EQUITY BACKTEST'!A1381</f>
        <v/>
      </c>
      <c r="B1378" s="22" t="str">
        <f>'EQUITY BACKTEST'!B1381</f>
        <v/>
      </c>
      <c r="C1378" s="22" t="str">
        <f>'EQUITY BACKTEST'!E1381</f>
        <v/>
      </c>
    </row>
    <row r="1379" ht="15.75" customHeight="1">
      <c r="A1379" s="31" t="str">
        <f>'EQUITY BACKTEST'!A1382</f>
        <v/>
      </c>
      <c r="B1379" s="22" t="str">
        <f>'EQUITY BACKTEST'!B1382</f>
        <v/>
      </c>
      <c r="C1379" s="22" t="str">
        <f>'EQUITY BACKTEST'!E1382</f>
        <v/>
      </c>
    </row>
    <row r="1380" ht="15.75" customHeight="1">
      <c r="A1380" s="31" t="str">
        <f>'EQUITY BACKTEST'!A1383</f>
        <v/>
      </c>
      <c r="B1380" s="22" t="str">
        <f>'EQUITY BACKTEST'!B1383</f>
        <v/>
      </c>
      <c r="C1380" s="22" t="str">
        <f>'EQUITY BACKTEST'!E1383</f>
        <v/>
      </c>
    </row>
    <row r="1381" ht="15.75" customHeight="1">
      <c r="A1381" s="31" t="str">
        <f>'EQUITY BACKTEST'!A1384</f>
        <v/>
      </c>
      <c r="B1381" s="22" t="str">
        <f>'EQUITY BACKTEST'!B1384</f>
        <v/>
      </c>
      <c r="C1381" s="22" t="str">
        <f>'EQUITY BACKTEST'!E1384</f>
        <v/>
      </c>
    </row>
    <row r="1382" ht="15.75" customHeight="1">
      <c r="A1382" s="31" t="str">
        <f>'EQUITY BACKTEST'!A1385</f>
        <v/>
      </c>
      <c r="B1382" s="22" t="str">
        <f>'EQUITY BACKTEST'!B1385</f>
        <v/>
      </c>
      <c r="C1382" s="22" t="str">
        <f>'EQUITY BACKTEST'!E1385</f>
        <v/>
      </c>
    </row>
    <row r="1383" ht="15.75" customHeight="1">
      <c r="A1383" s="31" t="str">
        <f>'EQUITY BACKTEST'!A1386</f>
        <v/>
      </c>
      <c r="B1383" s="22" t="str">
        <f>'EQUITY BACKTEST'!B1386</f>
        <v/>
      </c>
      <c r="C1383" s="22" t="str">
        <f>'EQUITY BACKTEST'!E1386</f>
        <v/>
      </c>
    </row>
    <row r="1384" ht="15.75" customHeight="1">
      <c r="A1384" s="31" t="str">
        <f>'EQUITY BACKTEST'!A1387</f>
        <v/>
      </c>
      <c r="B1384" s="22" t="str">
        <f>'EQUITY BACKTEST'!B1387</f>
        <v/>
      </c>
      <c r="C1384" s="22" t="str">
        <f>'EQUITY BACKTEST'!E1387</f>
        <v/>
      </c>
    </row>
    <row r="1385" ht="15.75" customHeight="1">
      <c r="A1385" s="31" t="str">
        <f>'EQUITY BACKTEST'!A1388</f>
        <v/>
      </c>
      <c r="B1385" s="22" t="str">
        <f>'EQUITY BACKTEST'!B1388</f>
        <v/>
      </c>
      <c r="C1385" s="22" t="str">
        <f>'EQUITY BACKTEST'!E1388</f>
        <v/>
      </c>
    </row>
    <row r="1386" ht="15.75" customHeight="1">
      <c r="A1386" s="31" t="str">
        <f>'EQUITY BACKTEST'!A1389</f>
        <v/>
      </c>
      <c r="B1386" s="22" t="str">
        <f>'EQUITY BACKTEST'!B1389</f>
        <v/>
      </c>
      <c r="C1386" s="22" t="str">
        <f>'EQUITY BACKTEST'!E1389</f>
        <v/>
      </c>
    </row>
    <row r="1387" ht="15.75" customHeight="1">
      <c r="A1387" s="31" t="str">
        <f>'EQUITY BACKTEST'!A1390</f>
        <v/>
      </c>
      <c r="B1387" s="22" t="str">
        <f>'EQUITY BACKTEST'!B1390</f>
        <v/>
      </c>
      <c r="C1387" s="22" t="str">
        <f>'EQUITY BACKTEST'!E1390</f>
        <v/>
      </c>
    </row>
    <row r="1388" ht="15.75" customHeight="1">
      <c r="A1388" s="31" t="str">
        <f>'EQUITY BACKTEST'!A1391</f>
        <v/>
      </c>
      <c r="B1388" s="22" t="str">
        <f>'EQUITY BACKTEST'!B1391</f>
        <v/>
      </c>
      <c r="C1388" s="22" t="str">
        <f>'EQUITY BACKTEST'!E1391</f>
        <v/>
      </c>
    </row>
    <row r="1389" ht="15.75" customHeight="1">
      <c r="A1389" s="31" t="str">
        <f>'EQUITY BACKTEST'!A1392</f>
        <v/>
      </c>
      <c r="B1389" s="22" t="str">
        <f>'EQUITY BACKTEST'!B1392</f>
        <v/>
      </c>
      <c r="C1389" s="22" t="str">
        <f>'EQUITY BACKTEST'!E1392</f>
        <v/>
      </c>
    </row>
    <row r="1390" ht="15.75" customHeight="1">
      <c r="A1390" s="31" t="str">
        <f>'EQUITY BACKTEST'!A1393</f>
        <v/>
      </c>
      <c r="B1390" s="22" t="str">
        <f>'EQUITY BACKTEST'!B1393</f>
        <v/>
      </c>
      <c r="C1390" s="22" t="str">
        <f>'EQUITY BACKTEST'!E1393</f>
        <v/>
      </c>
    </row>
    <row r="1391" ht="15.75" customHeight="1">
      <c r="A1391" s="31" t="str">
        <f>'EQUITY BACKTEST'!A1394</f>
        <v/>
      </c>
      <c r="B1391" s="22" t="str">
        <f>'EQUITY BACKTEST'!B1394</f>
        <v/>
      </c>
      <c r="C1391" s="22" t="str">
        <f>'EQUITY BACKTEST'!E1394</f>
        <v/>
      </c>
    </row>
    <row r="1392" ht="15.75" customHeight="1">
      <c r="A1392" s="31" t="str">
        <f>'EQUITY BACKTEST'!A1395</f>
        <v/>
      </c>
      <c r="B1392" s="22" t="str">
        <f>'EQUITY BACKTEST'!B1395</f>
        <v/>
      </c>
      <c r="C1392" s="22" t="str">
        <f>'EQUITY BACKTEST'!E1395</f>
        <v/>
      </c>
    </row>
    <row r="1393" ht="15.75" customHeight="1">
      <c r="A1393" s="31" t="str">
        <f>'EQUITY BACKTEST'!A1396</f>
        <v/>
      </c>
      <c r="B1393" s="22" t="str">
        <f>'EQUITY BACKTEST'!B1396</f>
        <v/>
      </c>
      <c r="C1393" s="22" t="str">
        <f>'EQUITY BACKTEST'!E1396</f>
        <v/>
      </c>
    </row>
    <row r="1394" ht="15.75" customHeight="1">
      <c r="A1394" s="31" t="str">
        <f>'EQUITY BACKTEST'!A1397</f>
        <v/>
      </c>
      <c r="B1394" s="22" t="str">
        <f>'EQUITY BACKTEST'!B1397</f>
        <v/>
      </c>
      <c r="C1394" s="22" t="str">
        <f>'EQUITY BACKTEST'!E1397</f>
        <v/>
      </c>
    </row>
    <row r="1395" ht="15.75" customHeight="1">
      <c r="A1395" s="31" t="str">
        <f>'EQUITY BACKTEST'!A1398</f>
        <v/>
      </c>
      <c r="B1395" s="22" t="str">
        <f>'EQUITY BACKTEST'!B1398</f>
        <v/>
      </c>
      <c r="C1395" s="22" t="str">
        <f>'EQUITY BACKTEST'!E1398</f>
        <v/>
      </c>
    </row>
    <row r="1396" ht="15.75" customHeight="1">
      <c r="A1396" s="31" t="str">
        <f>'EQUITY BACKTEST'!A1399</f>
        <v/>
      </c>
      <c r="B1396" s="22" t="str">
        <f>'EQUITY BACKTEST'!B1399</f>
        <v/>
      </c>
      <c r="C1396" s="22" t="str">
        <f>'EQUITY BACKTEST'!E1399</f>
        <v/>
      </c>
    </row>
    <row r="1397" ht="15.75" customHeight="1">
      <c r="A1397" s="31" t="str">
        <f>'EQUITY BACKTEST'!A1400</f>
        <v/>
      </c>
      <c r="B1397" s="22" t="str">
        <f>'EQUITY BACKTEST'!B1400</f>
        <v/>
      </c>
      <c r="C1397" s="22" t="str">
        <f>'EQUITY BACKTEST'!E1400</f>
        <v/>
      </c>
    </row>
    <row r="1398" ht="15.75" customHeight="1">
      <c r="A1398" s="31" t="str">
        <f>'EQUITY BACKTEST'!A1401</f>
        <v/>
      </c>
      <c r="B1398" s="22" t="str">
        <f>'EQUITY BACKTEST'!B1401</f>
        <v/>
      </c>
      <c r="C1398" s="22" t="str">
        <f>'EQUITY BACKTEST'!E1401</f>
        <v/>
      </c>
    </row>
    <row r="1399" ht="15.75" customHeight="1">
      <c r="A1399" s="31" t="str">
        <f>'EQUITY BACKTEST'!A1402</f>
        <v/>
      </c>
      <c r="B1399" s="22" t="str">
        <f>'EQUITY BACKTEST'!B1402</f>
        <v/>
      </c>
      <c r="C1399" s="22" t="str">
        <f>'EQUITY BACKTEST'!E1402</f>
        <v/>
      </c>
    </row>
    <row r="1400" ht="15.75" customHeight="1">
      <c r="A1400" s="31" t="str">
        <f>'EQUITY BACKTEST'!A1403</f>
        <v/>
      </c>
      <c r="B1400" s="22" t="str">
        <f>'EQUITY BACKTEST'!B1403</f>
        <v/>
      </c>
      <c r="C1400" s="22" t="str">
        <f>'EQUITY BACKTEST'!E1403</f>
        <v/>
      </c>
    </row>
    <row r="1401" ht="15.75" customHeight="1">
      <c r="A1401" s="31" t="str">
        <f>'EQUITY BACKTEST'!A1404</f>
        <v/>
      </c>
      <c r="B1401" s="22" t="str">
        <f>'EQUITY BACKTEST'!B1404</f>
        <v/>
      </c>
      <c r="C1401" s="22" t="str">
        <f>'EQUITY BACKTEST'!E1404</f>
        <v/>
      </c>
    </row>
    <row r="1402" ht="15.75" customHeight="1">
      <c r="A1402" s="31" t="str">
        <f>'EQUITY BACKTEST'!A1405</f>
        <v/>
      </c>
      <c r="B1402" s="22" t="str">
        <f>'EQUITY BACKTEST'!B1405</f>
        <v/>
      </c>
      <c r="C1402" s="22" t="str">
        <f>'EQUITY BACKTEST'!E1405</f>
        <v/>
      </c>
    </row>
    <row r="1403" ht="15.75" customHeight="1">
      <c r="A1403" s="31" t="str">
        <f>'EQUITY BACKTEST'!A1406</f>
        <v/>
      </c>
      <c r="B1403" s="22" t="str">
        <f>'EQUITY BACKTEST'!B1406</f>
        <v/>
      </c>
      <c r="C1403" s="22" t="str">
        <f>'EQUITY BACKTEST'!E1406</f>
        <v/>
      </c>
    </row>
    <row r="1404" ht="15.75" customHeight="1">
      <c r="A1404" s="31" t="str">
        <f>'EQUITY BACKTEST'!A1407</f>
        <v/>
      </c>
      <c r="B1404" s="22" t="str">
        <f>'EQUITY BACKTEST'!B1407</f>
        <v/>
      </c>
      <c r="C1404" s="22" t="str">
        <f>'EQUITY BACKTEST'!E1407</f>
        <v/>
      </c>
    </row>
    <row r="1405" ht="15.75" customHeight="1">
      <c r="A1405" s="31" t="str">
        <f>'EQUITY BACKTEST'!A1408</f>
        <v/>
      </c>
      <c r="B1405" s="22" t="str">
        <f>'EQUITY BACKTEST'!B1408</f>
        <v/>
      </c>
      <c r="C1405" s="22" t="str">
        <f>'EQUITY BACKTEST'!E1408</f>
        <v/>
      </c>
    </row>
    <row r="1406" ht="15.75" customHeight="1">
      <c r="A1406" s="31" t="str">
        <f>'EQUITY BACKTEST'!A1409</f>
        <v/>
      </c>
      <c r="B1406" s="22" t="str">
        <f>'EQUITY BACKTEST'!B1409</f>
        <v/>
      </c>
      <c r="C1406" s="22" t="str">
        <f>'EQUITY BACKTEST'!E1409</f>
        <v/>
      </c>
    </row>
    <row r="1407" ht="15.75" customHeight="1">
      <c r="A1407" s="31" t="str">
        <f>'EQUITY BACKTEST'!A1410</f>
        <v/>
      </c>
      <c r="B1407" s="22" t="str">
        <f>'EQUITY BACKTEST'!B1410</f>
        <v/>
      </c>
      <c r="C1407" s="22" t="str">
        <f>'EQUITY BACKTEST'!E1410</f>
        <v/>
      </c>
    </row>
    <row r="1408" ht="15.75" customHeight="1">
      <c r="A1408" s="31" t="str">
        <f>'EQUITY BACKTEST'!A1411</f>
        <v/>
      </c>
      <c r="B1408" s="22" t="str">
        <f>'EQUITY BACKTEST'!B1411</f>
        <v/>
      </c>
      <c r="C1408" s="22" t="str">
        <f>'EQUITY BACKTEST'!E1411</f>
        <v/>
      </c>
    </row>
    <row r="1409" ht="15.75" customHeight="1">
      <c r="A1409" s="31" t="str">
        <f>'EQUITY BACKTEST'!A1412</f>
        <v/>
      </c>
      <c r="B1409" s="22" t="str">
        <f>'EQUITY BACKTEST'!B1412</f>
        <v/>
      </c>
      <c r="C1409" s="22" t="str">
        <f>'EQUITY BACKTEST'!E1412</f>
        <v/>
      </c>
    </row>
    <row r="1410" ht="15.75" customHeight="1">
      <c r="A1410" s="31" t="str">
        <f>'EQUITY BACKTEST'!A1413</f>
        <v/>
      </c>
      <c r="B1410" s="22" t="str">
        <f>'EQUITY BACKTEST'!B1413</f>
        <v/>
      </c>
      <c r="C1410" s="22" t="str">
        <f>'EQUITY BACKTEST'!E1413</f>
        <v/>
      </c>
    </row>
    <row r="1411" ht="15.75" customHeight="1">
      <c r="A1411" s="31" t="str">
        <f>'EQUITY BACKTEST'!A1414</f>
        <v/>
      </c>
      <c r="B1411" s="22" t="str">
        <f>'EQUITY BACKTEST'!B1414</f>
        <v/>
      </c>
      <c r="C1411" s="22" t="str">
        <f>'EQUITY BACKTEST'!E1414</f>
        <v/>
      </c>
    </row>
    <row r="1412" ht="15.75" customHeight="1">
      <c r="A1412" s="31" t="str">
        <f>'EQUITY BACKTEST'!A1415</f>
        <v/>
      </c>
      <c r="B1412" s="22" t="str">
        <f>'EQUITY BACKTEST'!B1415</f>
        <v/>
      </c>
      <c r="C1412" s="22" t="str">
        <f>'EQUITY BACKTEST'!E1415</f>
        <v/>
      </c>
    </row>
    <row r="1413" ht="15.75" customHeight="1">
      <c r="A1413" s="31" t="str">
        <f>'EQUITY BACKTEST'!A1416</f>
        <v/>
      </c>
      <c r="B1413" s="22" t="str">
        <f>'EQUITY BACKTEST'!B1416</f>
        <v/>
      </c>
      <c r="C1413" s="22" t="str">
        <f>'EQUITY BACKTEST'!E1416</f>
        <v/>
      </c>
    </row>
    <row r="1414" ht="15.75" customHeight="1">
      <c r="A1414" s="31" t="str">
        <f>'EQUITY BACKTEST'!A1417</f>
        <v/>
      </c>
      <c r="B1414" s="22" t="str">
        <f>'EQUITY BACKTEST'!B1417</f>
        <v/>
      </c>
      <c r="C1414" s="22" t="str">
        <f>'EQUITY BACKTEST'!E1417</f>
        <v/>
      </c>
    </row>
    <row r="1415" ht="15.75" customHeight="1">
      <c r="A1415" s="31" t="str">
        <f>'EQUITY BACKTEST'!A1418</f>
        <v/>
      </c>
      <c r="B1415" s="22" t="str">
        <f>'EQUITY BACKTEST'!B1418</f>
        <v/>
      </c>
      <c r="C1415" s="22" t="str">
        <f>'EQUITY BACKTEST'!E1418</f>
        <v/>
      </c>
    </row>
    <row r="1416" ht="15.75" customHeight="1">
      <c r="A1416" s="31" t="str">
        <f>'EQUITY BACKTEST'!A1419</f>
        <v/>
      </c>
      <c r="B1416" s="22" t="str">
        <f>'EQUITY BACKTEST'!B1419</f>
        <v/>
      </c>
      <c r="C1416" s="22" t="str">
        <f>'EQUITY BACKTEST'!E1419</f>
        <v/>
      </c>
    </row>
    <row r="1417" ht="15.75" customHeight="1">
      <c r="A1417" s="31" t="str">
        <f>'EQUITY BACKTEST'!A1420</f>
        <v/>
      </c>
      <c r="B1417" s="22" t="str">
        <f>'EQUITY BACKTEST'!B1420</f>
        <v/>
      </c>
      <c r="C1417" s="22" t="str">
        <f>'EQUITY BACKTEST'!E1420</f>
        <v/>
      </c>
    </row>
    <row r="1418" ht="15.75" customHeight="1">
      <c r="A1418" s="31" t="str">
        <f>'EQUITY BACKTEST'!A1421</f>
        <v/>
      </c>
      <c r="B1418" s="22" t="str">
        <f>'EQUITY BACKTEST'!B1421</f>
        <v/>
      </c>
      <c r="C1418" s="22" t="str">
        <f>'EQUITY BACKTEST'!E1421</f>
        <v/>
      </c>
    </row>
    <row r="1419" ht="15.75" customHeight="1">
      <c r="A1419" s="31" t="str">
        <f>'EQUITY BACKTEST'!A1422</f>
        <v/>
      </c>
      <c r="B1419" s="22" t="str">
        <f>'EQUITY BACKTEST'!B1422</f>
        <v/>
      </c>
      <c r="C1419" s="22" t="str">
        <f>'EQUITY BACKTEST'!E1422</f>
        <v/>
      </c>
    </row>
    <row r="1420" ht="15.75" customHeight="1">
      <c r="A1420" s="31" t="str">
        <f>'EQUITY BACKTEST'!A1423</f>
        <v/>
      </c>
      <c r="B1420" s="22" t="str">
        <f>'EQUITY BACKTEST'!B1423</f>
        <v/>
      </c>
      <c r="C1420" s="22" t="str">
        <f>'EQUITY BACKTEST'!E1423</f>
        <v/>
      </c>
    </row>
    <row r="1421" ht="15.75" customHeight="1">
      <c r="A1421" s="31" t="str">
        <f>'EQUITY BACKTEST'!A1424</f>
        <v/>
      </c>
      <c r="B1421" s="22" t="str">
        <f>'EQUITY BACKTEST'!B1424</f>
        <v/>
      </c>
      <c r="C1421" s="22" t="str">
        <f>'EQUITY BACKTEST'!E1424</f>
        <v/>
      </c>
    </row>
    <row r="1422" ht="15.75" customHeight="1">
      <c r="A1422" s="31" t="str">
        <f>'EQUITY BACKTEST'!A1425</f>
        <v/>
      </c>
      <c r="B1422" s="22" t="str">
        <f>'EQUITY BACKTEST'!B1425</f>
        <v/>
      </c>
      <c r="C1422" s="22" t="str">
        <f>'EQUITY BACKTEST'!E1425</f>
        <v/>
      </c>
    </row>
    <row r="1423" ht="15.75" customHeight="1">
      <c r="A1423" s="31" t="str">
        <f>'EQUITY BACKTEST'!A1426</f>
        <v/>
      </c>
      <c r="B1423" s="22" t="str">
        <f>'EQUITY BACKTEST'!B1426</f>
        <v/>
      </c>
      <c r="C1423" s="22" t="str">
        <f>'EQUITY BACKTEST'!E1426</f>
        <v/>
      </c>
    </row>
    <row r="1424" ht="15.75" customHeight="1">
      <c r="A1424" s="31" t="str">
        <f>'EQUITY BACKTEST'!A1427</f>
        <v/>
      </c>
      <c r="B1424" s="22" t="str">
        <f>'EQUITY BACKTEST'!B1427</f>
        <v/>
      </c>
      <c r="C1424" s="22" t="str">
        <f>'EQUITY BACKTEST'!E1427</f>
        <v/>
      </c>
    </row>
    <row r="1425" ht="15.75" customHeight="1">
      <c r="A1425" s="31" t="str">
        <f>'EQUITY BACKTEST'!A1428</f>
        <v/>
      </c>
      <c r="B1425" s="22" t="str">
        <f>'EQUITY BACKTEST'!B1428</f>
        <v/>
      </c>
      <c r="C1425" s="22" t="str">
        <f>'EQUITY BACKTEST'!E1428</f>
        <v/>
      </c>
    </row>
    <row r="1426" ht="15.75" customHeight="1">
      <c r="A1426" s="31" t="str">
        <f>'EQUITY BACKTEST'!A1429</f>
        <v/>
      </c>
      <c r="B1426" s="22" t="str">
        <f>'EQUITY BACKTEST'!B1429</f>
        <v/>
      </c>
      <c r="C1426" s="22" t="str">
        <f>'EQUITY BACKTEST'!E1429</f>
        <v/>
      </c>
    </row>
    <row r="1427" ht="15.75" customHeight="1">
      <c r="A1427" s="31" t="str">
        <f>'EQUITY BACKTEST'!A1430</f>
        <v/>
      </c>
      <c r="B1427" s="22" t="str">
        <f>'EQUITY BACKTEST'!B1430</f>
        <v/>
      </c>
      <c r="C1427" s="22" t="str">
        <f>'EQUITY BACKTEST'!E1430</f>
        <v/>
      </c>
    </row>
    <row r="1428" ht="15.75" customHeight="1">
      <c r="A1428" s="31" t="str">
        <f>'EQUITY BACKTEST'!A1431</f>
        <v/>
      </c>
      <c r="B1428" s="22" t="str">
        <f>'EQUITY BACKTEST'!B1431</f>
        <v/>
      </c>
      <c r="C1428" s="22" t="str">
        <f>'EQUITY BACKTEST'!E1431</f>
        <v/>
      </c>
    </row>
    <row r="1429" ht="15.75" customHeight="1">
      <c r="A1429" s="31" t="str">
        <f>'EQUITY BACKTEST'!A1432</f>
        <v/>
      </c>
      <c r="B1429" s="22" t="str">
        <f>'EQUITY BACKTEST'!B1432</f>
        <v/>
      </c>
      <c r="C1429" s="22" t="str">
        <f>'EQUITY BACKTEST'!E1432</f>
        <v/>
      </c>
    </row>
    <row r="1430" ht="15.75" customHeight="1">
      <c r="A1430" s="31" t="str">
        <f>'EQUITY BACKTEST'!A1433</f>
        <v/>
      </c>
      <c r="B1430" s="22" t="str">
        <f>'EQUITY BACKTEST'!B1433</f>
        <v/>
      </c>
      <c r="C1430" s="22" t="str">
        <f>'EQUITY BACKTEST'!E1433</f>
        <v/>
      </c>
    </row>
    <row r="1431" ht="15.75" customHeight="1">
      <c r="A1431" s="31" t="str">
        <f>'EQUITY BACKTEST'!A1434</f>
        <v/>
      </c>
      <c r="B1431" s="22" t="str">
        <f>'EQUITY BACKTEST'!B1434</f>
        <v/>
      </c>
      <c r="C1431" s="22" t="str">
        <f>'EQUITY BACKTEST'!E1434</f>
        <v/>
      </c>
    </row>
    <row r="1432" ht="15.75" customHeight="1">
      <c r="A1432" s="31" t="str">
        <f>'EQUITY BACKTEST'!A1435</f>
        <v/>
      </c>
      <c r="B1432" s="22" t="str">
        <f>'EQUITY BACKTEST'!B1435</f>
        <v/>
      </c>
      <c r="C1432" s="22" t="str">
        <f>'EQUITY BACKTEST'!E1435</f>
        <v/>
      </c>
    </row>
    <row r="1433" ht="15.75" customHeight="1">
      <c r="A1433" s="31" t="str">
        <f>'EQUITY BACKTEST'!A1436</f>
        <v/>
      </c>
      <c r="B1433" s="22" t="str">
        <f>'EQUITY BACKTEST'!B1436</f>
        <v/>
      </c>
      <c r="C1433" s="22" t="str">
        <f>'EQUITY BACKTEST'!E1436</f>
        <v/>
      </c>
    </row>
    <row r="1434" ht="15.75" customHeight="1">
      <c r="A1434" s="31" t="str">
        <f>'EQUITY BACKTEST'!A1437</f>
        <v/>
      </c>
      <c r="B1434" s="22" t="str">
        <f>'EQUITY BACKTEST'!B1437</f>
        <v/>
      </c>
      <c r="C1434" s="22" t="str">
        <f>'EQUITY BACKTEST'!E1437</f>
        <v/>
      </c>
    </row>
    <row r="1435" ht="15.75" customHeight="1">
      <c r="A1435" s="31" t="str">
        <f>'EQUITY BACKTEST'!A1438</f>
        <v/>
      </c>
      <c r="B1435" s="22" t="str">
        <f>'EQUITY BACKTEST'!B1438</f>
        <v/>
      </c>
      <c r="C1435" s="22" t="str">
        <f>'EQUITY BACKTEST'!E1438</f>
        <v/>
      </c>
    </row>
    <row r="1436" ht="15.75" customHeight="1">
      <c r="A1436" s="31" t="str">
        <f>'EQUITY BACKTEST'!A1439</f>
        <v/>
      </c>
      <c r="B1436" s="22" t="str">
        <f>'EQUITY BACKTEST'!B1439</f>
        <v/>
      </c>
      <c r="C1436" s="22" t="str">
        <f>'EQUITY BACKTEST'!E1439</f>
        <v/>
      </c>
    </row>
    <row r="1437" ht="15.75" customHeight="1">
      <c r="A1437" s="31" t="str">
        <f>'EQUITY BACKTEST'!A1440</f>
        <v/>
      </c>
      <c r="B1437" s="22" t="str">
        <f>'EQUITY BACKTEST'!B1440</f>
        <v/>
      </c>
      <c r="C1437" s="22" t="str">
        <f>'EQUITY BACKTEST'!E1440</f>
        <v/>
      </c>
    </row>
    <row r="1438" ht="15.75" customHeight="1">
      <c r="A1438" s="31" t="str">
        <f>'EQUITY BACKTEST'!A1441</f>
        <v/>
      </c>
      <c r="B1438" s="22" t="str">
        <f>'EQUITY BACKTEST'!B1441</f>
        <v/>
      </c>
      <c r="C1438" s="22" t="str">
        <f>'EQUITY BACKTEST'!E1441</f>
        <v/>
      </c>
    </row>
    <row r="1439" ht="15.75" customHeight="1">
      <c r="A1439" s="31" t="str">
        <f>'EQUITY BACKTEST'!A1442</f>
        <v/>
      </c>
      <c r="B1439" s="22" t="str">
        <f>'EQUITY BACKTEST'!B1442</f>
        <v/>
      </c>
      <c r="C1439" s="22" t="str">
        <f>'EQUITY BACKTEST'!E1442</f>
        <v/>
      </c>
    </row>
    <row r="1440" ht="15.75" customHeight="1">
      <c r="A1440" s="31" t="str">
        <f>'EQUITY BACKTEST'!A1443</f>
        <v/>
      </c>
      <c r="B1440" s="22" t="str">
        <f>'EQUITY BACKTEST'!B1443</f>
        <v/>
      </c>
      <c r="C1440" s="22" t="str">
        <f>'EQUITY BACKTEST'!E1443</f>
        <v/>
      </c>
    </row>
    <row r="1441" ht="15.75" customHeight="1">
      <c r="A1441" s="31" t="str">
        <f>'EQUITY BACKTEST'!A1444</f>
        <v/>
      </c>
      <c r="B1441" s="22" t="str">
        <f>'EQUITY BACKTEST'!B1444</f>
        <v/>
      </c>
      <c r="C1441" s="22" t="str">
        <f>'EQUITY BACKTEST'!E1444</f>
        <v/>
      </c>
    </row>
    <row r="1442" ht="15.75" customHeight="1">
      <c r="A1442" s="31" t="str">
        <f>'EQUITY BACKTEST'!A1445</f>
        <v/>
      </c>
      <c r="B1442" s="22" t="str">
        <f>'EQUITY BACKTEST'!B1445</f>
        <v/>
      </c>
      <c r="C1442" s="22" t="str">
        <f>'EQUITY BACKTEST'!E1445</f>
        <v/>
      </c>
    </row>
    <row r="1443" ht="15.75" customHeight="1">
      <c r="A1443" s="31" t="str">
        <f>'EQUITY BACKTEST'!A1446</f>
        <v/>
      </c>
      <c r="B1443" s="22" t="str">
        <f>'EQUITY BACKTEST'!B1446</f>
        <v/>
      </c>
      <c r="C1443" s="22" t="str">
        <f>'EQUITY BACKTEST'!E1446</f>
        <v/>
      </c>
    </row>
    <row r="1444" ht="15.75" customHeight="1">
      <c r="A1444" s="31" t="str">
        <f>'EQUITY BACKTEST'!A1447</f>
        <v/>
      </c>
      <c r="B1444" s="22" t="str">
        <f>'EQUITY BACKTEST'!B1447</f>
        <v/>
      </c>
      <c r="C1444" s="22" t="str">
        <f>'EQUITY BACKTEST'!E1447</f>
        <v/>
      </c>
    </row>
    <row r="1445" ht="15.75" customHeight="1">
      <c r="A1445" s="31" t="str">
        <f>'EQUITY BACKTEST'!A1448</f>
        <v/>
      </c>
      <c r="B1445" s="22" t="str">
        <f>'EQUITY BACKTEST'!B1448</f>
        <v/>
      </c>
      <c r="C1445" s="22" t="str">
        <f>'EQUITY BACKTEST'!E1448</f>
        <v/>
      </c>
    </row>
    <row r="1446" ht="15.75" customHeight="1">
      <c r="A1446" s="31" t="str">
        <f>'EQUITY BACKTEST'!A1449</f>
        <v/>
      </c>
      <c r="B1446" s="22" t="str">
        <f>'EQUITY BACKTEST'!B1449</f>
        <v/>
      </c>
      <c r="C1446" s="22" t="str">
        <f>'EQUITY BACKTEST'!E1449</f>
        <v/>
      </c>
    </row>
    <row r="1447" ht="15.75" customHeight="1">
      <c r="A1447" s="31" t="str">
        <f>'EQUITY BACKTEST'!A1450</f>
        <v/>
      </c>
      <c r="B1447" s="22" t="str">
        <f>'EQUITY BACKTEST'!B1450</f>
        <v/>
      </c>
      <c r="C1447" s="22" t="str">
        <f>'EQUITY BACKTEST'!E1450</f>
        <v/>
      </c>
    </row>
    <row r="1448" ht="15.75" customHeight="1">
      <c r="A1448" s="31" t="str">
        <f>'EQUITY BACKTEST'!A1451</f>
        <v/>
      </c>
      <c r="B1448" s="22" t="str">
        <f>'EQUITY BACKTEST'!B1451</f>
        <v/>
      </c>
      <c r="C1448" s="22" t="str">
        <f>'EQUITY BACKTEST'!E1451</f>
        <v/>
      </c>
    </row>
    <row r="1449" ht="15.75" customHeight="1">
      <c r="A1449" s="31" t="str">
        <f>'EQUITY BACKTEST'!A1452</f>
        <v/>
      </c>
      <c r="B1449" s="22" t="str">
        <f>'EQUITY BACKTEST'!B1452</f>
        <v/>
      </c>
      <c r="C1449" s="22" t="str">
        <f>'EQUITY BACKTEST'!E1452</f>
        <v/>
      </c>
    </row>
    <row r="1450" ht="15.75" customHeight="1">
      <c r="A1450" s="31" t="str">
        <f>'EQUITY BACKTEST'!A1453</f>
        <v/>
      </c>
      <c r="B1450" s="22" t="str">
        <f>'EQUITY BACKTEST'!B1453</f>
        <v/>
      </c>
      <c r="C1450" s="22" t="str">
        <f>'EQUITY BACKTEST'!E1453</f>
        <v/>
      </c>
    </row>
    <row r="1451" ht="15.75" customHeight="1">
      <c r="A1451" s="31" t="str">
        <f>'EQUITY BACKTEST'!A1454</f>
        <v/>
      </c>
      <c r="B1451" s="22" t="str">
        <f>'EQUITY BACKTEST'!B1454</f>
        <v/>
      </c>
      <c r="C1451" s="22" t="str">
        <f>'EQUITY BACKTEST'!E1454</f>
        <v/>
      </c>
    </row>
    <row r="1452" ht="15.75" customHeight="1">
      <c r="A1452" s="31" t="str">
        <f>'EQUITY BACKTEST'!A1455</f>
        <v/>
      </c>
      <c r="B1452" s="22" t="str">
        <f>'EQUITY BACKTEST'!B1455</f>
        <v/>
      </c>
      <c r="C1452" s="22" t="str">
        <f>'EQUITY BACKTEST'!E1455</f>
        <v/>
      </c>
    </row>
    <row r="1453" ht="15.75" customHeight="1">
      <c r="A1453" s="31" t="str">
        <f>'EQUITY BACKTEST'!A1456</f>
        <v/>
      </c>
      <c r="B1453" s="22" t="str">
        <f>'EQUITY BACKTEST'!B1456</f>
        <v/>
      </c>
      <c r="C1453" s="22" t="str">
        <f>'EQUITY BACKTEST'!E1456</f>
        <v/>
      </c>
    </row>
    <row r="1454" ht="15.75" customHeight="1">
      <c r="A1454" s="31" t="str">
        <f>'EQUITY BACKTEST'!A1457</f>
        <v/>
      </c>
      <c r="B1454" s="22" t="str">
        <f>'EQUITY BACKTEST'!B1457</f>
        <v/>
      </c>
      <c r="C1454" s="22" t="str">
        <f>'EQUITY BACKTEST'!E1457</f>
        <v/>
      </c>
    </row>
    <row r="1455" ht="15.75" customHeight="1">
      <c r="A1455" s="31" t="str">
        <f>'EQUITY BACKTEST'!A1458</f>
        <v/>
      </c>
      <c r="B1455" s="22" t="str">
        <f>'EQUITY BACKTEST'!B1458</f>
        <v/>
      </c>
      <c r="C1455" s="22" t="str">
        <f>'EQUITY BACKTEST'!E1458</f>
        <v/>
      </c>
    </row>
    <row r="1456" ht="15.75" customHeight="1">
      <c r="A1456" s="31" t="str">
        <f>'EQUITY BACKTEST'!A1459</f>
        <v/>
      </c>
      <c r="B1456" s="22" t="str">
        <f>'EQUITY BACKTEST'!B1459</f>
        <v/>
      </c>
      <c r="C1456" s="22" t="str">
        <f>'EQUITY BACKTEST'!E1459</f>
        <v/>
      </c>
    </row>
    <row r="1457" ht="15.75" customHeight="1">
      <c r="A1457" s="31" t="str">
        <f>'EQUITY BACKTEST'!A1460</f>
        <v/>
      </c>
      <c r="B1457" s="22" t="str">
        <f>'EQUITY BACKTEST'!B1460</f>
        <v/>
      </c>
      <c r="C1457" s="22" t="str">
        <f>'EQUITY BACKTEST'!E1460</f>
        <v/>
      </c>
    </row>
    <row r="1458" ht="15.75" customHeight="1">
      <c r="A1458" s="31" t="str">
        <f>'EQUITY BACKTEST'!A1461</f>
        <v/>
      </c>
      <c r="B1458" s="22" t="str">
        <f>'EQUITY BACKTEST'!B1461</f>
        <v/>
      </c>
      <c r="C1458" s="22" t="str">
        <f>'EQUITY BACKTEST'!E1461</f>
        <v/>
      </c>
    </row>
    <row r="1459" ht="15.75" customHeight="1">
      <c r="A1459" s="31" t="str">
        <f>'EQUITY BACKTEST'!A1462</f>
        <v/>
      </c>
      <c r="B1459" s="22" t="str">
        <f>'EQUITY BACKTEST'!B1462</f>
        <v/>
      </c>
      <c r="C1459" s="22" t="str">
        <f>'EQUITY BACKTEST'!E1462</f>
        <v/>
      </c>
    </row>
    <row r="1460" ht="15.75" customHeight="1">
      <c r="A1460" s="31" t="str">
        <f>'EQUITY BACKTEST'!A1463</f>
        <v/>
      </c>
      <c r="B1460" s="22" t="str">
        <f>'EQUITY BACKTEST'!B1463</f>
        <v/>
      </c>
      <c r="C1460" s="22" t="str">
        <f>'EQUITY BACKTEST'!E1463</f>
        <v/>
      </c>
    </row>
    <row r="1461" ht="15.75" customHeight="1">
      <c r="A1461" s="31" t="str">
        <f>'EQUITY BACKTEST'!A1464</f>
        <v/>
      </c>
      <c r="B1461" s="22" t="str">
        <f>'EQUITY BACKTEST'!B1464</f>
        <v/>
      </c>
      <c r="C1461" s="22" t="str">
        <f>'EQUITY BACKTEST'!E1464</f>
        <v/>
      </c>
    </row>
    <row r="1462" ht="15.75" customHeight="1">
      <c r="A1462" s="31" t="str">
        <f>'EQUITY BACKTEST'!A1465</f>
        <v/>
      </c>
      <c r="B1462" s="22" t="str">
        <f>'EQUITY BACKTEST'!B1465</f>
        <v/>
      </c>
      <c r="C1462" s="22" t="str">
        <f>'EQUITY BACKTEST'!E1465</f>
        <v/>
      </c>
    </row>
    <row r="1463" ht="15.75" customHeight="1">
      <c r="A1463" s="31" t="str">
        <f>'EQUITY BACKTEST'!A1466</f>
        <v/>
      </c>
      <c r="B1463" s="22" t="str">
        <f>'EQUITY BACKTEST'!B1466</f>
        <v/>
      </c>
      <c r="C1463" s="22" t="str">
        <f>'EQUITY BACKTEST'!E1466</f>
        <v/>
      </c>
    </row>
    <row r="1464" ht="15.75" customHeight="1">
      <c r="A1464" s="31" t="str">
        <f>'EQUITY BACKTEST'!A1467</f>
        <v/>
      </c>
      <c r="B1464" s="22" t="str">
        <f>'EQUITY BACKTEST'!B1467</f>
        <v/>
      </c>
      <c r="C1464" s="22" t="str">
        <f>'EQUITY BACKTEST'!E1467</f>
        <v/>
      </c>
    </row>
    <row r="1465" ht="15.75" customHeight="1">
      <c r="A1465" s="31" t="str">
        <f>'EQUITY BACKTEST'!A1468</f>
        <v/>
      </c>
      <c r="B1465" s="22" t="str">
        <f>'EQUITY BACKTEST'!B1468</f>
        <v/>
      </c>
      <c r="C1465" s="22" t="str">
        <f>'EQUITY BACKTEST'!E1468</f>
        <v/>
      </c>
    </row>
    <row r="1466" ht="15.75" customHeight="1">
      <c r="A1466" s="31" t="str">
        <f>'EQUITY BACKTEST'!A1469</f>
        <v/>
      </c>
      <c r="B1466" s="22" t="str">
        <f>'EQUITY BACKTEST'!B1469</f>
        <v/>
      </c>
      <c r="C1466" s="22" t="str">
        <f>'EQUITY BACKTEST'!E1469</f>
        <v/>
      </c>
    </row>
    <row r="1467" ht="15.75" customHeight="1">
      <c r="A1467" s="31" t="str">
        <f>'EQUITY BACKTEST'!A1470</f>
        <v/>
      </c>
      <c r="B1467" s="22" t="str">
        <f>'EQUITY BACKTEST'!B1470</f>
        <v/>
      </c>
      <c r="C1467" s="22" t="str">
        <f>'EQUITY BACKTEST'!E1470</f>
        <v/>
      </c>
    </row>
    <row r="1468" ht="15.75" customHeight="1">
      <c r="A1468" s="31" t="str">
        <f>'EQUITY BACKTEST'!A1471</f>
        <v/>
      </c>
      <c r="B1468" s="22" t="str">
        <f>'EQUITY BACKTEST'!B1471</f>
        <v/>
      </c>
      <c r="C1468" s="22" t="str">
        <f>'EQUITY BACKTEST'!E1471</f>
        <v/>
      </c>
    </row>
    <row r="1469" ht="15.75" customHeight="1">
      <c r="A1469" s="31" t="str">
        <f>'EQUITY BACKTEST'!A1472</f>
        <v/>
      </c>
      <c r="B1469" s="22" t="str">
        <f>'EQUITY BACKTEST'!B1472</f>
        <v/>
      </c>
      <c r="C1469" s="22" t="str">
        <f>'EQUITY BACKTEST'!E1472</f>
        <v/>
      </c>
    </row>
    <row r="1470" ht="15.75" customHeight="1">
      <c r="A1470" s="31" t="str">
        <f>'EQUITY BACKTEST'!A1473</f>
        <v/>
      </c>
      <c r="B1470" s="22" t="str">
        <f>'EQUITY BACKTEST'!B1473</f>
        <v/>
      </c>
      <c r="C1470" s="22" t="str">
        <f>'EQUITY BACKTEST'!E1473</f>
        <v/>
      </c>
    </row>
    <row r="1471" ht="15.75" customHeight="1">
      <c r="A1471" s="31" t="str">
        <f>'EQUITY BACKTEST'!A1474</f>
        <v/>
      </c>
      <c r="B1471" s="22" t="str">
        <f>'EQUITY BACKTEST'!B1474</f>
        <v/>
      </c>
      <c r="C1471" s="22" t="str">
        <f>'EQUITY BACKTEST'!E1474</f>
        <v/>
      </c>
    </row>
    <row r="1472" ht="15.75" customHeight="1">
      <c r="A1472" s="31" t="str">
        <f>'EQUITY BACKTEST'!A1475</f>
        <v/>
      </c>
      <c r="B1472" s="22" t="str">
        <f>'EQUITY BACKTEST'!B1475</f>
        <v/>
      </c>
      <c r="C1472" s="22" t="str">
        <f>'EQUITY BACKTEST'!E1475</f>
        <v/>
      </c>
    </row>
    <row r="1473" ht="15.75" customHeight="1">
      <c r="A1473" s="31" t="str">
        <f>'EQUITY BACKTEST'!A1476</f>
        <v/>
      </c>
      <c r="B1473" s="22" t="str">
        <f>'EQUITY BACKTEST'!B1476</f>
        <v/>
      </c>
      <c r="C1473" s="22" t="str">
        <f>'EQUITY BACKTEST'!E1476</f>
        <v/>
      </c>
    </row>
    <row r="1474" ht="15.75" customHeight="1">
      <c r="A1474" s="31" t="str">
        <f>'EQUITY BACKTEST'!A1477</f>
        <v/>
      </c>
      <c r="B1474" s="22" t="str">
        <f>'EQUITY BACKTEST'!B1477</f>
        <v/>
      </c>
      <c r="C1474" s="22" t="str">
        <f>'EQUITY BACKTEST'!E1477</f>
        <v/>
      </c>
    </row>
    <row r="1475" ht="15.75" customHeight="1">
      <c r="A1475" s="31" t="str">
        <f>'EQUITY BACKTEST'!A1478</f>
        <v/>
      </c>
      <c r="B1475" s="22" t="str">
        <f>'EQUITY BACKTEST'!B1478</f>
        <v/>
      </c>
      <c r="C1475" s="22" t="str">
        <f>'EQUITY BACKTEST'!E1478</f>
        <v/>
      </c>
    </row>
    <row r="1476" ht="15.75" customHeight="1">
      <c r="A1476" s="31" t="str">
        <f>'EQUITY BACKTEST'!A1479</f>
        <v/>
      </c>
      <c r="B1476" s="22" t="str">
        <f>'EQUITY BACKTEST'!B1479</f>
        <v/>
      </c>
      <c r="C1476" s="22" t="str">
        <f>'EQUITY BACKTEST'!E1479</f>
        <v/>
      </c>
    </row>
    <row r="1477" ht="15.75" customHeight="1">
      <c r="A1477" s="31" t="str">
        <f>'EQUITY BACKTEST'!A1480</f>
        <v/>
      </c>
      <c r="B1477" s="22" t="str">
        <f>'EQUITY BACKTEST'!B1480</f>
        <v/>
      </c>
      <c r="C1477" s="22" t="str">
        <f>'EQUITY BACKTEST'!E1480</f>
        <v/>
      </c>
    </row>
    <row r="1478" ht="15.75" customHeight="1">
      <c r="A1478" s="31" t="str">
        <f>'EQUITY BACKTEST'!A1481</f>
        <v/>
      </c>
      <c r="B1478" s="22" t="str">
        <f>'EQUITY BACKTEST'!B1481</f>
        <v/>
      </c>
      <c r="C1478" s="22" t="str">
        <f>'EQUITY BACKTEST'!E1481</f>
        <v/>
      </c>
    </row>
    <row r="1479" ht="15.75" customHeight="1">
      <c r="A1479" s="31" t="str">
        <f>'EQUITY BACKTEST'!A1482</f>
        <v/>
      </c>
      <c r="B1479" s="22" t="str">
        <f>'EQUITY BACKTEST'!B1482</f>
        <v/>
      </c>
      <c r="C1479" s="22" t="str">
        <f>'EQUITY BACKTEST'!E1482</f>
        <v/>
      </c>
    </row>
    <row r="1480" ht="15.75" customHeight="1">
      <c r="A1480" s="31" t="str">
        <f>'EQUITY BACKTEST'!A1483</f>
        <v/>
      </c>
      <c r="B1480" s="22" t="str">
        <f>'EQUITY BACKTEST'!B1483</f>
        <v/>
      </c>
      <c r="C1480" s="22" t="str">
        <f>'EQUITY BACKTEST'!E1483</f>
        <v/>
      </c>
    </row>
    <row r="1481" ht="15.75" customHeight="1">
      <c r="A1481" s="31" t="str">
        <f>'EQUITY BACKTEST'!A1484</f>
        <v/>
      </c>
      <c r="B1481" s="22" t="str">
        <f>'EQUITY BACKTEST'!B1484</f>
        <v/>
      </c>
      <c r="C1481" s="22" t="str">
        <f>'EQUITY BACKTEST'!E1484</f>
        <v/>
      </c>
    </row>
    <row r="1482" ht="15.75" customHeight="1">
      <c r="A1482" s="31" t="str">
        <f>'EQUITY BACKTEST'!A1485</f>
        <v/>
      </c>
      <c r="B1482" s="22" t="str">
        <f>'EQUITY BACKTEST'!B1485</f>
        <v/>
      </c>
      <c r="C1482" s="22" t="str">
        <f>'EQUITY BACKTEST'!E1485</f>
        <v/>
      </c>
    </row>
    <row r="1483" ht="15.75" customHeight="1">
      <c r="A1483" s="31" t="str">
        <f>'EQUITY BACKTEST'!A1486</f>
        <v/>
      </c>
      <c r="B1483" s="22" t="str">
        <f>'EQUITY BACKTEST'!B1486</f>
        <v/>
      </c>
      <c r="C1483" s="22" t="str">
        <f>'EQUITY BACKTEST'!E1486</f>
        <v/>
      </c>
    </row>
    <row r="1484" ht="15.75" customHeight="1">
      <c r="A1484" s="31" t="str">
        <f>'EQUITY BACKTEST'!A1487</f>
        <v/>
      </c>
      <c r="B1484" s="22" t="str">
        <f>'EQUITY BACKTEST'!B1487</f>
        <v/>
      </c>
      <c r="C1484" s="22" t="str">
        <f>'EQUITY BACKTEST'!E1487</f>
        <v/>
      </c>
    </row>
    <row r="1485" ht="15.75" customHeight="1">
      <c r="A1485" s="31" t="str">
        <f>'EQUITY BACKTEST'!A1488</f>
        <v/>
      </c>
      <c r="B1485" s="22" t="str">
        <f>'EQUITY BACKTEST'!B1488</f>
        <v/>
      </c>
      <c r="C1485" s="22" t="str">
        <f>'EQUITY BACKTEST'!E1488</f>
        <v/>
      </c>
    </row>
    <row r="1486" ht="15.75" customHeight="1">
      <c r="A1486" s="31" t="str">
        <f>'EQUITY BACKTEST'!A1489</f>
        <v/>
      </c>
      <c r="B1486" s="22" t="str">
        <f>'EQUITY BACKTEST'!B1489</f>
        <v/>
      </c>
      <c r="C1486" s="22" t="str">
        <f>'EQUITY BACKTEST'!E1489</f>
        <v/>
      </c>
    </row>
    <row r="1487" ht="15.75" customHeight="1">
      <c r="A1487" s="31" t="str">
        <f>'EQUITY BACKTEST'!A1490</f>
        <v/>
      </c>
      <c r="B1487" s="22" t="str">
        <f>'EQUITY BACKTEST'!B1490</f>
        <v/>
      </c>
      <c r="C1487" s="22" t="str">
        <f>'EQUITY BACKTEST'!E1490</f>
        <v/>
      </c>
    </row>
    <row r="1488" ht="15.75" customHeight="1">
      <c r="A1488" s="31" t="str">
        <f>'EQUITY BACKTEST'!A1491</f>
        <v/>
      </c>
      <c r="B1488" s="22" t="str">
        <f>'EQUITY BACKTEST'!B1491</f>
        <v/>
      </c>
      <c r="C1488" s="22" t="str">
        <f>'EQUITY BACKTEST'!E1491</f>
        <v/>
      </c>
    </row>
    <row r="1489" ht="15.75" customHeight="1">
      <c r="A1489" s="31" t="str">
        <f>'EQUITY BACKTEST'!A1492</f>
        <v/>
      </c>
      <c r="B1489" s="22" t="str">
        <f>'EQUITY BACKTEST'!B1492</f>
        <v/>
      </c>
      <c r="C1489" s="22" t="str">
        <f>'EQUITY BACKTEST'!E1492</f>
        <v/>
      </c>
    </row>
    <row r="1490" ht="15.75" customHeight="1">
      <c r="A1490" s="31" t="str">
        <f>'EQUITY BACKTEST'!A1493</f>
        <v/>
      </c>
      <c r="B1490" s="22" t="str">
        <f>'EQUITY BACKTEST'!B1493</f>
        <v/>
      </c>
      <c r="C1490" s="22" t="str">
        <f>'EQUITY BACKTEST'!E1493</f>
        <v/>
      </c>
    </row>
    <row r="1491" ht="15.75" customHeight="1">
      <c r="A1491" s="31" t="str">
        <f>'EQUITY BACKTEST'!A1494</f>
        <v/>
      </c>
      <c r="B1491" s="22" t="str">
        <f>'EQUITY BACKTEST'!B1494</f>
        <v/>
      </c>
      <c r="C1491" s="22" t="str">
        <f>'EQUITY BACKTEST'!E1494</f>
        <v/>
      </c>
    </row>
    <row r="1492" ht="15.75" customHeight="1">
      <c r="A1492" s="31" t="str">
        <f>'EQUITY BACKTEST'!A1495</f>
        <v/>
      </c>
      <c r="B1492" s="22" t="str">
        <f>'EQUITY BACKTEST'!B1495</f>
        <v/>
      </c>
      <c r="C1492" s="22" t="str">
        <f>'EQUITY BACKTEST'!E1495</f>
        <v/>
      </c>
    </row>
    <row r="1493" ht="15.75" customHeight="1">
      <c r="A1493" s="31" t="str">
        <f>'EQUITY BACKTEST'!A1496</f>
        <v/>
      </c>
      <c r="B1493" s="22" t="str">
        <f>'EQUITY BACKTEST'!B1496</f>
        <v/>
      </c>
      <c r="C1493" s="22" t="str">
        <f>'EQUITY BACKTEST'!E1496</f>
        <v/>
      </c>
    </row>
    <row r="1494" ht="15.75" customHeight="1">
      <c r="A1494" s="31" t="str">
        <f>'EQUITY BACKTEST'!A1497</f>
        <v/>
      </c>
      <c r="B1494" s="22" t="str">
        <f>'EQUITY BACKTEST'!B1497</f>
        <v/>
      </c>
      <c r="C1494" s="22" t="str">
        <f>'EQUITY BACKTEST'!E1497</f>
        <v/>
      </c>
    </row>
    <row r="1495" ht="15.75" customHeight="1">
      <c r="A1495" s="31" t="str">
        <f>'EQUITY BACKTEST'!A1498</f>
        <v/>
      </c>
      <c r="B1495" s="22" t="str">
        <f>'EQUITY BACKTEST'!B1498</f>
        <v/>
      </c>
      <c r="C1495" s="22" t="str">
        <f>'EQUITY BACKTEST'!E1498</f>
        <v/>
      </c>
    </row>
    <row r="1496" ht="15.75" customHeight="1">
      <c r="A1496" s="31" t="str">
        <f>'EQUITY BACKTEST'!A1499</f>
        <v/>
      </c>
      <c r="B1496" s="22" t="str">
        <f>'EQUITY BACKTEST'!B1499</f>
        <v/>
      </c>
      <c r="C1496" s="22" t="str">
        <f>'EQUITY BACKTEST'!E1499</f>
        <v/>
      </c>
    </row>
    <row r="1497" ht="15.75" customHeight="1">
      <c r="A1497" s="31" t="str">
        <f>'EQUITY BACKTEST'!A1500</f>
        <v/>
      </c>
      <c r="B1497" s="22" t="str">
        <f>'EQUITY BACKTEST'!B1500</f>
        <v/>
      </c>
      <c r="C1497" s="22" t="str">
        <f>'EQUITY BACKTEST'!E1500</f>
        <v/>
      </c>
    </row>
    <row r="1498" ht="15.75" customHeight="1">
      <c r="A1498" s="31" t="str">
        <f>'EQUITY BACKTEST'!A1501</f>
        <v/>
      </c>
      <c r="B1498" s="22" t="str">
        <f>'EQUITY BACKTEST'!B1501</f>
        <v/>
      </c>
      <c r="C1498" s="22" t="str">
        <f>'EQUITY BACKTEST'!E1501</f>
        <v/>
      </c>
    </row>
    <row r="1499" ht="15.75" customHeight="1">
      <c r="A1499" s="31" t="str">
        <f>'EQUITY BACKTEST'!A1502</f>
        <v/>
      </c>
      <c r="B1499" s="22" t="str">
        <f>'EQUITY BACKTEST'!B1502</f>
        <v/>
      </c>
      <c r="C1499" s="22" t="str">
        <f>'EQUITY BACKTEST'!E1502</f>
        <v/>
      </c>
    </row>
    <row r="1500" ht="15.75" customHeight="1">
      <c r="A1500" s="31" t="str">
        <f>'EQUITY BACKTEST'!A1503</f>
        <v/>
      </c>
      <c r="B1500" s="22" t="str">
        <f>'EQUITY BACKTEST'!B1503</f>
        <v/>
      </c>
      <c r="C1500" s="22" t="str">
        <f>'EQUITY BACKTEST'!E1503</f>
        <v/>
      </c>
    </row>
    <row r="1501" ht="15.75" customHeight="1">
      <c r="A1501" s="31" t="str">
        <f>'EQUITY BACKTEST'!A1504</f>
        <v/>
      </c>
      <c r="B1501" s="22" t="str">
        <f>'EQUITY BACKTEST'!B1504</f>
        <v/>
      </c>
      <c r="C1501" s="22" t="str">
        <f>'EQUITY BACKTEST'!E1504</f>
        <v/>
      </c>
    </row>
    <row r="1502" ht="15.75" customHeight="1">
      <c r="A1502" s="31" t="str">
        <f>'EQUITY BACKTEST'!A1505</f>
        <v/>
      </c>
      <c r="B1502" s="22" t="str">
        <f>'EQUITY BACKTEST'!B1505</f>
        <v/>
      </c>
      <c r="C1502" s="22" t="str">
        <f>'EQUITY BACKTEST'!E1505</f>
        <v/>
      </c>
    </row>
    <row r="1503" ht="15.75" customHeight="1">
      <c r="A1503" s="31" t="str">
        <f>'EQUITY BACKTEST'!A1506</f>
        <v/>
      </c>
      <c r="B1503" s="22" t="str">
        <f>'EQUITY BACKTEST'!B1506</f>
        <v/>
      </c>
      <c r="C1503" s="22" t="str">
        <f>'EQUITY BACKTEST'!E1506</f>
        <v/>
      </c>
    </row>
    <row r="1504" ht="15.75" customHeight="1">
      <c r="A1504" s="31" t="str">
        <f>'EQUITY BACKTEST'!A1507</f>
        <v/>
      </c>
      <c r="B1504" s="22" t="str">
        <f>'EQUITY BACKTEST'!B1507</f>
        <v/>
      </c>
      <c r="C1504" s="22" t="str">
        <f>'EQUITY BACKTEST'!E1507</f>
        <v/>
      </c>
    </row>
    <row r="1505" ht="15.75" customHeight="1">
      <c r="A1505" s="31" t="str">
        <f>'EQUITY BACKTEST'!A1508</f>
        <v/>
      </c>
      <c r="B1505" s="22" t="str">
        <f>'EQUITY BACKTEST'!B1508</f>
        <v/>
      </c>
      <c r="C1505" s="22" t="str">
        <f>'EQUITY BACKTEST'!E1508</f>
        <v/>
      </c>
    </row>
    <row r="1506" ht="15.75" customHeight="1">
      <c r="A1506" s="31" t="str">
        <f>'EQUITY BACKTEST'!A1509</f>
        <v/>
      </c>
      <c r="B1506" s="22" t="str">
        <f>'EQUITY BACKTEST'!B1509</f>
        <v/>
      </c>
      <c r="C1506" s="22" t="str">
        <f>'EQUITY BACKTEST'!E1509</f>
        <v/>
      </c>
    </row>
    <row r="1507" ht="15.75" customHeight="1">
      <c r="A1507" s="31" t="str">
        <f>'EQUITY BACKTEST'!A1510</f>
        <v/>
      </c>
      <c r="B1507" s="22" t="str">
        <f>'EQUITY BACKTEST'!B1510</f>
        <v/>
      </c>
      <c r="C1507" s="22" t="str">
        <f>'EQUITY BACKTEST'!E1510</f>
        <v/>
      </c>
    </row>
    <row r="1508" ht="15.75" customHeight="1">
      <c r="A1508" s="31" t="str">
        <f>'EQUITY BACKTEST'!A1511</f>
        <v/>
      </c>
      <c r="B1508" s="22" t="str">
        <f>'EQUITY BACKTEST'!B1511</f>
        <v/>
      </c>
      <c r="C1508" s="22" t="str">
        <f>'EQUITY BACKTEST'!E1511</f>
        <v/>
      </c>
    </row>
    <row r="1509" ht="15.75" customHeight="1">
      <c r="A1509" s="31" t="str">
        <f>'EQUITY BACKTEST'!A1512</f>
        <v/>
      </c>
      <c r="B1509" s="22" t="str">
        <f>'EQUITY BACKTEST'!B1512</f>
        <v/>
      </c>
      <c r="C1509" s="22" t="str">
        <f>'EQUITY BACKTEST'!E1512</f>
        <v/>
      </c>
    </row>
    <row r="1510" ht="15.75" customHeight="1">
      <c r="A1510" s="31" t="str">
        <f>'EQUITY BACKTEST'!A1513</f>
        <v/>
      </c>
      <c r="B1510" s="22" t="str">
        <f>'EQUITY BACKTEST'!B1513</f>
        <v/>
      </c>
      <c r="C1510" s="22" t="str">
        <f>'EQUITY BACKTEST'!E1513</f>
        <v/>
      </c>
    </row>
    <row r="1511" ht="15.75" customHeight="1">
      <c r="A1511" s="31" t="str">
        <f>'EQUITY BACKTEST'!A1514</f>
        <v/>
      </c>
      <c r="B1511" s="22" t="str">
        <f>'EQUITY BACKTEST'!B1514</f>
        <v/>
      </c>
      <c r="C1511" s="22" t="str">
        <f>'EQUITY BACKTEST'!E1514</f>
        <v/>
      </c>
    </row>
    <row r="1512" ht="15.75" customHeight="1">
      <c r="A1512" s="31" t="str">
        <f>'EQUITY BACKTEST'!A1515</f>
        <v/>
      </c>
      <c r="B1512" s="22" t="str">
        <f>'EQUITY BACKTEST'!B1515</f>
        <v/>
      </c>
      <c r="C1512" s="22" t="str">
        <f>'EQUITY BACKTEST'!E1515</f>
        <v/>
      </c>
    </row>
    <row r="1513" ht="15.75" customHeight="1">
      <c r="A1513" s="31" t="str">
        <f>'EQUITY BACKTEST'!A1516</f>
        <v/>
      </c>
      <c r="B1513" s="22" t="str">
        <f>'EQUITY BACKTEST'!B1516</f>
        <v/>
      </c>
      <c r="C1513" s="22" t="str">
        <f>'EQUITY BACKTEST'!E1516</f>
        <v/>
      </c>
    </row>
    <row r="1514" ht="15.75" customHeight="1">
      <c r="A1514" s="31" t="str">
        <f>'EQUITY BACKTEST'!A1517</f>
        <v/>
      </c>
      <c r="B1514" s="22" t="str">
        <f>'EQUITY BACKTEST'!B1517</f>
        <v/>
      </c>
      <c r="C1514" s="22" t="str">
        <f>'EQUITY BACKTEST'!E1517</f>
        <v/>
      </c>
    </row>
    <row r="1515" ht="15.75" customHeight="1">
      <c r="A1515" s="31" t="str">
        <f>'EQUITY BACKTEST'!A1518</f>
        <v/>
      </c>
      <c r="B1515" s="22" t="str">
        <f>'EQUITY BACKTEST'!B1518</f>
        <v/>
      </c>
      <c r="C1515" s="22" t="str">
        <f>'EQUITY BACKTEST'!E1518</f>
        <v/>
      </c>
    </row>
    <row r="1516" ht="15.75" customHeight="1">
      <c r="A1516" s="31" t="str">
        <f>'EQUITY BACKTEST'!A1519</f>
        <v/>
      </c>
      <c r="B1516" s="22" t="str">
        <f>'EQUITY BACKTEST'!B1519</f>
        <v/>
      </c>
      <c r="C1516" s="22" t="str">
        <f>'EQUITY BACKTEST'!E1519</f>
        <v/>
      </c>
    </row>
    <row r="1517" ht="15.75" customHeight="1">
      <c r="A1517" s="31" t="str">
        <f>'EQUITY BACKTEST'!A1520</f>
        <v/>
      </c>
      <c r="B1517" s="22" t="str">
        <f>'EQUITY BACKTEST'!B1520</f>
        <v/>
      </c>
      <c r="C1517" s="22" t="str">
        <f>'EQUITY BACKTEST'!E1520</f>
        <v/>
      </c>
    </row>
    <row r="1518" ht="15.75" customHeight="1">
      <c r="A1518" s="31" t="str">
        <f>'EQUITY BACKTEST'!A1521</f>
        <v/>
      </c>
      <c r="B1518" s="22" t="str">
        <f>'EQUITY BACKTEST'!B1521</f>
        <v/>
      </c>
      <c r="C1518" s="22" t="str">
        <f>'EQUITY BACKTEST'!E1521</f>
        <v/>
      </c>
    </row>
    <row r="1519" ht="15.75" customHeight="1">
      <c r="A1519" s="31" t="str">
        <f>'EQUITY BACKTEST'!A1522</f>
        <v/>
      </c>
      <c r="B1519" s="22" t="str">
        <f>'EQUITY BACKTEST'!B1522</f>
        <v/>
      </c>
      <c r="C1519" s="22" t="str">
        <f>'EQUITY BACKTEST'!E1522</f>
        <v/>
      </c>
    </row>
    <row r="1520" ht="15.75" customHeight="1">
      <c r="A1520" s="31" t="str">
        <f>'EQUITY BACKTEST'!A1523</f>
        <v/>
      </c>
      <c r="B1520" s="22" t="str">
        <f>'EQUITY BACKTEST'!B1523</f>
        <v/>
      </c>
      <c r="C1520" s="22" t="str">
        <f>'EQUITY BACKTEST'!E1523</f>
        <v/>
      </c>
    </row>
    <row r="1521" ht="15.75" customHeight="1">
      <c r="A1521" s="31" t="str">
        <f>'EQUITY BACKTEST'!A1524</f>
        <v/>
      </c>
      <c r="B1521" s="22" t="str">
        <f>'EQUITY BACKTEST'!B1524</f>
        <v/>
      </c>
      <c r="C1521" s="22" t="str">
        <f>'EQUITY BACKTEST'!E1524</f>
        <v/>
      </c>
    </row>
    <row r="1522" ht="15.75" customHeight="1">
      <c r="A1522" s="31" t="str">
        <f>'EQUITY BACKTEST'!A1525</f>
        <v/>
      </c>
      <c r="B1522" s="22" t="str">
        <f>'EQUITY BACKTEST'!B1525</f>
        <v/>
      </c>
      <c r="C1522" s="22" t="str">
        <f>'EQUITY BACKTEST'!E1525</f>
        <v/>
      </c>
    </row>
    <row r="1523" ht="15.75" customHeight="1">
      <c r="A1523" s="31" t="str">
        <f>'EQUITY BACKTEST'!A1526</f>
        <v/>
      </c>
      <c r="B1523" s="22" t="str">
        <f>'EQUITY BACKTEST'!B1526</f>
        <v/>
      </c>
      <c r="C1523" s="22" t="str">
        <f>'EQUITY BACKTEST'!E1526</f>
        <v/>
      </c>
    </row>
    <row r="1524" ht="15.75" customHeight="1">
      <c r="A1524" s="31" t="str">
        <f>'EQUITY BACKTEST'!A1527</f>
        <v/>
      </c>
      <c r="B1524" s="22" t="str">
        <f>'EQUITY BACKTEST'!B1527</f>
        <v/>
      </c>
      <c r="C1524" s="22" t="str">
        <f>'EQUITY BACKTEST'!E1527</f>
        <v/>
      </c>
    </row>
    <row r="1525" ht="15.75" customHeight="1">
      <c r="A1525" s="31" t="str">
        <f>'EQUITY BACKTEST'!A1528</f>
        <v/>
      </c>
      <c r="B1525" s="22" t="str">
        <f>'EQUITY BACKTEST'!B1528</f>
        <v/>
      </c>
      <c r="C1525" s="22" t="str">
        <f>'EQUITY BACKTEST'!E1528</f>
        <v/>
      </c>
    </row>
    <row r="1526" ht="15.75" customHeight="1">
      <c r="A1526" s="31" t="str">
        <f>'EQUITY BACKTEST'!A1529</f>
        <v/>
      </c>
      <c r="B1526" s="22" t="str">
        <f>'EQUITY BACKTEST'!B1529</f>
        <v/>
      </c>
      <c r="C1526" s="22" t="str">
        <f>'EQUITY BACKTEST'!E1529</f>
        <v/>
      </c>
    </row>
    <row r="1527" ht="15.75" customHeight="1">
      <c r="A1527" s="31" t="str">
        <f>'EQUITY BACKTEST'!A1530</f>
        <v/>
      </c>
      <c r="B1527" s="22" t="str">
        <f>'EQUITY BACKTEST'!B1530</f>
        <v/>
      </c>
      <c r="C1527" s="22" t="str">
        <f>'EQUITY BACKTEST'!E1530</f>
        <v/>
      </c>
    </row>
    <row r="1528" ht="15.75" customHeight="1">
      <c r="A1528" s="31" t="str">
        <f>'EQUITY BACKTEST'!A1531</f>
        <v/>
      </c>
      <c r="B1528" s="22" t="str">
        <f>'EQUITY BACKTEST'!B1531</f>
        <v/>
      </c>
      <c r="C1528" s="22" t="str">
        <f>'EQUITY BACKTEST'!E1531</f>
        <v/>
      </c>
    </row>
    <row r="1529" ht="15.75" customHeight="1">
      <c r="A1529" s="31" t="str">
        <f>'EQUITY BACKTEST'!A1532</f>
        <v/>
      </c>
      <c r="B1529" s="22" t="str">
        <f>'EQUITY BACKTEST'!B1532</f>
        <v/>
      </c>
      <c r="C1529" s="22" t="str">
        <f>'EQUITY BACKTEST'!E1532</f>
        <v/>
      </c>
    </row>
    <row r="1530" ht="15.75" customHeight="1">
      <c r="A1530" s="31" t="str">
        <f>'EQUITY BACKTEST'!A1533</f>
        <v/>
      </c>
      <c r="B1530" s="22" t="str">
        <f>'EQUITY BACKTEST'!B1533</f>
        <v/>
      </c>
      <c r="C1530" s="22" t="str">
        <f>'EQUITY BACKTEST'!E1533</f>
        <v/>
      </c>
    </row>
    <row r="1531" ht="15.75" customHeight="1">
      <c r="A1531" s="31" t="str">
        <f>'EQUITY BACKTEST'!A1534</f>
        <v/>
      </c>
      <c r="B1531" s="22" t="str">
        <f>'EQUITY BACKTEST'!B1534</f>
        <v/>
      </c>
      <c r="C1531" s="22" t="str">
        <f>'EQUITY BACKTEST'!E1534</f>
        <v/>
      </c>
    </row>
    <row r="1532" ht="15.75" customHeight="1">
      <c r="A1532" s="31" t="str">
        <f>'EQUITY BACKTEST'!A1535</f>
        <v/>
      </c>
      <c r="B1532" s="22" t="str">
        <f>'EQUITY BACKTEST'!B1535</f>
        <v/>
      </c>
      <c r="C1532" s="22" t="str">
        <f>'EQUITY BACKTEST'!E1535</f>
        <v/>
      </c>
    </row>
    <row r="1533" ht="15.75" customHeight="1">
      <c r="A1533" s="31" t="str">
        <f>'EQUITY BACKTEST'!A1536</f>
        <v/>
      </c>
      <c r="B1533" s="22" t="str">
        <f>'EQUITY BACKTEST'!B1536</f>
        <v/>
      </c>
      <c r="C1533" s="22" t="str">
        <f>'EQUITY BACKTEST'!E1536</f>
        <v/>
      </c>
    </row>
    <row r="1534" ht="15.75" customHeight="1">
      <c r="A1534" s="31" t="str">
        <f>'EQUITY BACKTEST'!A1537</f>
        <v/>
      </c>
      <c r="B1534" s="22" t="str">
        <f>'EQUITY BACKTEST'!B1537</f>
        <v/>
      </c>
      <c r="C1534" s="22" t="str">
        <f>'EQUITY BACKTEST'!E1537</f>
        <v/>
      </c>
    </row>
    <row r="1535" ht="15.75" customHeight="1">
      <c r="A1535" s="31" t="str">
        <f>'EQUITY BACKTEST'!A1538</f>
        <v/>
      </c>
      <c r="B1535" s="22" t="str">
        <f>'EQUITY BACKTEST'!B1538</f>
        <v/>
      </c>
      <c r="C1535" s="22" t="str">
        <f>'EQUITY BACKTEST'!E1538</f>
        <v/>
      </c>
    </row>
    <row r="1536" ht="15.75" customHeight="1">
      <c r="A1536" s="31" t="str">
        <f>'EQUITY BACKTEST'!A1539</f>
        <v/>
      </c>
      <c r="B1536" s="22" t="str">
        <f>'EQUITY BACKTEST'!B1539</f>
        <v/>
      </c>
      <c r="C1536" s="22" t="str">
        <f>'EQUITY BACKTEST'!E1539</f>
        <v/>
      </c>
    </row>
    <row r="1537" ht="15.75" customHeight="1">
      <c r="A1537" s="31" t="str">
        <f>'EQUITY BACKTEST'!A1540</f>
        <v/>
      </c>
      <c r="B1537" s="22" t="str">
        <f>'EQUITY BACKTEST'!B1540</f>
        <v/>
      </c>
      <c r="C1537" s="22" t="str">
        <f>'EQUITY BACKTEST'!E1540</f>
        <v/>
      </c>
    </row>
    <row r="1538" ht="15.75" customHeight="1">
      <c r="A1538" s="31" t="str">
        <f>'EQUITY BACKTEST'!A1541</f>
        <v/>
      </c>
      <c r="B1538" s="22" t="str">
        <f>'EQUITY BACKTEST'!B1541</f>
        <v/>
      </c>
      <c r="C1538" s="22" t="str">
        <f>'EQUITY BACKTEST'!E1541</f>
        <v/>
      </c>
    </row>
    <row r="1539" ht="15.75" customHeight="1">
      <c r="A1539" s="31" t="str">
        <f>'EQUITY BACKTEST'!A1542</f>
        <v/>
      </c>
      <c r="B1539" s="22" t="str">
        <f>'EQUITY BACKTEST'!B1542</f>
        <v/>
      </c>
      <c r="C1539" s="22" t="str">
        <f>'EQUITY BACKTEST'!E1542</f>
        <v/>
      </c>
    </row>
    <row r="1540" ht="15.75" customHeight="1">
      <c r="A1540" s="31" t="str">
        <f>'EQUITY BACKTEST'!A1543</f>
        <v/>
      </c>
      <c r="B1540" s="22" t="str">
        <f>'EQUITY BACKTEST'!B1543</f>
        <v/>
      </c>
      <c r="C1540" s="22" t="str">
        <f>'EQUITY BACKTEST'!E1543</f>
        <v/>
      </c>
    </row>
    <row r="1541" ht="15.75" customHeight="1">
      <c r="A1541" s="31" t="str">
        <f>'EQUITY BACKTEST'!A1544</f>
        <v/>
      </c>
      <c r="B1541" s="22" t="str">
        <f>'EQUITY BACKTEST'!B1544</f>
        <v/>
      </c>
      <c r="C1541" s="22" t="str">
        <f>'EQUITY BACKTEST'!E1544</f>
        <v/>
      </c>
    </row>
    <row r="1542" ht="15.75" customHeight="1">
      <c r="A1542" s="31" t="str">
        <f>'EQUITY BACKTEST'!A1545</f>
        <v/>
      </c>
      <c r="B1542" s="22" t="str">
        <f>'EQUITY BACKTEST'!B1545</f>
        <v/>
      </c>
      <c r="C1542" s="22" t="str">
        <f>'EQUITY BACKTEST'!E1545</f>
        <v/>
      </c>
    </row>
    <row r="1543" ht="15.75" customHeight="1">
      <c r="A1543" s="31" t="str">
        <f>'EQUITY BACKTEST'!A1546</f>
        <v/>
      </c>
      <c r="B1543" s="22" t="str">
        <f>'EQUITY BACKTEST'!B1546</f>
        <v/>
      </c>
      <c r="C1543" s="22" t="str">
        <f>'EQUITY BACKTEST'!E1546</f>
        <v/>
      </c>
    </row>
    <row r="1544" ht="15.75" customHeight="1">
      <c r="A1544" s="31" t="str">
        <f>'EQUITY BACKTEST'!A1547</f>
        <v/>
      </c>
      <c r="B1544" s="22" t="str">
        <f>'EQUITY BACKTEST'!B1547</f>
        <v/>
      </c>
      <c r="C1544" s="22" t="str">
        <f>'EQUITY BACKTEST'!E1547</f>
        <v/>
      </c>
    </row>
    <row r="1545" ht="15.75" customHeight="1">
      <c r="A1545" s="31" t="str">
        <f>'EQUITY BACKTEST'!A1548</f>
        <v/>
      </c>
      <c r="B1545" s="22" t="str">
        <f>'EQUITY BACKTEST'!B1548</f>
        <v/>
      </c>
      <c r="C1545" s="22" t="str">
        <f>'EQUITY BACKTEST'!E1548</f>
        <v/>
      </c>
    </row>
    <row r="1546" ht="15.75" customHeight="1">
      <c r="A1546" s="31" t="str">
        <f>'EQUITY BACKTEST'!A1549</f>
        <v/>
      </c>
      <c r="B1546" s="22" t="str">
        <f>'EQUITY BACKTEST'!B1549</f>
        <v/>
      </c>
      <c r="C1546" s="22" t="str">
        <f>'EQUITY BACKTEST'!E1549</f>
        <v/>
      </c>
    </row>
    <row r="1547" ht="15.75" customHeight="1">
      <c r="A1547" s="31" t="str">
        <f>'EQUITY BACKTEST'!A1550</f>
        <v/>
      </c>
      <c r="B1547" s="22" t="str">
        <f>'EQUITY BACKTEST'!B1550</f>
        <v/>
      </c>
      <c r="C1547" s="22" t="str">
        <f>'EQUITY BACKTEST'!E1550</f>
        <v/>
      </c>
    </row>
    <row r="1548" ht="15.75" customHeight="1">
      <c r="A1548" s="31" t="str">
        <f>'EQUITY BACKTEST'!A1551</f>
        <v/>
      </c>
      <c r="B1548" s="22" t="str">
        <f>'EQUITY BACKTEST'!B1551</f>
        <v/>
      </c>
      <c r="C1548" s="22" t="str">
        <f>'EQUITY BACKTEST'!E1551</f>
        <v/>
      </c>
    </row>
    <row r="1549" ht="15.75" customHeight="1">
      <c r="A1549" s="31" t="str">
        <f>'EQUITY BACKTEST'!A1552</f>
        <v/>
      </c>
      <c r="B1549" s="22" t="str">
        <f>'EQUITY BACKTEST'!B1552</f>
        <v/>
      </c>
      <c r="C1549" s="22" t="str">
        <f>'EQUITY BACKTEST'!E1552</f>
        <v/>
      </c>
    </row>
    <row r="1550" ht="15.75" customHeight="1">
      <c r="A1550" s="31" t="str">
        <f>'EQUITY BACKTEST'!A1553</f>
        <v/>
      </c>
      <c r="B1550" s="22" t="str">
        <f>'EQUITY BACKTEST'!B1553</f>
        <v/>
      </c>
      <c r="C1550" s="22" t="str">
        <f>'EQUITY BACKTEST'!E1553</f>
        <v/>
      </c>
    </row>
    <row r="1551" ht="15.75" customHeight="1">
      <c r="A1551" s="31" t="str">
        <f>'EQUITY BACKTEST'!A1554</f>
        <v/>
      </c>
      <c r="B1551" s="22" t="str">
        <f>'EQUITY BACKTEST'!B1554</f>
        <v/>
      </c>
      <c r="C1551" s="22" t="str">
        <f>'EQUITY BACKTEST'!E1554</f>
        <v/>
      </c>
    </row>
    <row r="1552" ht="15.75" customHeight="1">
      <c r="A1552" s="31" t="str">
        <f>'EQUITY BACKTEST'!A1555</f>
        <v/>
      </c>
      <c r="B1552" s="22" t="str">
        <f>'EQUITY BACKTEST'!B1555</f>
        <v/>
      </c>
      <c r="C1552" s="22" t="str">
        <f>'EQUITY BACKTEST'!E1555</f>
        <v/>
      </c>
    </row>
    <row r="1553" ht="15.75" customHeight="1">
      <c r="A1553" s="31" t="str">
        <f>'EQUITY BACKTEST'!A1556</f>
        <v/>
      </c>
      <c r="B1553" s="22" t="str">
        <f>'EQUITY BACKTEST'!B1556</f>
        <v/>
      </c>
      <c r="C1553" s="22" t="str">
        <f>'EQUITY BACKTEST'!E1556</f>
        <v/>
      </c>
    </row>
    <row r="1554" ht="15.75" customHeight="1">
      <c r="A1554" s="31" t="str">
        <f>'EQUITY BACKTEST'!A1557</f>
        <v/>
      </c>
      <c r="B1554" s="22" t="str">
        <f>'EQUITY BACKTEST'!B1557</f>
        <v/>
      </c>
      <c r="C1554" s="22" t="str">
        <f>'EQUITY BACKTEST'!E1557</f>
        <v/>
      </c>
    </row>
    <row r="1555" ht="15.75" customHeight="1">
      <c r="A1555" s="31" t="str">
        <f>'EQUITY BACKTEST'!A1558</f>
        <v/>
      </c>
      <c r="B1555" s="22" t="str">
        <f>'EQUITY BACKTEST'!B1558</f>
        <v/>
      </c>
      <c r="C1555" s="22" t="str">
        <f>'EQUITY BACKTEST'!E1558</f>
        <v/>
      </c>
    </row>
    <row r="1556" ht="15.75" customHeight="1">
      <c r="A1556" s="31" t="str">
        <f>'EQUITY BACKTEST'!A1559</f>
        <v/>
      </c>
      <c r="B1556" s="22" t="str">
        <f>'EQUITY BACKTEST'!B1559</f>
        <v/>
      </c>
      <c r="C1556" s="22" t="str">
        <f>'EQUITY BACKTEST'!E1559</f>
        <v/>
      </c>
    </row>
    <row r="1557" ht="15.75" customHeight="1">
      <c r="A1557" s="31" t="str">
        <f>'EQUITY BACKTEST'!A1560</f>
        <v/>
      </c>
      <c r="B1557" s="22" t="str">
        <f>'EQUITY BACKTEST'!B1560</f>
        <v/>
      </c>
      <c r="C1557" s="22" t="str">
        <f>'EQUITY BACKTEST'!E1560</f>
        <v/>
      </c>
    </row>
    <row r="1558" ht="15.75" customHeight="1">
      <c r="A1558" s="31" t="str">
        <f>'EQUITY BACKTEST'!A1561</f>
        <v/>
      </c>
      <c r="B1558" s="22" t="str">
        <f>'EQUITY BACKTEST'!B1561</f>
        <v/>
      </c>
      <c r="C1558" s="22" t="str">
        <f>'EQUITY BACKTEST'!E1561</f>
        <v/>
      </c>
    </row>
    <row r="1559" ht="15.75" customHeight="1">
      <c r="A1559" s="31" t="str">
        <f>'EQUITY BACKTEST'!A1562</f>
        <v/>
      </c>
      <c r="B1559" s="22" t="str">
        <f>'EQUITY BACKTEST'!B1562</f>
        <v/>
      </c>
      <c r="C1559" s="22" t="str">
        <f>'EQUITY BACKTEST'!E1562</f>
        <v/>
      </c>
    </row>
    <row r="1560" ht="15.75" customHeight="1">
      <c r="A1560" s="31" t="str">
        <f>'EQUITY BACKTEST'!A1563</f>
        <v/>
      </c>
      <c r="B1560" s="22" t="str">
        <f>'EQUITY BACKTEST'!B1563</f>
        <v/>
      </c>
      <c r="C1560" s="22" t="str">
        <f>'EQUITY BACKTEST'!E1563</f>
        <v/>
      </c>
    </row>
    <row r="1561" ht="15.75" customHeight="1">
      <c r="A1561" s="31" t="str">
        <f>'EQUITY BACKTEST'!A1564</f>
        <v/>
      </c>
      <c r="B1561" s="22" t="str">
        <f>'EQUITY BACKTEST'!B1564</f>
        <v/>
      </c>
      <c r="C1561" s="22" t="str">
        <f>'EQUITY BACKTEST'!E1564</f>
        <v/>
      </c>
    </row>
    <row r="1562" ht="15.75" customHeight="1">
      <c r="A1562" s="31" t="str">
        <f>'EQUITY BACKTEST'!A1565</f>
        <v/>
      </c>
      <c r="B1562" s="22" t="str">
        <f>'EQUITY BACKTEST'!B1565</f>
        <v/>
      </c>
      <c r="C1562" s="22" t="str">
        <f>'EQUITY BACKTEST'!E1565</f>
        <v/>
      </c>
    </row>
    <row r="1563" ht="15.75" customHeight="1">
      <c r="A1563" s="31" t="str">
        <f>'EQUITY BACKTEST'!A1566</f>
        <v/>
      </c>
      <c r="B1563" s="22" t="str">
        <f>'EQUITY BACKTEST'!B1566</f>
        <v/>
      </c>
      <c r="C1563" s="22" t="str">
        <f>'EQUITY BACKTEST'!E1566</f>
        <v/>
      </c>
    </row>
    <row r="1564" ht="15.75" customHeight="1">
      <c r="A1564" s="31" t="str">
        <f>'EQUITY BACKTEST'!A1567</f>
        <v/>
      </c>
      <c r="B1564" s="22" t="str">
        <f>'EQUITY BACKTEST'!B1567</f>
        <v/>
      </c>
      <c r="C1564" s="22" t="str">
        <f>'EQUITY BACKTEST'!E1567</f>
        <v/>
      </c>
    </row>
    <row r="1565" ht="15.75" customHeight="1">
      <c r="A1565" s="31" t="str">
        <f>'EQUITY BACKTEST'!A1568</f>
        <v/>
      </c>
      <c r="B1565" s="22" t="str">
        <f>'EQUITY BACKTEST'!B1568</f>
        <v/>
      </c>
      <c r="C1565" s="22" t="str">
        <f>'EQUITY BACKTEST'!E1568</f>
        <v/>
      </c>
    </row>
    <row r="1566" ht="15.75" customHeight="1">
      <c r="A1566" s="31" t="str">
        <f>'EQUITY BACKTEST'!A1569</f>
        <v/>
      </c>
      <c r="B1566" s="22" t="str">
        <f>'EQUITY BACKTEST'!B1569</f>
        <v/>
      </c>
      <c r="C1566" s="22" t="str">
        <f>'EQUITY BACKTEST'!E1569</f>
        <v/>
      </c>
    </row>
    <row r="1567" ht="15.75" customHeight="1">
      <c r="A1567" s="31" t="str">
        <f>'EQUITY BACKTEST'!A1570</f>
        <v/>
      </c>
      <c r="B1567" s="22" t="str">
        <f>'EQUITY BACKTEST'!B1570</f>
        <v/>
      </c>
      <c r="C1567" s="22" t="str">
        <f>'EQUITY BACKTEST'!E1570</f>
        <v/>
      </c>
    </row>
    <row r="1568" ht="15.75" customHeight="1">
      <c r="A1568" s="31" t="str">
        <f>'EQUITY BACKTEST'!A1571</f>
        <v/>
      </c>
      <c r="B1568" s="22" t="str">
        <f>'EQUITY BACKTEST'!B1571</f>
        <v/>
      </c>
      <c r="C1568" s="22" t="str">
        <f>'EQUITY BACKTEST'!E1571</f>
        <v/>
      </c>
    </row>
    <row r="1569" ht="15.75" customHeight="1">
      <c r="A1569" s="31" t="str">
        <f>'EQUITY BACKTEST'!A1572</f>
        <v/>
      </c>
      <c r="B1569" s="22" t="str">
        <f>'EQUITY BACKTEST'!B1572</f>
        <v/>
      </c>
      <c r="C1569" s="22" t="str">
        <f>'EQUITY BACKTEST'!E1572</f>
        <v/>
      </c>
    </row>
    <row r="1570" ht="15.75" customHeight="1">
      <c r="A1570" s="31" t="str">
        <f>'EQUITY BACKTEST'!A1573</f>
        <v/>
      </c>
      <c r="B1570" s="22" t="str">
        <f>'EQUITY BACKTEST'!B1573</f>
        <v/>
      </c>
      <c r="C1570" s="22" t="str">
        <f>'EQUITY BACKTEST'!E1573</f>
        <v/>
      </c>
    </row>
    <row r="1571" ht="15.75" customHeight="1">
      <c r="A1571" s="31" t="str">
        <f>'EQUITY BACKTEST'!A1574</f>
        <v/>
      </c>
      <c r="B1571" s="22" t="str">
        <f>'EQUITY BACKTEST'!B1574</f>
        <v/>
      </c>
      <c r="C1571" s="22" t="str">
        <f>'EQUITY BACKTEST'!E1574</f>
        <v/>
      </c>
    </row>
    <row r="1572" ht="15.75" customHeight="1">
      <c r="A1572" s="31" t="str">
        <f>'EQUITY BACKTEST'!A1575</f>
        <v/>
      </c>
      <c r="B1572" s="22" t="str">
        <f>'EQUITY BACKTEST'!B1575</f>
        <v/>
      </c>
      <c r="C1572" s="22" t="str">
        <f>'EQUITY BACKTEST'!E1575</f>
        <v/>
      </c>
    </row>
    <row r="1573" ht="15.75" customHeight="1">
      <c r="A1573" s="31" t="str">
        <f>'EQUITY BACKTEST'!A1576</f>
        <v/>
      </c>
      <c r="B1573" s="22" t="str">
        <f>'EQUITY BACKTEST'!B1576</f>
        <v/>
      </c>
      <c r="C1573" s="22" t="str">
        <f>'EQUITY BACKTEST'!E1576</f>
        <v/>
      </c>
    </row>
    <row r="1574" ht="15.75" customHeight="1">
      <c r="A1574" s="31" t="str">
        <f>'EQUITY BACKTEST'!A1577</f>
        <v/>
      </c>
      <c r="B1574" s="22" t="str">
        <f>'EQUITY BACKTEST'!B1577</f>
        <v/>
      </c>
      <c r="C1574" s="22" t="str">
        <f>'EQUITY BACKTEST'!E1577</f>
        <v/>
      </c>
    </row>
    <row r="1575" ht="15.75" customHeight="1">
      <c r="A1575" s="31" t="str">
        <f>'EQUITY BACKTEST'!A1578</f>
        <v/>
      </c>
      <c r="B1575" s="22" t="str">
        <f>'EQUITY BACKTEST'!B1578</f>
        <v/>
      </c>
      <c r="C1575" s="22" t="str">
        <f>'EQUITY BACKTEST'!E1578</f>
        <v/>
      </c>
    </row>
    <row r="1576" ht="15.75" customHeight="1">
      <c r="A1576" s="31" t="str">
        <f>'EQUITY BACKTEST'!A1579</f>
        <v/>
      </c>
      <c r="B1576" s="22" t="str">
        <f>'EQUITY BACKTEST'!B1579</f>
        <v/>
      </c>
      <c r="C1576" s="22" t="str">
        <f>'EQUITY BACKTEST'!E1579</f>
        <v/>
      </c>
    </row>
    <row r="1577" ht="15.75" customHeight="1">
      <c r="A1577" s="31" t="str">
        <f>'EQUITY BACKTEST'!A1580</f>
        <v/>
      </c>
      <c r="B1577" s="22" t="str">
        <f>'EQUITY BACKTEST'!B1580</f>
        <v/>
      </c>
      <c r="C1577" s="22" t="str">
        <f>'EQUITY BACKTEST'!E1580</f>
        <v/>
      </c>
    </row>
    <row r="1578" ht="15.75" customHeight="1">
      <c r="A1578" s="31" t="str">
        <f>'EQUITY BACKTEST'!A1581</f>
        <v/>
      </c>
      <c r="B1578" s="22" t="str">
        <f>'EQUITY BACKTEST'!B1581</f>
        <v/>
      </c>
      <c r="C1578" s="22" t="str">
        <f>'EQUITY BACKTEST'!E1581</f>
        <v/>
      </c>
    </row>
    <row r="1579" ht="15.75" customHeight="1">
      <c r="A1579" s="31" t="str">
        <f>'EQUITY BACKTEST'!A1582</f>
        <v/>
      </c>
      <c r="B1579" s="22" t="str">
        <f>'EQUITY BACKTEST'!B1582</f>
        <v/>
      </c>
      <c r="C1579" s="22" t="str">
        <f>'EQUITY BACKTEST'!E1582</f>
        <v/>
      </c>
    </row>
    <row r="1580" ht="15.75" customHeight="1">
      <c r="A1580" s="31" t="str">
        <f>'EQUITY BACKTEST'!A1583</f>
        <v/>
      </c>
      <c r="B1580" s="22" t="str">
        <f>'EQUITY BACKTEST'!B1583</f>
        <v/>
      </c>
      <c r="C1580" s="22" t="str">
        <f>'EQUITY BACKTEST'!E1583</f>
        <v/>
      </c>
    </row>
    <row r="1581" ht="15.75" customHeight="1">
      <c r="A1581" s="31" t="str">
        <f>'EQUITY BACKTEST'!A1584</f>
        <v/>
      </c>
      <c r="B1581" s="22" t="str">
        <f>'EQUITY BACKTEST'!B1584</f>
        <v/>
      </c>
      <c r="C1581" s="22" t="str">
        <f>'EQUITY BACKTEST'!E1584</f>
        <v/>
      </c>
    </row>
    <row r="1582" ht="15.75" customHeight="1">
      <c r="A1582" s="31" t="str">
        <f>'EQUITY BACKTEST'!A1585</f>
        <v/>
      </c>
      <c r="B1582" s="22" t="str">
        <f>'EQUITY BACKTEST'!B1585</f>
        <v/>
      </c>
      <c r="C1582" s="22" t="str">
        <f>'EQUITY BACKTEST'!E1585</f>
        <v/>
      </c>
    </row>
    <row r="1583" ht="15.75" customHeight="1">
      <c r="A1583" s="31" t="str">
        <f>'EQUITY BACKTEST'!A1586</f>
        <v/>
      </c>
      <c r="B1583" s="22" t="str">
        <f>'EQUITY BACKTEST'!B1586</f>
        <v/>
      </c>
      <c r="C1583" s="22" t="str">
        <f>'EQUITY BACKTEST'!E1586</f>
        <v/>
      </c>
    </row>
    <row r="1584" ht="15.75" customHeight="1">
      <c r="A1584" s="31" t="str">
        <f>'EQUITY BACKTEST'!A1587</f>
        <v/>
      </c>
      <c r="B1584" s="22" t="str">
        <f>'EQUITY BACKTEST'!B1587</f>
        <v/>
      </c>
      <c r="C1584" s="22" t="str">
        <f>'EQUITY BACKTEST'!E1587</f>
        <v/>
      </c>
    </row>
    <row r="1585" ht="15.75" customHeight="1">
      <c r="A1585" s="31" t="str">
        <f>'EQUITY BACKTEST'!A1588</f>
        <v/>
      </c>
      <c r="B1585" s="22" t="str">
        <f>'EQUITY BACKTEST'!B1588</f>
        <v/>
      </c>
      <c r="C1585" s="22" t="str">
        <f>'EQUITY BACKTEST'!E1588</f>
        <v/>
      </c>
    </row>
    <row r="1586" ht="15.75" customHeight="1">
      <c r="A1586" s="31" t="str">
        <f>'EQUITY BACKTEST'!A1589</f>
        <v/>
      </c>
      <c r="B1586" s="22" t="str">
        <f>'EQUITY BACKTEST'!B1589</f>
        <v/>
      </c>
      <c r="C1586" s="22" t="str">
        <f>'EQUITY BACKTEST'!E1589</f>
        <v/>
      </c>
    </row>
    <row r="1587" ht="15.75" customHeight="1">
      <c r="A1587" s="31" t="str">
        <f>'EQUITY BACKTEST'!A1590</f>
        <v/>
      </c>
      <c r="B1587" s="22" t="str">
        <f>'EQUITY BACKTEST'!B1590</f>
        <v/>
      </c>
      <c r="C1587" s="22" t="str">
        <f>'EQUITY BACKTEST'!E1590</f>
        <v/>
      </c>
    </row>
    <row r="1588" ht="15.75" customHeight="1">
      <c r="A1588" s="31" t="str">
        <f>'EQUITY BACKTEST'!A1591</f>
        <v/>
      </c>
      <c r="B1588" s="22" t="str">
        <f>'EQUITY BACKTEST'!B1591</f>
        <v/>
      </c>
      <c r="C1588" s="22" t="str">
        <f>'EQUITY BACKTEST'!E1591</f>
        <v/>
      </c>
    </row>
    <row r="1589" ht="15.75" customHeight="1">
      <c r="A1589" s="31" t="str">
        <f>'EQUITY BACKTEST'!A1592</f>
        <v/>
      </c>
      <c r="B1589" s="22" t="str">
        <f>'EQUITY BACKTEST'!B1592</f>
        <v/>
      </c>
      <c r="C1589" s="22" t="str">
        <f>'EQUITY BACKTEST'!E1592</f>
        <v/>
      </c>
    </row>
    <row r="1590" ht="15.75" customHeight="1">
      <c r="A1590" s="31" t="str">
        <f>'EQUITY BACKTEST'!A1593</f>
        <v/>
      </c>
      <c r="B1590" s="22" t="str">
        <f>'EQUITY BACKTEST'!B1593</f>
        <v/>
      </c>
      <c r="C1590" s="22" t="str">
        <f>'EQUITY BACKTEST'!E1593</f>
        <v/>
      </c>
    </row>
    <row r="1591" ht="15.75" customHeight="1">
      <c r="A1591" s="31" t="str">
        <f>'EQUITY BACKTEST'!A1594</f>
        <v/>
      </c>
      <c r="B1591" s="22" t="str">
        <f>'EQUITY BACKTEST'!B1594</f>
        <v/>
      </c>
      <c r="C1591" s="22" t="str">
        <f>'EQUITY BACKTEST'!E1594</f>
        <v/>
      </c>
    </row>
    <row r="1592" ht="15.75" customHeight="1">
      <c r="A1592" s="31" t="str">
        <f>'EQUITY BACKTEST'!A1595</f>
        <v/>
      </c>
      <c r="B1592" s="22" t="str">
        <f>'EQUITY BACKTEST'!B1595</f>
        <v/>
      </c>
      <c r="C1592" s="22" t="str">
        <f>'EQUITY BACKTEST'!E1595</f>
        <v/>
      </c>
    </row>
    <row r="1593" ht="15.75" customHeight="1">
      <c r="A1593" s="31" t="str">
        <f>'EQUITY BACKTEST'!A1596</f>
        <v/>
      </c>
      <c r="B1593" s="22" t="str">
        <f>'EQUITY BACKTEST'!B1596</f>
        <v/>
      </c>
      <c r="C1593" s="22" t="str">
        <f>'EQUITY BACKTEST'!E1596</f>
        <v/>
      </c>
    </row>
    <row r="1594" ht="15.75" customHeight="1">
      <c r="A1594" s="31" t="str">
        <f>'EQUITY BACKTEST'!A1597</f>
        <v/>
      </c>
      <c r="B1594" s="22" t="str">
        <f>'EQUITY BACKTEST'!B1597</f>
        <v/>
      </c>
      <c r="C1594" s="22" t="str">
        <f>'EQUITY BACKTEST'!E1597</f>
        <v/>
      </c>
    </row>
    <row r="1595" ht="15.75" customHeight="1">
      <c r="A1595" s="31" t="str">
        <f>'EQUITY BACKTEST'!A1598</f>
        <v/>
      </c>
      <c r="B1595" s="22" t="str">
        <f>'EQUITY BACKTEST'!B1598</f>
        <v/>
      </c>
      <c r="C1595" s="22" t="str">
        <f>'EQUITY BACKTEST'!E1598</f>
        <v/>
      </c>
    </row>
    <row r="1596" ht="15.75" customHeight="1">
      <c r="A1596" s="31" t="str">
        <f>'EQUITY BACKTEST'!A1599</f>
        <v/>
      </c>
      <c r="B1596" s="22" t="str">
        <f>'EQUITY BACKTEST'!B1599</f>
        <v/>
      </c>
      <c r="C1596" s="22" t="str">
        <f>'EQUITY BACKTEST'!E1599</f>
        <v/>
      </c>
    </row>
    <row r="1597" ht="15.75" customHeight="1">
      <c r="A1597" s="31" t="str">
        <f>'EQUITY BACKTEST'!A1600</f>
        <v/>
      </c>
      <c r="B1597" s="22" t="str">
        <f>'EQUITY BACKTEST'!B1600</f>
        <v/>
      </c>
      <c r="C1597" s="22" t="str">
        <f>'EQUITY BACKTEST'!E1600</f>
        <v/>
      </c>
    </row>
    <row r="1598" ht="15.75" customHeight="1">
      <c r="A1598" s="31" t="str">
        <f>'EQUITY BACKTEST'!A1601</f>
        <v/>
      </c>
      <c r="B1598" s="22" t="str">
        <f>'EQUITY BACKTEST'!B1601</f>
        <v/>
      </c>
      <c r="C1598" s="22" t="str">
        <f>'EQUITY BACKTEST'!E1601</f>
        <v/>
      </c>
    </row>
    <row r="1599" ht="15.75" customHeight="1">
      <c r="A1599" s="31" t="str">
        <f>'EQUITY BACKTEST'!A1602</f>
        <v/>
      </c>
      <c r="B1599" s="22" t="str">
        <f>'EQUITY BACKTEST'!B1602</f>
        <v/>
      </c>
      <c r="C1599" s="22" t="str">
        <f>'EQUITY BACKTEST'!E1602</f>
        <v/>
      </c>
    </row>
    <row r="1600" ht="15.75" customHeight="1">
      <c r="A1600" s="31" t="str">
        <f>'EQUITY BACKTEST'!A1603</f>
        <v/>
      </c>
      <c r="B1600" s="22" t="str">
        <f>'EQUITY BACKTEST'!B1603</f>
        <v/>
      </c>
      <c r="C1600" s="22" t="str">
        <f>'EQUITY BACKTEST'!E1603</f>
        <v/>
      </c>
    </row>
    <row r="1601" ht="15.75" customHeight="1">
      <c r="A1601" s="31" t="str">
        <f>'EQUITY BACKTEST'!A1604</f>
        <v/>
      </c>
      <c r="B1601" s="22" t="str">
        <f>'EQUITY BACKTEST'!B1604</f>
        <v/>
      </c>
      <c r="C1601" s="22" t="str">
        <f>'EQUITY BACKTEST'!E1604</f>
        <v/>
      </c>
    </row>
    <row r="1602" ht="15.75" customHeight="1">
      <c r="A1602" s="31" t="str">
        <f>'EQUITY BACKTEST'!A1605</f>
        <v/>
      </c>
      <c r="B1602" s="22" t="str">
        <f>'EQUITY BACKTEST'!B1605</f>
        <v/>
      </c>
      <c r="C1602" s="22" t="str">
        <f>'EQUITY BACKTEST'!E1605</f>
        <v/>
      </c>
    </row>
    <row r="1603" ht="15.75" customHeight="1">
      <c r="A1603" s="31" t="str">
        <f>'EQUITY BACKTEST'!A1606</f>
        <v/>
      </c>
      <c r="B1603" s="22" t="str">
        <f>'EQUITY BACKTEST'!B1606</f>
        <v/>
      </c>
      <c r="C1603" s="22" t="str">
        <f>'EQUITY BACKTEST'!E1606</f>
        <v/>
      </c>
    </row>
    <row r="1604" ht="15.75" customHeight="1">
      <c r="A1604" s="31" t="str">
        <f>'EQUITY BACKTEST'!A1607</f>
        <v/>
      </c>
      <c r="B1604" s="22" t="str">
        <f>'EQUITY BACKTEST'!B1607</f>
        <v/>
      </c>
      <c r="C1604" s="22" t="str">
        <f>'EQUITY BACKTEST'!E1607</f>
        <v/>
      </c>
    </row>
    <row r="1605" ht="15.75" customHeight="1">
      <c r="A1605" s="31" t="str">
        <f>'EQUITY BACKTEST'!A1608</f>
        <v/>
      </c>
      <c r="B1605" s="22" t="str">
        <f>'EQUITY BACKTEST'!B1608</f>
        <v/>
      </c>
      <c r="C1605" s="22" t="str">
        <f>'EQUITY BACKTEST'!E1608</f>
        <v/>
      </c>
    </row>
    <row r="1606" ht="15.75" customHeight="1">
      <c r="A1606" s="31" t="str">
        <f>'EQUITY BACKTEST'!A1609</f>
        <v/>
      </c>
      <c r="B1606" s="22" t="str">
        <f>'EQUITY BACKTEST'!B1609</f>
        <v/>
      </c>
      <c r="C1606" s="22" t="str">
        <f>'EQUITY BACKTEST'!E1609</f>
        <v/>
      </c>
    </row>
    <row r="1607" ht="15.75" customHeight="1">
      <c r="A1607" s="31" t="str">
        <f>'EQUITY BACKTEST'!A1610</f>
        <v/>
      </c>
      <c r="B1607" s="22" t="str">
        <f>'EQUITY BACKTEST'!B1610</f>
        <v/>
      </c>
      <c r="C1607" s="22" t="str">
        <f>'EQUITY BACKTEST'!E1610</f>
        <v/>
      </c>
    </row>
    <row r="1608" ht="15.75" customHeight="1">
      <c r="A1608" s="31" t="str">
        <f>'EQUITY BACKTEST'!A1611</f>
        <v/>
      </c>
      <c r="B1608" s="22" t="str">
        <f>'EQUITY BACKTEST'!B1611</f>
        <v/>
      </c>
      <c r="C1608" s="22" t="str">
        <f>'EQUITY BACKTEST'!E1611</f>
        <v/>
      </c>
    </row>
    <row r="1609" ht="15.75" customHeight="1">
      <c r="A1609" s="31" t="str">
        <f>'EQUITY BACKTEST'!A1612</f>
        <v/>
      </c>
      <c r="B1609" s="22" t="str">
        <f>'EQUITY BACKTEST'!B1612</f>
        <v/>
      </c>
      <c r="C1609" s="22" t="str">
        <f>'EQUITY BACKTEST'!E1612</f>
        <v/>
      </c>
    </row>
    <row r="1610" ht="15.75" customHeight="1">
      <c r="A1610" s="31" t="str">
        <f>'EQUITY BACKTEST'!A1613</f>
        <v/>
      </c>
      <c r="B1610" s="22" t="str">
        <f>'EQUITY BACKTEST'!B1613</f>
        <v/>
      </c>
      <c r="C1610" s="22" t="str">
        <f>'EQUITY BACKTEST'!E1613</f>
        <v/>
      </c>
    </row>
    <row r="1611" ht="15.75" customHeight="1">
      <c r="A1611" s="31" t="str">
        <f>'EQUITY BACKTEST'!A1614</f>
        <v/>
      </c>
      <c r="B1611" s="22" t="str">
        <f>'EQUITY BACKTEST'!B1614</f>
        <v/>
      </c>
      <c r="C1611" s="22" t="str">
        <f>'EQUITY BACKTEST'!E1614</f>
        <v/>
      </c>
    </row>
    <row r="1612" ht="15.75" customHeight="1">
      <c r="A1612" s="31" t="str">
        <f>'EQUITY BACKTEST'!A1615</f>
        <v/>
      </c>
      <c r="B1612" s="22" t="str">
        <f>'EQUITY BACKTEST'!B1615</f>
        <v/>
      </c>
      <c r="C1612" s="22" t="str">
        <f>'EQUITY BACKTEST'!E1615</f>
        <v/>
      </c>
    </row>
    <row r="1613" ht="15.75" customHeight="1">
      <c r="A1613" s="31" t="str">
        <f>'EQUITY BACKTEST'!A1616</f>
        <v/>
      </c>
      <c r="B1613" s="22" t="str">
        <f>'EQUITY BACKTEST'!B1616</f>
        <v/>
      </c>
      <c r="C1613" s="22" t="str">
        <f>'EQUITY BACKTEST'!E1616</f>
        <v/>
      </c>
    </row>
    <row r="1614" ht="15.75" customHeight="1">
      <c r="A1614" s="31" t="str">
        <f>'EQUITY BACKTEST'!A1617</f>
        <v/>
      </c>
      <c r="B1614" s="22" t="str">
        <f>'EQUITY BACKTEST'!B1617</f>
        <v/>
      </c>
      <c r="C1614" s="22" t="str">
        <f>'EQUITY BACKTEST'!E1617</f>
        <v/>
      </c>
    </row>
    <row r="1615" ht="15.75" customHeight="1">
      <c r="A1615" s="31" t="str">
        <f>'EQUITY BACKTEST'!A1618</f>
        <v/>
      </c>
      <c r="B1615" s="22" t="str">
        <f>'EQUITY BACKTEST'!B1618</f>
        <v/>
      </c>
      <c r="C1615" s="22" t="str">
        <f>'EQUITY BACKTEST'!E1618</f>
        <v/>
      </c>
    </row>
    <row r="1616" ht="15.75" customHeight="1">
      <c r="A1616" s="31" t="str">
        <f>'EQUITY BACKTEST'!A1619</f>
        <v/>
      </c>
      <c r="B1616" s="22" t="str">
        <f>'EQUITY BACKTEST'!B1619</f>
        <v/>
      </c>
      <c r="C1616" s="22" t="str">
        <f>'EQUITY BACKTEST'!E1619</f>
        <v/>
      </c>
    </row>
    <row r="1617" ht="15.75" customHeight="1">
      <c r="A1617" s="31" t="str">
        <f>'EQUITY BACKTEST'!A1620</f>
        <v/>
      </c>
      <c r="B1617" s="22" t="str">
        <f>'EQUITY BACKTEST'!B1620</f>
        <v/>
      </c>
      <c r="C1617" s="22" t="str">
        <f>'EQUITY BACKTEST'!E1620</f>
        <v/>
      </c>
    </row>
    <row r="1618" ht="15.75" customHeight="1">
      <c r="A1618" s="31" t="str">
        <f>'EQUITY BACKTEST'!A1621</f>
        <v/>
      </c>
      <c r="B1618" s="22" t="str">
        <f>'EQUITY BACKTEST'!B1621</f>
        <v/>
      </c>
      <c r="C1618" s="22" t="str">
        <f>'EQUITY BACKTEST'!E1621</f>
        <v/>
      </c>
    </row>
    <row r="1619" ht="15.75" customHeight="1">
      <c r="A1619" s="31" t="str">
        <f>'EQUITY BACKTEST'!A1622</f>
        <v/>
      </c>
      <c r="B1619" s="22" t="str">
        <f>'EQUITY BACKTEST'!B1622</f>
        <v/>
      </c>
      <c r="C1619" s="22" t="str">
        <f>'EQUITY BACKTEST'!E1622</f>
        <v/>
      </c>
    </row>
    <row r="1620" ht="15.75" customHeight="1">
      <c r="A1620" s="31" t="str">
        <f>'EQUITY BACKTEST'!A1623</f>
        <v/>
      </c>
      <c r="B1620" s="22" t="str">
        <f>'EQUITY BACKTEST'!B1623</f>
        <v/>
      </c>
      <c r="C1620" s="22" t="str">
        <f>'EQUITY BACKTEST'!E1623</f>
        <v/>
      </c>
    </row>
    <row r="1621" ht="15.75" customHeight="1">
      <c r="A1621" s="31" t="str">
        <f>'EQUITY BACKTEST'!A1624</f>
        <v/>
      </c>
      <c r="B1621" s="22" t="str">
        <f>'EQUITY BACKTEST'!B1624</f>
        <v/>
      </c>
      <c r="C1621" s="22" t="str">
        <f>'EQUITY BACKTEST'!E1624</f>
        <v/>
      </c>
    </row>
    <row r="1622" ht="15.75" customHeight="1">
      <c r="A1622" s="31" t="str">
        <f>'EQUITY BACKTEST'!A1625</f>
        <v/>
      </c>
      <c r="B1622" s="22" t="str">
        <f>'EQUITY BACKTEST'!B1625</f>
        <v/>
      </c>
      <c r="C1622" s="22" t="str">
        <f>'EQUITY BACKTEST'!E1625</f>
        <v/>
      </c>
    </row>
    <row r="1623" ht="15.75" customHeight="1">
      <c r="A1623" s="31" t="str">
        <f>'EQUITY BACKTEST'!A1626</f>
        <v/>
      </c>
      <c r="B1623" s="22" t="str">
        <f>'EQUITY BACKTEST'!B1626</f>
        <v/>
      </c>
      <c r="C1623" s="22" t="str">
        <f>'EQUITY BACKTEST'!E1626</f>
        <v/>
      </c>
    </row>
    <row r="1624" ht="15.75" customHeight="1">
      <c r="A1624" s="31" t="str">
        <f>'EQUITY BACKTEST'!A1627</f>
        <v/>
      </c>
      <c r="B1624" s="22" t="str">
        <f>'EQUITY BACKTEST'!B1627</f>
        <v/>
      </c>
      <c r="C1624" s="22" t="str">
        <f>'EQUITY BACKTEST'!E1627</f>
        <v/>
      </c>
    </row>
    <row r="1625" ht="15.75" customHeight="1">
      <c r="A1625" s="31" t="str">
        <f>'EQUITY BACKTEST'!A1628</f>
        <v/>
      </c>
      <c r="B1625" s="22" t="str">
        <f>'EQUITY BACKTEST'!B1628</f>
        <v/>
      </c>
      <c r="C1625" s="22" t="str">
        <f>'EQUITY BACKTEST'!E1628</f>
        <v/>
      </c>
    </row>
    <row r="1626" ht="15.75" customHeight="1">
      <c r="A1626" s="31" t="str">
        <f>'EQUITY BACKTEST'!A1629</f>
        <v/>
      </c>
      <c r="B1626" s="22" t="str">
        <f>'EQUITY BACKTEST'!B1629</f>
        <v/>
      </c>
      <c r="C1626" s="22" t="str">
        <f>'EQUITY BACKTEST'!E1629</f>
        <v/>
      </c>
    </row>
    <row r="1627" ht="15.75" customHeight="1">
      <c r="A1627" s="31" t="str">
        <f>'EQUITY BACKTEST'!A1630</f>
        <v/>
      </c>
      <c r="B1627" s="22" t="str">
        <f>'EQUITY BACKTEST'!B1630</f>
        <v/>
      </c>
      <c r="C1627" s="22" t="str">
        <f>'EQUITY BACKTEST'!E1630</f>
        <v/>
      </c>
    </row>
    <row r="1628" ht="15.75" customHeight="1">
      <c r="A1628" s="31" t="str">
        <f>'EQUITY BACKTEST'!A1631</f>
        <v/>
      </c>
      <c r="B1628" s="22" t="str">
        <f>'EQUITY BACKTEST'!B1631</f>
        <v/>
      </c>
      <c r="C1628" s="22" t="str">
        <f>'EQUITY BACKTEST'!E1631</f>
        <v/>
      </c>
    </row>
    <row r="1629" ht="15.75" customHeight="1">
      <c r="A1629" s="31" t="str">
        <f>'EQUITY BACKTEST'!A1632</f>
        <v/>
      </c>
      <c r="B1629" s="22" t="str">
        <f>'EQUITY BACKTEST'!B1632</f>
        <v/>
      </c>
      <c r="C1629" s="22" t="str">
        <f>'EQUITY BACKTEST'!E1632</f>
        <v/>
      </c>
    </row>
    <row r="1630" ht="15.75" customHeight="1">
      <c r="A1630" s="31" t="str">
        <f>'EQUITY BACKTEST'!A1633</f>
        <v/>
      </c>
      <c r="B1630" s="22" t="str">
        <f>'EQUITY BACKTEST'!B1633</f>
        <v/>
      </c>
      <c r="C1630" s="22" t="str">
        <f>'EQUITY BACKTEST'!E1633</f>
        <v/>
      </c>
    </row>
    <row r="1631" ht="15.75" customHeight="1">
      <c r="A1631" s="31" t="str">
        <f>'EQUITY BACKTEST'!A1634</f>
        <v/>
      </c>
      <c r="B1631" s="22" t="str">
        <f>'EQUITY BACKTEST'!B1634</f>
        <v/>
      </c>
      <c r="C1631" s="22" t="str">
        <f>'EQUITY BACKTEST'!E1634</f>
        <v/>
      </c>
    </row>
    <row r="1632" ht="15.75" customHeight="1">
      <c r="A1632" s="31" t="str">
        <f>'EQUITY BACKTEST'!A1635</f>
        <v/>
      </c>
      <c r="B1632" s="22" t="str">
        <f>'EQUITY BACKTEST'!B1635</f>
        <v/>
      </c>
      <c r="C1632" s="22" t="str">
        <f>'EQUITY BACKTEST'!E1635</f>
        <v/>
      </c>
    </row>
    <row r="1633" ht="15.75" customHeight="1">
      <c r="A1633" s="31" t="str">
        <f>'EQUITY BACKTEST'!A1636</f>
        <v/>
      </c>
      <c r="B1633" s="22" t="str">
        <f>'EQUITY BACKTEST'!B1636</f>
        <v/>
      </c>
      <c r="C1633" s="22" t="str">
        <f>'EQUITY BACKTEST'!E1636</f>
        <v/>
      </c>
    </row>
    <row r="1634" ht="15.75" customHeight="1">
      <c r="A1634" s="31" t="str">
        <f>'EQUITY BACKTEST'!A1637</f>
        <v/>
      </c>
      <c r="B1634" s="22" t="str">
        <f>'EQUITY BACKTEST'!B1637</f>
        <v/>
      </c>
      <c r="C1634" s="22" t="str">
        <f>'EQUITY BACKTEST'!E1637</f>
        <v/>
      </c>
    </row>
    <row r="1635" ht="15.75" customHeight="1">
      <c r="A1635" s="31" t="str">
        <f>'EQUITY BACKTEST'!A1638</f>
        <v/>
      </c>
      <c r="B1635" s="22" t="str">
        <f>'EQUITY BACKTEST'!B1638</f>
        <v/>
      </c>
      <c r="C1635" s="22" t="str">
        <f>'EQUITY BACKTEST'!E1638</f>
        <v/>
      </c>
    </row>
    <row r="1636" ht="15.75" customHeight="1">
      <c r="A1636" s="31" t="str">
        <f>'EQUITY BACKTEST'!A1639</f>
        <v/>
      </c>
      <c r="B1636" s="22" t="str">
        <f>'EQUITY BACKTEST'!B1639</f>
        <v/>
      </c>
      <c r="C1636" s="22" t="str">
        <f>'EQUITY BACKTEST'!E1639</f>
        <v/>
      </c>
    </row>
    <row r="1637" ht="15.75" customHeight="1">
      <c r="A1637" s="31" t="str">
        <f>'EQUITY BACKTEST'!A1640</f>
        <v/>
      </c>
      <c r="B1637" s="22" t="str">
        <f>'EQUITY BACKTEST'!B1640</f>
        <v/>
      </c>
      <c r="C1637" s="22" t="str">
        <f>'EQUITY BACKTEST'!E1640</f>
        <v/>
      </c>
    </row>
    <row r="1638" ht="15.75" customHeight="1">
      <c r="A1638" s="31" t="str">
        <f>'EQUITY BACKTEST'!A1641</f>
        <v/>
      </c>
      <c r="B1638" s="22" t="str">
        <f>'EQUITY BACKTEST'!B1641</f>
        <v/>
      </c>
      <c r="C1638" s="22" t="str">
        <f>'EQUITY BACKTEST'!E1641</f>
        <v/>
      </c>
    </row>
    <row r="1639" ht="15.75" customHeight="1">
      <c r="A1639" s="31" t="str">
        <f>'EQUITY BACKTEST'!A1642</f>
        <v/>
      </c>
      <c r="B1639" s="22" t="str">
        <f>'EQUITY BACKTEST'!B1642</f>
        <v/>
      </c>
      <c r="C1639" s="22" t="str">
        <f>'EQUITY BACKTEST'!E1642</f>
        <v/>
      </c>
    </row>
    <row r="1640" ht="15.75" customHeight="1">
      <c r="A1640" s="31" t="str">
        <f>'EQUITY BACKTEST'!A1643</f>
        <v/>
      </c>
      <c r="B1640" s="22" t="str">
        <f>'EQUITY BACKTEST'!B1643</f>
        <v/>
      </c>
      <c r="C1640" s="22" t="str">
        <f>'EQUITY BACKTEST'!E1643</f>
        <v/>
      </c>
    </row>
    <row r="1641" ht="15.75" customHeight="1">
      <c r="A1641" s="31" t="str">
        <f>'EQUITY BACKTEST'!A1644</f>
        <v/>
      </c>
      <c r="B1641" s="22" t="str">
        <f>'EQUITY BACKTEST'!B1644</f>
        <v/>
      </c>
      <c r="C1641" s="22" t="str">
        <f>'EQUITY BACKTEST'!E1644</f>
        <v/>
      </c>
    </row>
    <row r="1642" ht="15.75" customHeight="1">
      <c r="A1642" s="31" t="str">
        <f>'EQUITY BACKTEST'!A1645</f>
        <v/>
      </c>
      <c r="B1642" s="22" t="str">
        <f>'EQUITY BACKTEST'!B1645</f>
        <v/>
      </c>
      <c r="C1642" s="22" t="str">
        <f>'EQUITY BACKTEST'!E1645</f>
        <v/>
      </c>
    </row>
    <row r="1643" ht="15.75" customHeight="1">
      <c r="A1643" s="31" t="str">
        <f>'EQUITY BACKTEST'!A1646</f>
        <v/>
      </c>
      <c r="B1643" s="22" t="str">
        <f>'EQUITY BACKTEST'!B1646</f>
        <v/>
      </c>
      <c r="C1643" s="22" t="str">
        <f>'EQUITY BACKTEST'!E1646</f>
        <v/>
      </c>
    </row>
    <row r="1644" ht="15.75" customHeight="1">
      <c r="A1644" s="31" t="str">
        <f>'EQUITY BACKTEST'!A1647</f>
        <v/>
      </c>
      <c r="B1644" s="22" t="str">
        <f>'EQUITY BACKTEST'!B1647</f>
        <v/>
      </c>
      <c r="C1644" s="22" t="str">
        <f>'EQUITY BACKTEST'!E1647</f>
        <v/>
      </c>
    </row>
    <row r="1645" ht="15.75" customHeight="1">
      <c r="A1645" s="31" t="str">
        <f>'EQUITY BACKTEST'!A1648</f>
        <v/>
      </c>
      <c r="B1645" s="22" t="str">
        <f>'EQUITY BACKTEST'!B1648</f>
        <v/>
      </c>
      <c r="C1645" s="22" t="str">
        <f>'EQUITY BACKTEST'!E1648</f>
        <v/>
      </c>
    </row>
    <row r="1646" ht="15.75" customHeight="1">
      <c r="A1646" s="31" t="str">
        <f>'EQUITY BACKTEST'!A1649</f>
        <v/>
      </c>
      <c r="B1646" s="22" t="str">
        <f>'EQUITY BACKTEST'!B1649</f>
        <v/>
      </c>
      <c r="C1646" s="22" t="str">
        <f>'EQUITY BACKTEST'!E1649</f>
        <v/>
      </c>
    </row>
    <row r="1647" ht="15.75" customHeight="1">
      <c r="A1647" s="31" t="str">
        <f>'EQUITY BACKTEST'!A1650</f>
        <v/>
      </c>
      <c r="B1647" s="22" t="str">
        <f>'EQUITY BACKTEST'!B1650</f>
        <v/>
      </c>
      <c r="C1647" s="22" t="str">
        <f>'EQUITY BACKTEST'!E1650</f>
        <v/>
      </c>
    </row>
    <row r="1648" ht="15.75" customHeight="1">
      <c r="A1648" s="31" t="str">
        <f>'EQUITY BACKTEST'!A1651</f>
        <v/>
      </c>
      <c r="B1648" s="22" t="str">
        <f>'EQUITY BACKTEST'!B1651</f>
        <v/>
      </c>
      <c r="C1648" s="22" t="str">
        <f>'EQUITY BACKTEST'!E1651</f>
        <v/>
      </c>
    </row>
    <row r="1649" ht="15.75" customHeight="1">
      <c r="A1649" s="31" t="str">
        <f>'EQUITY BACKTEST'!A1652</f>
        <v/>
      </c>
      <c r="B1649" s="22" t="str">
        <f>'EQUITY BACKTEST'!B1652</f>
        <v/>
      </c>
      <c r="C1649" s="22" t="str">
        <f>'EQUITY BACKTEST'!E1652</f>
        <v/>
      </c>
    </row>
    <row r="1650" ht="15.75" customHeight="1">
      <c r="A1650" s="31" t="str">
        <f>'EQUITY BACKTEST'!A1653</f>
        <v/>
      </c>
      <c r="B1650" s="22" t="str">
        <f>'EQUITY BACKTEST'!B1653</f>
        <v/>
      </c>
      <c r="C1650" s="22" t="str">
        <f>'EQUITY BACKTEST'!E1653</f>
        <v/>
      </c>
    </row>
    <row r="1651" ht="15.75" customHeight="1">
      <c r="A1651" s="31" t="str">
        <f>'EQUITY BACKTEST'!A1654</f>
        <v/>
      </c>
      <c r="B1651" s="22" t="str">
        <f>'EQUITY BACKTEST'!B1654</f>
        <v/>
      </c>
      <c r="C1651" s="22" t="str">
        <f>'EQUITY BACKTEST'!E1654</f>
        <v/>
      </c>
    </row>
    <row r="1652" ht="15.75" customHeight="1">
      <c r="A1652" s="31" t="str">
        <f>'EQUITY BACKTEST'!A1655</f>
        <v/>
      </c>
      <c r="B1652" s="22" t="str">
        <f>'EQUITY BACKTEST'!B1655</f>
        <v/>
      </c>
      <c r="C1652" s="22" t="str">
        <f>'EQUITY BACKTEST'!E1655</f>
        <v/>
      </c>
    </row>
    <row r="1653" ht="15.75" customHeight="1">
      <c r="A1653" s="31" t="str">
        <f>'EQUITY BACKTEST'!A1656</f>
        <v/>
      </c>
      <c r="B1653" s="22" t="str">
        <f>'EQUITY BACKTEST'!B1656</f>
        <v/>
      </c>
      <c r="C1653" s="22" t="str">
        <f>'EQUITY BACKTEST'!E1656</f>
        <v/>
      </c>
    </row>
    <row r="1654" ht="15.75" customHeight="1">
      <c r="A1654" s="31" t="str">
        <f>'EQUITY BACKTEST'!A1657</f>
        <v/>
      </c>
      <c r="B1654" s="22" t="str">
        <f>'EQUITY BACKTEST'!B1657</f>
        <v/>
      </c>
      <c r="C1654" s="22" t="str">
        <f>'EQUITY BACKTEST'!E1657</f>
        <v/>
      </c>
    </row>
    <row r="1655" ht="15.75" customHeight="1">
      <c r="A1655" s="31" t="str">
        <f>'EQUITY BACKTEST'!A1658</f>
        <v/>
      </c>
      <c r="B1655" s="22" t="str">
        <f>'EQUITY BACKTEST'!B1658</f>
        <v/>
      </c>
      <c r="C1655" s="22" t="str">
        <f>'EQUITY BACKTEST'!E1658</f>
        <v/>
      </c>
    </row>
    <row r="1656" ht="15.75" customHeight="1">
      <c r="A1656" s="31" t="str">
        <f>'EQUITY BACKTEST'!A1659</f>
        <v/>
      </c>
      <c r="B1656" s="22" t="str">
        <f>'EQUITY BACKTEST'!B1659</f>
        <v/>
      </c>
      <c r="C1656" s="22" t="str">
        <f>'EQUITY BACKTEST'!E1659</f>
        <v/>
      </c>
    </row>
    <row r="1657" ht="15.75" customHeight="1">
      <c r="A1657" s="31" t="str">
        <f>'EQUITY BACKTEST'!A1660</f>
        <v/>
      </c>
      <c r="B1657" s="22" t="str">
        <f>'EQUITY BACKTEST'!B1660</f>
        <v/>
      </c>
      <c r="C1657" s="22" t="str">
        <f>'EQUITY BACKTEST'!E1660</f>
        <v/>
      </c>
    </row>
    <row r="1658" ht="15.75" customHeight="1">
      <c r="A1658" s="31" t="str">
        <f>'EQUITY BACKTEST'!A1661</f>
        <v/>
      </c>
      <c r="B1658" s="22" t="str">
        <f>'EQUITY BACKTEST'!B1661</f>
        <v/>
      </c>
      <c r="C1658" s="22" t="str">
        <f>'EQUITY BACKTEST'!E1661</f>
        <v/>
      </c>
    </row>
    <row r="1659" ht="15.75" customHeight="1">
      <c r="A1659" s="31" t="str">
        <f>'EQUITY BACKTEST'!A1662</f>
        <v/>
      </c>
      <c r="B1659" s="22" t="str">
        <f>'EQUITY BACKTEST'!B1662</f>
        <v/>
      </c>
      <c r="C1659" s="22" t="str">
        <f>'EQUITY BACKTEST'!E1662</f>
        <v/>
      </c>
    </row>
    <row r="1660" ht="15.75" customHeight="1">
      <c r="A1660" s="31" t="str">
        <f>'EQUITY BACKTEST'!A1663</f>
        <v/>
      </c>
      <c r="B1660" s="22" t="str">
        <f>'EQUITY BACKTEST'!B1663</f>
        <v/>
      </c>
      <c r="C1660" s="22" t="str">
        <f>'EQUITY BACKTEST'!E1663</f>
        <v/>
      </c>
    </row>
    <row r="1661" ht="15.75" customHeight="1">
      <c r="A1661" s="31" t="str">
        <f>'EQUITY BACKTEST'!A1664</f>
        <v/>
      </c>
      <c r="B1661" s="22" t="str">
        <f>'EQUITY BACKTEST'!B1664</f>
        <v/>
      </c>
      <c r="C1661" s="22" t="str">
        <f>'EQUITY BACKTEST'!E1664</f>
        <v/>
      </c>
    </row>
    <row r="1662" ht="15.75" customHeight="1">
      <c r="A1662" s="31" t="str">
        <f>'EQUITY BACKTEST'!A1665</f>
        <v/>
      </c>
      <c r="B1662" s="22" t="str">
        <f>'EQUITY BACKTEST'!B1665</f>
        <v/>
      </c>
      <c r="C1662" s="22" t="str">
        <f>'EQUITY BACKTEST'!E1665</f>
        <v/>
      </c>
    </row>
    <row r="1663" ht="15.75" customHeight="1">
      <c r="A1663" s="31" t="str">
        <f>'EQUITY BACKTEST'!A1666</f>
        <v/>
      </c>
      <c r="B1663" s="22" t="str">
        <f>'EQUITY BACKTEST'!B1666</f>
        <v/>
      </c>
      <c r="C1663" s="22" t="str">
        <f>'EQUITY BACKTEST'!E1666</f>
        <v/>
      </c>
    </row>
    <row r="1664" ht="15.75" customHeight="1">
      <c r="A1664" s="31" t="str">
        <f>'EQUITY BACKTEST'!A1667</f>
        <v/>
      </c>
      <c r="B1664" s="22" t="str">
        <f>'EQUITY BACKTEST'!B1667</f>
        <v/>
      </c>
      <c r="C1664" s="22" t="str">
        <f>'EQUITY BACKTEST'!E1667</f>
        <v/>
      </c>
    </row>
    <row r="1665" ht="15.75" customHeight="1">
      <c r="A1665" s="31" t="str">
        <f>'EQUITY BACKTEST'!A1668</f>
        <v/>
      </c>
      <c r="B1665" s="22" t="str">
        <f>'EQUITY BACKTEST'!B1668</f>
        <v/>
      </c>
      <c r="C1665" s="22" t="str">
        <f>'EQUITY BACKTEST'!E1668</f>
        <v/>
      </c>
    </row>
    <row r="1666" ht="15.75" customHeight="1">
      <c r="A1666" s="31" t="str">
        <f>'EQUITY BACKTEST'!A1669</f>
        <v/>
      </c>
      <c r="B1666" s="22" t="str">
        <f>'EQUITY BACKTEST'!B1669</f>
        <v/>
      </c>
      <c r="C1666" s="22" t="str">
        <f>'EQUITY BACKTEST'!E1669</f>
        <v/>
      </c>
    </row>
    <row r="1667" ht="15.75" customHeight="1">
      <c r="A1667" s="31" t="str">
        <f>'EQUITY BACKTEST'!A1670</f>
        <v/>
      </c>
      <c r="B1667" s="22" t="str">
        <f>'EQUITY BACKTEST'!B1670</f>
        <v/>
      </c>
      <c r="C1667" s="22" t="str">
        <f>'EQUITY BACKTEST'!E1670</f>
        <v/>
      </c>
    </row>
    <row r="1668" ht="15.75" customHeight="1">
      <c r="A1668" s="31" t="str">
        <f>'EQUITY BACKTEST'!A1671</f>
        <v/>
      </c>
      <c r="B1668" s="22" t="str">
        <f>'EQUITY BACKTEST'!B1671</f>
        <v/>
      </c>
      <c r="C1668" s="22" t="str">
        <f>'EQUITY BACKTEST'!E1671</f>
        <v/>
      </c>
    </row>
    <row r="1669" ht="15.75" customHeight="1">
      <c r="A1669" s="31" t="str">
        <f>'EQUITY BACKTEST'!A1672</f>
        <v/>
      </c>
      <c r="B1669" s="22" t="str">
        <f>'EQUITY BACKTEST'!B1672</f>
        <v/>
      </c>
      <c r="C1669" s="22" t="str">
        <f>'EQUITY BACKTEST'!E1672</f>
        <v/>
      </c>
    </row>
    <row r="1670" ht="15.75" customHeight="1">
      <c r="A1670" s="31" t="str">
        <f>'EQUITY BACKTEST'!A1673</f>
        <v/>
      </c>
      <c r="B1670" s="22" t="str">
        <f>'EQUITY BACKTEST'!B1673</f>
        <v/>
      </c>
      <c r="C1670" s="22" t="str">
        <f>'EQUITY BACKTEST'!E1673</f>
        <v/>
      </c>
    </row>
    <row r="1671" ht="15.75" customHeight="1">
      <c r="A1671" s="31" t="str">
        <f>'EQUITY BACKTEST'!A1674</f>
        <v/>
      </c>
      <c r="B1671" s="22" t="str">
        <f>'EQUITY BACKTEST'!B1674</f>
        <v/>
      </c>
      <c r="C1671" s="22" t="str">
        <f>'EQUITY BACKTEST'!E1674</f>
        <v/>
      </c>
    </row>
    <row r="1672" ht="15.75" customHeight="1">
      <c r="A1672" s="31" t="str">
        <f>'EQUITY BACKTEST'!A1675</f>
        <v/>
      </c>
      <c r="B1672" s="22" t="str">
        <f>'EQUITY BACKTEST'!B1675</f>
        <v/>
      </c>
      <c r="C1672" s="22" t="str">
        <f>'EQUITY BACKTEST'!E1675</f>
        <v/>
      </c>
    </row>
    <row r="1673" ht="15.75" customHeight="1">
      <c r="A1673" s="31" t="str">
        <f>'EQUITY BACKTEST'!A1676</f>
        <v/>
      </c>
      <c r="B1673" s="22" t="str">
        <f>'EQUITY BACKTEST'!B1676</f>
        <v/>
      </c>
      <c r="C1673" s="22" t="str">
        <f>'EQUITY BACKTEST'!E1676</f>
        <v/>
      </c>
    </row>
    <row r="1674" ht="15.75" customHeight="1">
      <c r="A1674" s="31" t="str">
        <f>'EQUITY BACKTEST'!A1677</f>
        <v/>
      </c>
      <c r="B1674" s="22" t="str">
        <f>'EQUITY BACKTEST'!B1677</f>
        <v/>
      </c>
      <c r="C1674" s="22" t="str">
        <f>'EQUITY BACKTEST'!E1677</f>
        <v/>
      </c>
    </row>
    <row r="1675" ht="15.75" customHeight="1">
      <c r="A1675" s="31" t="str">
        <f>'EQUITY BACKTEST'!A1678</f>
        <v/>
      </c>
      <c r="B1675" s="22" t="str">
        <f>'EQUITY BACKTEST'!B1678</f>
        <v/>
      </c>
      <c r="C1675" s="22" t="str">
        <f>'EQUITY BACKTEST'!E1678</f>
        <v/>
      </c>
    </row>
    <row r="1676" ht="15.75" customHeight="1">
      <c r="A1676" s="31" t="str">
        <f>'EQUITY BACKTEST'!A1679</f>
        <v/>
      </c>
      <c r="B1676" s="22" t="str">
        <f>'EQUITY BACKTEST'!B1679</f>
        <v/>
      </c>
      <c r="C1676" s="22" t="str">
        <f>'EQUITY BACKTEST'!E1679</f>
        <v/>
      </c>
    </row>
    <row r="1677" ht="15.75" customHeight="1">
      <c r="A1677" s="31" t="str">
        <f>'EQUITY BACKTEST'!A1680</f>
        <v/>
      </c>
      <c r="B1677" s="22" t="str">
        <f>'EQUITY BACKTEST'!B1680</f>
        <v/>
      </c>
      <c r="C1677" s="22" t="str">
        <f>'EQUITY BACKTEST'!E1680</f>
        <v/>
      </c>
    </row>
    <row r="1678" ht="15.75" customHeight="1">
      <c r="A1678" s="31" t="str">
        <f>'EQUITY BACKTEST'!A1681</f>
        <v/>
      </c>
      <c r="B1678" s="22" t="str">
        <f>'EQUITY BACKTEST'!B1681</f>
        <v/>
      </c>
      <c r="C1678" s="22" t="str">
        <f>'EQUITY BACKTEST'!E1681</f>
        <v/>
      </c>
    </row>
    <row r="1679" ht="15.75" customHeight="1">
      <c r="A1679" s="31" t="str">
        <f>'EQUITY BACKTEST'!A1682</f>
        <v/>
      </c>
      <c r="B1679" s="22" t="str">
        <f>'EQUITY BACKTEST'!B1682</f>
        <v/>
      </c>
      <c r="C1679" s="22" t="str">
        <f>'EQUITY BACKTEST'!E1682</f>
        <v/>
      </c>
    </row>
    <row r="1680" ht="15.75" customHeight="1">
      <c r="A1680" s="31" t="str">
        <f>'EQUITY BACKTEST'!A1683</f>
        <v/>
      </c>
      <c r="B1680" s="22" t="str">
        <f>'EQUITY BACKTEST'!B1683</f>
        <v/>
      </c>
      <c r="C1680" s="22" t="str">
        <f>'EQUITY BACKTEST'!E1683</f>
        <v/>
      </c>
    </row>
    <row r="1681" ht="15.75" customHeight="1">
      <c r="A1681" s="31" t="str">
        <f>'EQUITY BACKTEST'!A1684</f>
        <v/>
      </c>
      <c r="B1681" s="22" t="str">
        <f>'EQUITY BACKTEST'!B1684</f>
        <v/>
      </c>
      <c r="C1681" s="22" t="str">
        <f>'EQUITY BACKTEST'!E1684</f>
        <v/>
      </c>
    </row>
    <row r="1682" ht="15.75" customHeight="1">
      <c r="A1682" s="31" t="str">
        <f>'EQUITY BACKTEST'!A1685</f>
        <v/>
      </c>
      <c r="B1682" s="22" t="str">
        <f>'EQUITY BACKTEST'!B1685</f>
        <v/>
      </c>
      <c r="C1682" s="22" t="str">
        <f>'EQUITY BACKTEST'!E1685</f>
        <v/>
      </c>
    </row>
    <row r="1683" ht="15.75" customHeight="1">
      <c r="A1683" s="31" t="str">
        <f>'EQUITY BACKTEST'!A1686</f>
        <v/>
      </c>
      <c r="B1683" s="22" t="str">
        <f>'EQUITY BACKTEST'!B1686</f>
        <v/>
      </c>
      <c r="C1683" s="22" t="str">
        <f>'EQUITY BACKTEST'!E1686</f>
        <v/>
      </c>
    </row>
    <row r="1684" ht="15.75" customHeight="1">
      <c r="A1684" s="31" t="str">
        <f>'EQUITY BACKTEST'!A1687</f>
        <v/>
      </c>
      <c r="B1684" s="22" t="str">
        <f>'EQUITY BACKTEST'!B1687</f>
        <v/>
      </c>
      <c r="C1684" s="22" t="str">
        <f>'EQUITY BACKTEST'!E1687</f>
        <v/>
      </c>
    </row>
    <row r="1685" ht="15.75" customHeight="1">
      <c r="A1685" s="31" t="str">
        <f>'EQUITY BACKTEST'!A1688</f>
        <v/>
      </c>
      <c r="B1685" s="22" t="str">
        <f>'EQUITY BACKTEST'!B1688</f>
        <v/>
      </c>
      <c r="C1685" s="22" t="str">
        <f>'EQUITY BACKTEST'!E1688</f>
        <v/>
      </c>
    </row>
    <row r="1686" ht="15.75" customHeight="1">
      <c r="A1686" s="31" t="str">
        <f>'EQUITY BACKTEST'!A1689</f>
        <v/>
      </c>
      <c r="B1686" s="22" t="str">
        <f>'EQUITY BACKTEST'!B1689</f>
        <v/>
      </c>
      <c r="C1686" s="22" t="str">
        <f>'EQUITY BACKTEST'!E1689</f>
        <v/>
      </c>
    </row>
    <row r="1687" ht="15.75" customHeight="1">
      <c r="A1687" s="31" t="str">
        <f>'EQUITY BACKTEST'!A1690</f>
        <v/>
      </c>
      <c r="B1687" s="22" t="str">
        <f>'EQUITY BACKTEST'!B1690</f>
        <v/>
      </c>
      <c r="C1687" s="22" t="str">
        <f>'EQUITY BACKTEST'!E1690</f>
        <v/>
      </c>
    </row>
    <row r="1688" ht="15.75" customHeight="1">
      <c r="A1688" s="31" t="str">
        <f>'EQUITY BACKTEST'!A1691</f>
        <v/>
      </c>
      <c r="B1688" s="22" t="str">
        <f>'EQUITY BACKTEST'!B1691</f>
        <v/>
      </c>
      <c r="C1688" s="22" t="str">
        <f>'EQUITY BACKTEST'!E1691</f>
        <v/>
      </c>
    </row>
    <row r="1689" ht="15.75" customHeight="1">
      <c r="A1689" s="31" t="str">
        <f>'EQUITY BACKTEST'!A1692</f>
        <v/>
      </c>
      <c r="B1689" s="22" t="str">
        <f>'EQUITY BACKTEST'!B1692</f>
        <v/>
      </c>
      <c r="C1689" s="22" t="str">
        <f>'EQUITY BACKTEST'!E1692</f>
        <v/>
      </c>
    </row>
    <row r="1690" ht="15.75" customHeight="1">
      <c r="A1690" s="31" t="str">
        <f>'EQUITY BACKTEST'!A1693</f>
        <v/>
      </c>
      <c r="B1690" s="22" t="str">
        <f>'EQUITY BACKTEST'!B1693</f>
        <v/>
      </c>
      <c r="C1690" s="22" t="str">
        <f>'EQUITY BACKTEST'!E1693</f>
        <v/>
      </c>
    </row>
    <row r="1691" ht="15.75" customHeight="1">
      <c r="A1691" s="31" t="str">
        <f>'EQUITY BACKTEST'!A1694</f>
        <v/>
      </c>
      <c r="B1691" s="22" t="str">
        <f>'EQUITY BACKTEST'!B1694</f>
        <v/>
      </c>
      <c r="C1691" s="22" t="str">
        <f>'EQUITY BACKTEST'!E1694</f>
        <v/>
      </c>
    </row>
    <row r="1692" ht="15.75" customHeight="1">
      <c r="A1692" s="31" t="str">
        <f>'EQUITY BACKTEST'!A1695</f>
        <v/>
      </c>
      <c r="B1692" s="22" t="str">
        <f>'EQUITY BACKTEST'!B1695</f>
        <v/>
      </c>
      <c r="C1692" s="22" t="str">
        <f>'EQUITY BACKTEST'!E1695</f>
        <v/>
      </c>
    </row>
    <row r="1693" ht="15.75" customHeight="1">
      <c r="A1693" s="31" t="str">
        <f>'EQUITY BACKTEST'!A1696</f>
        <v/>
      </c>
      <c r="B1693" s="22" t="str">
        <f>'EQUITY BACKTEST'!B1696</f>
        <v/>
      </c>
      <c r="C1693" s="22" t="str">
        <f>'EQUITY BACKTEST'!E1696</f>
        <v/>
      </c>
    </row>
    <row r="1694" ht="15.75" customHeight="1">
      <c r="A1694" s="31" t="str">
        <f>'EQUITY BACKTEST'!A1697</f>
        <v/>
      </c>
      <c r="B1694" s="22" t="str">
        <f>'EQUITY BACKTEST'!B1697</f>
        <v/>
      </c>
      <c r="C1694" s="22" t="str">
        <f>'EQUITY BACKTEST'!E1697</f>
        <v/>
      </c>
    </row>
    <row r="1695" ht="15.75" customHeight="1">
      <c r="A1695" s="31" t="str">
        <f>'EQUITY BACKTEST'!A1698</f>
        <v/>
      </c>
      <c r="B1695" s="22" t="str">
        <f>'EQUITY BACKTEST'!B1698</f>
        <v/>
      </c>
      <c r="C1695" s="22" t="str">
        <f>'EQUITY BACKTEST'!E1698</f>
        <v/>
      </c>
    </row>
    <row r="1696" ht="15.75" customHeight="1">
      <c r="A1696" s="31" t="str">
        <f>'EQUITY BACKTEST'!A1699</f>
        <v/>
      </c>
      <c r="B1696" s="22" t="str">
        <f>'EQUITY BACKTEST'!B1699</f>
        <v/>
      </c>
      <c r="C1696" s="22" t="str">
        <f>'EQUITY BACKTEST'!E1699</f>
        <v/>
      </c>
    </row>
    <row r="1697" ht="15.75" customHeight="1">
      <c r="A1697" s="31" t="str">
        <f>'EQUITY BACKTEST'!A1700</f>
        <v/>
      </c>
      <c r="B1697" s="22" t="str">
        <f>'EQUITY BACKTEST'!B1700</f>
        <v/>
      </c>
      <c r="C1697" s="22" t="str">
        <f>'EQUITY BACKTEST'!E1700</f>
        <v/>
      </c>
    </row>
    <row r="1698" ht="15.75" customHeight="1">
      <c r="A1698" s="31" t="str">
        <f>'EQUITY BACKTEST'!A1701</f>
        <v/>
      </c>
      <c r="B1698" s="22" t="str">
        <f>'EQUITY BACKTEST'!B1701</f>
        <v/>
      </c>
      <c r="C1698" s="22" t="str">
        <f>'EQUITY BACKTEST'!E1701</f>
        <v/>
      </c>
    </row>
    <row r="1699" ht="15.75" customHeight="1">
      <c r="A1699" s="31" t="str">
        <f>'EQUITY BACKTEST'!A1702</f>
        <v/>
      </c>
      <c r="B1699" s="22" t="str">
        <f>'EQUITY BACKTEST'!B1702</f>
        <v/>
      </c>
      <c r="C1699" s="22" t="str">
        <f>'EQUITY BACKTEST'!E1702</f>
        <v/>
      </c>
    </row>
    <row r="1700" ht="15.75" customHeight="1">
      <c r="A1700" s="31" t="str">
        <f>'EQUITY BACKTEST'!A1703</f>
        <v/>
      </c>
      <c r="B1700" s="22" t="str">
        <f>'EQUITY BACKTEST'!B1703</f>
        <v/>
      </c>
      <c r="C1700" s="22" t="str">
        <f>'EQUITY BACKTEST'!E1703</f>
        <v/>
      </c>
    </row>
    <row r="1701" ht="15.75" customHeight="1">
      <c r="A1701" s="31" t="str">
        <f>'EQUITY BACKTEST'!A1704</f>
        <v/>
      </c>
      <c r="B1701" s="22" t="str">
        <f>'EQUITY BACKTEST'!B1704</f>
        <v/>
      </c>
      <c r="C1701" s="22" t="str">
        <f>'EQUITY BACKTEST'!E1704</f>
        <v/>
      </c>
    </row>
    <row r="1702" ht="15.75" customHeight="1">
      <c r="A1702" s="31" t="str">
        <f>'EQUITY BACKTEST'!A1705</f>
        <v/>
      </c>
      <c r="B1702" s="22" t="str">
        <f>'EQUITY BACKTEST'!B1705</f>
        <v/>
      </c>
      <c r="C1702" s="22" t="str">
        <f>'EQUITY BACKTEST'!E1705</f>
        <v/>
      </c>
    </row>
    <row r="1703" ht="15.75" customHeight="1">
      <c r="A1703" s="31" t="str">
        <f>'EQUITY BACKTEST'!A1706</f>
        <v/>
      </c>
      <c r="B1703" s="22" t="str">
        <f>'EQUITY BACKTEST'!B1706</f>
        <v/>
      </c>
      <c r="C1703" s="22" t="str">
        <f>'EQUITY BACKTEST'!E1706</f>
        <v/>
      </c>
    </row>
    <row r="1704" ht="15.75" customHeight="1">
      <c r="A1704" s="31" t="str">
        <f>'EQUITY BACKTEST'!A1707</f>
        <v/>
      </c>
      <c r="B1704" s="22" t="str">
        <f>'EQUITY BACKTEST'!B1707</f>
        <v/>
      </c>
      <c r="C1704" s="22" t="str">
        <f>'EQUITY BACKTEST'!E1707</f>
        <v/>
      </c>
    </row>
    <row r="1705" ht="15.75" customHeight="1">
      <c r="A1705" s="31" t="str">
        <f>'EQUITY BACKTEST'!A1708</f>
        <v/>
      </c>
      <c r="B1705" s="22" t="str">
        <f>'EQUITY BACKTEST'!B1708</f>
        <v/>
      </c>
      <c r="C1705" s="22" t="str">
        <f>'EQUITY BACKTEST'!E1708</f>
        <v/>
      </c>
    </row>
    <row r="1706" ht="15.75" customHeight="1">
      <c r="A1706" s="31" t="str">
        <f>'EQUITY BACKTEST'!A1709</f>
        <v/>
      </c>
      <c r="B1706" s="22" t="str">
        <f>'EQUITY BACKTEST'!B1709</f>
        <v/>
      </c>
      <c r="C1706" s="22" t="str">
        <f>'EQUITY BACKTEST'!E1709</f>
        <v/>
      </c>
    </row>
    <row r="1707" ht="15.75" customHeight="1">
      <c r="A1707" s="31" t="str">
        <f>'EQUITY BACKTEST'!A1710</f>
        <v/>
      </c>
      <c r="B1707" s="22" t="str">
        <f>'EQUITY BACKTEST'!B1710</f>
        <v/>
      </c>
      <c r="C1707" s="22" t="str">
        <f>'EQUITY BACKTEST'!E1710</f>
        <v/>
      </c>
    </row>
    <row r="1708" ht="15.75" customHeight="1">
      <c r="A1708" s="31" t="str">
        <f>'EQUITY BACKTEST'!A1711</f>
        <v/>
      </c>
      <c r="B1708" s="22" t="str">
        <f>'EQUITY BACKTEST'!B1711</f>
        <v/>
      </c>
      <c r="C1708" s="22" t="str">
        <f>'EQUITY BACKTEST'!E1711</f>
        <v/>
      </c>
    </row>
    <row r="1709" ht="15.75" customHeight="1">
      <c r="A1709" s="31" t="str">
        <f>'EQUITY BACKTEST'!A1712</f>
        <v/>
      </c>
      <c r="B1709" s="22" t="str">
        <f>'EQUITY BACKTEST'!B1712</f>
        <v/>
      </c>
      <c r="C1709" s="22" t="str">
        <f>'EQUITY BACKTEST'!E1712</f>
        <v/>
      </c>
    </row>
    <row r="1710" ht="15.75" customHeight="1">
      <c r="A1710" s="31" t="str">
        <f>'EQUITY BACKTEST'!A1713</f>
        <v/>
      </c>
      <c r="B1710" s="22" t="str">
        <f>'EQUITY BACKTEST'!B1713</f>
        <v/>
      </c>
      <c r="C1710" s="22" t="str">
        <f>'EQUITY BACKTEST'!E1713</f>
        <v/>
      </c>
    </row>
    <row r="1711" ht="15.75" customHeight="1">
      <c r="A1711" s="31" t="str">
        <f>'EQUITY BACKTEST'!A1714</f>
        <v/>
      </c>
      <c r="B1711" s="22" t="str">
        <f>'EQUITY BACKTEST'!B1714</f>
        <v/>
      </c>
      <c r="C1711" s="22" t="str">
        <f>'EQUITY BACKTEST'!E1714</f>
        <v/>
      </c>
    </row>
    <row r="1712" ht="15.75" customHeight="1">
      <c r="A1712" s="31" t="str">
        <f>'EQUITY BACKTEST'!A1715</f>
        <v/>
      </c>
      <c r="B1712" s="22" t="str">
        <f>'EQUITY BACKTEST'!B1715</f>
        <v/>
      </c>
      <c r="C1712" s="22" t="str">
        <f>'EQUITY BACKTEST'!E1715</f>
        <v/>
      </c>
    </row>
    <row r="1713" ht="15.75" customHeight="1">
      <c r="A1713" s="31" t="str">
        <f>'EQUITY BACKTEST'!A1716</f>
        <v/>
      </c>
      <c r="B1713" s="22" t="str">
        <f>'EQUITY BACKTEST'!B1716</f>
        <v/>
      </c>
      <c r="C1713" s="22" t="str">
        <f>'EQUITY BACKTEST'!E1716</f>
        <v/>
      </c>
    </row>
    <row r="1714" ht="15.75" customHeight="1">
      <c r="A1714" s="31" t="str">
        <f>'EQUITY BACKTEST'!A1717</f>
        <v/>
      </c>
      <c r="B1714" s="22" t="str">
        <f>'EQUITY BACKTEST'!B1717</f>
        <v/>
      </c>
      <c r="C1714" s="22" t="str">
        <f>'EQUITY BACKTEST'!E1717</f>
        <v/>
      </c>
    </row>
    <row r="1715" ht="15.75" customHeight="1">
      <c r="A1715" s="31" t="str">
        <f>'EQUITY BACKTEST'!A1718</f>
        <v/>
      </c>
      <c r="B1715" s="22" t="str">
        <f>'EQUITY BACKTEST'!B1718</f>
        <v/>
      </c>
      <c r="C1715" s="22" t="str">
        <f>'EQUITY BACKTEST'!E1718</f>
        <v/>
      </c>
    </row>
    <row r="1716" ht="15.75" customHeight="1">
      <c r="A1716" s="31" t="str">
        <f>'EQUITY BACKTEST'!A1719</f>
        <v/>
      </c>
      <c r="B1716" s="22" t="str">
        <f>'EQUITY BACKTEST'!B1719</f>
        <v/>
      </c>
      <c r="C1716" s="22" t="str">
        <f>'EQUITY BACKTEST'!E1719</f>
        <v/>
      </c>
    </row>
    <row r="1717" ht="15.75" customHeight="1">
      <c r="A1717" s="31" t="str">
        <f>'EQUITY BACKTEST'!A1720</f>
        <v/>
      </c>
      <c r="B1717" s="22" t="str">
        <f>'EQUITY BACKTEST'!B1720</f>
        <v/>
      </c>
      <c r="C1717" s="22" t="str">
        <f>'EQUITY BACKTEST'!E1720</f>
        <v/>
      </c>
    </row>
    <row r="1718" ht="15.75" customHeight="1">
      <c r="A1718" s="31" t="str">
        <f>'EQUITY BACKTEST'!A1721</f>
        <v/>
      </c>
      <c r="B1718" s="22" t="str">
        <f>'EQUITY BACKTEST'!B1721</f>
        <v/>
      </c>
      <c r="C1718" s="22" t="str">
        <f>'EQUITY BACKTEST'!E1721</f>
        <v/>
      </c>
    </row>
    <row r="1719" ht="15.75" customHeight="1">
      <c r="A1719" s="31" t="str">
        <f>'EQUITY BACKTEST'!A1722</f>
        <v/>
      </c>
      <c r="B1719" s="22" t="str">
        <f>'EQUITY BACKTEST'!B1722</f>
        <v/>
      </c>
      <c r="C1719" s="22" t="str">
        <f>'EQUITY BACKTEST'!E1722</f>
        <v/>
      </c>
    </row>
    <row r="1720" ht="15.75" customHeight="1">
      <c r="A1720" s="31" t="str">
        <f>'EQUITY BACKTEST'!A1723</f>
        <v/>
      </c>
      <c r="B1720" s="22" t="str">
        <f>'EQUITY BACKTEST'!B1723</f>
        <v/>
      </c>
      <c r="C1720" s="22" t="str">
        <f>'EQUITY BACKTEST'!E1723</f>
        <v/>
      </c>
    </row>
    <row r="1721" ht="15.75" customHeight="1">
      <c r="A1721" s="31" t="str">
        <f>'EQUITY BACKTEST'!A1724</f>
        <v/>
      </c>
      <c r="B1721" s="22" t="str">
        <f>'EQUITY BACKTEST'!B1724</f>
        <v/>
      </c>
      <c r="C1721" s="22" t="str">
        <f>'EQUITY BACKTEST'!E1724</f>
        <v/>
      </c>
    </row>
    <row r="1722" ht="15.75" customHeight="1">
      <c r="A1722" s="31" t="str">
        <f>'EQUITY BACKTEST'!A1725</f>
        <v/>
      </c>
      <c r="B1722" s="22" t="str">
        <f>'EQUITY BACKTEST'!B1725</f>
        <v/>
      </c>
      <c r="C1722" s="22" t="str">
        <f>'EQUITY BACKTEST'!E1725</f>
        <v/>
      </c>
    </row>
    <row r="1723" ht="15.75" customHeight="1">
      <c r="A1723" s="31" t="str">
        <f>'EQUITY BACKTEST'!A1726</f>
        <v/>
      </c>
      <c r="B1723" s="22" t="str">
        <f>'EQUITY BACKTEST'!B1726</f>
        <v/>
      </c>
      <c r="C1723" s="22" t="str">
        <f>'EQUITY BACKTEST'!E1726</f>
        <v/>
      </c>
    </row>
    <row r="1724" ht="15.75" customHeight="1">
      <c r="A1724" s="31" t="str">
        <f>'EQUITY BACKTEST'!A1727</f>
        <v/>
      </c>
      <c r="B1724" s="22" t="str">
        <f>'EQUITY BACKTEST'!B1727</f>
        <v/>
      </c>
      <c r="C1724" s="22" t="str">
        <f>'EQUITY BACKTEST'!E1727</f>
        <v/>
      </c>
    </row>
    <row r="1725" ht="15.75" customHeight="1">
      <c r="A1725" s="31" t="str">
        <f>'EQUITY BACKTEST'!A1728</f>
        <v/>
      </c>
      <c r="B1725" s="22" t="str">
        <f>'EQUITY BACKTEST'!B1728</f>
        <v/>
      </c>
      <c r="C1725" s="22" t="str">
        <f>'EQUITY BACKTEST'!E1728</f>
        <v/>
      </c>
    </row>
    <row r="1726" ht="15.75" customHeight="1">
      <c r="A1726" s="31" t="str">
        <f>'EQUITY BACKTEST'!A1729</f>
        <v/>
      </c>
      <c r="B1726" s="22" t="str">
        <f>'EQUITY BACKTEST'!B1729</f>
        <v/>
      </c>
      <c r="C1726" s="22" t="str">
        <f>'EQUITY BACKTEST'!E1729</f>
        <v/>
      </c>
    </row>
    <row r="1727" ht="15.75" customHeight="1">
      <c r="A1727" s="31" t="str">
        <f>'EQUITY BACKTEST'!A1730</f>
        <v/>
      </c>
      <c r="B1727" s="22" t="str">
        <f>'EQUITY BACKTEST'!B1730</f>
        <v/>
      </c>
      <c r="C1727" s="22" t="str">
        <f>'EQUITY BACKTEST'!E1730</f>
        <v/>
      </c>
    </row>
    <row r="1728" ht="15.75" customHeight="1">
      <c r="A1728" s="31" t="str">
        <f>'EQUITY BACKTEST'!A1731</f>
        <v/>
      </c>
      <c r="B1728" s="22" t="str">
        <f>'EQUITY BACKTEST'!B1731</f>
        <v/>
      </c>
      <c r="C1728" s="22" t="str">
        <f>'EQUITY BACKTEST'!E1731</f>
        <v/>
      </c>
    </row>
    <row r="1729" ht="15.75" customHeight="1">
      <c r="A1729" s="31" t="str">
        <f>'EQUITY BACKTEST'!A1732</f>
        <v/>
      </c>
      <c r="B1729" s="22" t="str">
        <f>'EQUITY BACKTEST'!B1732</f>
        <v/>
      </c>
      <c r="C1729" s="22" t="str">
        <f>'EQUITY BACKTEST'!E1732</f>
        <v/>
      </c>
    </row>
    <row r="1730" ht="15.75" customHeight="1">
      <c r="A1730" s="31" t="str">
        <f>'EQUITY BACKTEST'!A1733</f>
        <v/>
      </c>
      <c r="B1730" s="22" t="str">
        <f>'EQUITY BACKTEST'!B1733</f>
        <v/>
      </c>
      <c r="C1730" s="22" t="str">
        <f>'EQUITY BACKTEST'!E1733</f>
        <v/>
      </c>
    </row>
    <row r="1731" ht="15.75" customHeight="1">
      <c r="A1731" s="31" t="str">
        <f>'EQUITY BACKTEST'!A1734</f>
        <v/>
      </c>
      <c r="B1731" s="22" t="str">
        <f>'EQUITY BACKTEST'!B1734</f>
        <v/>
      </c>
      <c r="C1731" s="22" t="str">
        <f>'EQUITY BACKTEST'!E1734</f>
        <v/>
      </c>
    </row>
    <row r="1732" ht="15.75" customHeight="1">
      <c r="A1732" s="31" t="str">
        <f>'EQUITY BACKTEST'!A1735</f>
        <v/>
      </c>
      <c r="B1732" s="22" t="str">
        <f>'EQUITY BACKTEST'!B1735</f>
        <v/>
      </c>
      <c r="C1732" s="22" t="str">
        <f>'EQUITY BACKTEST'!E1735</f>
        <v/>
      </c>
    </row>
    <row r="1733" ht="15.75" customHeight="1">
      <c r="A1733" s="31" t="str">
        <f>'EQUITY BACKTEST'!A1736</f>
        <v/>
      </c>
      <c r="B1733" s="22" t="str">
        <f>'EQUITY BACKTEST'!B1736</f>
        <v/>
      </c>
      <c r="C1733" s="22" t="str">
        <f>'EQUITY BACKTEST'!E1736</f>
        <v/>
      </c>
    </row>
    <row r="1734" ht="15.75" customHeight="1">
      <c r="A1734" s="31" t="str">
        <f>'EQUITY BACKTEST'!A1737</f>
        <v/>
      </c>
      <c r="B1734" s="22" t="str">
        <f>'EQUITY BACKTEST'!B1737</f>
        <v/>
      </c>
      <c r="C1734" s="22" t="str">
        <f>'EQUITY BACKTEST'!E1737</f>
        <v/>
      </c>
    </row>
    <row r="1735" ht="15.75" customHeight="1">
      <c r="A1735" s="31" t="str">
        <f>'EQUITY BACKTEST'!A1738</f>
        <v/>
      </c>
      <c r="B1735" s="22" t="str">
        <f>'EQUITY BACKTEST'!B1738</f>
        <v/>
      </c>
      <c r="C1735" s="22" t="str">
        <f>'EQUITY BACKTEST'!E1738</f>
        <v/>
      </c>
    </row>
    <row r="1736" ht="15.75" customHeight="1">
      <c r="A1736" s="31" t="str">
        <f>'EQUITY BACKTEST'!A1739</f>
        <v/>
      </c>
      <c r="B1736" s="22" t="str">
        <f>'EQUITY BACKTEST'!B1739</f>
        <v/>
      </c>
      <c r="C1736" s="22" t="str">
        <f>'EQUITY BACKTEST'!E1739</f>
        <v/>
      </c>
    </row>
    <row r="1737" ht="15.75" customHeight="1">
      <c r="A1737" s="31" t="str">
        <f>'EQUITY BACKTEST'!A1740</f>
        <v/>
      </c>
      <c r="B1737" s="22" t="str">
        <f>'EQUITY BACKTEST'!B1740</f>
        <v/>
      </c>
      <c r="C1737" s="22" t="str">
        <f>'EQUITY BACKTEST'!E1740</f>
        <v/>
      </c>
    </row>
    <row r="1738" ht="15.75" customHeight="1">
      <c r="A1738" s="31" t="str">
        <f>'EQUITY BACKTEST'!A1741</f>
        <v/>
      </c>
      <c r="B1738" s="22" t="str">
        <f>'EQUITY BACKTEST'!B1741</f>
        <v/>
      </c>
      <c r="C1738" s="22" t="str">
        <f>'EQUITY BACKTEST'!E1741</f>
        <v/>
      </c>
    </row>
    <row r="1739" ht="15.75" customHeight="1">
      <c r="A1739" s="31" t="str">
        <f>'EQUITY BACKTEST'!A1742</f>
        <v/>
      </c>
      <c r="B1739" s="22" t="str">
        <f>'EQUITY BACKTEST'!B1742</f>
        <v/>
      </c>
      <c r="C1739" s="22" t="str">
        <f>'EQUITY BACKTEST'!E1742</f>
        <v/>
      </c>
    </row>
    <row r="1740" ht="15.75" customHeight="1">
      <c r="A1740" s="31" t="str">
        <f>'EQUITY BACKTEST'!A1743</f>
        <v/>
      </c>
      <c r="B1740" s="22" t="str">
        <f>'EQUITY BACKTEST'!B1743</f>
        <v/>
      </c>
      <c r="C1740" s="22" t="str">
        <f>'EQUITY BACKTEST'!E1743</f>
        <v/>
      </c>
    </row>
    <row r="1741" ht="15.75" customHeight="1">
      <c r="A1741" s="31" t="str">
        <f>'EQUITY BACKTEST'!A1744</f>
        <v/>
      </c>
      <c r="B1741" s="22" t="str">
        <f>'EQUITY BACKTEST'!B1744</f>
        <v/>
      </c>
      <c r="C1741" s="22" t="str">
        <f>'EQUITY BACKTEST'!E1744</f>
        <v/>
      </c>
    </row>
    <row r="1742" ht="15.75" customHeight="1">
      <c r="A1742" s="31" t="str">
        <f>'EQUITY BACKTEST'!A1745</f>
        <v/>
      </c>
      <c r="B1742" s="22" t="str">
        <f>'EQUITY BACKTEST'!B1745</f>
        <v/>
      </c>
      <c r="C1742" s="22" t="str">
        <f>'EQUITY BACKTEST'!E1745</f>
        <v/>
      </c>
    </row>
    <row r="1743" ht="15.75" customHeight="1">
      <c r="A1743" s="31" t="str">
        <f>'EQUITY BACKTEST'!A1746</f>
        <v/>
      </c>
      <c r="B1743" s="22" t="str">
        <f>'EQUITY BACKTEST'!B1746</f>
        <v/>
      </c>
      <c r="C1743" s="22" t="str">
        <f>'EQUITY BACKTEST'!E1746</f>
        <v/>
      </c>
    </row>
    <row r="1744" ht="15.75" customHeight="1">
      <c r="A1744" s="31" t="str">
        <f>'EQUITY BACKTEST'!A1747</f>
        <v/>
      </c>
      <c r="B1744" s="22" t="str">
        <f>'EQUITY BACKTEST'!B1747</f>
        <v/>
      </c>
      <c r="C1744" s="22" t="str">
        <f>'EQUITY BACKTEST'!E1747</f>
        <v/>
      </c>
    </row>
    <row r="1745" ht="15.75" customHeight="1">
      <c r="A1745" s="31" t="str">
        <f>'EQUITY BACKTEST'!A1748</f>
        <v/>
      </c>
      <c r="B1745" s="22" t="str">
        <f>'EQUITY BACKTEST'!B1748</f>
        <v/>
      </c>
      <c r="C1745" s="22" t="str">
        <f>'EQUITY BACKTEST'!E1748</f>
        <v/>
      </c>
    </row>
    <row r="1746" ht="15.75" customHeight="1">
      <c r="A1746" s="31" t="str">
        <f>'EQUITY BACKTEST'!A1749</f>
        <v/>
      </c>
      <c r="B1746" s="22" t="str">
        <f>'EQUITY BACKTEST'!B1749</f>
        <v/>
      </c>
      <c r="C1746" s="22" t="str">
        <f>'EQUITY BACKTEST'!E1749</f>
        <v/>
      </c>
    </row>
    <row r="1747" ht="15.75" customHeight="1">
      <c r="A1747" s="31" t="str">
        <f>'EQUITY BACKTEST'!A1750</f>
        <v/>
      </c>
      <c r="B1747" s="22" t="str">
        <f>'EQUITY BACKTEST'!B1750</f>
        <v/>
      </c>
      <c r="C1747" s="22" t="str">
        <f>'EQUITY BACKTEST'!E1750</f>
        <v/>
      </c>
    </row>
    <row r="1748" ht="15.75" customHeight="1">
      <c r="A1748" s="31" t="str">
        <f>'EQUITY BACKTEST'!A1751</f>
        <v/>
      </c>
      <c r="B1748" s="22" t="str">
        <f>'EQUITY BACKTEST'!B1751</f>
        <v/>
      </c>
      <c r="C1748" s="22" t="str">
        <f>'EQUITY BACKTEST'!E1751</f>
        <v/>
      </c>
    </row>
    <row r="1749" ht="15.75" customHeight="1">
      <c r="A1749" s="31" t="str">
        <f>'EQUITY BACKTEST'!A1752</f>
        <v/>
      </c>
      <c r="B1749" s="22" t="str">
        <f>'EQUITY BACKTEST'!B1752</f>
        <v/>
      </c>
      <c r="C1749" s="22" t="str">
        <f>'EQUITY BACKTEST'!E1752</f>
        <v/>
      </c>
    </row>
    <row r="1750" ht="15.75" customHeight="1">
      <c r="A1750" s="31" t="str">
        <f>'EQUITY BACKTEST'!A1753</f>
        <v/>
      </c>
      <c r="B1750" s="22" t="str">
        <f>'EQUITY BACKTEST'!B1753</f>
        <v/>
      </c>
      <c r="C1750" s="22" t="str">
        <f>'EQUITY BACKTEST'!E1753</f>
        <v/>
      </c>
    </row>
    <row r="1751" ht="15.75" customHeight="1">
      <c r="A1751" s="31" t="str">
        <f>'EQUITY BACKTEST'!A1754</f>
        <v/>
      </c>
      <c r="B1751" s="22" t="str">
        <f>'EQUITY BACKTEST'!B1754</f>
        <v/>
      </c>
      <c r="C1751" s="22" t="str">
        <f>'EQUITY BACKTEST'!E1754</f>
        <v/>
      </c>
    </row>
    <row r="1752" ht="15.75" customHeight="1">
      <c r="A1752" s="31" t="str">
        <f>'EQUITY BACKTEST'!A1755</f>
        <v/>
      </c>
      <c r="B1752" s="22" t="str">
        <f>'EQUITY BACKTEST'!B1755</f>
        <v/>
      </c>
      <c r="C1752" s="22" t="str">
        <f>'EQUITY BACKTEST'!E1755</f>
        <v/>
      </c>
    </row>
    <row r="1753" ht="15.75" customHeight="1">
      <c r="A1753" s="31" t="str">
        <f>'EQUITY BACKTEST'!A1756</f>
        <v/>
      </c>
      <c r="B1753" s="22" t="str">
        <f>'EQUITY BACKTEST'!B1756</f>
        <v/>
      </c>
      <c r="C1753" s="22" t="str">
        <f>'EQUITY BACKTEST'!E1756</f>
        <v/>
      </c>
    </row>
    <row r="1754" ht="15.75" customHeight="1">
      <c r="A1754" s="31" t="str">
        <f>'EQUITY BACKTEST'!A1757</f>
        <v/>
      </c>
      <c r="B1754" s="22" t="str">
        <f>'EQUITY BACKTEST'!B1757</f>
        <v/>
      </c>
      <c r="C1754" s="22" t="str">
        <f>'EQUITY BACKTEST'!E1757</f>
        <v/>
      </c>
    </row>
    <row r="1755" ht="15.75" customHeight="1">
      <c r="A1755" s="31" t="str">
        <f>'EQUITY BACKTEST'!A1758</f>
        <v/>
      </c>
      <c r="B1755" s="22" t="str">
        <f>'EQUITY BACKTEST'!B1758</f>
        <v/>
      </c>
      <c r="C1755" s="22" t="str">
        <f>'EQUITY BACKTEST'!E1758</f>
        <v/>
      </c>
    </row>
    <row r="1756" ht="15.75" customHeight="1">
      <c r="A1756" s="31" t="str">
        <f>'EQUITY BACKTEST'!A1759</f>
        <v/>
      </c>
      <c r="B1756" s="22" t="str">
        <f>'EQUITY BACKTEST'!B1759</f>
        <v/>
      </c>
      <c r="C1756" s="22" t="str">
        <f>'EQUITY BACKTEST'!E1759</f>
        <v/>
      </c>
    </row>
    <row r="1757" ht="15.75" customHeight="1">
      <c r="A1757" s="31" t="str">
        <f>'EQUITY BACKTEST'!A1760</f>
        <v/>
      </c>
      <c r="B1757" s="22" t="str">
        <f>'EQUITY BACKTEST'!B1760</f>
        <v/>
      </c>
      <c r="C1757" s="22" t="str">
        <f>'EQUITY BACKTEST'!E1760</f>
        <v/>
      </c>
    </row>
    <row r="1758" ht="15.75" customHeight="1">
      <c r="A1758" s="31" t="str">
        <f>'EQUITY BACKTEST'!A1761</f>
        <v/>
      </c>
      <c r="B1758" s="22" t="str">
        <f>'EQUITY BACKTEST'!B1761</f>
        <v/>
      </c>
      <c r="C1758" s="22" t="str">
        <f>'EQUITY BACKTEST'!E1761</f>
        <v/>
      </c>
    </row>
    <row r="1759" ht="15.75" customHeight="1">
      <c r="A1759" s="31" t="str">
        <f>'EQUITY BACKTEST'!A1762</f>
        <v/>
      </c>
      <c r="B1759" s="22" t="str">
        <f>'EQUITY BACKTEST'!B1762</f>
        <v/>
      </c>
      <c r="C1759" s="22" t="str">
        <f>'EQUITY BACKTEST'!E1762</f>
        <v/>
      </c>
    </row>
    <row r="1760" ht="15.75" customHeight="1">
      <c r="A1760" s="31" t="str">
        <f>'EQUITY BACKTEST'!A1763</f>
        <v/>
      </c>
      <c r="B1760" s="22" t="str">
        <f>'EQUITY BACKTEST'!B1763</f>
        <v/>
      </c>
      <c r="C1760" s="22" t="str">
        <f>'EQUITY BACKTEST'!E1763</f>
        <v/>
      </c>
    </row>
    <row r="1761" ht="15.75" customHeight="1">
      <c r="A1761" s="31" t="str">
        <f>'EQUITY BACKTEST'!A1764</f>
        <v/>
      </c>
      <c r="B1761" s="22" t="str">
        <f>'EQUITY BACKTEST'!B1764</f>
        <v/>
      </c>
      <c r="C1761" s="22" t="str">
        <f>'EQUITY BACKTEST'!E1764</f>
        <v/>
      </c>
    </row>
    <row r="1762" ht="15.75" customHeight="1">
      <c r="A1762" s="31" t="str">
        <f>'EQUITY BACKTEST'!A1765</f>
        <v/>
      </c>
      <c r="B1762" s="22" t="str">
        <f>'EQUITY BACKTEST'!B1765</f>
        <v/>
      </c>
      <c r="C1762" s="22" t="str">
        <f>'EQUITY BACKTEST'!E1765</f>
        <v/>
      </c>
    </row>
    <row r="1763" ht="15.75" customHeight="1">
      <c r="A1763" s="31" t="str">
        <f>'EQUITY BACKTEST'!A1766</f>
        <v/>
      </c>
      <c r="B1763" s="22" t="str">
        <f>'EQUITY BACKTEST'!B1766</f>
        <v/>
      </c>
      <c r="C1763" s="22" t="str">
        <f>'EQUITY BACKTEST'!E1766</f>
        <v/>
      </c>
    </row>
    <row r="1764" ht="15.75" customHeight="1">
      <c r="A1764" s="31" t="str">
        <f>'EQUITY BACKTEST'!A1767</f>
        <v/>
      </c>
      <c r="B1764" s="22" t="str">
        <f>'EQUITY BACKTEST'!B1767</f>
        <v/>
      </c>
      <c r="C1764" s="22" t="str">
        <f>'EQUITY BACKTEST'!E1767</f>
        <v/>
      </c>
    </row>
    <row r="1765" ht="15.75" customHeight="1">
      <c r="A1765" s="31" t="str">
        <f>'EQUITY BACKTEST'!A1768</f>
        <v/>
      </c>
      <c r="B1765" s="22" t="str">
        <f>'EQUITY BACKTEST'!B1768</f>
        <v/>
      </c>
      <c r="C1765" s="22" t="str">
        <f>'EQUITY BACKTEST'!E1768</f>
        <v/>
      </c>
    </row>
    <row r="1766" ht="15.75" customHeight="1">
      <c r="A1766" s="31" t="str">
        <f>'EQUITY BACKTEST'!A1769</f>
        <v/>
      </c>
      <c r="B1766" s="22" t="str">
        <f>'EQUITY BACKTEST'!B1769</f>
        <v/>
      </c>
      <c r="C1766" s="22" t="str">
        <f>'EQUITY BACKTEST'!E1769</f>
        <v/>
      </c>
    </row>
    <row r="1767" ht="15.75" customHeight="1">
      <c r="A1767" s="31" t="str">
        <f>'EQUITY BACKTEST'!A1770</f>
        <v/>
      </c>
      <c r="B1767" s="22" t="str">
        <f>'EQUITY BACKTEST'!B1770</f>
        <v/>
      </c>
      <c r="C1767" s="22" t="str">
        <f>'EQUITY BACKTEST'!E1770</f>
        <v/>
      </c>
    </row>
    <row r="1768" ht="15.75" customHeight="1">
      <c r="A1768" s="31" t="str">
        <f>'EQUITY BACKTEST'!A1771</f>
        <v/>
      </c>
      <c r="B1768" s="22" t="str">
        <f>'EQUITY BACKTEST'!B1771</f>
        <v/>
      </c>
      <c r="C1768" s="22" t="str">
        <f>'EQUITY BACKTEST'!E1771</f>
        <v/>
      </c>
    </row>
    <row r="1769" ht="15.75" customHeight="1">
      <c r="A1769" s="31" t="str">
        <f>'EQUITY BACKTEST'!A1772</f>
        <v/>
      </c>
      <c r="B1769" s="22" t="str">
        <f>'EQUITY BACKTEST'!B1772</f>
        <v/>
      </c>
      <c r="C1769" s="22" t="str">
        <f>'EQUITY BACKTEST'!E1772</f>
        <v/>
      </c>
    </row>
    <row r="1770" ht="15.75" customHeight="1">
      <c r="A1770" s="31" t="str">
        <f>'EQUITY BACKTEST'!A1773</f>
        <v/>
      </c>
      <c r="B1770" s="22" t="str">
        <f>'EQUITY BACKTEST'!B1773</f>
        <v/>
      </c>
      <c r="C1770" s="22" t="str">
        <f>'EQUITY BACKTEST'!E1773</f>
        <v/>
      </c>
    </row>
    <row r="1771" ht="15.75" customHeight="1">
      <c r="A1771" s="31" t="str">
        <f>'EQUITY BACKTEST'!A1774</f>
        <v/>
      </c>
      <c r="B1771" s="22" t="str">
        <f>'EQUITY BACKTEST'!B1774</f>
        <v/>
      </c>
      <c r="C1771" s="22" t="str">
        <f>'EQUITY BACKTEST'!E1774</f>
        <v/>
      </c>
    </row>
    <row r="1772" ht="15.75" customHeight="1">
      <c r="A1772" s="31" t="str">
        <f>'EQUITY BACKTEST'!A1775</f>
        <v/>
      </c>
      <c r="B1772" s="22" t="str">
        <f>'EQUITY BACKTEST'!B1775</f>
        <v/>
      </c>
      <c r="C1772" s="22" t="str">
        <f>'EQUITY BACKTEST'!E1775</f>
        <v/>
      </c>
    </row>
    <row r="1773" ht="15.75" customHeight="1">
      <c r="A1773" s="31" t="str">
        <f>'EQUITY BACKTEST'!A1776</f>
        <v/>
      </c>
      <c r="B1773" s="22" t="str">
        <f>'EQUITY BACKTEST'!B1776</f>
        <v/>
      </c>
      <c r="C1773" s="22" t="str">
        <f>'EQUITY BACKTEST'!E1776</f>
        <v/>
      </c>
    </row>
    <row r="1774" ht="15.75" customHeight="1">
      <c r="A1774" s="31" t="str">
        <f>'EQUITY BACKTEST'!A1777</f>
        <v/>
      </c>
      <c r="B1774" s="22" t="str">
        <f>'EQUITY BACKTEST'!B1777</f>
        <v/>
      </c>
      <c r="C1774" s="22" t="str">
        <f>'EQUITY BACKTEST'!E1777</f>
        <v/>
      </c>
    </row>
    <row r="1775" ht="15.75" customHeight="1">
      <c r="A1775" s="31" t="str">
        <f>'EQUITY BACKTEST'!A1778</f>
        <v/>
      </c>
      <c r="B1775" s="22" t="str">
        <f>'EQUITY BACKTEST'!B1778</f>
        <v/>
      </c>
      <c r="C1775" s="22" t="str">
        <f>'EQUITY BACKTEST'!E1778</f>
        <v/>
      </c>
    </row>
    <row r="1776" ht="15.75" customHeight="1">
      <c r="A1776" s="31" t="str">
        <f>'EQUITY BACKTEST'!A1779</f>
        <v/>
      </c>
      <c r="B1776" s="22" t="str">
        <f>'EQUITY BACKTEST'!B1779</f>
        <v/>
      </c>
      <c r="C1776" s="22" t="str">
        <f>'EQUITY BACKTEST'!E1779</f>
        <v/>
      </c>
    </row>
    <row r="1777" ht="15.75" customHeight="1">
      <c r="A1777" s="31" t="str">
        <f>'EQUITY BACKTEST'!A1780</f>
        <v/>
      </c>
      <c r="B1777" s="22" t="str">
        <f>'EQUITY BACKTEST'!B1780</f>
        <v/>
      </c>
      <c r="C1777" s="22" t="str">
        <f>'EQUITY BACKTEST'!E1780</f>
        <v/>
      </c>
    </row>
    <row r="1778" ht="15.75" customHeight="1">
      <c r="A1778" s="31" t="str">
        <f>'EQUITY BACKTEST'!A1781</f>
        <v/>
      </c>
      <c r="B1778" s="22" t="str">
        <f>'EQUITY BACKTEST'!B1781</f>
        <v/>
      </c>
      <c r="C1778" s="22" t="str">
        <f>'EQUITY BACKTEST'!E1781</f>
        <v/>
      </c>
    </row>
    <row r="1779" ht="15.75" customHeight="1">
      <c r="A1779" s="31" t="str">
        <f>'EQUITY BACKTEST'!A1782</f>
        <v/>
      </c>
      <c r="B1779" s="22" t="str">
        <f>'EQUITY BACKTEST'!B1782</f>
        <v/>
      </c>
      <c r="C1779" s="22" t="str">
        <f>'EQUITY BACKTEST'!E1782</f>
        <v/>
      </c>
    </row>
    <row r="1780" ht="15.75" customHeight="1">
      <c r="A1780" s="31" t="str">
        <f>'EQUITY BACKTEST'!A1783</f>
        <v/>
      </c>
      <c r="B1780" s="22" t="str">
        <f>'EQUITY BACKTEST'!B1783</f>
        <v/>
      </c>
      <c r="C1780" s="22" t="str">
        <f>'EQUITY BACKTEST'!E1783</f>
        <v/>
      </c>
    </row>
    <row r="1781" ht="15.75" customHeight="1">
      <c r="A1781" s="31" t="str">
        <f>'EQUITY BACKTEST'!A1784</f>
        <v/>
      </c>
      <c r="B1781" s="22" t="str">
        <f>'EQUITY BACKTEST'!B1784</f>
        <v/>
      </c>
      <c r="C1781" s="22" t="str">
        <f>'EQUITY BACKTEST'!E1784</f>
        <v/>
      </c>
    </row>
    <row r="1782" ht="15.75" customHeight="1">
      <c r="A1782" s="31" t="str">
        <f>'EQUITY BACKTEST'!A1785</f>
        <v/>
      </c>
      <c r="B1782" s="22" t="str">
        <f>'EQUITY BACKTEST'!B1785</f>
        <v/>
      </c>
      <c r="C1782" s="22" t="str">
        <f>'EQUITY BACKTEST'!E1785</f>
        <v/>
      </c>
    </row>
    <row r="1783" ht="15.75" customHeight="1">
      <c r="A1783" s="31" t="str">
        <f>'EQUITY BACKTEST'!A1786</f>
        <v/>
      </c>
      <c r="B1783" s="22" t="str">
        <f>'EQUITY BACKTEST'!B1786</f>
        <v/>
      </c>
      <c r="C1783" s="22" t="str">
        <f>'EQUITY BACKTEST'!E1786</f>
        <v/>
      </c>
    </row>
    <row r="1784" ht="15.75" customHeight="1">
      <c r="A1784" s="31" t="str">
        <f>'EQUITY BACKTEST'!A1787</f>
        <v/>
      </c>
      <c r="B1784" s="22" t="str">
        <f>'EQUITY BACKTEST'!B1787</f>
        <v/>
      </c>
      <c r="C1784" s="22" t="str">
        <f>'EQUITY BACKTEST'!E1787</f>
        <v/>
      </c>
    </row>
    <row r="1785" ht="15.75" customHeight="1">
      <c r="A1785" s="31" t="str">
        <f>'EQUITY BACKTEST'!A1788</f>
        <v/>
      </c>
      <c r="B1785" s="22" t="str">
        <f>'EQUITY BACKTEST'!B1788</f>
        <v/>
      </c>
      <c r="C1785" s="22" t="str">
        <f>'EQUITY BACKTEST'!E1788</f>
        <v/>
      </c>
    </row>
    <row r="1786" ht="15.75" customHeight="1">
      <c r="A1786" s="31" t="str">
        <f>'EQUITY BACKTEST'!A1789</f>
        <v/>
      </c>
      <c r="B1786" s="22" t="str">
        <f>'EQUITY BACKTEST'!B1789</f>
        <v/>
      </c>
      <c r="C1786" s="22" t="str">
        <f>'EQUITY BACKTEST'!E1789</f>
        <v/>
      </c>
    </row>
    <row r="1787" ht="15.75" customHeight="1">
      <c r="A1787" s="31" t="str">
        <f>'EQUITY BACKTEST'!A1790</f>
        <v/>
      </c>
      <c r="B1787" s="22" t="str">
        <f>'EQUITY BACKTEST'!B1790</f>
        <v/>
      </c>
      <c r="C1787" s="22" t="str">
        <f>'EQUITY BACKTEST'!E1790</f>
        <v/>
      </c>
    </row>
    <row r="1788" ht="15.75" customHeight="1">
      <c r="A1788" s="31" t="str">
        <f>'EQUITY BACKTEST'!A1791</f>
        <v/>
      </c>
      <c r="B1788" s="22" t="str">
        <f>'EQUITY BACKTEST'!B1791</f>
        <v/>
      </c>
      <c r="C1788" s="22" t="str">
        <f>'EQUITY BACKTEST'!E1791</f>
        <v/>
      </c>
    </row>
    <row r="1789" ht="15.75" customHeight="1">
      <c r="A1789" s="31" t="str">
        <f>'EQUITY BACKTEST'!A1792</f>
        <v/>
      </c>
      <c r="B1789" s="22" t="str">
        <f>'EQUITY BACKTEST'!B1792</f>
        <v/>
      </c>
      <c r="C1789" s="22" t="str">
        <f>'EQUITY BACKTEST'!E1792</f>
        <v/>
      </c>
    </row>
    <row r="1790" ht="15.75" customHeight="1">
      <c r="A1790" s="31" t="str">
        <f>'EQUITY BACKTEST'!A1793</f>
        <v/>
      </c>
      <c r="B1790" s="22" t="str">
        <f>'EQUITY BACKTEST'!B1793</f>
        <v/>
      </c>
      <c r="C1790" s="22" t="str">
        <f>'EQUITY BACKTEST'!E1793</f>
        <v/>
      </c>
    </row>
    <row r="1791" ht="15.75" customHeight="1">
      <c r="A1791" s="31" t="str">
        <f>'EQUITY BACKTEST'!A1794</f>
        <v/>
      </c>
      <c r="B1791" s="22" t="str">
        <f>'EQUITY BACKTEST'!B1794</f>
        <v/>
      </c>
      <c r="C1791" s="22" t="str">
        <f>'EQUITY BACKTEST'!E1794</f>
        <v/>
      </c>
    </row>
    <row r="1792" ht="15.75" customHeight="1">
      <c r="A1792" s="31" t="str">
        <f>'EQUITY BACKTEST'!A1795</f>
        <v/>
      </c>
      <c r="B1792" s="22" t="str">
        <f>'EQUITY BACKTEST'!B1795</f>
        <v/>
      </c>
      <c r="C1792" s="22" t="str">
        <f>'EQUITY BACKTEST'!E1795</f>
        <v/>
      </c>
    </row>
    <row r="1793" ht="15.75" customHeight="1">
      <c r="A1793" s="31" t="str">
        <f>'EQUITY BACKTEST'!A1796</f>
        <v/>
      </c>
      <c r="B1793" s="22" t="str">
        <f>'EQUITY BACKTEST'!B1796</f>
        <v/>
      </c>
      <c r="C1793" s="22" t="str">
        <f>'EQUITY BACKTEST'!E1796</f>
        <v/>
      </c>
    </row>
    <row r="1794" ht="15.75" customHeight="1">
      <c r="A1794" s="31" t="str">
        <f>'EQUITY BACKTEST'!A1797</f>
        <v/>
      </c>
      <c r="B1794" s="22" t="str">
        <f>'EQUITY BACKTEST'!B1797</f>
        <v/>
      </c>
      <c r="C1794" s="22" t="str">
        <f>'EQUITY BACKTEST'!E1797</f>
        <v/>
      </c>
    </row>
    <row r="1795" ht="15.75" customHeight="1">
      <c r="A1795" s="31" t="str">
        <f>'EQUITY BACKTEST'!A1798</f>
        <v/>
      </c>
      <c r="B1795" s="22" t="str">
        <f>'EQUITY BACKTEST'!B1798</f>
        <v/>
      </c>
      <c r="C1795" s="22" t="str">
        <f>'EQUITY BACKTEST'!E1798</f>
        <v/>
      </c>
    </row>
    <row r="1796" ht="15.75" customHeight="1">
      <c r="A1796" s="31" t="str">
        <f>'EQUITY BACKTEST'!A1799</f>
        <v/>
      </c>
      <c r="B1796" s="22" t="str">
        <f>'EQUITY BACKTEST'!B1799</f>
        <v/>
      </c>
      <c r="C1796" s="22" t="str">
        <f>'EQUITY BACKTEST'!E1799</f>
        <v/>
      </c>
    </row>
    <row r="1797" ht="15.75" customHeight="1">
      <c r="A1797" s="31" t="str">
        <f>'EQUITY BACKTEST'!A1800</f>
        <v/>
      </c>
      <c r="B1797" s="22" t="str">
        <f>'EQUITY BACKTEST'!B1800</f>
        <v/>
      </c>
      <c r="C1797" s="22" t="str">
        <f>'EQUITY BACKTEST'!E1800</f>
        <v/>
      </c>
    </row>
    <row r="1798" ht="15.75" customHeight="1">
      <c r="A1798" s="31" t="str">
        <f>'EQUITY BACKTEST'!A1801</f>
        <v/>
      </c>
      <c r="B1798" s="22" t="str">
        <f>'EQUITY BACKTEST'!B1801</f>
        <v/>
      </c>
      <c r="C1798" s="22" t="str">
        <f>'EQUITY BACKTEST'!E1801</f>
        <v/>
      </c>
    </row>
    <row r="1799" ht="15.75" customHeight="1">
      <c r="A1799" s="31" t="str">
        <f>'EQUITY BACKTEST'!A1802</f>
        <v/>
      </c>
      <c r="B1799" s="22" t="str">
        <f>'EQUITY BACKTEST'!B1802</f>
        <v/>
      </c>
      <c r="C1799" s="22" t="str">
        <f>'EQUITY BACKTEST'!E1802</f>
        <v/>
      </c>
    </row>
    <row r="1800" ht="15.75" customHeight="1">
      <c r="A1800" s="31" t="str">
        <f>'EQUITY BACKTEST'!A1803</f>
        <v/>
      </c>
      <c r="B1800" s="22" t="str">
        <f>'EQUITY BACKTEST'!B1803</f>
        <v/>
      </c>
      <c r="C1800" s="22" t="str">
        <f>'EQUITY BACKTEST'!E1803</f>
        <v/>
      </c>
    </row>
    <row r="1801" ht="15.75" customHeight="1">
      <c r="A1801" s="31" t="str">
        <f>'EQUITY BACKTEST'!A1804</f>
        <v/>
      </c>
      <c r="B1801" s="22" t="str">
        <f>'EQUITY BACKTEST'!B1804</f>
        <v/>
      </c>
      <c r="C1801" s="22" t="str">
        <f>'EQUITY BACKTEST'!E1804</f>
        <v/>
      </c>
    </row>
    <row r="1802" ht="15.75" customHeight="1">
      <c r="A1802" s="31" t="str">
        <f>'EQUITY BACKTEST'!A1805</f>
        <v/>
      </c>
      <c r="B1802" s="22" t="str">
        <f>'EQUITY BACKTEST'!B1805</f>
        <v/>
      </c>
      <c r="C1802" s="22" t="str">
        <f>'EQUITY BACKTEST'!E1805</f>
        <v/>
      </c>
    </row>
    <row r="1803" ht="15.75" customHeight="1">
      <c r="A1803" s="31" t="str">
        <f>'EQUITY BACKTEST'!A1806</f>
        <v/>
      </c>
      <c r="B1803" s="22" t="str">
        <f>'EQUITY BACKTEST'!B1806</f>
        <v/>
      </c>
      <c r="C1803" s="22" t="str">
        <f>'EQUITY BACKTEST'!E1806</f>
        <v/>
      </c>
    </row>
    <row r="1804" ht="15.75" customHeight="1">
      <c r="A1804" s="31" t="str">
        <f>'EQUITY BACKTEST'!A1807</f>
        <v/>
      </c>
      <c r="B1804" s="22" t="str">
        <f>'EQUITY BACKTEST'!B1807</f>
        <v/>
      </c>
      <c r="C1804" s="22" t="str">
        <f>'EQUITY BACKTEST'!E1807</f>
        <v/>
      </c>
    </row>
    <row r="1805" ht="15.75" customHeight="1">
      <c r="A1805" s="31" t="str">
        <f>'EQUITY BACKTEST'!A1808</f>
        <v/>
      </c>
      <c r="B1805" s="22" t="str">
        <f>'EQUITY BACKTEST'!B1808</f>
        <v/>
      </c>
      <c r="C1805" s="22" t="str">
        <f>'EQUITY BACKTEST'!E1808</f>
        <v/>
      </c>
    </row>
    <row r="1806" ht="15.75" customHeight="1">
      <c r="A1806" s="31" t="str">
        <f>'EQUITY BACKTEST'!A1809</f>
        <v/>
      </c>
      <c r="B1806" s="22" t="str">
        <f>'EQUITY BACKTEST'!B1809</f>
        <v/>
      </c>
      <c r="C1806" s="22" t="str">
        <f>'EQUITY BACKTEST'!E1809</f>
        <v/>
      </c>
    </row>
    <row r="1807" ht="15.75" customHeight="1">
      <c r="A1807" s="31" t="str">
        <f>'EQUITY BACKTEST'!A1810</f>
        <v/>
      </c>
      <c r="B1807" s="22" t="str">
        <f>'EQUITY BACKTEST'!B1810</f>
        <v/>
      </c>
      <c r="C1807" s="22" t="str">
        <f>'EQUITY BACKTEST'!E1810</f>
        <v/>
      </c>
    </row>
    <row r="1808" ht="15.75" customHeight="1">
      <c r="A1808" s="31" t="str">
        <f>'EQUITY BACKTEST'!A1811</f>
        <v/>
      </c>
      <c r="B1808" s="22" t="str">
        <f>'EQUITY BACKTEST'!B1811</f>
        <v/>
      </c>
      <c r="C1808" s="22" t="str">
        <f>'EQUITY BACKTEST'!E1811</f>
        <v/>
      </c>
    </row>
    <row r="1809" ht="15.75" customHeight="1">
      <c r="A1809" s="31" t="str">
        <f>'EQUITY BACKTEST'!A1812</f>
        <v/>
      </c>
      <c r="B1809" s="22" t="str">
        <f>'EQUITY BACKTEST'!B1812</f>
        <v/>
      </c>
      <c r="C1809" s="22" t="str">
        <f>'EQUITY BACKTEST'!E1812</f>
        <v/>
      </c>
    </row>
    <row r="1810" ht="15.75" customHeight="1">
      <c r="A1810" s="31" t="str">
        <f>'EQUITY BACKTEST'!A1813</f>
        <v/>
      </c>
      <c r="B1810" s="22" t="str">
        <f>'EQUITY BACKTEST'!B1813</f>
        <v/>
      </c>
      <c r="C1810" s="22" t="str">
        <f>'EQUITY BACKTEST'!E1813</f>
        <v/>
      </c>
    </row>
    <row r="1811" ht="15.75" customHeight="1">
      <c r="A1811" s="31" t="str">
        <f>'EQUITY BACKTEST'!A1814</f>
        <v/>
      </c>
      <c r="B1811" s="22" t="str">
        <f>'EQUITY BACKTEST'!B1814</f>
        <v/>
      </c>
      <c r="C1811" s="22" t="str">
        <f>'EQUITY BACKTEST'!E1814</f>
        <v/>
      </c>
    </row>
    <row r="1812" ht="15.75" customHeight="1">
      <c r="A1812" s="31" t="str">
        <f>'EQUITY BACKTEST'!A1815</f>
        <v/>
      </c>
      <c r="B1812" s="22" t="str">
        <f>'EQUITY BACKTEST'!B1815</f>
        <v/>
      </c>
      <c r="C1812" s="22" t="str">
        <f>'EQUITY BACKTEST'!E1815</f>
        <v/>
      </c>
    </row>
    <row r="1813" ht="15.75" customHeight="1">
      <c r="A1813" s="31" t="str">
        <f>'EQUITY BACKTEST'!A1816</f>
        <v/>
      </c>
      <c r="B1813" s="22" t="str">
        <f>'EQUITY BACKTEST'!B1816</f>
        <v/>
      </c>
      <c r="C1813" s="22" t="str">
        <f>'EQUITY BACKTEST'!E1816</f>
        <v/>
      </c>
    </row>
    <row r="1814" ht="15.75" customHeight="1">
      <c r="A1814" s="31" t="str">
        <f>'EQUITY BACKTEST'!A1817</f>
        <v/>
      </c>
      <c r="B1814" s="22" t="str">
        <f>'EQUITY BACKTEST'!B1817</f>
        <v/>
      </c>
      <c r="C1814" s="22" t="str">
        <f>'EQUITY BACKTEST'!E1817</f>
        <v/>
      </c>
    </row>
    <row r="1815" ht="15.75" customHeight="1">
      <c r="A1815" s="31" t="str">
        <f>'EQUITY BACKTEST'!A1818</f>
        <v/>
      </c>
      <c r="B1815" s="22" t="str">
        <f>'EQUITY BACKTEST'!B1818</f>
        <v/>
      </c>
      <c r="C1815" s="22" t="str">
        <f>'EQUITY BACKTEST'!E1818</f>
        <v/>
      </c>
    </row>
    <row r="1816" ht="15.75" customHeight="1">
      <c r="A1816" s="31" t="str">
        <f>'EQUITY BACKTEST'!A1819</f>
        <v/>
      </c>
      <c r="B1816" s="22" t="str">
        <f>'EQUITY BACKTEST'!B1819</f>
        <v/>
      </c>
      <c r="C1816" s="22" t="str">
        <f>'EQUITY BACKTEST'!E1819</f>
        <v/>
      </c>
    </row>
    <row r="1817" ht="15.75" customHeight="1">
      <c r="A1817" s="31" t="str">
        <f>'EQUITY BACKTEST'!A1820</f>
        <v/>
      </c>
      <c r="B1817" s="22" t="str">
        <f>'EQUITY BACKTEST'!B1820</f>
        <v/>
      </c>
      <c r="C1817" s="22" t="str">
        <f>'EQUITY BACKTEST'!E1820</f>
        <v/>
      </c>
    </row>
    <row r="1818" ht="15.75" customHeight="1">
      <c r="A1818" s="31" t="str">
        <f>'EQUITY BACKTEST'!A1821</f>
        <v/>
      </c>
      <c r="B1818" s="22" t="str">
        <f>'EQUITY BACKTEST'!B1821</f>
        <v/>
      </c>
      <c r="C1818" s="22" t="str">
        <f>'EQUITY BACKTEST'!E1821</f>
        <v/>
      </c>
    </row>
    <row r="1819" ht="15.75" customHeight="1">
      <c r="A1819" s="31" t="str">
        <f>'EQUITY BACKTEST'!A1822</f>
        <v/>
      </c>
      <c r="B1819" s="22" t="str">
        <f>'EQUITY BACKTEST'!B1822</f>
        <v/>
      </c>
      <c r="C1819" s="22" t="str">
        <f>'EQUITY BACKTEST'!E1822</f>
        <v/>
      </c>
    </row>
    <row r="1820" ht="15.75" customHeight="1">
      <c r="A1820" s="31" t="str">
        <f>'EQUITY BACKTEST'!A1823</f>
        <v/>
      </c>
      <c r="B1820" s="22" t="str">
        <f>'EQUITY BACKTEST'!B1823</f>
        <v/>
      </c>
      <c r="C1820" s="22" t="str">
        <f>'EQUITY BACKTEST'!E1823</f>
        <v/>
      </c>
    </row>
    <row r="1821" ht="15.75" customHeight="1">
      <c r="A1821" s="31" t="str">
        <f>'EQUITY BACKTEST'!A1824</f>
        <v/>
      </c>
      <c r="B1821" s="22" t="str">
        <f>'EQUITY BACKTEST'!B1824</f>
        <v/>
      </c>
      <c r="C1821" s="22" t="str">
        <f>'EQUITY BACKTEST'!E1824</f>
        <v/>
      </c>
    </row>
    <row r="1822" ht="15.75" customHeight="1">
      <c r="A1822" s="22" t="str">
        <f>'EQUITY BACKTEST'!A1825</f>
        <v/>
      </c>
      <c r="B1822" s="22" t="str">
        <f>'EQUITY BACKTEST'!B1825</f>
        <v/>
      </c>
      <c r="C1822" s="22" t="str">
        <f>'EQUITY BACKTEST'!E1825</f>
        <v/>
      </c>
    </row>
    <row r="1823" ht="15.75" customHeight="1">
      <c r="A1823" s="22" t="str">
        <f>'EQUITY BACKTEST'!A1826</f>
        <v/>
      </c>
      <c r="B1823" s="22" t="str">
        <f>'EQUITY BACKTEST'!B1826</f>
        <v/>
      </c>
      <c r="C1823" s="22" t="str">
        <f>'EQUITY BACKTEST'!E1826</f>
        <v/>
      </c>
    </row>
    <row r="1824" ht="15.75" customHeight="1">
      <c r="A1824" s="22" t="str">
        <f>'EQUITY BACKTEST'!A1827</f>
        <v/>
      </c>
      <c r="B1824" s="22" t="str">
        <f>'EQUITY BACKTEST'!B1827</f>
        <v/>
      </c>
      <c r="C1824" s="22" t="str">
        <f>'EQUITY BACKTEST'!E1827</f>
        <v/>
      </c>
    </row>
    <row r="1825" ht="15.75" customHeight="1">
      <c r="A1825" s="22" t="str">
        <f>'EQUITY BACKTEST'!A1828</f>
        <v/>
      </c>
      <c r="B1825" s="22" t="str">
        <f>'EQUITY BACKTEST'!B1828</f>
        <v/>
      </c>
      <c r="C1825" s="22" t="str">
        <f>'EQUITY BACKTEST'!E1828</f>
        <v/>
      </c>
    </row>
    <row r="1826" ht="15.75" customHeight="1">
      <c r="A1826" s="22" t="str">
        <f>'EQUITY BACKTEST'!A1829</f>
        <v/>
      </c>
      <c r="B1826" s="22" t="str">
        <f>'EQUITY BACKTEST'!B1829</f>
        <v/>
      </c>
      <c r="C1826" s="22" t="str">
        <f>'EQUITY BACKTEST'!E1829</f>
        <v/>
      </c>
    </row>
    <row r="1827" ht="15.75" customHeight="1">
      <c r="A1827" s="22" t="str">
        <f>'EQUITY BACKTEST'!A1830</f>
        <v/>
      </c>
      <c r="B1827" s="22" t="str">
        <f>'EQUITY BACKTEST'!B1830</f>
        <v/>
      </c>
      <c r="C1827" s="22" t="str">
        <f>'EQUITY BACKTEST'!E1830</f>
        <v/>
      </c>
    </row>
    <row r="1828" ht="15.75" customHeight="1">
      <c r="A1828" s="22" t="str">
        <f>'EQUITY BACKTEST'!A1831</f>
        <v/>
      </c>
      <c r="B1828" s="22" t="str">
        <f>'EQUITY BACKTEST'!B1831</f>
        <v/>
      </c>
      <c r="C1828" s="22" t="str">
        <f>'EQUITY BACKTEST'!E1831</f>
        <v/>
      </c>
    </row>
    <row r="1829" ht="15.75" customHeight="1">
      <c r="A1829" s="22" t="str">
        <f>'EQUITY BACKTEST'!A1832</f>
        <v/>
      </c>
      <c r="B1829" s="22" t="str">
        <f>'EQUITY BACKTEST'!B1832</f>
        <v/>
      </c>
      <c r="C1829" s="22" t="str">
        <f>'EQUITY BACKTEST'!E1832</f>
        <v/>
      </c>
    </row>
    <row r="1830" ht="15.75" customHeight="1">
      <c r="A1830" s="22" t="str">
        <f>'EQUITY BACKTEST'!A1833</f>
        <v/>
      </c>
      <c r="B1830" s="22" t="str">
        <f>'EQUITY BACKTEST'!B1833</f>
        <v/>
      </c>
      <c r="C1830" s="22" t="str">
        <f>'EQUITY BACKTEST'!E1833</f>
        <v/>
      </c>
    </row>
    <row r="1831" ht="15.75" customHeight="1">
      <c r="A1831" s="22" t="str">
        <f>'EQUITY BACKTEST'!A1834</f>
        <v/>
      </c>
      <c r="B1831" s="22" t="str">
        <f>'EQUITY BACKTEST'!B1834</f>
        <v/>
      </c>
      <c r="C1831" s="22" t="str">
        <f>'EQUITY BACKTEST'!E1834</f>
        <v/>
      </c>
    </row>
    <row r="1832" ht="15.75" customHeight="1">
      <c r="A1832" s="22" t="str">
        <f>'EQUITY BACKTEST'!A1835</f>
        <v/>
      </c>
      <c r="B1832" s="22" t="str">
        <f>'EQUITY BACKTEST'!B1835</f>
        <v/>
      </c>
      <c r="C1832" s="22" t="str">
        <f>'EQUITY BACKTEST'!E1835</f>
        <v/>
      </c>
    </row>
    <row r="1833" ht="15.75" customHeight="1">
      <c r="A1833" s="22" t="str">
        <f>'EQUITY BACKTEST'!A1836</f>
        <v/>
      </c>
      <c r="B1833" s="22" t="str">
        <f>'EQUITY BACKTEST'!B1836</f>
        <v/>
      </c>
      <c r="C1833" s="22" t="str">
        <f>'EQUITY BACKTEST'!E1836</f>
        <v/>
      </c>
    </row>
    <row r="1834" ht="15.75" customHeight="1">
      <c r="A1834" s="22" t="str">
        <f>'EQUITY BACKTEST'!A1837</f>
        <v/>
      </c>
      <c r="B1834" s="22" t="str">
        <f>'EQUITY BACKTEST'!B1837</f>
        <v/>
      </c>
      <c r="C1834" s="22" t="str">
        <f>'EQUITY BACKTEST'!E1837</f>
        <v/>
      </c>
    </row>
    <row r="1835" ht="15.75" customHeight="1">
      <c r="A1835" s="22" t="str">
        <f>'EQUITY BACKTEST'!A1838</f>
        <v/>
      </c>
      <c r="B1835" s="22" t="str">
        <f>'EQUITY BACKTEST'!B1838</f>
        <v/>
      </c>
      <c r="C1835" s="22" t="str">
        <f>'EQUITY BACKTEST'!E1838</f>
        <v/>
      </c>
    </row>
    <row r="1836" ht="15.75" customHeight="1">
      <c r="A1836" s="22" t="str">
        <f>'EQUITY BACKTEST'!A1839</f>
        <v/>
      </c>
      <c r="B1836" s="22" t="str">
        <f>'EQUITY BACKTEST'!B1839</f>
        <v/>
      </c>
      <c r="C1836" s="22" t="str">
        <f>'EQUITY BACKTEST'!E1839</f>
        <v/>
      </c>
    </row>
    <row r="1837" ht="15.75" customHeight="1">
      <c r="A1837" s="22" t="str">
        <f>'EQUITY BACKTEST'!A1840</f>
        <v/>
      </c>
      <c r="B1837" s="22" t="str">
        <f>'EQUITY BACKTEST'!B1840</f>
        <v/>
      </c>
      <c r="C1837" s="22" t="str">
        <f>'EQUITY BACKTEST'!E1840</f>
        <v/>
      </c>
    </row>
    <row r="1838" ht="15.75" customHeight="1">
      <c r="A1838" s="22" t="str">
        <f>'EQUITY BACKTEST'!A1841</f>
        <v/>
      </c>
      <c r="B1838" s="22" t="str">
        <f>'EQUITY BACKTEST'!B1841</f>
        <v/>
      </c>
      <c r="C1838" s="22" t="str">
        <f>'EQUITY BACKTEST'!E1841</f>
        <v/>
      </c>
    </row>
    <row r="1839" ht="15.75" customHeight="1">
      <c r="A1839" s="22" t="str">
        <f>'EQUITY BACKTEST'!A1842</f>
        <v/>
      </c>
      <c r="B1839" s="22" t="str">
        <f>'EQUITY BACKTEST'!B1842</f>
        <v/>
      </c>
      <c r="C1839" s="22" t="str">
        <f>'EQUITY BACKTEST'!E1842</f>
        <v/>
      </c>
    </row>
    <row r="1840" ht="15.75" customHeight="1">
      <c r="A1840" s="22" t="str">
        <f>'EQUITY BACKTEST'!A1843</f>
        <v/>
      </c>
      <c r="B1840" s="22" t="str">
        <f>'EQUITY BACKTEST'!B1843</f>
        <v/>
      </c>
      <c r="C1840" s="22" t="str">
        <f>'EQUITY BACKTEST'!E1843</f>
        <v/>
      </c>
    </row>
    <row r="1841" ht="15.75" customHeight="1">
      <c r="A1841" s="22" t="str">
        <f>'EQUITY BACKTEST'!A1844</f>
        <v/>
      </c>
      <c r="B1841" s="22" t="str">
        <f>'EQUITY BACKTEST'!B1844</f>
        <v/>
      </c>
      <c r="C1841" s="22" t="str">
        <f>'EQUITY BACKTEST'!E1844</f>
        <v/>
      </c>
    </row>
    <row r="1842" ht="15.75" customHeight="1">
      <c r="A1842" s="22" t="str">
        <f>'EQUITY BACKTEST'!A1845</f>
        <v/>
      </c>
      <c r="B1842" s="22" t="str">
        <f>'EQUITY BACKTEST'!B1845</f>
        <v/>
      </c>
      <c r="C1842" s="22" t="str">
        <f>'EQUITY BACKTEST'!E1845</f>
        <v/>
      </c>
    </row>
    <row r="1843" ht="15.75" customHeight="1">
      <c r="A1843" s="22" t="str">
        <f>'EQUITY BACKTEST'!A1846</f>
        <v/>
      </c>
      <c r="B1843" s="22" t="str">
        <f>'EQUITY BACKTEST'!B1846</f>
        <v/>
      </c>
      <c r="C1843" s="22" t="str">
        <f>'EQUITY BACKTEST'!E1846</f>
        <v/>
      </c>
    </row>
    <row r="1844" ht="15.75" customHeight="1">
      <c r="A1844" s="22" t="str">
        <f>'EQUITY BACKTEST'!A1847</f>
        <v/>
      </c>
      <c r="B1844" s="22" t="str">
        <f>'EQUITY BACKTEST'!B1847</f>
        <v/>
      </c>
      <c r="C1844" s="22" t="str">
        <f>'EQUITY BACKTEST'!E1847</f>
        <v/>
      </c>
    </row>
    <row r="1845" ht="15.75" customHeight="1">
      <c r="A1845" s="22" t="str">
        <f>'EQUITY BACKTEST'!A1848</f>
        <v/>
      </c>
      <c r="B1845" s="22" t="str">
        <f>'EQUITY BACKTEST'!B1848</f>
        <v/>
      </c>
      <c r="C1845" s="22" t="str">
        <f>'EQUITY BACKTEST'!E1848</f>
        <v/>
      </c>
    </row>
    <row r="1846" ht="15.75" customHeight="1">
      <c r="A1846" s="22" t="str">
        <f>'EQUITY BACKTEST'!A1849</f>
        <v/>
      </c>
      <c r="B1846" s="22" t="str">
        <f>'EQUITY BACKTEST'!B1849</f>
        <v/>
      </c>
      <c r="C1846" s="22" t="str">
        <f>'EQUITY BACKTEST'!E1849</f>
        <v/>
      </c>
    </row>
    <row r="1847" ht="15.75" customHeight="1">
      <c r="A1847" s="22" t="str">
        <f>'EQUITY BACKTEST'!A1850</f>
        <v/>
      </c>
      <c r="B1847" s="22" t="str">
        <f>'EQUITY BACKTEST'!B1850</f>
        <v/>
      </c>
      <c r="C1847" s="22" t="str">
        <f>'EQUITY BACKTEST'!E1850</f>
        <v/>
      </c>
    </row>
    <row r="1848" ht="15.75" customHeight="1">
      <c r="A1848" s="22" t="str">
        <f>'EQUITY BACKTEST'!A1851</f>
        <v/>
      </c>
      <c r="B1848" s="22" t="str">
        <f>'EQUITY BACKTEST'!B1851</f>
        <v/>
      </c>
      <c r="C1848" s="22" t="str">
        <f>'EQUITY BACKTEST'!E1851</f>
        <v/>
      </c>
    </row>
    <row r="1849" ht="15.75" customHeight="1">
      <c r="A1849" s="22" t="str">
        <f>'EQUITY BACKTEST'!A1852</f>
        <v/>
      </c>
      <c r="B1849" s="22" t="str">
        <f>'EQUITY BACKTEST'!B1852</f>
        <v/>
      </c>
      <c r="C1849" s="22" t="str">
        <f>'EQUITY BACKTEST'!E1852</f>
        <v/>
      </c>
    </row>
    <row r="1850" ht="15.75" customHeight="1">
      <c r="A1850" s="22" t="str">
        <f>'EQUITY BACKTEST'!A1853</f>
        <v/>
      </c>
      <c r="B1850" s="22" t="str">
        <f>'EQUITY BACKTEST'!B1853</f>
        <v/>
      </c>
      <c r="C1850" s="22" t="str">
        <f>'EQUITY BACKTEST'!E1853</f>
        <v/>
      </c>
    </row>
    <row r="1851" ht="15.75" customHeight="1">
      <c r="A1851" s="22" t="str">
        <f>'EQUITY BACKTEST'!A1854</f>
        <v/>
      </c>
      <c r="B1851" s="22" t="str">
        <f>'EQUITY BACKTEST'!B1854</f>
        <v/>
      </c>
      <c r="C1851" s="22" t="str">
        <f>'EQUITY BACKTEST'!E1854</f>
        <v/>
      </c>
    </row>
    <row r="1852" ht="15.75" customHeight="1">
      <c r="A1852" s="22" t="str">
        <f>'EQUITY BACKTEST'!A1855</f>
        <v/>
      </c>
      <c r="B1852" s="22" t="str">
        <f>'EQUITY BACKTEST'!B1855</f>
        <v/>
      </c>
      <c r="C1852" s="22" t="str">
        <f>'EQUITY BACKTEST'!E1855</f>
        <v/>
      </c>
    </row>
    <row r="1853" ht="15.75" customHeight="1">
      <c r="A1853" s="22" t="str">
        <f>'EQUITY BACKTEST'!A1856</f>
        <v/>
      </c>
      <c r="B1853" s="22" t="str">
        <f>'EQUITY BACKTEST'!B1856</f>
        <v/>
      </c>
      <c r="C1853" s="22" t="str">
        <f>'EQUITY BACKTEST'!E1856</f>
        <v/>
      </c>
    </row>
    <row r="1854" ht="15.75" customHeight="1">
      <c r="A1854" s="22" t="str">
        <f>'EQUITY BACKTEST'!A1857</f>
        <v/>
      </c>
      <c r="B1854" s="22" t="str">
        <f>'EQUITY BACKTEST'!B1857</f>
        <v/>
      </c>
      <c r="C1854" s="22" t="str">
        <f>'EQUITY BACKTEST'!E1857</f>
        <v/>
      </c>
    </row>
    <row r="1855" ht="15.75" customHeight="1">
      <c r="A1855" s="22" t="str">
        <f>'EQUITY BACKTEST'!A1858</f>
        <v/>
      </c>
      <c r="B1855" s="22" t="str">
        <f>'EQUITY BACKTEST'!B1858</f>
        <v/>
      </c>
      <c r="C1855" s="22" t="str">
        <f>'EQUITY BACKTEST'!E1858</f>
        <v/>
      </c>
    </row>
    <row r="1856" ht="15.75" customHeight="1">
      <c r="A1856" s="22" t="str">
        <f>'EQUITY BACKTEST'!A1859</f>
        <v/>
      </c>
      <c r="B1856" s="22" t="str">
        <f>'EQUITY BACKTEST'!B1859</f>
        <v/>
      </c>
      <c r="C1856" s="22" t="str">
        <f>'EQUITY BACKTEST'!E1859</f>
        <v/>
      </c>
    </row>
    <row r="1857" ht="15.75" customHeight="1">
      <c r="A1857" s="22" t="str">
        <f>'EQUITY BACKTEST'!A1860</f>
        <v/>
      </c>
      <c r="B1857" s="22" t="str">
        <f>'EQUITY BACKTEST'!B1860</f>
        <v/>
      </c>
      <c r="C1857" s="22" t="str">
        <f>'EQUITY BACKTEST'!E1860</f>
        <v/>
      </c>
    </row>
    <row r="1858" ht="15.75" customHeight="1">
      <c r="A1858" s="22" t="str">
        <f>'EQUITY BACKTEST'!A1861</f>
        <v/>
      </c>
      <c r="B1858" s="22" t="str">
        <f>'EQUITY BACKTEST'!B1861</f>
        <v/>
      </c>
      <c r="C1858" s="22" t="str">
        <f>'EQUITY BACKTEST'!E1861</f>
        <v/>
      </c>
    </row>
    <row r="1859" ht="15.75" customHeight="1">
      <c r="A1859" s="22" t="str">
        <f>'EQUITY BACKTEST'!A1862</f>
        <v/>
      </c>
      <c r="B1859" s="22" t="str">
        <f>'EQUITY BACKTEST'!B1862</f>
        <v/>
      </c>
      <c r="C1859" s="22" t="str">
        <f>'EQUITY BACKTEST'!E1862</f>
        <v/>
      </c>
    </row>
    <row r="1860" ht="15.75" customHeight="1">
      <c r="A1860" s="22" t="str">
        <f>'EQUITY BACKTEST'!A1863</f>
        <v/>
      </c>
      <c r="B1860" s="22" t="str">
        <f>'EQUITY BACKTEST'!B1863</f>
        <v/>
      </c>
      <c r="C1860" s="22" t="str">
        <f>'EQUITY BACKTEST'!E1863</f>
        <v/>
      </c>
    </row>
    <row r="1861" ht="15.75" customHeight="1">
      <c r="A1861" s="22" t="str">
        <f>'EQUITY BACKTEST'!A1864</f>
        <v/>
      </c>
      <c r="B1861" s="22" t="str">
        <f>'EQUITY BACKTEST'!B1864</f>
        <v/>
      </c>
      <c r="C1861" s="22" t="str">
        <f>'EQUITY BACKTEST'!E1864</f>
        <v/>
      </c>
    </row>
    <row r="1862" ht="15.75" customHeight="1">
      <c r="A1862" s="22" t="str">
        <f>'EQUITY BACKTEST'!A1865</f>
        <v/>
      </c>
      <c r="B1862" s="22" t="str">
        <f>'EQUITY BACKTEST'!B1865</f>
        <v/>
      </c>
      <c r="C1862" s="22" t="str">
        <f>'EQUITY BACKTEST'!E1865</f>
        <v/>
      </c>
    </row>
    <row r="1863" ht="15.75" customHeight="1">
      <c r="A1863" s="22" t="str">
        <f>'EQUITY BACKTEST'!A1866</f>
        <v/>
      </c>
      <c r="B1863" s="22" t="str">
        <f>'EQUITY BACKTEST'!B1866</f>
        <v/>
      </c>
      <c r="C1863" s="22" t="str">
        <f>'EQUITY BACKTEST'!E1866</f>
        <v/>
      </c>
    </row>
    <row r="1864" ht="15.75" customHeight="1">
      <c r="A1864" s="22" t="str">
        <f>'EQUITY BACKTEST'!A1867</f>
        <v/>
      </c>
      <c r="B1864" s="22" t="str">
        <f>'EQUITY BACKTEST'!B1867</f>
        <v/>
      </c>
      <c r="C1864" s="22" t="str">
        <f>'EQUITY BACKTEST'!E1867</f>
        <v/>
      </c>
    </row>
    <row r="1865" ht="15.75" customHeight="1">
      <c r="A1865" s="22" t="str">
        <f>'EQUITY BACKTEST'!A1868</f>
        <v/>
      </c>
      <c r="B1865" s="22" t="str">
        <f>'EQUITY BACKTEST'!B1868</f>
        <v/>
      </c>
      <c r="C1865" s="22" t="str">
        <f>'EQUITY BACKTEST'!E1868</f>
        <v/>
      </c>
    </row>
    <row r="1866" ht="15.75" customHeight="1">
      <c r="A1866" s="22" t="str">
        <f>'EQUITY BACKTEST'!A1869</f>
        <v/>
      </c>
      <c r="B1866" s="22" t="str">
        <f>'EQUITY BACKTEST'!B1869</f>
        <v/>
      </c>
      <c r="C1866" s="22" t="str">
        <f>'EQUITY BACKTEST'!E1869</f>
        <v/>
      </c>
    </row>
    <row r="1867" ht="15.75" customHeight="1">
      <c r="A1867" s="22" t="str">
        <f>'EQUITY BACKTEST'!A1870</f>
        <v/>
      </c>
      <c r="B1867" s="22" t="str">
        <f>'EQUITY BACKTEST'!B1870</f>
        <v/>
      </c>
      <c r="C1867" s="22" t="str">
        <f>'EQUITY BACKTEST'!E1870</f>
        <v/>
      </c>
    </row>
    <row r="1868" ht="15.75" customHeight="1">
      <c r="A1868" s="22" t="str">
        <f>'EQUITY BACKTEST'!A1871</f>
        <v/>
      </c>
      <c r="B1868" s="22" t="str">
        <f>'EQUITY BACKTEST'!B1871</f>
        <v/>
      </c>
      <c r="C1868" s="22" t="str">
        <f>'EQUITY BACKTEST'!E1871</f>
        <v/>
      </c>
    </row>
    <row r="1869" ht="15.75" customHeight="1">
      <c r="A1869" s="22" t="str">
        <f>'EQUITY BACKTEST'!A1872</f>
        <v/>
      </c>
      <c r="B1869" s="22" t="str">
        <f>'EQUITY BACKTEST'!B1872</f>
        <v/>
      </c>
      <c r="C1869" s="22" t="str">
        <f>'EQUITY BACKTEST'!E1872</f>
        <v/>
      </c>
    </row>
    <row r="1870" ht="15.75" customHeight="1">
      <c r="A1870" s="22" t="str">
        <f>'EQUITY BACKTEST'!A1873</f>
        <v/>
      </c>
      <c r="B1870" s="22" t="str">
        <f>'EQUITY BACKTEST'!B1873</f>
        <v/>
      </c>
      <c r="C1870" s="22" t="str">
        <f>'EQUITY BACKTEST'!E1873</f>
        <v/>
      </c>
    </row>
    <row r="1871" ht="15.75" customHeight="1">
      <c r="A1871" s="22" t="str">
        <f>'EQUITY BACKTEST'!A1874</f>
        <v/>
      </c>
      <c r="B1871" s="22" t="str">
        <f>'EQUITY BACKTEST'!B1874</f>
        <v/>
      </c>
      <c r="C1871" s="22" t="str">
        <f>'EQUITY BACKTEST'!E1874</f>
        <v/>
      </c>
    </row>
    <row r="1872" ht="15.75" customHeight="1">
      <c r="A1872" s="22" t="str">
        <f>'EQUITY BACKTEST'!A1875</f>
        <v/>
      </c>
      <c r="B1872" s="22" t="str">
        <f>'EQUITY BACKTEST'!B1875</f>
        <v/>
      </c>
      <c r="C1872" s="22" t="str">
        <f>'EQUITY BACKTEST'!E1875</f>
        <v/>
      </c>
    </row>
    <row r="1873" ht="15.75" customHeight="1">
      <c r="A1873" s="22" t="str">
        <f>'EQUITY BACKTEST'!A1876</f>
        <v/>
      </c>
      <c r="B1873" s="22" t="str">
        <f>'EQUITY BACKTEST'!B1876</f>
        <v/>
      </c>
      <c r="C1873" s="22" t="str">
        <f>'EQUITY BACKTEST'!E1876</f>
        <v/>
      </c>
    </row>
    <row r="1874" ht="15.75" customHeight="1">
      <c r="A1874" s="22" t="str">
        <f>'EQUITY BACKTEST'!A1877</f>
        <v/>
      </c>
      <c r="B1874" s="22" t="str">
        <f>'EQUITY BACKTEST'!B1877</f>
        <v/>
      </c>
      <c r="C1874" s="22" t="str">
        <f>'EQUITY BACKTEST'!E1877</f>
        <v/>
      </c>
    </row>
    <row r="1875" ht="15.75" customHeight="1">
      <c r="A1875" s="22" t="str">
        <f>'EQUITY BACKTEST'!A1878</f>
        <v/>
      </c>
      <c r="B1875" s="22" t="str">
        <f>'EQUITY BACKTEST'!B1878</f>
        <v/>
      </c>
      <c r="C1875" s="22" t="str">
        <f>'EQUITY BACKTEST'!E1878</f>
        <v/>
      </c>
    </row>
    <row r="1876" ht="15.75" customHeight="1">
      <c r="A1876" s="22" t="str">
        <f>'EQUITY BACKTEST'!A1879</f>
        <v/>
      </c>
      <c r="B1876" s="22" t="str">
        <f>'EQUITY BACKTEST'!B1879</f>
        <v/>
      </c>
      <c r="C1876" s="22" t="str">
        <f>'EQUITY BACKTEST'!E1879</f>
        <v/>
      </c>
    </row>
    <row r="1877" ht="15.75" customHeight="1">
      <c r="A1877" s="22" t="str">
        <f>'EQUITY BACKTEST'!A1880</f>
        <v/>
      </c>
      <c r="B1877" s="22" t="str">
        <f>'EQUITY BACKTEST'!B1880</f>
        <v/>
      </c>
      <c r="C1877" s="22" t="str">
        <f>'EQUITY BACKTEST'!E1880</f>
        <v/>
      </c>
    </row>
    <row r="1878" ht="15.75" customHeight="1">
      <c r="A1878" s="22" t="str">
        <f>'EQUITY BACKTEST'!A1881</f>
        <v/>
      </c>
      <c r="B1878" s="22" t="str">
        <f>'EQUITY BACKTEST'!B1881</f>
        <v/>
      </c>
      <c r="C1878" s="22" t="str">
        <f>'EQUITY BACKTEST'!E1881</f>
        <v/>
      </c>
    </row>
    <row r="1879" ht="15.75" customHeight="1">
      <c r="A1879" s="22" t="str">
        <f>'EQUITY BACKTEST'!A1882</f>
        <v/>
      </c>
      <c r="B1879" s="22" t="str">
        <f>'EQUITY BACKTEST'!B1882</f>
        <v/>
      </c>
      <c r="C1879" s="22" t="str">
        <f>'EQUITY BACKTEST'!E1882</f>
        <v/>
      </c>
    </row>
    <row r="1880" ht="15.75" customHeight="1">
      <c r="A1880" s="22" t="str">
        <f>'EQUITY BACKTEST'!A1883</f>
        <v/>
      </c>
      <c r="B1880" s="22" t="str">
        <f>'EQUITY BACKTEST'!B1883</f>
        <v/>
      </c>
      <c r="C1880" s="22" t="str">
        <f>'EQUITY BACKTEST'!E1883</f>
        <v/>
      </c>
    </row>
    <row r="1881" ht="15.75" customHeight="1">
      <c r="A1881" s="22" t="str">
        <f>'EQUITY BACKTEST'!A1884</f>
        <v/>
      </c>
      <c r="B1881" s="22" t="str">
        <f>'EQUITY BACKTEST'!B1884</f>
        <v/>
      </c>
      <c r="C1881" s="22" t="str">
        <f>'EQUITY BACKTEST'!E1884</f>
        <v/>
      </c>
    </row>
    <row r="1882" ht="15.75" customHeight="1">
      <c r="A1882" s="22" t="str">
        <f>'EQUITY BACKTEST'!A1885</f>
        <v/>
      </c>
      <c r="B1882" s="22" t="str">
        <f>'EQUITY BACKTEST'!B1885</f>
        <v/>
      </c>
      <c r="C1882" s="22" t="str">
        <f>'EQUITY BACKTEST'!E1885</f>
        <v/>
      </c>
    </row>
    <row r="1883" ht="15.75" customHeight="1">
      <c r="A1883" s="22" t="str">
        <f>'EQUITY BACKTEST'!A1886</f>
        <v/>
      </c>
      <c r="B1883" s="22" t="str">
        <f>'EQUITY BACKTEST'!B1886</f>
        <v/>
      </c>
      <c r="C1883" s="22" t="str">
        <f>'EQUITY BACKTEST'!E1886</f>
        <v/>
      </c>
    </row>
    <row r="1884" ht="15.75" customHeight="1">
      <c r="A1884" s="22" t="str">
        <f>'EQUITY BACKTEST'!A1887</f>
        <v/>
      </c>
      <c r="B1884" s="22" t="str">
        <f>'EQUITY BACKTEST'!B1887</f>
        <v/>
      </c>
      <c r="C1884" s="22" t="str">
        <f>'EQUITY BACKTEST'!E1887</f>
        <v/>
      </c>
    </row>
    <row r="1885" ht="15.75" customHeight="1">
      <c r="A1885" s="22" t="str">
        <f>'EQUITY BACKTEST'!A1888</f>
        <v/>
      </c>
      <c r="B1885" s="22" t="str">
        <f>'EQUITY BACKTEST'!B1888</f>
        <v/>
      </c>
      <c r="C1885" s="22" t="str">
        <f>'EQUITY BACKTEST'!E1888</f>
        <v/>
      </c>
    </row>
    <row r="1886" ht="15.75" customHeight="1">
      <c r="A1886" s="22" t="str">
        <f>'EQUITY BACKTEST'!A1889</f>
        <v/>
      </c>
      <c r="B1886" s="22" t="str">
        <f>'EQUITY BACKTEST'!B1889</f>
        <v/>
      </c>
      <c r="C1886" s="22" t="str">
        <f>'EQUITY BACKTEST'!E1889</f>
        <v/>
      </c>
    </row>
    <row r="1887" ht="15.75" customHeight="1">
      <c r="A1887" s="22" t="str">
        <f>'EQUITY BACKTEST'!A1890</f>
        <v/>
      </c>
      <c r="B1887" s="22" t="str">
        <f>'EQUITY BACKTEST'!B1890</f>
        <v/>
      </c>
      <c r="C1887" s="22" t="str">
        <f>'EQUITY BACKTEST'!E1890</f>
        <v/>
      </c>
    </row>
    <row r="1888" ht="15.75" customHeight="1">
      <c r="A1888" s="22" t="str">
        <f>'EQUITY BACKTEST'!A1891</f>
        <v/>
      </c>
      <c r="B1888" s="22" t="str">
        <f>'EQUITY BACKTEST'!B1891</f>
        <v/>
      </c>
      <c r="C1888" s="22" t="str">
        <f>'EQUITY BACKTEST'!E1891</f>
        <v/>
      </c>
    </row>
    <row r="1889" ht="15.75" customHeight="1">
      <c r="A1889" s="22" t="str">
        <f>'EQUITY BACKTEST'!A1892</f>
        <v/>
      </c>
      <c r="B1889" s="22" t="str">
        <f>'EQUITY BACKTEST'!B1892</f>
        <v/>
      </c>
      <c r="C1889" s="22" t="str">
        <f>'EQUITY BACKTEST'!E1892</f>
        <v/>
      </c>
    </row>
    <row r="1890" ht="15.75" customHeight="1">
      <c r="A1890" s="22" t="str">
        <f>'EQUITY BACKTEST'!A1893</f>
        <v/>
      </c>
      <c r="B1890" s="22" t="str">
        <f>'EQUITY BACKTEST'!B1893</f>
        <v/>
      </c>
      <c r="C1890" s="22" t="str">
        <f>'EQUITY BACKTEST'!E1893</f>
        <v/>
      </c>
    </row>
    <row r="1891" ht="15.75" customHeight="1">
      <c r="A1891" s="22" t="str">
        <f>'EQUITY BACKTEST'!A1894</f>
        <v/>
      </c>
      <c r="B1891" s="22" t="str">
        <f>'EQUITY BACKTEST'!B1894</f>
        <v/>
      </c>
      <c r="C1891" s="22" t="str">
        <f>'EQUITY BACKTEST'!E1894</f>
        <v/>
      </c>
    </row>
    <row r="1892" ht="15.75" customHeight="1">
      <c r="A1892" s="22" t="str">
        <f>'EQUITY BACKTEST'!A1895</f>
        <v/>
      </c>
      <c r="B1892" s="22" t="str">
        <f>'EQUITY BACKTEST'!B1895</f>
        <v/>
      </c>
      <c r="C1892" s="22" t="str">
        <f>'EQUITY BACKTEST'!E1895</f>
        <v/>
      </c>
    </row>
    <row r="1893" ht="15.75" customHeight="1">
      <c r="A1893" s="22" t="str">
        <f>'EQUITY BACKTEST'!A1896</f>
        <v/>
      </c>
      <c r="B1893" s="22" t="str">
        <f>'EQUITY BACKTEST'!B1896</f>
        <v/>
      </c>
      <c r="C1893" s="22" t="str">
        <f>'EQUITY BACKTEST'!E1896</f>
        <v/>
      </c>
    </row>
    <row r="1894" ht="15.75" customHeight="1">
      <c r="A1894" s="22" t="str">
        <f>'EQUITY BACKTEST'!A1897</f>
        <v/>
      </c>
      <c r="B1894" s="22" t="str">
        <f>'EQUITY BACKTEST'!B1897</f>
        <v/>
      </c>
      <c r="C1894" s="22" t="str">
        <f>'EQUITY BACKTEST'!E1897</f>
        <v/>
      </c>
    </row>
    <row r="1895" ht="15.75" customHeight="1">
      <c r="A1895" s="22" t="str">
        <f>'EQUITY BACKTEST'!A1898</f>
        <v/>
      </c>
      <c r="B1895" s="22" t="str">
        <f>'EQUITY BACKTEST'!B1898</f>
        <v/>
      </c>
      <c r="C1895" s="22" t="str">
        <f>'EQUITY BACKTEST'!E1898</f>
        <v/>
      </c>
    </row>
    <row r="1896" ht="15.75" customHeight="1">
      <c r="A1896" s="22" t="str">
        <f>'EQUITY BACKTEST'!A1899</f>
        <v/>
      </c>
      <c r="B1896" s="22" t="str">
        <f>'EQUITY BACKTEST'!B1899</f>
        <v/>
      </c>
      <c r="C1896" s="22" t="str">
        <f>'EQUITY BACKTEST'!E1899</f>
        <v/>
      </c>
    </row>
    <row r="1897" ht="15.75" customHeight="1">
      <c r="A1897" s="22" t="str">
        <f>'EQUITY BACKTEST'!A1900</f>
        <v/>
      </c>
      <c r="B1897" s="22" t="str">
        <f>'EQUITY BACKTEST'!B1900</f>
        <v/>
      </c>
      <c r="C1897" s="22" t="str">
        <f>'EQUITY BACKTEST'!E1900</f>
        <v/>
      </c>
    </row>
    <row r="1898" ht="15.75" customHeight="1">
      <c r="A1898" s="22" t="str">
        <f>'EQUITY BACKTEST'!A1901</f>
        <v/>
      </c>
      <c r="B1898" s="22" t="str">
        <f>'EQUITY BACKTEST'!B1901</f>
        <v/>
      </c>
      <c r="C1898" s="22" t="str">
        <f>'EQUITY BACKTEST'!E1901</f>
        <v/>
      </c>
    </row>
    <row r="1899" ht="15.75" customHeight="1">
      <c r="A1899" s="22" t="str">
        <f>'EQUITY BACKTEST'!A1902</f>
        <v/>
      </c>
      <c r="B1899" s="22" t="str">
        <f>'EQUITY BACKTEST'!B1902</f>
        <v/>
      </c>
      <c r="C1899" s="22" t="str">
        <f>'EQUITY BACKTEST'!E1902</f>
        <v/>
      </c>
    </row>
    <row r="1900" ht="15.75" customHeight="1">
      <c r="A1900" s="22" t="str">
        <f>'EQUITY BACKTEST'!A1903</f>
        <v/>
      </c>
      <c r="B1900" s="22" t="str">
        <f>'EQUITY BACKTEST'!B1903</f>
        <v/>
      </c>
      <c r="C1900" s="22" t="str">
        <f>'EQUITY BACKTEST'!E1903</f>
        <v/>
      </c>
    </row>
    <row r="1901" ht="15.75" customHeight="1">
      <c r="A1901" s="22" t="str">
        <f>'EQUITY BACKTEST'!A1904</f>
        <v/>
      </c>
      <c r="B1901" s="22" t="str">
        <f>'EQUITY BACKTEST'!B1904</f>
        <v/>
      </c>
      <c r="C1901" s="22" t="str">
        <f>'EQUITY BACKTEST'!E1904</f>
        <v/>
      </c>
    </row>
    <row r="1902" ht="15.75" customHeight="1">
      <c r="A1902" s="22" t="str">
        <f>'EQUITY BACKTEST'!A1905</f>
        <v/>
      </c>
      <c r="B1902" s="22" t="str">
        <f>'EQUITY BACKTEST'!B1905</f>
        <v/>
      </c>
      <c r="C1902" s="22" t="str">
        <f>'EQUITY BACKTEST'!E1905</f>
        <v/>
      </c>
    </row>
    <row r="1903" ht="15.75" customHeight="1">
      <c r="A1903" s="22" t="str">
        <f>'EQUITY BACKTEST'!A1906</f>
        <v/>
      </c>
      <c r="B1903" s="22" t="str">
        <f>'EQUITY BACKTEST'!B1906</f>
        <v/>
      </c>
      <c r="C1903" s="22" t="str">
        <f>'EQUITY BACKTEST'!E1906</f>
        <v/>
      </c>
    </row>
    <row r="1904" ht="15.75" customHeight="1">
      <c r="A1904" s="22" t="str">
        <f>'EQUITY BACKTEST'!A1907</f>
        <v/>
      </c>
      <c r="B1904" s="22" t="str">
        <f>'EQUITY BACKTEST'!B1907</f>
        <v/>
      </c>
      <c r="C1904" s="22" t="str">
        <f>'EQUITY BACKTEST'!E1907</f>
        <v/>
      </c>
    </row>
    <row r="1905" ht="15.75" customHeight="1">
      <c r="A1905" s="22" t="str">
        <f>'EQUITY BACKTEST'!A1908</f>
        <v/>
      </c>
      <c r="B1905" s="22" t="str">
        <f>'EQUITY BACKTEST'!B1908</f>
        <v/>
      </c>
      <c r="C1905" s="22" t="str">
        <f>'EQUITY BACKTEST'!E1908</f>
        <v/>
      </c>
    </row>
    <row r="1906" ht="15.75" customHeight="1">
      <c r="A1906" s="22" t="str">
        <f>'EQUITY BACKTEST'!A1909</f>
        <v/>
      </c>
      <c r="B1906" s="22" t="str">
        <f>'EQUITY BACKTEST'!B1909</f>
        <v/>
      </c>
      <c r="C1906" s="22" t="str">
        <f>'EQUITY BACKTEST'!E1909</f>
        <v/>
      </c>
    </row>
    <row r="1907" ht="15.75" customHeight="1">
      <c r="A1907" s="22" t="str">
        <f>'EQUITY BACKTEST'!A1910</f>
        <v/>
      </c>
      <c r="B1907" s="22" t="str">
        <f>'EQUITY BACKTEST'!B1910</f>
        <v/>
      </c>
      <c r="C1907" s="22" t="str">
        <f>'EQUITY BACKTEST'!E1910</f>
        <v/>
      </c>
    </row>
    <row r="1908" ht="15.75" customHeight="1">
      <c r="A1908" s="22" t="str">
        <f>'EQUITY BACKTEST'!A1911</f>
        <v/>
      </c>
      <c r="B1908" s="22" t="str">
        <f>'EQUITY BACKTEST'!B1911</f>
        <v/>
      </c>
      <c r="C1908" s="22" t="str">
        <f>'EQUITY BACKTEST'!E1911</f>
        <v/>
      </c>
    </row>
    <row r="1909" ht="15.75" customHeight="1">
      <c r="A1909" s="22" t="str">
        <f>'EQUITY BACKTEST'!A1912</f>
        <v/>
      </c>
      <c r="B1909" s="22" t="str">
        <f>'EQUITY BACKTEST'!B1912</f>
        <v/>
      </c>
      <c r="C1909" s="22" t="str">
        <f>'EQUITY BACKTEST'!E1912</f>
        <v/>
      </c>
    </row>
    <row r="1910" ht="15.75" customHeight="1">
      <c r="A1910" s="22" t="str">
        <f>'EQUITY BACKTEST'!A1913</f>
        <v/>
      </c>
      <c r="B1910" s="22" t="str">
        <f>'EQUITY BACKTEST'!B1913</f>
        <v/>
      </c>
      <c r="C1910" s="22" t="str">
        <f>'EQUITY BACKTEST'!E1913</f>
        <v/>
      </c>
    </row>
    <row r="1911" ht="15.75" customHeight="1">
      <c r="A1911" s="22" t="str">
        <f>'EQUITY BACKTEST'!A1914</f>
        <v/>
      </c>
      <c r="B1911" s="22" t="str">
        <f>'EQUITY BACKTEST'!B1914</f>
        <v/>
      </c>
      <c r="C1911" s="22" t="str">
        <f>'EQUITY BACKTEST'!E1914</f>
        <v/>
      </c>
    </row>
    <row r="1912" ht="15.75" customHeight="1">
      <c r="A1912" s="22" t="str">
        <f>'EQUITY BACKTEST'!A1915</f>
        <v/>
      </c>
      <c r="B1912" s="22" t="str">
        <f>'EQUITY BACKTEST'!B1915</f>
        <v/>
      </c>
      <c r="C1912" s="22" t="str">
        <f>'EQUITY BACKTEST'!E1915</f>
        <v/>
      </c>
    </row>
    <row r="1913" ht="15.75" customHeight="1">
      <c r="A1913" s="22" t="str">
        <f>'EQUITY BACKTEST'!A1916</f>
        <v/>
      </c>
      <c r="B1913" s="22" t="str">
        <f>'EQUITY BACKTEST'!B1916</f>
        <v/>
      </c>
      <c r="C1913" s="22" t="str">
        <f>'EQUITY BACKTEST'!E1916</f>
        <v/>
      </c>
    </row>
    <row r="1914" ht="15.75" customHeight="1">
      <c r="A1914" s="22" t="str">
        <f>'EQUITY BACKTEST'!A1917</f>
        <v/>
      </c>
      <c r="B1914" s="22" t="str">
        <f>'EQUITY BACKTEST'!B1917</f>
        <v/>
      </c>
      <c r="C1914" s="22" t="str">
        <f>'EQUITY BACKTEST'!E1917</f>
        <v/>
      </c>
    </row>
    <row r="1915" ht="15.75" customHeight="1">
      <c r="A1915" s="22" t="str">
        <f>'EQUITY BACKTEST'!A1918</f>
        <v/>
      </c>
      <c r="B1915" s="22" t="str">
        <f>'EQUITY BACKTEST'!B1918</f>
        <v/>
      </c>
      <c r="C1915" s="22" t="str">
        <f>'EQUITY BACKTEST'!E1918</f>
        <v/>
      </c>
    </row>
    <row r="1916" ht="15.75" customHeight="1">
      <c r="A1916" s="22" t="str">
        <f>'EQUITY BACKTEST'!A1919</f>
        <v/>
      </c>
      <c r="B1916" s="22" t="str">
        <f>'EQUITY BACKTEST'!B1919</f>
        <v/>
      </c>
      <c r="C1916" s="22" t="str">
        <f>'EQUITY BACKTEST'!E1919</f>
        <v/>
      </c>
    </row>
    <row r="1917" ht="15.75" customHeight="1">
      <c r="A1917" s="22" t="str">
        <f>'EQUITY BACKTEST'!A1920</f>
        <v/>
      </c>
      <c r="B1917" s="22" t="str">
        <f>'EQUITY BACKTEST'!B1920</f>
        <v/>
      </c>
      <c r="C1917" s="22" t="str">
        <f>'EQUITY BACKTEST'!E1920</f>
        <v/>
      </c>
    </row>
    <row r="1918" ht="15.75" customHeight="1">
      <c r="A1918" s="22" t="str">
        <f>'EQUITY BACKTEST'!A1921</f>
        <v/>
      </c>
      <c r="B1918" s="22" t="str">
        <f>'EQUITY BACKTEST'!B1921</f>
        <v/>
      </c>
      <c r="C1918" s="22" t="str">
        <f>'EQUITY BACKTEST'!E1921</f>
        <v/>
      </c>
    </row>
    <row r="1919" ht="15.75" customHeight="1">
      <c r="A1919" s="22" t="str">
        <f>'EQUITY BACKTEST'!A1922</f>
        <v/>
      </c>
      <c r="B1919" s="22" t="str">
        <f>'EQUITY BACKTEST'!B1922</f>
        <v/>
      </c>
      <c r="C1919" s="22" t="str">
        <f>'EQUITY BACKTEST'!E1922</f>
        <v/>
      </c>
    </row>
    <row r="1920" ht="15.75" customHeight="1">
      <c r="A1920" s="22" t="str">
        <f>'EQUITY BACKTEST'!A1923</f>
        <v/>
      </c>
      <c r="B1920" s="22" t="str">
        <f>'EQUITY BACKTEST'!B1923</f>
        <v/>
      </c>
      <c r="C1920" s="22" t="str">
        <f>'EQUITY BACKTEST'!E1923</f>
        <v/>
      </c>
    </row>
    <row r="1921" ht="15.75" customHeight="1">
      <c r="A1921" s="22" t="str">
        <f>'EQUITY BACKTEST'!A1924</f>
        <v/>
      </c>
      <c r="B1921" s="22" t="str">
        <f>'EQUITY BACKTEST'!B1924</f>
        <v/>
      </c>
      <c r="C1921" s="22" t="str">
        <f>'EQUITY BACKTEST'!E1924</f>
        <v/>
      </c>
    </row>
    <row r="1922" ht="15.75" customHeight="1">
      <c r="A1922" s="22" t="str">
        <f>'EQUITY BACKTEST'!A1925</f>
        <v/>
      </c>
      <c r="B1922" s="22" t="str">
        <f>'EQUITY BACKTEST'!B1925</f>
        <v/>
      </c>
      <c r="C1922" s="22" t="str">
        <f>'EQUITY BACKTEST'!E1925</f>
        <v/>
      </c>
    </row>
    <row r="1923" ht="15.75" customHeight="1">
      <c r="A1923" s="22" t="str">
        <f>'EQUITY BACKTEST'!A1926</f>
        <v/>
      </c>
      <c r="B1923" s="22" t="str">
        <f>'EQUITY BACKTEST'!B1926</f>
        <v/>
      </c>
      <c r="C1923" s="22" t="str">
        <f>'EQUITY BACKTEST'!E1926</f>
        <v/>
      </c>
    </row>
    <row r="1924" ht="15.75" customHeight="1">
      <c r="A1924" s="22" t="str">
        <f>'EQUITY BACKTEST'!A1927</f>
        <v/>
      </c>
      <c r="B1924" s="22" t="str">
        <f>'EQUITY BACKTEST'!B1927</f>
        <v/>
      </c>
      <c r="C1924" s="22" t="str">
        <f>'EQUITY BACKTEST'!E1927</f>
        <v/>
      </c>
    </row>
    <row r="1925" ht="15.75" customHeight="1">
      <c r="A1925" s="22" t="str">
        <f>'EQUITY BACKTEST'!A1928</f>
        <v/>
      </c>
      <c r="B1925" s="22" t="str">
        <f>'EQUITY BACKTEST'!B1928</f>
        <v/>
      </c>
      <c r="C1925" s="22" t="str">
        <f>'EQUITY BACKTEST'!E1928</f>
        <v/>
      </c>
    </row>
    <row r="1926" ht="15.75" customHeight="1">
      <c r="A1926" s="22" t="str">
        <f>'EQUITY BACKTEST'!A1929</f>
        <v/>
      </c>
      <c r="B1926" s="22" t="str">
        <f>'EQUITY BACKTEST'!B1929</f>
        <v/>
      </c>
      <c r="C1926" s="22" t="str">
        <f>'EQUITY BACKTEST'!E1929</f>
        <v/>
      </c>
    </row>
    <row r="1927" ht="15.75" customHeight="1">
      <c r="A1927" s="22" t="str">
        <f>'EQUITY BACKTEST'!A1930</f>
        <v/>
      </c>
      <c r="B1927" s="22" t="str">
        <f>'EQUITY BACKTEST'!B1930</f>
        <v/>
      </c>
      <c r="C1927" s="22" t="str">
        <f>'EQUITY BACKTEST'!E1930</f>
        <v/>
      </c>
    </row>
    <row r="1928" ht="15.75" customHeight="1">
      <c r="A1928" s="22" t="str">
        <f>'EQUITY BACKTEST'!A1931</f>
        <v/>
      </c>
      <c r="B1928" s="22" t="str">
        <f>'EQUITY BACKTEST'!B1931</f>
        <v/>
      </c>
      <c r="C1928" s="22" t="str">
        <f>'EQUITY BACKTEST'!E1931</f>
        <v/>
      </c>
    </row>
    <row r="1929" ht="15.75" customHeight="1">
      <c r="A1929" s="22" t="str">
        <f>'EQUITY BACKTEST'!A1932</f>
        <v/>
      </c>
      <c r="B1929" s="22" t="str">
        <f>'EQUITY BACKTEST'!B1932</f>
        <v/>
      </c>
      <c r="C1929" s="22" t="str">
        <f>'EQUITY BACKTEST'!E1932</f>
        <v/>
      </c>
    </row>
    <row r="1930" ht="15.75" customHeight="1">
      <c r="A1930" s="22" t="str">
        <f>'EQUITY BACKTEST'!A1933</f>
        <v/>
      </c>
      <c r="B1930" s="22" t="str">
        <f>'EQUITY BACKTEST'!B1933</f>
        <v/>
      </c>
      <c r="C1930" s="22" t="str">
        <f>'EQUITY BACKTEST'!E1933</f>
        <v/>
      </c>
    </row>
    <row r="1931" ht="15.75" customHeight="1">
      <c r="A1931" s="22" t="str">
        <f>'EQUITY BACKTEST'!A1934</f>
        <v/>
      </c>
      <c r="B1931" s="22" t="str">
        <f>'EQUITY BACKTEST'!B1934</f>
        <v/>
      </c>
      <c r="C1931" s="22" t="str">
        <f>'EQUITY BACKTEST'!E1934</f>
        <v/>
      </c>
    </row>
    <row r="1932" ht="15.75" customHeight="1">
      <c r="A1932" s="22" t="str">
        <f>'EQUITY BACKTEST'!A1935</f>
        <v/>
      </c>
      <c r="B1932" s="22" t="str">
        <f>'EQUITY BACKTEST'!B1935</f>
        <v/>
      </c>
      <c r="C1932" s="22" t="str">
        <f>'EQUITY BACKTEST'!E1935</f>
        <v/>
      </c>
    </row>
    <row r="1933" ht="15.75" customHeight="1">
      <c r="A1933" s="22" t="str">
        <f>'EQUITY BACKTEST'!A1936</f>
        <v/>
      </c>
      <c r="B1933" s="22" t="str">
        <f>'EQUITY BACKTEST'!B1936</f>
        <v/>
      </c>
      <c r="C1933" s="22" t="str">
        <f>'EQUITY BACKTEST'!E1936</f>
        <v/>
      </c>
    </row>
    <row r="1934" ht="15.75" customHeight="1">
      <c r="A1934" s="22" t="str">
        <f>'EQUITY BACKTEST'!A1937</f>
        <v/>
      </c>
      <c r="B1934" s="22" t="str">
        <f>'EQUITY BACKTEST'!B1937</f>
        <v/>
      </c>
      <c r="C1934" s="22" t="str">
        <f>'EQUITY BACKTEST'!E1937</f>
        <v/>
      </c>
    </row>
    <row r="1935" ht="15.75" customHeight="1">
      <c r="A1935" s="22" t="str">
        <f>'EQUITY BACKTEST'!A1938</f>
        <v/>
      </c>
      <c r="B1935" s="22" t="str">
        <f>'EQUITY BACKTEST'!B1938</f>
        <v/>
      </c>
      <c r="C1935" s="22" t="str">
        <f>'EQUITY BACKTEST'!E1938</f>
        <v/>
      </c>
    </row>
    <row r="1936" ht="15.75" customHeight="1">
      <c r="A1936" s="22" t="str">
        <f>'EQUITY BACKTEST'!A1939</f>
        <v/>
      </c>
      <c r="B1936" s="22" t="str">
        <f>'EQUITY BACKTEST'!B1939</f>
        <v/>
      </c>
      <c r="C1936" s="22" t="str">
        <f>'EQUITY BACKTEST'!E1939</f>
        <v/>
      </c>
    </row>
    <row r="1937" ht="15.75" customHeight="1">
      <c r="A1937" s="22" t="str">
        <f>'EQUITY BACKTEST'!A1940</f>
        <v/>
      </c>
      <c r="B1937" s="22" t="str">
        <f>'EQUITY BACKTEST'!B1940</f>
        <v/>
      </c>
      <c r="C1937" s="22" t="str">
        <f>'EQUITY BACKTEST'!E1940</f>
        <v/>
      </c>
    </row>
    <row r="1938" ht="15.75" customHeight="1">
      <c r="A1938" s="22" t="str">
        <f>'EQUITY BACKTEST'!A1941</f>
        <v/>
      </c>
      <c r="B1938" s="22" t="str">
        <f>'EQUITY BACKTEST'!B1941</f>
        <v/>
      </c>
      <c r="C1938" s="22" t="str">
        <f>'EQUITY BACKTEST'!E1941</f>
        <v/>
      </c>
    </row>
    <row r="1939" ht="15.75" customHeight="1">
      <c r="A1939" s="22" t="str">
        <f>'EQUITY BACKTEST'!A1942</f>
        <v/>
      </c>
      <c r="B1939" s="22" t="str">
        <f>'EQUITY BACKTEST'!B1942</f>
        <v/>
      </c>
      <c r="C1939" s="22" t="str">
        <f>'EQUITY BACKTEST'!E1942</f>
        <v/>
      </c>
    </row>
    <row r="1940" ht="15.75" customHeight="1">
      <c r="A1940" s="22" t="str">
        <f>'EQUITY BACKTEST'!A1943</f>
        <v/>
      </c>
      <c r="B1940" s="22" t="str">
        <f>'EQUITY BACKTEST'!B1943</f>
        <v/>
      </c>
      <c r="C1940" s="22" t="str">
        <f>'EQUITY BACKTEST'!E1943</f>
        <v/>
      </c>
    </row>
    <row r="1941" ht="15.75" customHeight="1">
      <c r="A1941" s="22" t="str">
        <f>'EQUITY BACKTEST'!A1944</f>
        <v/>
      </c>
      <c r="B1941" s="22" t="str">
        <f>'EQUITY BACKTEST'!B1944</f>
        <v/>
      </c>
      <c r="C1941" s="22" t="str">
        <f>'EQUITY BACKTEST'!E1944</f>
        <v/>
      </c>
    </row>
    <row r="1942" ht="15.75" customHeight="1">
      <c r="A1942" s="22" t="str">
        <f>'EQUITY BACKTEST'!A1945</f>
        <v/>
      </c>
      <c r="B1942" s="22" t="str">
        <f>'EQUITY BACKTEST'!B1945</f>
        <v/>
      </c>
      <c r="C1942" s="22" t="str">
        <f>'EQUITY BACKTEST'!E1945</f>
        <v/>
      </c>
    </row>
    <row r="1943" ht="15.75" customHeight="1">
      <c r="A1943" s="22" t="str">
        <f>'EQUITY BACKTEST'!A1946</f>
        <v/>
      </c>
      <c r="B1943" s="22" t="str">
        <f>'EQUITY BACKTEST'!B1946</f>
        <v/>
      </c>
      <c r="C1943" s="22" t="str">
        <f>'EQUITY BACKTEST'!E1946</f>
        <v/>
      </c>
    </row>
    <row r="1944" ht="15.75" customHeight="1">
      <c r="A1944" s="22" t="str">
        <f>'EQUITY BACKTEST'!A1947</f>
        <v/>
      </c>
      <c r="B1944" s="22" t="str">
        <f>'EQUITY BACKTEST'!B1947</f>
        <v/>
      </c>
      <c r="C1944" s="22" t="str">
        <f>'EQUITY BACKTEST'!E1947</f>
        <v/>
      </c>
    </row>
    <row r="1945" ht="15.75" customHeight="1">
      <c r="A1945" s="22" t="str">
        <f>'EQUITY BACKTEST'!A1948</f>
        <v/>
      </c>
      <c r="B1945" s="22" t="str">
        <f>'EQUITY BACKTEST'!B1948</f>
        <v/>
      </c>
      <c r="C1945" s="22" t="str">
        <f>'EQUITY BACKTEST'!E1948</f>
        <v/>
      </c>
    </row>
    <row r="1946" ht="15.75" customHeight="1">
      <c r="A1946" s="22" t="str">
        <f>'EQUITY BACKTEST'!A1949</f>
        <v/>
      </c>
      <c r="B1946" s="22" t="str">
        <f>'EQUITY BACKTEST'!B1949</f>
        <v/>
      </c>
      <c r="C1946" s="22" t="str">
        <f>'EQUITY BACKTEST'!E1949</f>
        <v/>
      </c>
    </row>
    <row r="1947" ht="15.75" customHeight="1">
      <c r="A1947" s="22" t="str">
        <f>'EQUITY BACKTEST'!A1950</f>
        <v/>
      </c>
      <c r="B1947" s="22" t="str">
        <f>'EQUITY BACKTEST'!B1950</f>
        <v/>
      </c>
      <c r="C1947" s="22" t="str">
        <f>'EQUITY BACKTEST'!E1950</f>
        <v/>
      </c>
    </row>
    <row r="1948" ht="15.75" customHeight="1">
      <c r="A1948" s="22" t="str">
        <f>'EQUITY BACKTEST'!A1951</f>
        <v/>
      </c>
      <c r="B1948" s="22" t="str">
        <f>'EQUITY BACKTEST'!B1951</f>
        <v/>
      </c>
      <c r="C1948" s="22" t="str">
        <f>'EQUITY BACKTEST'!E1951</f>
        <v/>
      </c>
    </row>
    <row r="1949" ht="15.75" customHeight="1">
      <c r="A1949" s="22" t="str">
        <f>'EQUITY BACKTEST'!A1952</f>
        <v/>
      </c>
      <c r="B1949" s="22" t="str">
        <f>'EQUITY BACKTEST'!B1952</f>
        <v/>
      </c>
      <c r="C1949" s="22" t="str">
        <f>'EQUITY BACKTEST'!E1952</f>
        <v/>
      </c>
    </row>
    <row r="1950" ht="15.75" customHeight="1">
      <c r="A1950" s="22" t="str">
        <f>'EQUITY BACKTEST'!A1953</f>
        <v/>
      </c>
      <c r="B1950" s="22" t="str">
        <f>'EQUITY BACKTEST'!B1953</f>
        <v/>
      </c>
      <c r="C1950" s="22" t="str">
        <f>'EQUITY BACKTEST'!E1953</f>
        <v/>
      </c>
    </row>
    <row r="1951" ht="15.75" customHeight="1">
      <c r="A1951" s="22" t="str">
        <f>'EQUITY BACKTEST'!A1954</f>
        <v/>
      </c>
      <c r="B1951" s="22" t="str">
        <f>'EQUITY BACKTEST'!B1954</f>
        <v/>
      </c>
      <c r="C1951" s="22" t="str">
        <f>'EQUITY BACKTEST'!E1954</f>
        <v/>
      </c>
    </row>
    <row r="1952" ht="15.75" customHeight="1">
      <c r="A1952" s="22" t="str">
        <f>'EQUITY BACKTEST'!A1955</f>
        <v/>
      </c>
      <c r="B1952" s="22" t="str">
        <f>'EQUITY BACKTEST'!B1955</f>
        <v/>
      </c>
      <c r="C1952" s="22" t="str">
        <f>'EQUITY BACKTEST'!E1955</f>
        <v/>
      </c>
    </row>
    <row r="1953" ht="15.75" customHeight="1">
      <c r="A1953" s="22" t="str">
        <f>'EQUITY BACKTEST'!A1956</f>
        <v/>
      </c>
      <c r="B1953" s="22" t="str">
        <f>'EQUITY BACKTEST'!B1956</f>
        <v/>
      </c>
      <c r="C1953" s="22" t="str">
        <f>'EQUITY BACKTEST'!E1956</f>
        <v/>
      </c>
    </row>
    <row r="1954" ht="15.75" customHeight="1">
      <c r="A1954" s="22" t="str">
        <f>'EQUITY BACKTEST'!A1957</f>
        <v/>
      </c>
      <c r="B1954" s="22" t="str">
        <f>'EQUITY BACKTEST'!B1957</f>
        <v/>
      </c>
      <c r="C1954" s="22" t="str">
        <f>'EQUITY BACKTEST'!E1957</f>
        <v/>
      </c>
    </row>
    <row r="1955" ht="15.75" customHeight="1">
      <c r="A1955" s="22" t="str">
        <f>'EQUITY BACKTEST'!A1958</f>
        <v/>
      </c>
      <c r="B1955" s="22" t="str">
        <f>'EQUITY BACKTEST'!B1958</f>
        <v/>
      </c>
      <c r="C1955" s="22" t="str">
        <f>'EQUITY BACKTEST'!E1958</f>
        <v/>
      </c>
    </row>
    <row r="1956" ht="15.75" customHeight="1">
      <c r="A1956" s="22" t="str">
        <f>'EQUITY BACKTEST'!A1959</f>
        <v/>
      </c>
      <c r="B1956" s="22" t="str">
        <f>'EQUITY BACKTEST'!B1959</f>
        <v/>
      </c>
      <c r="C1956" s="22" t="str">
        <f>'EQUITY BACKTEST'!E1959</f>
        <v/>
      </c>
    </row>
    <row r="1957" ht="15.75" customHeight="1">
      <c r="A1957" s="22" t="str">
        <f>'EQUITY BACKTEST'!A1960</f>
        <v/>
      </c>
      <c r="B1957" s="22" t="str">
        <f>'EQUITY BACKTEST'!B1960</f>
        <v/>
      </c>
      <c r="C1957" s="22" t="str">
        <f>'EQUITY BACKTEST'!E1960</f>
        <v/>
      </c>
    </row>
    <row r="1958" ht="15.75" customHeight="1">
      <c r="A1958" s="22" t="str">
        <f>'EQUITY BACKTEST'!A1961</f>
        <v/>
      </c>
      <c r="B1958" s="22" t="str">
        <f>'EQUITY BACKTEST'!B1961</f>
        <v/>
      </c>
      <c r="C1958" s="22" t="str">
        <f>'EQUITY BACKTEST'!E1961</f>
        <v/>
      </c>
    </row>
    <row r="1959" ht="15.75" customHeight="1">
      <c r="A1959" s="22" t="str">
        <f>'EQUITY BACKTEST'!A1962</f>
        <v/>
      </c>
      <c r="B1959" s="22" t="str">
        <f>'EQUITY BACKTEST'!B1962</f>
        <v/>
      </c>
      <c r="C1959" s="22" t="str">
        <f>'EQUITY BACKTEST'!E1962</f>
        <v/>
      </c>
    </row>
    <row r="1960" ht="15.75" customHeight="1">
      <c r="A1960" s="22" t="str">
        <f>'EQUITY BACKTEST'!A1963</f>
        <v/>
      </c>
      <c r="B1960" s="22" t="str">
        <f>'EQUITY BACKTEST'!B1963</f>
        <v/>
      </c>
      <c r="C1960" s="22" t="str">
        <f>'EQUITY BACKTEST'!E1963</f>
        <v/>
      </c>
    </row>
    <row r="1961" ht="15.75" customHeight="1">
      <c r="A1961" s="22" t="str">
        <f>'EQUITY BACKTEST'!A1964</f>
        <v/>
      </c>
      <c r="B1961" s="22" t="str">
        <f>'EQUITY BACKTEST'!B1964</f>
        <v/>
      </c>
      <c r="C1961" s="22" t="str">
        <f>'EQUITY BACKTEST'!E1964</f>
        <v/>
      </c>
    </row>
    <row r="1962" ht="15.75" customHeight="1">
      <c r="A1962" s="22" t="str">
        <f>'EQUITY BACKTEST'!A1965</f>
        <v/>
      </c>
      <c r="B1962" s="22" t="str">
        <f>'EQUITY BACKTEST'!B1965</f>
        <v/>
      </c>
      <c r="C1962" s="22" t="str">
        <f>'EQUITY BACKTEST'!E1965</f>
        <v/>
      </c>
    </row>
    <row r="1963" ht="15.75" customHeight="1">
      <c r="A1963" s="22" t="str">
        <f>'EQUITY BACKTEST'!A1966</f>
        <v/>
      </c>
      <c r="B1963" s="22" t="str">
        <f>'EQUITY BACKTEST'!B1966</f>
        <v/>
      </c>
      <c r="C1963" s="22" t="str">
        <f>'EQUITY BACKTEST'!E1966</f>
        <v/>
      </c>
    </row>
    <row r="1964" ht="15.75" customHeight="1">
      <c r="A1964" s="22" t="str">
        <f>'EQUITY BACKTEST'!A1967</f>
        <v/>
      </c>
      <c r="B1964" s="22" t="str">
        <f>'EQUITY BACKTEST'!B1967</f>
        <v/>
      </c>
      <c r="C1964" s="22" t="str">
        <f>'EQUITY BACKTEST'!E1967</f>
        <v/>
      </c>
    </row>
    <row r="1965" ht="15.75" customHeight="1">
      <c r="A1965" s="22" t="str">
        <f>'EQUITY BACKTEST'!A1968</f>
        <v/>
      </c>
      <c r="B1965" s="22" t="str">
        <f>'EQUITY BACKTEST'!B1968</f>
        <v/>
      </c>
      <c r="C1965" s="22" t="str">
        <f>'EQUITY BACKTEST'!E1968</f>
        <v/>
      </c>
    </row>
    <row r="1966" ht="15.75" customHeight="1">
      <c r="A1966" s="22" t="str">
        <f>'EQUITY BACKTEST'!A1969</f>
        <v/>
      </c>
      <c r="B1966" s="22" t="str">
        <f>'EQUITY BACKTEST'!B1969</f>
        <v/>
      </c>
      <c r="C1966" s="22" t="str">
        <f>'EQUITY BACKTEST'!E1969</f>
        <v/>
      </c>
    </row>
    <row r="1967" ht="15.75" customHeight="1">
      <c r="A1967" s="22" t="str">
        <f>'EQUITY BACKTEST'!A1970</f>
        <v/>
      </c>
      <c r="B1967" s="22" t="str">
        <f>'EQUITY BACKTEST'!B1970</f>
        <v/>
      </c>
      <c r="C1967" s="22" t="str">
        <f>'EQUITY BACKTEST'!E1970</f>
        <v/>
      </c>
    </row>
    <row r="1968" ht="15.75" customHeight="1">
      <c r="A1968" s="22" t="str">
        <f>'EQUITY BACKTEST'!A1971</f>
        <v/>
      </c>
      <c r="B1968" s="22" t="str">
        <f>'EQUITY BACKTEST'!B1971</f>
        <v/>
      </c>
      <c r="C1968" s="22" t="str">
        <f>'EQUITY BACKTEST'!E1971</f>
        <v/>
      </c>
    </row>
    <row r="1969" ht="15.75" customHeight="1">
      <c r="A1969" s="22" t="str">
        <f>'EQUITY BACKTEST'!A1972</f>
        <v/>
      </c>
      <c r="B1969" s="22" t="str">
        <f>'EQUITY BACKTEST'!B1972</f>
        <v/>
      </c>
      <c r="C1969" s="22" t="str">
        <f>'EQUITY BACKTEST'!E1972</f>
        <v/>
      </c>
    </row>
    <row r="1970" ht="15.75" customHeight="1">
      <c r="A1970" s="22" t="str">
        <f>'EQUITY BACKTEST'!A1973</f>
        <v/>
      </c>
      <c r="B1970" s="22" t="str">
        <f>'EQUITY BACKTEST'!B1973</f>
        <v/>
      </c>
      <c r="C1970" s="22" t="str">
        <f>'EQUITY BACKTEST'!E1973</f>
        <v/>
      </c>
    </row>
    <row r="1971" ht="15.75" customHeight="1">
      <c r="A1971" s="22" t="str">
        <f>'EQUITY BACKTEST'!A1974</f>
        <v/>
      </c>
      <c r="B1971" s="22" t="str">
        <f>'EQUITY BACKTEST'!B1974</f>
        <v/>
      </c>
      <c r="C1971" s="22" t="str">
        <f>'EQUITY BACKTEST'!E1974</f>
        <v/>
      </c>
    </row>
    <row r="1972" ht="15.75" customHeight="1">
      <c r="A1972" s="22" t="str">
        <f>'EQUITY BACKTEST'!A1975</f>
        <v/>
      </c>
      <c r="B1972" s="22" t="str">
        <f>'EQUITY BACKTEST'!B1975</f>
        <v/>
      </c>
      <c r="C1972" s="22" t="str">
        <f>'EQUITY BACKTEST'!E1975</f>
        <v/>
      </c>
    </row>
    <row r="1973" ht="15.75" customHeight="1">
      <c r="A1973" s="22" t="str">
        <f>'EQUITY BACKTEST'!A1976</f>
        <v/>
      </c>
      <c r="B1973" s="22" t="str">
        <f>'EQUITY BACKTEST'!B1976</f>
        <v/>
      </c>
      <c r="C1973" s="22" t="str">
        <f>'EQUITY BACKTEST'!E1976</f>
        <v/>
      </c>
    </row>
    <row r="1974" ht="15.75" customHeight="1">
      <c r="A1974" s="22" t="str">
        <f>'EQUITY BACKTEST'!A1977</f>
        <v/>
      </c>
      <c r="B1974" s="22" t="str">
        <f>'EQUITY BACKTEST'!B1977</f>
        <v/>
      </c>
      <c r="C1974" s="22" t="str">
        <f>'EQUITY BACKTEST'!E1977</f>
        <v/>
      </c>
    </row>
    <row r="1975" ht="15.75" customHeight="1">
      <c r="A1975" s="22" t="str">
        <f>'EQUITY BACKTEST'!A1978</f>
        <v/>
      </c>
      <c r="B1975" s="22" t="str">
        <f>'EQUITY BACKTEST'!B1978</f>
        <v/>
      </c>
      <c r="C1975" s="22" t="str">
        <f>'EQUITY BACKTEST'!E1978</f>
        <v/>
      </c>
    </row>
    <row r="1976" ht="15.75" customHeight="1">
      <c r="A1976" s="22" t="str">
        <f>'EQUITY BACKTEST'!A1979</f>
        <v/>
      </c>
      <c r="B1976" s="22" t="str">
        <f>'EQUITY BACKTEST'!B1979</f>
        <v/>
      </c>
      <c r="C1976" s="22" t="str">
        <f>'EQUITY BACKTEST'!E1979</f>
        <v/>
      </c>
    </row>
    <row r="1977" ht="15.75" customHeight="1">
      <c r="A1977" s="22" t="str">
        <f>'EQUITY BACKTEST'!A1980</f>
        <v/>
      </c>
      <c r="B1977" s="22" t="str">
        <f>'EQUITY BACKTEST'!B1980</f>
        <v/>
      </c>
      <c r="C1977" s="22" t="str">
        <f>'EQUITY BACKTEST'!E1980</f>
        <v/>
      </c>
    </row>
    <row r="1978" ht="15.75" customHeight="1">
      <c r="A1978" s="22" t="str">
        <f>'EQUITY BACKTEST'!A1981</f>
        <v/>
      </c>
      <c r="B1978" s="22" t="str">
        <f>'EQUITY BACKTEST'!B1981</f>
        <v/>
      </c>
      <c r="C1978" s="22" t="str">
        <f>'EQUITY BACKTEST'!E1981</f>
        <v/>
      </c>
    </row>
    <row r="1979" ht="15.75" customHeight="1">
      <c r="A1979" s="22" t="str">
        <f>'EQUITY BACKTEST'!A1982</f>
        <v/>
      </c>
      <c r="B1979" s="22" t="str">
        <f>'EQUITY BACKTEST'!B1982</f>
        <v/>
      </c>
      <c r="C1979" s="22" t="str">
        <f>'EQUITY BACKTEST'!E1982</f>
        <v/>
      </c>
    </row>
    <row r="1980" ht="15.75" customHeight="1">
      <c r="A1980" s="22" t="str">
        <f>'EQUITY BACKTEST'!A1983</f>
        <v/>
      </c>
      <c r="B1980" s="22" t="str">
        <f>'EQUITY BACKTEST'!B1983</f>
        <v/>
      </c>
      <c r="C1980" s="22" t="str">
        <f>'EQUITY BACKTEST'!E1983</f>
        <v/>
      </c>
    </row>
    <row r="1981" ht="15.75" customHeight="1">
      <c r="A1981" s="22" t="str">
        <f>'EQUITY BACKTEST'!A1984</f>
        <v/>
      </c>
      <c r="B1981" s="22" t="str">
        <f>'EQUITY BACKTEST'!B1984</f>
        <v/>
      </c>
      <c r="C1981" s="22" t="str">
        <f>'EQUITY BACKTEST'!E1984</f>
        <v/>
      </c>
    </row>
    <row r="1982" ht="15.75" customHeight="1">
      <c r="A1982" s="22" t="str">
        <f>'EQUITY BACKTEST'!A1985</f>
        <v/>
      </c>
      <c r="B1982" s="22" t="str">
        <f>'EQUITY BACKTEST'!B1985</f>
        <v/>
      </c>
      <c r="C1982" s="22" t="str">
        <f>'EQUITY BACKTEST'!E1985</f>
        <v/>
      </c>
    </row>
    <row r="1983" ht="15.75" customHeight="1">
      <c r="A1983" s="22" t="str">
        <f>'EQUITY BACKTEST'!A1986</f>
        <v/>
      </c>
      <c r="B1983" s="22" t="str">
        <f>'EQUITY BACKTEST'!B1986</f>
        <v/>
      </c>
      <c r="C1983" s="22" t="str">
        <f>'EQUITY BACKTEST'!E1986</f>
        <v/>
      </c>
    </row>
    <row r="1984" ht="15.75" customHeight="1">
      <c r="A1984" s="22" t="str">
        <f>'EQUITY BACKTEST'!A1987</f>
        <v/>
      </c>
      <c r="B1984" s="22" t="str">
        <f>'EQUITY BACKTEST'!B1987</f>
        <v/>
      </c>
      <c r="C1984" s="22" t="str">
        <f>'EQUITY BACKTEST'!E1987</f>
        <v/>
      </c>
    </row>
    <row r="1985" ht="15.75" customHeight="1">
      <c r="A1985" s="22" t="str">
        <f>'EQUITY BACKTEST'!A1988</f>
        <v/>
      </c>
      <c r="B1985" s="22" t="str">
        <f>'EQUITY BACKTEST'!B1988</f>
        <v/>
      </c>
      <c r="C1985" s="22" t="str">
        <f>'EQUITY BACKTEST'!E1988</f>
        <v/>
      </c>
    </row>
    <row r="1986" ht="15.75" customHeight="1">
      <c r="A1986" s="22" t="str">
        <f>'EQUITY BACKTEST'!A1989</f>
        <v/>
      </c>
      <c r="B1986" s="22" t="str">
        <f>'EQUITY BACKTEST'!B1989</f>
        <v/>
      </c>
      <c r="C1986" s="22" t="str">
        <f>'EQUITY BACKTEST'!E1989</f>
        <v/>
      </c>
    </row>
    <row r="1987" ht="15.75" customHeight="1">
      <c r="A1987" s="22" t="str">
        <f>'EQUITY BACKTEST'!A1990</f>
        <v/>
      </c>
      <c r="B1987" s="22" t="str">
        <f>'EQUITY BACKTEST'!B1990</f>
        <v/>
      </c>
      <c r="C1987" s="22" t="str">
        <f>'EQUITY BACKTEST'!E1990</f>
        <v/>
      </c>
    </row>
    <row r="1988" ht="15.75" customHeight="1">
      <c r="A1988" s="22" t="str">
        <f>'EQUITY BACKTEST'!A1991</f>
        <v/>
      </c>
      <c r="B1988" s="22" t="str">
        <f>'EQUITY BACKTEST'!B1991</f>
        <v/>
      </c>
      <c r="C1988" s="22" t="str">
        <f>'EQUITY BACKTEST'!E1991</f>
        <v/>
      </c>
    </row>
    <row r="1989" ht="15.75" customHeight="1">
      <c r="A1989" s="22" t="str">
        <f>'EQUITY BACKTEST'!A1992</f>
        <v/>
      </c>
      <c r="B1989" s="22" t="str">
        <f>'EQUITY BACKTEST'!B1992</f>
        <v/>
      </c>
      <c r="C1989" s="22" t="str">
        <f>'EQUITY BACKTEST'!E1992</f>
        <v/>
      </c>
    </row>
    <row r="1990" ht="15.75" customHeight="1">
      <c r="A1990" s="22" t="str">
        <f>'EQUITY BACKTEST'!A1993</f>
        <v/>
      </c>
      <c r="B1990" s="22" t="str">
        <f>'EQUITY BACKTEST'!B1993</f>
        <v/>
      </c>
      <c r="C1990" s="22" t="str">
        <f>'EQUITY BACKTEST'!E1993</f>
        <v/>
      </c>
    </row>
    <row r="1991" ht="15.75" customHeight="1">
      <c r="A1991" s="22" t="str">
        <f>'EQUITY BACKTEST'!A1994</f>
        <v/>
      </c>
      <c r="B1991" s="22" t="str">
        <f>'EQUITY BACKTEST'!B1994</f>
        <v/>
      </c>
      <c r="C1991" s="22" t="str">
        <f>'EQUITY BACKTEST'!E1994</f>
        <v/>
      </c>
    </row>
    <row r="1992" ht="15.75" customHeight="1">
      <c r="A1992" s="22" t="str">
        <f>'EQUITY BACKTEST'!A1995</f>
        <v/>
      </c>
      <c r="B1992" s="22" t="str">
        <f>'EQUITY BACKTEST'!B1995</f>
        <v/>
      </c>
      <c r="C1992" s="22" t="str">
        <f>'EQUITY BACKTEST'!E1995</f>
        <v/>
      </c>
    </row>
    <row r="1993" ht="15.75" customHeight="1">
      <c r="A1993" s="22" t="str">
        <f>'EQUITY BACKTEST'!A1996</f>
        <v/>
      </c>
      <c r="B1993" s="22" t="str">
        <f>'EQUITY BACKTEST'!B1996</f>
        <v/>
      </c>
      <c r="C1993" s="22" t="str">
        <f>'EQUITY BACKTEST'!E1996</f>
        <v/>
      </c>
    </row>
    <row r="1994" ht="15.75" customHeight="1">
      <c r="A1994" s="22" t="str">
        <f>'EQUITY BACKTEST'!A1997</f>
        <v/>
      </c>
      <c r="B1994" s="22" t="str">
        <f>'EQUITY BACKTEST'!B1997</f>
        <v/>
      </c>
      <c r="C1994" s="22" t="str">
        <f>'EQUITY BACKTEST'!E1997</f>
        <v/>
      </c>
    </row>
    <row r="1995" ht="15.75" customHeight="1">
      <c r="A1995" s="22" t="str">
        <f>'EQUITY BACKTEST'!A1998</f>
        <v/>
      </c>
      <c r="B1995" s="22" t="str">
        <f>'EQUITY BACKTEST'!B1998</f>
        <v/>
      </c>
      <c r="C1995" s="22" t="str">
        <f>'EQUITY BACKTEST'!E1998</f>
        <v/>
      </c>
    </row>
    <row r="1996" ht="15.75" customHeight="1">
      <c r="A1996" s="22" t="str">
        <f>'EQUITY BACKTEST'!A1999</f>
        <v/>
      </c>
      <c r="B1996" s="22" t="str">
        <f>'EQUITY BACKTEST'!B1999</f>
        <v/>
      </c>
      <c r="C1996" s="22" t="str">
        <f>'EQUITY BACKTEST'!E1999</f>
        <v/>
      </c>
    </row>
    <row r="1997" ht="15.75" customHeight="1">
      <c r="A1997" s="22" t="str">
        <f>'EQUITY BACKTEST'!A2000</f>
        <v/>
      </c>
      <c r="B1997" s="22" t="str">
        <f>'EQUITY BACKTEST'!B2000</f>
        <v/>
      </c>
      <c r="C1997" s="22" t="str">
        <f>'EQUITY BACKTEST'!E2000</f>
        <v/>
      </c>
    </row>
    <row r="1998" ht="15.75" customHeight="1">
      <c r="A1998" s="22" t="str">
        <f>'EQUITY BACKTEST'!A2001</f>
        <v/>
      </c>
      <c r="B1998" s="22" t="str">
        <f>'EQUITY BACKTEST'!B2001</f>
        <v/>
      </c>
      <c r="C1998" s="22" t="str">
        <f>'EQUITY BACKTEST'!E2001</f>
        <v/>
      </c>
    </row>
    <row r="1999" ht="15.75" customHeight="1">
      <c r="A1999" s="22" t="str">
        <f>'EQUITY BACKTEST'!A2002</f>
        <v/>
      </c>
      <c r="B1999" s="22" t="str">
        <f>'EQUITY BACKTEST'!B2002</f>
        <v/>
      </c>
      <c r="C1999" s="22" t="str">
        <f>'EQUITY BACKTEST'!E2002</f>
        <v/>
      </c>
    </row>
    <row r="2000" ht="15.75" customHeight="1">
      <c r="A2000" s="22" t="str">
        <f>'EQUITY BACKTEST'!A2003</f>
        <v/>
      </c>
      <c r="B2000" s="22" t="str">
        <f>'EQUITY BACKTEST'!B2003</f>
        <v/>
      </c>
      <c r="C2000" s="22" t="str">
        <f>'EQUITY BACKTEST'!E2003</f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3" max="3" width="16.38"/>
    <col customWidth="1" min="9" max="9" width="17.88"/>
  </cols>
  <sheetData>
    <row r="1" ht="15.75" customHeight="1">
      <c r="B1" s="22" t="s">
        <v>92</v>
      </c>
      <c r="D1" s="22" t="s">
        <v>154</v>
      </c>
      <c r="E1" s="34">
        <v>0.0230558160276082</v>
      </c>
      <c r="F1" s="22"/>
      <c r="G1" s="22" t="s">
        <v>93</v>
      </c>
      <c r="H1" s="22">
        <v>1999.0</v>
      </c>
      <c r="I1" s="22">
        <v>1.0</v>
      </c>
      <c r="J1" s="22">
        <v>1.0</v>
      </c>
      <c r="L1" s="22" t="s">
        <v>94</v>
      </c>
      <c r="M1" s="33" t="s">
        <v>148</v>
      </c>
      <c r="N1" s="22" t="str">
        <f>C526/C6</f>
        <v>#DIV/0!</v>
      </c>
    </row>
    <row r="2" ht="15.75" customHeight="1">
      <c r="B2" s="22" t="s">
        <v>85</v>
      </c>
      <c r="C2" s="22"/>
      <c r="D2" s="22"/>
      <c r="E2" s="22"/>
      <c r="F2" s="22"/>
      <c r="G2" s="22" t="s">
        <v>85</v>
      </c>
      <c r="K2" s="14"/>
      <c r="L2" s="14"/>
      <c r="M2" s="14"/>
      <c r="N2" s="14">
        <f>1.5^10</f>
        <v>57.66503906</v>
      </c>
      <c r="O2" s="14"/>
      <c r="P2" s="14"/>
      <c r="S2" s="22" t="s">
        <v>173</v>
      </c>
    </row>
    <row r="3" ht="15.75" customHeight="1">
      <c r="B3" s="22" t="s">
        <v>97</v>
      </c>
      <c r="C3" s="22" t="s">
        <v>150</v>
      </c>
      <c r="D3" s="22"/>
      <c r="E3" s="22"/>
      <c r="F3" s="22"/>
      <c r="J3" s="22" t="s">
        <v>151</v>
      </c>
      <c r="K3" s="22" t="str">
        <f>AVERAGE($G162:$G1348)</f>
        <v>#DIV/0!</v>
      </c>
      <c r="L3" s="22" t="str">
        <f>AVERAGE($H266:$H1348)</f>
        <v>#DIV/0!</v>
      </c>
      <c r="M3" s="22" t="str">
        <f>MEDIAN($G162:$G1348)</f>
        <v>#DIV/0!</v>
      </c>
      <c r="N3" s="22" t="str">
        <f>MEDIAN($H266:$H1345)</f>
        <v>#DIV/0!</v>
      </c>
      <c r="P3" s="22" t="s">
        <v>155</v>
      </c>
      <c r="Q3" s="22" t="s">
        <v>156</v>
      </c>
      <c r="R3" s="22" t="s">
        <v>157</v>
      </c>
      <c r="U3" s="22" t="s">
        <v>156</v>
      </c>
      <c r="V3" s="22" t="s">
        <v>157</v>
      </c>
    </row>
    <row r="4" ht="15.75" customHeight="1">
      <c r="A4" s="22" t="str">
        <f>IFERROR(__xludf.DUMMYFUNCTION("GOOGLEFINANCE(B$3, ""price"", DATE(H1, I1, J1), TODAY(), $M$1)"),"Loading...")</f>
        <v>Loading...</v>
      </c>
      <c r="B4" s="22"/>
      <c r="D4" s="22" t="str">
        <f>IFERROR(__xludf.DUMMYFUNCTION("GOOGLEFINANCE(J$3, ""price"", DATE(H1, I1, N1), TODAY(), M1)"),"#DIV/0!")</f>
        <v>#DIV/0!</v>
      </c>
      <c r="E4" s="22"/>
      <c r="F4" s="22" t="s">
        <v>158</v>
      </c>
      <c r="G4" s="22" t="s">
        <v>152</v>
      </c>
      <c r="H4" s="22" t="s">
        <v>153</v>
      </c>
      <c r="I4" s="22" t="s">
        <v>174</v>
      </c>
      <c r="J4" s="22" t="s">
        <v>175</v>
      </c>
      <c r="P4" s="22">
        <v>-60.0</v>
      </c>
      <c r="Q4" s="22" t="str">
        <f t="array" ref="Q4">FREQUENCY(G162:G1348, $P$4:$P$28)</f>
        <v>#DIV/0!</v>
      </c>
      <c r="R4" s="22" t="str">
        <f t="array" ref="R4">FREQUENCY(H266:H1348, $P$4:$P$28)</f>
        <v>#DIV/0!</v>
      </c>
      <c r="S4" s="32" t="str">
        <f t="shared" ref="S4:T4" si="1">100*Q4/Q$30</f>
        <v>#DIV/0!</v>
      </c>
      <c r="T4" s="32" t="str">
        <f t="shared" si="1"/>
        <v>#DIV/0!</v>
      </c>
    </row>
    <row r="5" ht="15.75" customHeight="1">
      <c r="A5" s="25"/>
      <c r="B5" s="22"/>
      <c r="D5" s="25"/>
      <c r="E5" s="22"/>
      <c r="I5" s="22" t="str">
        <f t="shared" ref="I5:I1345" si="3">1/E5</f>
        <v>#DIV/0!</v>
      </c>
      <c r="P5" s="22">
        <f t="shared" ref="P5:P28" si="4">P4+10</f>
        <v>-50</v>
      </c>
      <c r="Q5" s="22"/>
      <c r="R5" s="22"/>
      <c r="S5" s="32" t="str">
        <f t="shared" ref="S5:T5" si="2">100*Q5/Q$30+S4</f>
        <v>#DIV/0!</v>
      </c>
      <c r="T5" s="32" t="str">
        <f t="shared" si="2"/>
        <v>#DIV/0!</v>
      </c>
    </row>
    <row r="6" ht="15.75" customHeight="1">
      <c r="A6" s="25"/>
      <c r="B6" s="22"/>
      <c r="C6" s="22">
        <f t="shared" ref="C6:C1348" si="6">$E$1/52*B5+B6</f>
        <v>0</v>
      </c>
      <c r="D6" s="25"/>
      <c r="E6" s="22"/>
      <c r="F6" s="22">
        <v>100.0</v>
      </c>
      <c r="I6" s="22" t="str">
        <f t="shared" si="3"/>
        <v>#DIV/0!</v>
      </c>
      <c r="P6" s="22">
        <f t="shared" si="4"/>
        <v>-40</v>
      </c>
      <c r="Q6" s="22"/>
      <c r="R6" s="22"/>
      <c r="S6" s="32" t="str">
        <f t="shared" ref="S6:T6" si="5">100*Q6/Q$30+S5</f>
        <v>#DIV/0!</v>
      </c>
      <c r="T6" s="32" t="str">
        <f t="shared" si="5"/>
        <v>#DIV/0!</v>
      </c>
    </row>
    <row r="7" ht="15.75" customHeight="1">
      <c r="A7" s="25"/>
      <c r="B7" s="22"/>
      <c r="C7" s="22">
        <f t="shared" si="6"/>
        <v>0</v>
      </c>
      <c r="D7" s="25"/>
      <c r="E7" s="22"/>
      <c r="F7" s="22" t="str">
        <f t="shared" ref="F7:F1345" si="8">F6*((E7/E6)*(C7/C6))</f>
        <v>#DIV/0!</v>
      </c>
      <c r="I7" s="22" t="str">
        <f t="shared" si="3"/>
        <v>#DIV/0!</v>
      </c>
      <c r="P7" s="22">
        <f t="shared" si="4"/>
        <v>-30</v>
      </c>
      <c r="Q7" s="22"/>
      <c r="R7" s="22"/>
      <c r="S7" s="32" t="str">
        <f t="shared" ref="S7:T7" si="7">100*Q7/Q$30+S6</f>
        <v>#DIV/0!</v>
      </c>
      <c r="T7" s="32" t="str">
        <f t="shared" si="7"/>
        <v>#DIV/0!</v>
      </c>
    </row>
    <row r="8" ht="15.75" customHeight="1">
      <c r="A8" s="25"/>
      <c r="B8" s="22"/>
      <c r="C8" s="22">
        <f t="shared" si="6"/>
        <v>0</v>
      </c>
      <c r="D8" s="25"/>
      <c r="E8" s="22"/>
      <c r="F8" s="22" t="str">
        <f t="shared" si="8"/>
        <v>#DIV/0!</v>
      </c>
      <c r="I8" s="22" t="str">
        <f t="shared" si="3"/>
        <v>#DIV/0!</v>
      </c>
      <c r="P8" s="22">
        <f t="shared" si="4"/>
        <v>-20</v>
      </c>
      <c r="Q8" s="22"/>
      <c r="R8" s="22"/>
      <c r="S8" s="32" t="str">
        <f t="shared" ref="S8:T8" si="9">100*Q8/Q$30+S7</f>
        <v>#DIV/0!</v>
      </c>
      <c r="T8" s="32" t="str">
        <f t="shared" si="9"/>
        <v>#DIV/0!</v>
      </c>
    </row>
    <row r="9" ht="15.75" customHeight="1">
      <c r="A9" s="25"/>
      <c r="B9" s="22"/>
      <c r="C9" s="22">
        <f t="shared" si="6"/>
        <v>0</v>
      </c>
      <c r="D9" s="25"/>
      <c r="E9" s="22"/>
      <c r="F9" s="22" t="str">
        <f t="shared" si="8"/>
        <v>#DIV/0!</v>
      </c>
      <c r="I9" s="22" t="str">
        <f t="shared" si="3"/>
        <v>#DIV/0!</v>
      </c>
      <c r="P9" s="22">
        <f t="shared" si="4"/>
        <v>-10</v>
      </c>
      <c r="Q9" s="22"/>
      <c r="R9" s="22"/>
      <c r="S9" s="32" t="str">
        <f t="shared" ref="S9:T9" si="10">100*Q9/Q$30+S8</f>
        <v>#DIV/0!</v>
      </c>
      <c r="T9" s="32" t="str">
        <f t="shared" si="10"/>
        <v>#DIV/0!</v>
      </c>
    </row>
    <row r="10" ht="15.75" customHeight="1">
      <c r="A10" s="25"/>
      <c r="B10" s="22"/>
      <c r="C10" s="22">
        <f t="shared" si="6"/>
        <v>0</v>
      </c>
      <c r="D10" s="25"/>
      <c r="E10" s="22"/>
      <c r="F10" s="22" t="str">
        <f t="shared" si="8"/>
        <v>#DIV/0!</v>
      </c>
      <c r="I10" s="22" t="str">
        <f t="shared" si="3"/>
        <v>#DIV/0!</v>
      </c>
      <c r="P10" s="22">
        <f t="shared" si="4"/>
        <v>0</v>
      </c>
      <c r="Q10" s="22"/>
      <c r="R10" s="22"/>
      <c r="S10" s="32" t="str">
        <f t="shared" ref="S10:T10" si="11">100*Q10/Q$30+S9</f>
        <v>#DIV/0!</v>
      </c>
      <c r="T10" s="32" t="str">
        <f t="shared" si="11"/>
        <v>#DIV/0!</v>
      </c>
    </row>
    <row r="11" ht="15.75" customHeight="1">
      <c r="A11" s="25"/>
      <c r="B11" s="22"/>
      <c r="C11" s="22">
        <f t="shared" si="6"/>
        <v>0</v>
      </c>
      <c r="D11" s="25"/>
      <c r="E11" s="22"/>
      <c r="F11" s="22" t="str">
        <f t="shared" si="8"/>
        <v>#DIV/0!</v>
      </c>
      <c r="I11" s="22" t="str">
        <f t="shared" si="3"/>
        <v>#DIV/0!</v>
      </c>
      <c r="P11" s="22">
        <f t="shared" si="4"/>
        <v>10</v>
      </c>
      <c r="Q11" s="22"/>
      <c r="R11" s="22"/>
      <c r="S11" s="32" t="str">
        <f t="shared" ref="S11:T11" si="12">100*Q11/Q$30+S10</f>
        <v>#DIV/0!</v>
      </c>
      <c r="T11" s="32" t="str">
        <f t="shared" si="12"/>
        <v>#DIV/0!</v>
      </c>
    </row>
    <row r="12" ht="15.75" customHeight="1">
      <c r="A12" s="25"/>
      <c r="B12" s="22"/>
      <c r="C12" s="22">
        <f t="shared" si="6"/>
        <v>0</v>
      </c>
      <c r="D12" s="25"/>
      <c r="E12" s="22"/>
      <c r="F12" s="22" t="str">
        <f t="shared" si="8"/>
        <v>#DIV/0!</v>
      </c>
      <c r="I12" s="22" t="str">
        <f t="shared" si="3"/>
        <v>#DIV/0!</v>
      </c>
      <c r="P12" s="22">
        <f t="shared" si="4"/>
        <v>20</v>
      </c>
      <c r="Q12" s="22"/>
      <c r="R12" s="22"/>
      <c r="S12" s="32" t="str">
        <f t="shared" ref="S12:T12" si="13">100*Q12/Q$30+S11</f>
        <v>#DIV/0!</v>
      </c>
      <c r="T12" s="32" t="str">
        <f t="shared" si="13"/>
        <v>#DIV/0!</v>
      </c>
    </row>
    <row r="13" ht="15.75" customHeight="1">
      <c r="A13" s="25"/>
      <c r="B13" s="22"/>
      <c r="C13" s="22">
        <f t="shared" si="6"/>
        <v>0</v>
      </c>
      <c r="D13" s="25"/>
      <c r="E13" s="22"/>
      <c r="F13" s="22" t="str">
        <f t="shared" si="8"/>
        <v>#DIV/0!</v>
      </c>
      <c r="I13" s="22" t="str">
        <f t="shared" si="3"/>
        <v>#DIV/0!</v>
      </c>
      <c r="P13" s="22">
        <f t="shared" si="4"/>
        <v>30</v>
      </c>
      <c r="Q13" s="22"/>
      <c r="R13" s="22"/>
      <c r="S13" s="32" t="str">
        <f t="shared" ref="S13:T13" si="14">100*Q13/Q$30+S12</f>
        <v>#DIV/0!</v>
      </c>
      <c r="T13" s="32" t="str">
        <f t="shared" si="14"/>
        <v>#DIV/0!</v>
      </c>
    </row>
    <row r="14" ht="15.75" customHeight="1">
      <c r="A14" s="25"/>
      <c r="B14" s="22"/>
      <c r="C14" s="22">
        <f t="shared" si="6"/>
        <v>0</v>
      </c>
      <c r="D14" s="25"/>
      <c r="E14" s="22"/>
      <c r="F14" s="22" t="str">
        <f t="shared" si="8"/>
        <v>#DIV/0!</v>
      </c>
      <c r="I14" s="22" t="str">
        <f t="shared" si="3"/>
        <v>#DIV/0!</v>
      </c>
      <c r="P14" s="22">
        <f t="shared" si="4"/>
        <v>40</v>
      </c>
      <c r="Q14" s="22"/>
      <c r="R14" s="22"/>
      <c r="S14" s="32" t="str">
        <f t="shared" ref="S14:T14" si="15">100*Q14/Q$30+S13</f>
        <v>#DIV/0!</v>
      </c>
      <c r="T14" s="32" t="str">
        <f t="shared" si="15"/>
        <v>#DIV/0!</v>
      </c>
    </row>
    <row r="15" ht="15.75" customHeight="1">
      <c r="A15" s="25"/>
      <c r="B15" s="22"/>
      <c r="C15" s="22">
        <f t="shared" si="6"/>
        <v>0</v>
      </c>
      <c r="D15" s="25"/>
      <c r="E15" s="22"/>
      <c r="F15" s="22" t="str">
        <f t="shared" si="8"/>
        <v>#DIV/0!</v>
      </c>
      <c r="I15" s="22" t="str">
        <f t="shared" si="3"/>
        <v>#DIV/0!</v>
      </c>
      <c r="P15" s="22">
        <f t="shared" si="4"/>
        <v>50</v>
      </c>
      <c r="Q15" s="22"/>
      <c r="R15" s="22"/>
      <c r="S15" s="32" t="str">
        <f t="shared" ref="S15:T15" si="16">100*Q15/Q$30+S14</f>
        <v>#DIV/0!</v>
      </c>
      <c r="T15" s="32" t="str">
        <f t="shared" si="16"/>
        <v>#DIV/0!</v>
      </c>
    </row>
    <row r="16" ht="15.75" customHeight="1">
      <c r="A16" s="25"/>
      <c r="B16" s="22"/>
      <c r="C16" s="22">
        <f t="shared" si="6"/>
        <v>0</v>
      </c>
      <c r="D16" s="25"/>
      <c r="E16" s="22"/>
      <c r="F16" s="22" t="str">
        <f t="shared" si="8"/>
        <v>#DIV/0!</v>
      </c>
      <c r="I16" s="22" t="str">
        <f t="shared" si="3"/>
        <v>#DIV/0!</v>
      </c>
      <c r="P16" s="22">
        <f t="shared" si="4"/>
        <v>60</v>
      </c>
      <c r="Q16" s="22"/>
      <c r="R16" s="22"/>
      <c r="S16" s="32" t="str">
        <f t="shared" ref="S16:T16" si="17">100*Q16/Q$30+S15</f>
        <v>#DIV/0!</v>
      </c>
      <c r="T16" s="32" t="str">
        <f t="shared" si="17"/>
        <v>#DIV/0!</v>
      </c>
    </row>
    <row r="17" ht="15.75" customHeight="1">
      <c r="A17" s="25"/>
      <c r="B17" s="22"/>
      <c r="C17" s="22">
        <f t="shared" si="6"/>
        <v>0</v>
      </c>
      <c r="D17" s="25"/>
      <c r="E17" s="22"/>
      <c r="F17" s="22" t="str">
        <f t="shared" si="8"/>
        <v>#DIV/0!</v>
      </c>
      <c r="I17" s="22" t="str">
        <f t="shared" si="3"/>
        <v>#DIV/0!</v>
      </c>
      <c r="P17" s="22">
        <f t="shared" si="4"/>
        <v>70</v>
      </c>
      <c r="Q17" s="22"/>
      <c r="R17" s="22"/>
      <c r="S17" s="32" t="str">
        <f t="shared" ref="S17:T17" si="18">100*Q17/Q$30+S16</f>
        <v>#DIV/0!</v>
      </c>
      <c r="T17" s="32" t="str">
        <f t="shared" si="18"/>
        <v>#DIV/0!</v>
      </c>
    </row>
    <row r="18" ht="15.75" customHeight="1">
      <c r="A18" s="25"/>
      <c r="B18" s="22"/>
      <c r="C18" s="22">
        <f t="shared" si="6"/>
        <v>0</v>
      </c>
      <c r="D18" s="25"/>
      <c r="E18" s="22"/>
      <c r="F18" s="22" t="str">
        <f t="shared" si="8"/>
        <v>#DIV/0!</v>
      </c>
      <c r="I18" s="22" t="str">
        <f t="shared" si="3"/>
        <v>#DIV/0!</v>
      </c>
      <c r="P18" s="22">
        <f t="shared" si="4"/>
        <v>80</v>
      </c>
      <c r="Q18" s="22"/>
      <c r="R18" s="22"/>
      <c r="S18" s="32" t="str">
        <f t="shared" ref="S18:T18" si="19">100*Q18/Q$30+S17</f>
        <v>#DIV/0!</v>
      </c>
      <c r="T18" s="32" t="str">
        <f t="shared" si="19"/>
        <v>#DIV/0!</v>
      </c>
    </row>
    <row r="19" ht="15.75" customHeight="1">
      <c r="A19" s="25"/>
      <c r="B19" s="22"/>
      <c r="C19" s="22">
        <f t="shared" si="6"/>
        <v>0</v>
      </c>
      <c r="D19" s="25"/>
      <c r="E19" s="22"/>
      <c r="F19" s="22" t="str">
        <f t="shared" si="8"/>
        <v>#DIV/0!</v>
      </c>
      <c r="I19" s="22" t="str">
        <f t="shared" si="3"/>
        <v>#DIV/0!</v>
      </c>
      <c r="P19" s="22">
        <f t="shared" si="4"/>
        <v>90</v>
      </c>
      <c r="Q19" s="22"/>
      <c r="R19" s="22"/>
      <c r="S19" s="32" t="str">
        <f t="shared" ref="S19:T19" si="20">100*Q19/Q$30+S18</f>
        <v>#DIV/0!</v>
      </c>
      <c r="T19" s="32" t="str">
        <f t="shared" si="20"/>
        <v>#DIV/0!</v>
      </c>
    </row>
    <row r="20" ht="15.75" customHeight="1">
      <c r="A20" s="25"/>
      <c r="B20" s="22"/>
      <c r="C20" s="22">
        <f t="shared" si="6"/>
        <v>0</v>
      </c>
      <c r="D20" s="25"/>
      <c r="E20" s="22"/>
      <c r="F20" s="22" t="str">
        <f t="shared" si="8"/>
        <v>#DIV/0!</v>
      </c>
      <c r="I20" s="22" t="str">
        <f t="shared" si="3"/>
        <v>#DIV/0!</v>
      </c>
      <c r="P20" s="22">
        <f t="shared" si="4"/>
        <v>100</v>
      </c>
      <c r="Q20" s="22"/>
      <c r="R20" s="22"/>
      <c r="S20" s="32" t="str">
        <f t="shared" ref="S20:T20" si="21">100*Q20/Q$30+S19</f>
        <v>#DIV/0!</v>
      </c>
      <c r="T20" s="32" t="str">
        <f t="shared" si="21"/>
        <v>#DIV/0!</v>
      </c>
    </row>
    <row r="21" ht="15.75" customHeight="1">
      <c r="A21" s="25"/>
      <c r="B21" s="22"/>
      <c r="C21" s="22">
        <f t="shared" si="6"/>
        <v>0</v>
      </c>
      <c r="D21" s="25"/>
      <c r="E21" s="22"/>
      <c r="F21" s="22" t="str">
        <f t="shared" si="8"/>
        <v>#DIV/0!</v>
      </c>
      <c r="I21" s="22" t="str">
        <f t="shared" si="3"/>
        <v>#DIV/0!</v>
      </c>
      <c r="P21" s="22">
        <f t="shared" si="4"/>
        <v>110</v>
      </c>
      <c r="Q21" s="22"/>
      <c r="R21" s="22"/>
      <c r="S21" s="32" t="str">
        <f t="shared" ref="S21:T21" si="22">100*Q21/Q$30+S20</f>
        <v>#DIV/0!</v>
      </c>
      <c r="T21" s="32" t="str">
        <f t="shared" si="22"/>
        <v>#DIV/0!</v>
      </c>
    </row>
    <row r="22" ht="15.75" customHeight="1">
      <c r="A22" s="25"/>
      <c r="B22" s="22"/>
      <c r="C22" s="22">
        <f t="shared" si="6"/>
        <v>0</v>
      </c>
      <c r="D22" s="25"/>
      <c r="E22" s="22"/>
      <c r="F22" s="22" t="str">
        <f t="shared" si="8"/>
        <v>#DIV/0!</v>
      </c>
      <c r="I22" s="22" t="str">
        <f t="shared" si="3"/>
        <v>#DIV/0!</v>
      </c>
      <c r="P22" s="22">
        <f t="shared" si="4"/>
        <v>120</v>
      </c>
      <c r="Q22" s="22"/>
      <c r="R22" s="22"/>
      <c r="S22" s="32" t="str">
        <f t="shared" ref="S22:T22" si="23">100*Q22/Q$30+S21</f>
        <v>#DIV/0!</v>
      </c>
      <c r="T22" s="32" t="str">
        <f t="shared" si="23"/>
        <v>#DIV/0!</v>
      </c>
    </row>
    <row r="23" ht="15.75" customHeight="1">
      <c r="A23" s="25"/>
      <c r="B23" s="22"/>
      <c r="C23" s="22">
        <f t="shared" si="6"/>
        <v>0</v>
      </c>
      <c r="D23" s="25"/>
      <c r="E23" s="22"/>
      <c r="F23" s="22" t="str">
        <f t="shared" si="8"/>
        <v>#DIV/0!</v>
      </c>
      <c r="I23" s="22" t="str">
        <f t="shared" si="3"/>
        <v>#DIV/0!</v>
      </c>
      <c r="P23" s="22">
        <f t="shared" si="4"/>
        <v>130</v>
      </c>
      <c r="Q23" s="22"/>
      <c r="R23" s="22"/>
      <c r="S23" s="32" t="str">
        <f t="shared" ref="S23:T23" si="24">100*Q23/Q$30+S22</f>
        <v>#DIV/0!</v>
      </c>
      <c r="T23" s="32" t="str">
        <f t="shared" si="24"/>
        <v>#DIV/0!</v>
      </c>
    </row>
    <row r="24" ht="15.75" customHeight="1">
      <c r="A24" s="25"/>
      <c r="B24" s="22"/>
      <c r="C24" s="22">
        <f t="shared" si="6"/>
        <v>0</v>
      </c>
      <c r="D24" s="25"/>
      <c r="E24" s="22"/>
      <c r="F24" s="22" t="str">
        <f t="shared" si="8"/>
        <v>#DIV/0!</v>
      </c>
      <c r="I24" s="22" t="str">
        <f t="shared" si="3"/>
        <v>#DIV/0!</v>
      </c>
      <c r="P24" s="22">
        <f t="shared" si="4"/>
        <v>140</v>
      </c>
      <c r="Q24" s="22"/>
      <c r="R24" s="22"/>
      <c r="S24" s="32" t="str">
        <f t="shared" ref="S24:T24" si="25">100*Q24/Q$30+S23</f>
        <v>#DIV/0!</v>
      </c>
      <c r="T24" s="32" t="str">
        <f t="shared" si="25"/>
        <v>#DIV/0!</v>
      </c>
    </row>
    <row r="25" ht="15.75" customHeight="1">
      <c r="A25" s="25"/>
      <c r="B25" s="22"/>
      <c r="C25" s="22">
        <f t="shared" si="6"/>
        <v>0</v>
      </c>
      <c r="D25" s="25"/>
      <c r="E25" s="22"/>
      <c r="F25" s="22" t="str">
        <f t="shared" si="8"/>
        <v>#DIV/0!</v>
      </c>
      <c r="I25" s="22" t="str">
        <f t="shared" si="3"/>
        <v>#DIV/0!</v>
      </c>
      <c r="P25" s="22">
        <f t="shared" si="4"/>
        <v>150</v>
      </c>
      <c r="Q25" s="22"/>
      <c r="R25" s="22"/>
      <c r="S25" s="32" t="str">
        <f t="shared" ref="S25:T25" si="26">100*Q25/Q$30+S24</f>
        <v>#DIV/0!</v>
      </c>
      <c r="T25" s="32" t="str">
        <f t="shared" si="26"/>
        <v>#DIV/0!</v>
      </c>
    </row>
    <row r="26" ht="15.75" customHeight="1">
      <c r="A26" s="25"/>
      <c r="B26" s="22"/>
      <c r="C26" s="22">
        <f t="shared" si="6"/>
        <v>0</v>
      </c>
      <c r="D26" s="25"/>
      <c r="E26" s="22"/>
      <c r="F26" s="22" t="str">
        <f t="shared" si="8"/>
        <v>#DIV/0!</v>
      </c>
      <c r="I26" s="22" t="str">
        <f t="shared" si="3"/>
        <v>#DIV/0!</v>
      </c>
      <c r="P26" s="22">
        <f t="shared" si="4"/>
        <v>160</v>
      </c>
      <c r="Q26" s="22"/>
      <c r="R26" s="22"/>
      <c r="S26" s="32" t="str">
        <f t="shared" ref="S26:T26" si="27">100*Q26/Q$30+S25</f>
        <v>#DIV/0!</v>
      </c>
      <c r="T26" s="32" t="str">
        <f t="shared" si="27"/>
        <v>#DIV/0!</v>
      </c>
    </row>
    <row r="27" ht="15.75" customHeight="1">
      <c r="A27" s="25"/>
      <c r="B27" s="22"/>
      <c r="C27" s="22">
        <f t="shared" si="6"/>
        <v>0</v>
      </c>
      <c r="D27" s="25"/>
      <c r="E27" s="22"/>
      <c r="F27" s="22" t="str">
        <f t="shared" si="8"/>
        <v>#DIV/0!</v>
      </c>
      <c r="I27" s="22" t="str">
        <f t="shared" si="3"/>
        <v>#DIV/0!</v>
      </c>
      <c r="P27" s="22">
        <f t="shared" si="4"/>
        <v>170</v>
      </c>
      <c r="Q27" s="22"/>
      <c r="R27" s="22"/>
      <c r="S27" s="32" t="str">
        <f t="shared" ref="S27:T27" si="28">100*Q27/Q$30+S26</f>
        <v>#DIV/0!</v>
      </c>
      <c r="T27" s="32" t="str">
        <f t="shared" si="28"/>
        <v>#DIV/0!</v>
      </c>
    </row>
    <row r="28" ht="15.75" customHeight="1">
      <c r="A28" s="25"/>
      <c r="B28" s="22"/>
      <c r="C28" s="22">
        <f t="shared" si="6"/>
        <v>0</v>
      </c>
      <c r="D28" s="25"/>
      <c r="E28" s="22"/>
      <c r="F28" s="22" t="str">
        <f t="shared" si="8"/>
        <v>#DIV/0!</v>
      </c>
      <c r="I28" s="22" t="str">
        <f t="shared" si="3"/>
        <v>#DIV/0!</v>
      </c>
      <c r="P28" s="22">
        <f t="shared" si="4"/>
        <v>180</v>
      </c>
      <c r="Q28" s="22"/>
      <c r="R28" s="22"/>
      <c r="S28" s="32" t="str">
        <f t="shared" ref="S28:T28" si="29">100*Q28/Q$30+S27</f>
        <v>#DIV/0!</v>
      </c>
      <c r="T28" s="32" t="str">
        <f t="shared" si="29"/>
        <v>#DIV/0!</v>
      </c>
    </row>
    <row r="29" ht="15.75" customHeight="1">
      <c r="A29" s="25"/>
      <c r="B29" s="22"/>
      <c r="C29" s="22">
        <f t="shared" si="6"/>
        <v>0</v>
      </c>
      <c r="D29" s="25"/>
      <c r="E29" s="22"/>
      <c r="F29" s="22" t="str">
        <f t="shared" si="8"/>
        <v>#DIV/0!</v>
      </c>
      <c r="I29" s="22" t="str">
        <f t="shared" si="3"/>
        <v>#DIV/0!</v>
      </c>
      <c r="Q29" s="22"/>
      <c r="R29" s="22"/>
    </row>
    <row r="30" ht="15.75" customHeight="1">
      <c r="A30" s="25"/>
      <c r="B30" s="22"/>
      <c r="C30" s="22">
        <f t="shared" si="6"/>
        <v>0</v>
      </c>
      <c r="D30" s="25"/>
      <c r="E30" s="22"/>
      <c r="F30" s="22" t="str">
        <f t="shared" si="8"/>
        <v>#DIV/0!</v>
      </c>
      <c r="I30" s="22" t="str">
        <f t="shared" si="3"/>
        <v>#DIV/0!</v>
      </c>
      <c r="Q30" s="22">
        <f t="shared" ref="Q30:R30" si="30">SUM(Q5:Q29)</f>
        <v>0</v>
      </c>
      <c r="R30" s="22">
        <f t="shared" si="30"/>
        <v>0</v>
      </c>
      <c r="T30" s="22">
        <f>1.05^5</f>
        <v>1.276281563</v>
      </c>
      <c r="U30" s="22">
        <f>2/3*27+1/3*50</f>
        <v>34.66666667</v>
      </c>
      <c r="V30" s="22">
        <f>(100+U30)/100</f>
        <v>1.346666667</v>
      </c>
    </row>
    <row r="31" ht="15.75" customHeight="1">
      <c r="A31" s="25"/>
      <c r="B31" s="22"/>
      <c r="C31" s="22">
        <f t="shared" si="6"/>
        <v>0</v>
      </c>
      <c r="D31" s="25"/>
      <c r="E31" s="22"/>
      <c r="F31" s="22" t="str">
        <f t="shared" si="8"/>
        <v>#DIV/0!</v>
      </c>
      <c r="I31" s="22" t="str">
        <f t="shared" si="3"/>
        <v>#DIV/0!</v>
      </c>
      <c r="U31" s="22">
        <f>U30^0.2</f>
        <v>2.032274729</v>
      </c>
      <c r="V31" s="22">
        <f>V30^0.2-1</f>
        <v>0.06133386543</v>
      </c>
    </row>
    <row r="32" ht="15.75" customHeight="1">
      <c r="A32" s="25"/>
      <c r="B32" s="22"/>
      <c r="C32" s="22">
        <f t="shared" si="6"/>
        <v>0</v>
      </c>
      <c r="D32" s="25"/>
      <c r="E32" s="22"/>
      <c r="F32" s="22" t="str">
        <f t="shared" si="8"/>
        <v>#DIV/0!</v>
      </c>
      <c r="I32" s="22" t="str">
        <f t="shared" si="3"/>
        <v>#DIV/0!</v>
      </c>
      <c r="V32" s="22">
        <f>1.07^5</f>
        <v>1.402551731</v>
      </c>
    </row>
    <row r="33" ht="15.75" customHeight="1">
      <c r="A33" s="25"/>
      <c r="B33" s="22"/>
      <c r="C33" s="22">
        <f t="shared" si="6"/>
        <v>0</v>
      </c>
      <c r="D33" s="25"/>
      <c r="E33" s="22"/>
      <c r="F33" s="22" t="str">
        <f t="shared" si="8"/>
        <v>#DIV/0!</v>
      </c>
      <c r="I33" s="22" t="str">
        <f t="shared" si="3"/>
        <v>#DIV/0!</v>
      </c>
    </row>
    <row r="34" ht="15.75" customHeight="1">
      <c r="A34" s="25"/>
      <c r="B34" s="22"/>
      <c r="C34" s="22">
        <f t="shared" si="6"/>
        <v>0</v>
      </c>
      <c r="D34" s="25"/>
      <c r="E34" s="22"/>
      <c r="F34" s="22" t="str">
        <f t="shared" si="8"/>
        <v>#DIV/0!</v>
      </c>
      <c r="I34" s="22" t="str">
        <f t="shared" si="3"/>
        <v>#DIV/0!</v>
      </c>
    </row>
    <row r="35" ht="15.75" customHeight="1">
      <c r="A35" s="25"/>
      <c r="B35" s="22"/>
      <c r="C35" s="22">
        <f t="shared" si="6"/>
        <v>0</v>
      </c>
      <c r="D35" s="25"/>
      <c r="E35" s="22"/>
      <c r="F35" s="22" t="str">
        <f t="shared" si="8"/>
        <v>#DIV/0!</v>
      </c>
      <c r="I35" s="22" t="str">
        <f t="shared" si="3"/>
        <v>#DIV/0!</v>
      </c>
    </row>
    <row r="36" ht="15.75" customHeight="1">
      <c r="A36" s="25"/>
      <c r="B36" s="22"/>
      <c r="C36" s="22">
        <f t="shared" si="6"/>
        <v>0</v>
      </c>
      <c r="D36" s="25"/>
      <c r="E36" s="22"/>
      <c r="F36" s="22" t="str">
        <f t="shared" si="8"/>
        <v>#DIV/0!</v>
      </c>
      <c r="I36" s="22" t="str">
        <f t="shared" si="3"/>
        <v>#DIV/0!</v>
      </c>
    </row>
    <row r="37" ht="15.75" customHeight="1">
      <c r="A37" s="25"/>
      <c r="B37" s="22"/>
      <c r="C37" s="22">
        <f t="shared" si="6"/>
        <v>0</v>
      </c>
      <c r="D37" s="25"/>
      <c r="E37" s="22"/>
      <c r="F37" s="22" t="str">
        <f t="shared" si="8"/>
        <v>#DIV/0!</v>
      </c>
      <c r="I37" s="22" t="str">
        <f t="shared" si="3"/>
        <v>#DIV/0!</v>
      </c>
    </row>
    <row r="38" ht="15.75" customHeight="1">
      <c r="A38" s="25"/>
      <c r="B38" s="22"/>
      <c r="C38" s="22">
        <f t="shared" si="6"/>
        <v>0</v>
      </c>
      <c r="D38" s="25"/>
      <c r="E38" s="22"/>
      <c r="F38" s="22" t="str">
        <f t="shared" si="8"/>
        <v>#DIV/0!</v>
      </c>
      <c r="I38" s="22" t="str">
        <f t="shared" si="3"/>
        <v>#DIV/0!</v>
      </c>
    </row>
    <row r="39" ht="15.75" customHeight="1">
      <c r="A39" s="25"/>
      <c r="B39" s="22"/>
      <c r="C39" s="22">
        <f t="shared" si="6"/>
        <v>0</v>
      </c>
      <c r="D39" s="25"/>
      <c r="E39" s="22"/>
      <c r="F39" s="22" t="str">
        <f t="shared" si="8"/>
        <v>#DIV/0!</v>
      </c>
      <c r="I39" s="22" t="str">
        <f t="shared" si="3"/>
        <v>#DIV/0!</v>
      </c>
    </row>
    <row r="40" ht="15.75" customHeight="1">
      <c r="A40" s="25"/>
      <c r="B40" s="22"/>
      <c r="C40" s="22">
        <f t="shared" si="6"/>
        <v>0</v>
      </c>
      <c r="D40" s="25"/>
      <c r="E40" s="22"/>
      <c r="F40" s="22" t="str">
        <f t="shared" si="8"/>
        <v>#DIV/0!</v>
      </c>
      <c r="I40" s="22" t="str">
        <f t="shared" si="3"/>
        <v>#DIV/0!</v>
      </c>
    </row>
    <row r="41" ht="15.75" customHeight="1">
      <c r="A41" s="25"/>
      <c r="B41" s="22"/>
      <c r="C41" s="22">
        <f t="shared" si="6"/>
        <v>0</v>
      </c>
      <c r="D41" s="25"/>
      <c r="E41" s="22"/>
      <c r="F41" s="22" t="str">
        <f t="shared" si="8"/>
        <v>#DIV/0!</v>
      </c>
      <c r="I41" s="22" t="str">
        <f t="shared" si="3"/>
        <v>#DIV/0!</v>
      </c>
    </row>
    <row r="42" ht="15.75" customHeight="1">
      <c r="A42" s="25"/>
      <c r="B42" s="22"/>
      <c r="C42" s="22">
        <f t="shared" si="6"/>
        <v>0</v>
      </c>
      <c r="D42" s="25"/>
      <c r="E42" s="22"/>
      <c r="F42" s="22" t="str">
        <f t="shared" si="8"/>
        <v>#DIV/0!</v>
      </c>
      <c r="I42" s="22" t="str">
        <f t="shared" si="3"/>
        <v>#DIV/0!</v>
      </c>
    </row>
    <row r="43" ht="15.75" customHeight="1">
      <c r="A43" s="25"/>
      <c r="B43" s="22"/>
      <c r="C43" s="22">
        <f t="shared" si="6"/>
        <v>0</v>
      </c>
      <c r="D43" s="25"/>
      <c r="E43" s="22"/>
      <c r="F43" s="22" t="str">
        <f t="shared" si="8"/>
        <v>#DIV/0!</v>
      </c>
      <c r="I43" s="22" t="str">
        <f t="shared" si="3"/>
        <v>#DIV/0!</v>
      </c>
    </row>
    <row r="44" ht="15.75" customHeight="1">
      <c r="A44" s="25"/>
      <c r="B44" s="22"/>
      <c r="C44" s="22">
        <f t="shared" si="6"/>
        <v>0</v>
      </c>
      <c r="D44" s="25"/>
      <c r="E44" s="22"/>
      <c r="F44" s="22" t="str">
        <f t="shared" si="8"/>
        <v>#DIV/0!</v>
      </c>
      <c r="I44" s="22" t="str">
        <f t="shared" si="3"/>
        <v>#DIV/0!</v>
      </c>
    </row>
    <row r="45" ht="15.75" customHeight="1">
      <c r="A45" s="25"/>
      <c r="B45" s="22"/>
      <c r="C45" s="22">
        <f t="shared" si="6"/>
        <v>0</v>
      </c>
      <c r="D45" s="25"/>
      <c r="E45" s="22"/>
      <c r="F45" s="22" t="str">
        <f t="shared" si="8"/>
        <v>#DIV/0!</v>
      </c>
      <c r="I45" s="22" t="str">
        <f t="shared" si="3"/>
        <v>#DIV/0!</v>
      </c>
    </row>
    <row r="46" ht="15.75" customHeight="1">
      <c r="A46" s="25"/>
      <c r="B46" s="22"/>
      <c r="C46" s="22">
        <f t="shared" si="6"/>
        <v>0</v>
      </c>
      <c r="D46" s="25"/>
      <c r="E46" s="22"/>
      <c r="F46" s="22" t="str">
        <f t="shared" si="8"/>
        <v>#DIV/0!</v>
      </c>
      <c r="I46" s="22" t="str">
        <f t="shared" si="3"/>
        <v>#DIV/0!</v>
      </c>
    </row>
    <row r="47" ht="15.75" customHeight="1">
      <c r="A47" s="25"/>
      <c r="B47" s="22"/>
      <c r="C47" s="22">
        <f t="shared" si="6"/>
        <v>0</v>
      </c>
      <c r="D47" s="25"/>
      <c r="E47" s="22"/>
      <c r="F47" s="22" t="str">
        <f t="shared" si="8"/>
        <v>#DIV/0!</v>
      </c>
      <c r="I47" s="22" t="str">
        <f t="shared" si="3"/>
        <v>#DIV/0!</v>
      </c>
    </row>
    <row r="48" ht="15.75" customHeight="1">
      <c r="A48" s="25"/>
      <c r="B48" s="22"/>
      <c r="C48" s="22">
        <f t="shared" si="6"/>
        <v>0</v>
      </c>
      <c r="D48" s="25"/>
      <c r="E48" s="22"/>
      <c r="F48" s="22" t="str">
        <f t="shared" si="8"/>
        <v>#DIV/0!</v>
      </c>
      <c r="I48" s="22" t="str">
        <f t="shared" si="3"/>
        <v>#DIV/0!</v>
      </c>
    </row>
    <row r="49" ht="15.75" customHeight="1">
      <c r="A49" s="25"/>
      <c r="B49" s="22"/>
      <c r="C49" s="22">
        <f t="shared" si="6"/>
        <v>0</v>
      </c>
      <c r="D49" s="25"/>
      <c r="E49" s="22"/>
      <c r="F49" s="22" t="str">
        <f t="shared" si="8"/>
        <v>#DIV/0!</v>
      </c>
      <c r="I49" s="22" t="str">
        <f t="shared" si="3"/>
        <v>#DIV/0!</v>
      </c>
    </row>
    <row r="50" ht="15.75" customHeight="1">
      <c r="A50" s="25"/>
      <c r="B50" s="22"/>
      <c r="C50" s="22">
        <f t="shared" si="6"/>
        <v>0</v>
      </c>
      <c r="D50" s="25"/>
      <c r="E50" s="22"/>
      <c r="F50" s="22" t="str">
        <f t="shared" si="8"/>
        <v>#DIV/0!</v>
      </c>
      <c r="I50" s="22" t="str">
        <f t="shared" si="3"/>
        <v>#DIV/0!</v>
      </c>
    </row>
    <row r="51" ht="15.75" customHeight="1">
      <c r="A51" s="25"/>
      <c r="B51" s="22"/>
      <c r="C51" s="22">
        <f t="shared" si="6"/>
        <v>0</v>
      </c>
      <c r="D51" s="25"/>
      <c r="E51" s="22"/>
      <c r="F51" s="22" t="str">
        <f t="shared" si="8"/>
        <v>#DIV/0!</v>
      </c>
      <c r="I51" s="22" t="str">
        <f t="shared" si="3"/>
        <v>#DIV/0!</v>
      </c>
    </row>
    <row r="52" ht="15.75" customHeight="1">
      <c r="A52" s="25"/>
      <c r="B52" s="22"/>
      <c r="C52" s="22">
        <f t="shared" si="6"/>
        <v>0</v>
      </c>
      <c r="D52" s="25"/>
      <c r="E52" s="22"/>
      <c r="F52" s="22" t="str">
        <f t="shared" si="8"/>
        <v>#DIV/0!</v>
      </c>
      <c r="I52" s="22" t="str">
        <f t="shared" si="3"/>
        <v>#DIV/0!</v>
      </c>
    </row>
    <row r="53" ht="15.75" customHeight="1">
      <c r="A53" s="25"/>
      <c r="B53" s="22"/>
      <c r="C53" s="22">
        <f t="shared" si="6"/>
        <v>0</v>
      </c>
      <c r="D53" s="25"/>
      <c r="E53" s="22"/>
      <c r="F53" s="22" t="str">
        <f t="shared" si="8"/>
        <v>#DIV/0!</v>
      </c>
      <c r="I53" s="22" t="str">
        <f t="shared" si="3"/>
        <v>#DIV/0!</v>
      </c>
    </row>
    <row r="54" ht="15.75" customHeight="1">
      <c r="A54" s="25"/>
      <c r="B54" s="22"/>
      <c r="C54" s="22">
        <f t="shared" si="6"/>
        <v>0</v>
      </c>
      <c r="D54" s="25"/>
      <c r="E54" s="22"/>
      <c r="F54" s="22" t="str">
        <f t="shared" si="8"/>
        <v>#DIV/0!</v>
      </c>
      <c r="I54" s="22" t="str">
        <f t="shared" si="3"/>
        <v>#DIV/0!</v>
      </c>
    </row>
    <row r="55" ht="15.75" customHeight="1">
      <c r="A55" s="25"/>
      <c r="B55" s="22"/>
      <c r="C55" s="22">
        <f t="shared" si="6"/>
        <v>0</v>
      </c>
      <c r="D55" s="25"/>
      <c r="E55" s="22"/>
      <c r="F55" s="22" t="str">
        <f t="shared" si="8"/>
        <v>#DIV/0!</v>
      </c>
      <c r="I55" s="22" t="str">
        <f t="shared" si="3"/>
        <v>#DIV/0!</v>
      </c>
    </row>
    <row r="56" ht="15.75" customHeight="1">
      <c r="A56" s="25"/>
      <c r="B56" s="22"/>
      <c r="C56" s="22">
        <f t="shared" si="6"/>
        <v>0</v>
      </c>
      <c r="D56" s="25"/>
      <c r="E56" s="22"/>
      <c r="F56" s="22" t="str">
        <f t="shared" si="8"/>
        <v>#DIV/0!</v>
      </c>
      <c r="I56" s="22" t="str">
        <f t="shared" si="3"/>
        <v>#DIV/0!</v>
      </c>
    </row>
    <row r="57" ht="15.75" customHeight="1">
      <c r="A57" s="25"/>
      <c r="B57" s="22"/>
      <c r="C57" s="22">
        <f t="shared" si="6"/>
        <v>0</v>
      </c>
      <c r="D57" s="25"/>
      <c r="E57" s="22"/>
      <c r="F57" s="22" t="str">
        <f t="shared" si="8"/>
        <v>#DIV/0!</v>
      </c>
      <c r="I57" s="22" t="str">
        <f t="shared" si="3"/>
        <v>#DIV/0!</v>
      </c>
    </row>
    <row r="58" ht="15.75" customHeight="1">
      <c r="A58" s="25"/>
      <c r="B58" s="22"/>
      <c r="C58" s="22">
        <f t="shared" si="6"/>
        <v>0</v>
      </c>
      <c r="D58" s="25"/>
      <c r="E58" s="22"/>
      <c r="F58" s="22" t="str">
        <f t="shared" si="8"/>
        <v>#DIV/0!</v>
      </c>
      <c r="I58" s="22" t="str">
        <f t="shared" si="3"/>
        <v>#DIV/0!</v>
      </c>
    </row>
    <row r="59" ht="15.75" customHeight="1">
      <c r="A59" s="25"/>
      <c r="B59" s="22"/>
      <c r="C59" s="22">
        <f t="shared" si="6"/>
        <v>0</v>
      </c>
      <c r="D59" s="25"/>
      <c r="E59" s="22"/>
      <c r="F59" s="22" t="str">
        <f t="shared" si="8"/>
        <v>#DIV/0!</v>
      </c>
      <c r="I59" s="22" t="str">
        <f t="shared" si="3"/>
        <v>#DIV/0!</v>
      </c>
    </row>
    <row r="60" ht="15.75" customHeight="1">
      <c r="A60" s="25"/>
      <c r="B60" s="22"/>
      <c r="C60" s="22">
        <f t="shared" si="6"/>
        <v>0</v>
      </c>
      <c r="D60" s="25"/>
      <c r="E60" s="22"/>
      <c r="F60" s="22" t="str">
        <f t="shared" si="8"/>
        <v>#DIV/0!</v>
      </c>
      <c r="I60" s="22" t="str">
        <f t="shared" si="3"/>
        <v>#DIV/0!</v>
      </c>
    </row>
    <row r="61" ht="15.75" customHeight="1">
      <c r="A61" s="25"/>
      <c r="B61" s="22"/>
      <c r="C61" s="22">
        <f t="shared" si="6"/>
        <v>0</v>
      </c>
      <c r="D61" s="25"/>
      <c r="E61" s="22"/>
      <c r="F61" s="22" t="str">
        <f t="shared" si="8"/>
        <v>#DIV/0!</v>
      </c>
      <c r="I61" s="22" t="str">
        <f t="shared" si="3"/>
        <v>#DIV/0!</v>
      </c>
    </row>
    <row r="62" ht="15.75" customHeight="1">
      <c r="A62" s="25"/>
      <c r="B62" s="22"/>
      <c r="C62" s="22">
        <f t="shared" si="6"/>
        <v>0</v>
      </c>
      <c r="D62" s="25"/>
      <c r="E62" s="22"/>
      <c r="F62" s="22" t="str">
        <f t="shared" si="8"/>
        <v>#DIV/0!</v>
      </c>
      <c r="I62" s="22" t="str">
        <f t="shared" si="3"/>
        <v>#DIV/0!</v>
      </c>
    </row>
    <row r="63" ht="15.75" customHeight="1">
      <c r="A63" s="25"/>
      <c r="B63" s="22"/>
      <c r="C63" s="22">
        <f t="shared" si="6"/>
        <v>0</v>
      </c>
      <c r="D63" s="25"/>
      <c r="E63" s="22"/>
      <c r="F63" s="22" t="str">
        <f t="shared" si="8"/>
        <v>#DIV/0!</v>
      </c>
      <c r="I63" s="22" t="str">
        <f t="shared" si="3"/>
        <v>#DIV/0!</v>
      </c>
    </row>
    <row r="64" ht="15.75" customHeight="1">
      <c r="A64" s="25"/>
      <c r="B64" s="22"/>
      <c r="C64" s="22">
        <f t="shared" si="6"/>
        <v>0</v>
      </c>
      <c r="D64" s="25"/>
      <c r="E64" s="22"/>
      <c r="F64" s="22" t="str">
        <f t="shared" si="8"/>
        <v>#DIV/0!</v>
      </c>
      <c r="I64" s="22" t="str">
        <f t="shared" si="3"/>
        <v>#DIV/0!</v>
      </c>
    </row>
    <row r="65" ht="15.75" customHeight="1">
      <c r="A65" s="25"/>
      <c r="B65" s="22"/>
      <c r="C65" s="22">
        <f t="shared" si="6"/>
        <v>0</v>
      </c>
      <c r="D65" s="25"/>
      <c r="E65" s="22"/>
      <c r="F65" s="22" t="str">
        <f t="shared" si="8"/>
        <v>#DIV/0!</v>
      </c>
      <c r="I65" s="22" t="str">
        <f t="shared" si="3"/>
        <v>#DIV/0!</v>
      </c>
    </row>
    <row r="66" ht="15.75" customHeight="1">
      <c r="A66" s="25"/>
      <c r="B66" s="22"/>
      <c r="C66" s="22">
        <f t="shared" si="6"/>
        <v>0</v>
      </c>
      <c r="D66" s="25"/>
      <c r="E66" s="22"/>
      <c r="F66" s="22" t="str">
        <f t="shared" si="8"/>
        <v>#DIV/0!</v>
      </c>
      <c r="I66" s="22" t="str">
        <f t="shared" si="3"/>
        <v>#DIV/0!</v>
      </c>
    </row>
    <row r="67" ht="15.75" customHeight="1">
      <c r="A67" s="25"/>
      <c r="B67" s="22"/>
      <c r="C67" s="22">
        <f t="shared" si="6"/>
        <v>0</v>
      </c>
      <c r="D67" s="25"/>
      <c r="E67" s="22"/>
      <c r="F67" s="22" t="str">
        <f t="shared" si="8"/>
        <v>#DIV/0!</v>
      </c>
      <c r="I67" s="22" t="str">
        <f t="shared" si="3"/>
        <v>#DIV/0!</v>
      </c>
    </row>
    <row r="68" ht="15.75" customHeight="1">
      <c r="A68" s="25"/>
      <c r="B68" s="22"/>
      <c r="C68" s="22">
        <f t="shared" si="6"/>
        <v>0</v>
      </c>
      <c r="D68" s="25"/>
      <c r="E68" s="22"/>
      <c r="F68" s="22" t="str">
        <f t="shared" si="8"/>
        <v>#DIV/0!</v>
      </c>
      <c r="I68" s="22" t="str">
        <f t="shared" si="3"/>
        <v>#DIV/0!</v>
      </c>
    </row>
    <row r="69" ht="15.75" customHeight="1">
      <c r="A69" s="25"/>
      <c r="B69" s="22"/>
      <c r="C69" s="22">
        <f t="shared" si="6"/>
        <v>0</v>
      </c>
      <c r="D69" s="25"/>
      <c r="E69" s="22"/>
      <c r="F69" s="22" t="str">
        <f t="shared" si="8"/>
        <v>#DIV/0!</v>
      </c>
      <c r="I69" s="22" t="str">
        <f t="shared" si="3"/>
        <v>#DIV/0!</v>
      </c>
    </row>
    <row r="70" ht="15.75" customHeight="1">
      <c r="A70" s="25"/>
      <c r="B70" s="22"/>
      <c r="C70" s="22">
        <f t="shared" si="6"/>
        <v>0</v>
      </c>
      <c r="D70" s="25"/>
      <c r="E70" s="22"/>
      <c r="F70" s="22" t="str">
        <f t="shared" si="8"/>
        <v>#DIV/0!</v>
      </c>
      <c r="I70" s="22" t="str">
        <f t="shared" si="3"/>
        <v>#DIV/0!</v>
      </c>
    </row>
    <row r="71" ht="15.75" customHeight="1">
      <c r="A71" s="25"/>
      <c r="B71" s="22"/>
      <c r="C71" s="22">
        <f t="shared" si="6"/>
        <v>0</v>
      </c>
      <c r="D71" s="25"/>
      <c r="E71" s="22"/>
      <c r="F71" s="22" t="str">
        <f t="shared" si="8"/>
        <v>#DIV/0!</v>
      </c>
      <c r="I71" s="22" t="str">
        <f t="shared" si="3"/>
        <v>#DIV/0!</v>
      </c>
    </row>
    <row r="72" ht="15.75" customHeight="1">
      <c r="A72" s="25"/>
      <c r="B72" s="22"/>
      <c r="C72" s="22">
        <f t="shared" si="6"/>
        <v>0</v>
      </c>
      <c r="D72" s="25"/>
      <c r="E72" s="22"/>
      <c r="F72" s="22" t="str">
        <f t="shared" si="8"/>
        <v>#DIV/0!</v>
      </c>
      <c r="I72" s="22" t="str">
        <f t="shared" si="3"/>
        <v>#DIV/0!</v>
      </c>
    </row>
    <row r="73" ht="15.75" customHeight="1">
      <c r="A73" s="25"/>
      <c r="B73" s="22"/>
      <c r="C73" s="22">
        <f t="shared" si="6"/>
        <v>0</v>
      </c>
      <c r="D73" s="25"/>
      <c r="E73" s="22"/>
      <c r="F73" s="22" t="str">
        <f t="shared" si="8"/>
        <v>#DIV/0!</v>
      </c>
      <c r="I73" s="22" t="str">
        <f t="shared" si="3"/>
        <v>#DIV/0!</v>
      </c>
    </row>
    <row r="74" ht="15.75" customHeight="1">
      <c r="A74" s="25"/>
      <c r="B74" s="22"/>
      <c r="C74" s="22">
        <f t="shared" si="6"/>
        <v>0</v>
      </c>
      <c r="D74" s="25"/>
      <c r="E74" s="22"/>
      <c r="F74" s="22" t="str">
        <f t="shared" si="8"/>
        <v>#DIV/0!</v>
      </c>
      <c r="I74" s="22" t="str">
        <f t="shared" si="3"/>
        <v>#DIV/0!</v>
      </c>
    </row>
    <row r="75" ht="15.75" customHeight="1">
      <c r="A75" s="25"/>
      <c r="B75" s="22"/>
      <c r="C75" s="22">
        <f t="shared" si="6"/>
        <v>0</v>
      </c>
      <c r="D75" s="25"/>
      <c r="E75" s="22"/>
      <c r="F75" s="22" t="str">
        <f t="shared" si="8"/>
        <v>#DIV/0!</v>
      </c>
      <c r="I75" s="22" t="str">
        <f t="shared" si="3"/>
        <v>#DIV/0!</v>
      </c>
    </row>
    <row r="76" ht="15.75" customHeight="1">
      <c r="A76" s="25"/>
      <c r="B76" s="22"/>
      <c r="C76" s="22">
        <f t="shared" si="6"/>
        <v>0</v>
      </c>
      <c r="D76" s="25"/>
      <c r="E76" s="22"/>
      <c r="F76" s="22" t="str">
        <f t="shared" si="8"/>
        <v>#DIV/0!</v>
      </c>
      <c r="I76" s="22" t="str">
        <f t="shared" si="3"/>
        <v>#DIV/0!</v>
      </c>
    </row>
    <row r="77" ht="15.75" customHeight="1">
      <c r="A77" s="25"/>
      <c r="B77" s="22"/>
      <c r="C77" s="22">
        <f t="shared" si="6"/>
        <v>0</v>
      </c>
      <c r="D77" s="25"/>
      <c r="E77" s="22"/>
      <c r="F77" s="22" t="str">
        <f t="shared" si="8"/>
        <v>#DIV/0!</v>
      </c>
      <c r="I77" s="22" t="str">
        <f t="shared" si="3"/>
        <v>#DIV/0!</v>
      </c>
    </row>
    <row r="78" ht="15.75" customHeight="1">
      <c r="A78" s="25"/>
      <c r="B78" s="22"/>
      <c r="C78" s="22">
        <f t="shared" si="6"/>
        <v>0</v>
      </c>
      <c r="D78" s="25"/>
      <c r="E78" s="22"/>
      <c r="F78" s="22" t="str">
        <f t="shared" si="8"/>
        <v>#DIV/0!</v>
      </c>
      <c r="I78" s="22" t="str">
        <f t="shared" si="3"/>
        <v>#DIV/0!</v>
      </c>
    </row>
    <row r="79" ht="15.75" customHeight="1">
      <c r="A79" s="25"/>
      <c r="B79" s="22"/>
      <c r="C79" s="22">
        <f t="shared" si="6"/>
        <v>0</v>
      </c>
      <c r="D79" s="25"/>
      <c r="E79" s="22"/>
      <c r="F79" s="22" t="str">
        <f t="shared" si="8"/>
        <v>#DIV/0!</v>
      </c>
      <c r="I79" s="22" t="str">
        <f t="shared" si="3"/>
        <v>#DIV/0!</v>
      </c>
    </row>
    <row r="80" ht="15.75" customHeight="1">
      <c r="A80" s="25"/>
      <c r="B80" s="22"/>
      <c r="C80" s="22">
        <f t="shared" si="6"/>
        <v>0</v>
      </c>
      <c r="D80" s="25"/>
      <c r="E80" s="22"/>
      <c r="F80" s="22" t="str">
        <f t="shared" si="8"/>
        <v>#DIV/0!</v>
      </c>
      <c r="I80" s="22" t="str">
        <f t="shared" si="3"/>
        <v>#DIV/0!</v>
      </c>
    </row>
    <row r="81" ht="15.75" customHeight="1">
      <c r="A81" s="25"/>
      <c r="B81" s="22"/>
      <c r="C81" s="22">
        <f t="shared" si="6"/>
        <v>0</v>
      </c>
      <c r="D81" s="25"/>
      <c r="E81" s="22"/>
      <c r="F81" s="22" t="str">
        <f t="shared" si="8"/>
        <v>#DIV/0!</v>
      </c>
      <c r="I81" s="22" t="str">
        <f t="shared" si="3"/>
        <v>#DIV/0!</v>
      </c>
    </row>
    <row r="82" ht="15.75" customHeight="1">
      <c r="A82" s="25"/>
      <c r="B82" s="22"/>
      <c r="C82" s="22">
        <f t="shared" si="6"/>
        <v>0</v>
      </c>
      <c r="D82" s="25"/>
      <c r="E82" s="22"/>
      <c r="F82" s="22" t="str">
        <f t="shared" si="8"/>
        <v>#DIV/0!</v>
      </c>
      <c r="I82" s="22" t="str">
        <f t="shared" si="3"/>
        <v>#DIV/0!</v>
      </c>
    </row>
    <row r="83" ht="15.75" customHeight="1">
      <c r="A83" s="25"/>
      <c r="B83" s="22"/>
      <c r="C83" s="22">
        <f t="shared" si="6"/>
        <v>0</v>
      </c>
      <c r="D83" s="25"/>
      <c r="E83" s="22"/>
      <c r="F83" s="22" t="str">
        <f t="shared" si="8"/>
        <v>#DIV/0!</v>
      </c>
      <c r="I83" s="22" t="str">
        <f t="shared" si="3"/>
        <v>#DIV/0!</v>
      </c>
    </row>
    <row r="84" ht="15.75" customHeight="1">
      <c r="A84" s="25"/>
      <c r="B84" s="22"/>
      <c r="C84" s="22">
        <f t="shared" si="6"/>
        <v>0</v>
      </c>
      <c r="D84" s="25"/>
      <c r="E84" s="22"/>
      <c r="F84" s="22" t="str">
        <f t="shared" si="8"/>
        <v>#DIV/0!</v>
      </c>
      <c r="I84" s="22" t="str">
        <f t="shared" si="3"/>
        <v>#DIV/0!</v>
      </c>
    </row>
    <row r="85" ht="15.75" customHeight="1">
      <c r="A85" s="25"/>
      <c r="B85" s="22"/>
      <c r="C85" s="22">
        <f t="shared" si="6"/>
        <v>0</v>
      </c>
      <c r="D85" s="25"/>
      <c r="E85" s="22"/>
      <c r="F85" s="22" t="str">
        <f t="shared" si="8"/>
        <v>#DIV/0!</v>
      </c>
      <c r="I85" s="22" t="str">
        <f t="shared" si="3"/>
        <v>#DIV/0!</v>
      </c>
    </row>
    <row r="86" ht="15.75" customHeight="1">
      <c r="A86" s="25"/>
      <c r="B86" s="22"/>
      <c r="C86" s="22">
        <f t="shared" si="6"/>
        <v>0</v>
      </c>
      <c r="D86" s="25"/>
      <c r="E86" s="22"/>
      <c r="F86" s="22" t="str">
        <f t="shared" si="8"/>
        <v>#DIV/0!</v>
      </c>
      <c r="I86" s="22" t="str">
        <f t="shared" si="3"/>
        <v>#DIV/0!</v>
      </c>
    </row>
    <row r="87" ht="15.75" customHeight="1">
      <c r="A87" s="25"/>
      <c r="B87" s="22"/>
      <c r="C87" s="22">
        <f t="shared" si="6"/>
        <v>0</v>
      </c>
      <c r="D87" s="25"/>
      <c r="E87" s="22"/>
      <c r="F87" s="22" t="str">
        <f t="shared" si="8"/>
        <v>#DIV/0!</v>
      </c>
      <c r="I87" s="22" t="str">
        <f t="shared" si="3"/>
        <v>#DIV/0!</v>
      </c>
    </row>
    <row r="88" ht="15.75" customHeight="1">
      <c r="A88" s="25"/>
      <c r="B88" s="22"/>
      <c r="C88" s="22">
        <f t="shared" si="6"/>
        <v>0</v>
      </c>
      <c r="D88" s="25"/>
      <c r="E88" s="22"/>
      <c r="F88" s="22" t="str">
        <f t="shared" si="8"/>
        <v>#DIV/0!</v>
      </c>
      <c r="I88" s="22" t="str">
        <f t="shared" si="3"/>
        <v>#DIV/0!</v>
      </c>
    </row>
    <row r="89" ht="15.75" customHeight="1">
      <c r="A89" s="25"/>
      <c r="B89" s="22"/>
      <c r="C89" s="22">
        <f t="shared" si="6"/>
        <v>0</v>
      </c>
      <c r="D89" s="25"/>
      <c r="E89" s="22"/>
      <c r="F89" s="22" t="str">
        <f t="shared" si="8"/>
        <v>#DIV/0!</v>
      </c>
      <c r="I89" s="22" t="str">
        <f t="shared" si="3"/>
        <v>#DIV/0!</v>
      </c>
    </row>
    <row r="90" ht="15.75" customHeight="1">
      <c r="A90" s="25"/>
      <c r="B90" s="22"/>
      <c r="C90" s="22">
        <f t="shared" si="6"/>
        <v>0</v>
      </c>
      <c r="D90" s="25"/>
      <c r="E90" s="22"/>
      <c r="F90" s="22" t="str">
        <f t="shared" si="8"/>
        <v>#DIV/0!</v>
      </c>
      <c r="I90" s="22" t="str">
        <f t="shared" si="3"/>
        <v>#DIV/0!</v>
      </c>
    </row>
    <row r="91" ht="15.75" customHeight="1">
      <c r="A91" s="25"/>
      <c r="B91" s="22"/>
      <c r="C91" s="22">
        <f t="shared" si="6"/>
        <v>0</v>
      </c>
      <c r="D91" s="25"/>
      <c r="E91" s="22"/>
      <c r="F91" s="22" t="str">
        <f t="shared" si="8"/>
        <v>#DIV/0!</v>
      </c>
      <c r="I91" s="22" t="str">
        <f t="shared" si="3"/>
        <v>#DIV/0!</v>
      </c>
    </row>
    <row r="92" ht="15.75" customHeight="1">
      <c r="A92" s="25"/>
      <c r="B92" s="22"/>
      <c r="C92" s="22">
        <f t="shared" si="6"/>
        <v>0</v>
      </c>
      <c r="D92" s="25"/>
      <c r="E92" s="22"/>
      <c r="F92" s="22" t="str">
        <f t="shared" si="8"/>
        <v>#DIV/0!</v>
      </c>
      <c r="I92" s="22" t="str">
        <f t="shared" si="3"/>
        <v>#DIV/0!</v>
      </c>
    </row>
    <row r="93" ht="15.75" customHeight="1">
      <c r="A93" s="25"/>
      <c r="B93" s="22"/>
      <c r="C93" s="22">
        <f t="shared" si="6"/>
        <v>0</v>
      </c>
      <c r="D93" s="25"/>
      <c r="E93" s="22"/>
      <c r="F93" s="22" t="str">
        <f t="shared" si="8"/>
        <v>#DIV/0!</v>
      </c>
      <c r="I93" s="22" t="str">
        <f t="shared" si="3"/>
        <v>#DIV/0!</v>
      </c>
    </row>
    <row r="94" ht="15.75" customHeight="1">
      <c r="A94" s="25"/>
      <c r="B94" s="22"/>
      <c r="C94" s="22">
        <f t="shared" si="6"/>
        <v>0</v>
      </c>
      <c r="D94" s="25"/>
      <c r="E94" s="22"/>
      <c r="F94" s="22" t="str">
        <f t="shared" si="8"/>
        <v>#DIV/0!</v>
      </c>
      <c r="I94" s="22" t="str">
        <f t="shared" si="3"/>
        <v>#DIV/0!</v>
      </c>
    </row>
    <row r="95" ht="15.75" customHeight="1">
      <c r="A95" s="25"/>
      <c r="B95" s="22"/>
      <c r="C95" s="22">
        <f t="shared" si="6"/>
        <v>0</v>
      </c>
      <c r="D95" s="25"/>
      <c r="E95" s="22"/>
      <c r="F95" s="22" t="str">
        <f t="shared" si="8"/>
        <v>#DIV/0!</v>
      </c>
      <c r="I95" s="22" t="str">
        <f t="shared" si="3"/>
        <v>#DIV/0!</v>
      </c>
    </row>
    <row r="96" ht="15.75" customHeight="1">
      <c r="A96" s="25"/>
      <c r="B96" s="22"/>
      <c r="C96" s="22">
        <f t="shared" si="6"/>
        <v>0</v>
      </c>
      <c r="D96" s="25"/>
      <c r="E96" s="22"/>
      <c r="F96" s="22" t="str">
        <f t="shared" si="8"/>
        <v>#DIV/0!</v>
      </c>
      <c r="I96" s="22" t="str">
        <f t="shared" si="3"/>
        <v>#DIV/0!</v>
      </c>
    </row>
    <row r="97" ht="15.75" customHeight="1">
      <c r="A97" s="25"/>
      <c r="B97" s="22"/>
      <c r="C97" s="22">
        <f t="shared" si="6"/>
        <v>0</v>
      </c>
      <c r="D97" s="25"/>
      <c r="E97" s="22"/>
      <c r="F97" s="22" t="str">
        <f t="shared" si="8"/>
        <v>#DIV/0!</v>
      </c>
      <c r="I97" s="22" t="str">
        <f t="shared" si="3"/>
        <v>#DIV/0!</v>
      </c>
    </row>
    <row r="98" ht="15.75" customHeight="1">
      <c r="A98" s="25"/>
      <c r="B98" s="22"/>
      <c r="C98" s="22">
        <f t="shared" si="6"/>
        <v>0</v>
      </c>
      <c r="D98" s="25"/>
      <c r="E98" s="22"/>
      <c r="F98" s="22" t="str">
        <f t="shared" si="8"/>
        <v>#DIV/0!</v>
      </c>
      <c r="I98" s="22" t="str">
        <f t="shared" si="3"/>
        <v>#DIV/0!</v>
      </c>
    </row>
    <row r="99" ht="15.75" customHeight="1">
      <c r="A99" s="25"/>
      <c r="B99" s="22"/>
      <c r="C99" s="22">
        <f t="shared" si="6"/>
        <v>0</v>
      </c>
      <c r="D99" s="25"/>
      <c r="E99" s="22"/>
      <c r="F99" s="22" t="str">
        <f t="shared" si="8"/>
        <v>#DIV/0!</v>
      </c>
      <c r="I99" s="22" t="str">
        <f t="shared" si="3"/>
        <v>#DIV/0!</v>
      </c>
    </row>
    <row r="100" ht="15.75" customHeight="1">
      <c r="A100" s="25"/>
      <c r="B100" s="22"/>
      <c r="C100" s="22">
        <f t="shared" si="6"/>
        <v>0</v>
      </c>
      <c r="D100" s="25"/>
      <c r="E100" s="22"/>
      <c r="F100" s="22" t="str">
        <f t="shared" si="8"/>
        <v>#DIV/0!</v>
      </c>
      <c r="I100" s="22" t="str">
        <f t="shared" si="3"/>
        <v>#DIV/0!</v>
      </c>
    </row>
    <row r="101" ht="15.75" customHeight="1">
      <c r="A101" s="25"/>
      <c r="B101" s="22"/>
      <c r="C101" s="22">
        <f t="shared" si="6"/>
        <v>0</v>
      </c>
      <c r="D101" s="25"/>
      <c r="E101" s="22"/>
      <c r="F101" s="22" t="str">
        <f t="shared" si="8"/>
        <v>#DIV/0!</v>
      </c>
      <c r="I101" s="22" t="str">
        <f t="shared" si="3"/>
        <v>#DIV/0!</v>
      </c>
    </row>
    <row r="102" ht="15.75" customHeight="1">
      <c r="A102" s="25"/>
      <c r="B102" s="22"/>
      <c r="C102" s="22">
        <f t="shared" si="6"/>
        <v>0</v>
      </c>
      <c r="D102" s="25"/>
      <c r="E102" s="22"/>
      <c r="F102" s="22" t="str">
        <f t="shared" si="8"/>
        <v>#DIV/0!</v>
      </c>
      <c r="I102" s="22" t="str">
        <f t="shared" si="3"/>
        <v>#DIV/0!</v>
      </c>
    </row>
    <row r="103" ht="15.75" customHeight="1">
      <c r="A103" s="25"/>
      <c r="B103" s="22"/>
      <c r="C103" s="22">
        <f t="shared" si="6"/>
        <v>0</v>
      </c>
      <c r="D103" s="25"/>
      <c r="E103" s="22"/>
      <c r="F103" s="22" t="str">
        <f t="shared" si="8"/>
        <v>#DIV/0!</v>
      </c>
      <c r="I103" s="22" t="str">
        <f t="shared" si="3"/>
        <v>#DIV/0!</v>
      </c>
    </row>
    <row r="104" ht="15.75" customHeight="1">
      <c r="A104" s="25"/>
      <c r="B104" s="22"/>
      <c r="C104" s="22">
        <f t="shared" si="6"/>
        <v>0</v>
      </c>
      <c r="D104" s="25"/>
      <c r="E104" s="22"/>
      <c r="F104" s="22" t="str">
        <f t="shared" si="8"/>
        <v>#DIV/0!</v>
      </c>
      <c r="I104" s="22" t="str">
        <f t="shared" si="3"/>
        <v>#DIV/0!</v>
      </c>
    </row>
    <row r="105" ht="15.75" customHeight="1">
      <c r="A105" s="25"/>
      <c r="B105" s="22"/>
      <c r="C105" s="22">
        <f t="shared" si="6"/>
        <v>0</v>
      </c>
      <c r="D105" s="25"/>
      <c r="E105" s="22"/>
      <c r="F105" s="22" t="str">
        <f t="shared" si="8"/>
        <v>#DIV/0!</v>
      </c>
      <c r="I105" s="22" t="str">
        <f t="shared" si="3"/>
        <v>#DIV/0!</v>
      </c>
    </row>
    <row r="106" ht="15.75" customHeight="1">
      <c r="A106" s="25"/>
      <c r="B106" s="22"/>
      <c r="C106" s="22">
        <f t="shared" si="6"/>
        <v>0</v>
      </c>
      <c r="D106" s="25"/>
      <c r="E106" s="22"/>
      <c r="F106" s="22" t="str">
        <f t="shared" si="8"/>
        <v>#DIV/0!</v>
      </c>
      <c r="I106" s="22" t="str">
        <f t="shared" si="3"/>
        <v>#DIV/0!</v>
      </c>
    </row>
    <row r="107" ht="15.75" customHeight="1">
      <c r="A107" s="25"/>
      <c r="B107" s="22"/>
      <c r="C107" s="22">
        <f t="shared" si="6"/>
        <v>0</v>
      </c>
      <c r="D107" s="25"/>
      <c r="E107" s="22"/>
      <c r="F107" s="22" t="str">
        <f t="shared" si="8"/>
        <v>#DIV/0!</v>
      </c>
      <c r="I107" s="22" t="str">
        <f t="shared" si="3"/>
        <v>#DIV/0!</v>
      </c>
    </row>
    <row r="108" ht="15.75" customHeight="1">
      <c r="A108" s="25"/>
      <c r="B108" s="22"/>
      <c r="C108" s="22">
        <f t="shared" si="6"/>
        <v>0</v>
      </c>
      <c r="D108" s="25"/>
      <c r="E108" s="22"/>
      <c r="F108" s="22" t="str">
        <f t="shared" si="8"/>
        <v>#DIV/0!</v>
      </c>
      <c r="I108" s="22" t="str">
        <f t="shared" si="3"/>
        <v>#DIV/0!</v>
      </c>
    </row>
    <row r="109" ht="15.75" customHeight="1">
      <c r="A109" s="25"/>
      <c r="B109" s="22"/>
      <c r="C109" s="22">
        <f t="shared" si="6"/>
        <v>0</v>
      </c>
      <c r="D109" s="25"/>
      <c r="E109" s="22"/>
      <c r="F109" s="22" t="str">
        <f t="shared" si="8"/>
        <v>#DIV/0!</v>
      </c>
      <c r="I109" s="22" t="str">
        <f t="shared" si="3"/>
        <v>#DIV/0!</v>
      </c>
    </row>
    <row r="110" ht="15.75" customHeight="1">
      <c r="A110" s="25"/>
      <c r="B110" s="22"/>
      <c r="C110" s="22">
        <f t="shared" si="6"/>
        <v>0</v>
      </c>
      <c r="D110" s="25"/>
      <c r="E110" s="22"/>
      <c r="F110" s="22" t="str">
        <f t="shared" si="8"/>
        <v>#DIV/0!</v>
      </c>
      <c r="I110" s="22" t="str">
        <f t="shared" si="3"/>
        <v>#DIV/0!</v>
      </c>
    </row>
    <row r="111" ht="15.75" customHeight="1">
      <c r="A111" s="25"/>
      <c r="B111" s="22"/>
      <c r="C111" s="22">
        <f t="shared" si="6"/>
        <v>0</v>
      </c>
      <c r="D111" s="25"/>
      <c r="E111" s="22"/>
      <c r="F111" s="22" t="str">
        <f t="shared" si="8"/>
        <v>#DIV/0!</v>
      </c>
      <c r="I111" s="22" t="str">
        <f t="shared" si="3"/>
        <v>#DIV/0!</v>
      </c>
    </row>
    <row r="112" ht="15.75" customHeight="1">
      <c r="A112" s="25"/>
      <c r="B112" s="22"/>
      <c r="C112" s="22">
        <f t="shared" si="6"/>
        <v>0</v>
      </c>
      <c r="D112" s="25"/>
      <c r="E112" s="22"/>
      <c r="F112" s="22" t="str">
        <f t="shared" si="8"/>
        <v>#DIV/0!</v>
      </c>
      <c r="I112" s="22" t="str">
        <f t="shared" si="3"/>
        <v>#DIV/0!</v>
      </c>
    </row>
    <row r="113" ht="15.75" customHeight="1">
      <c r="A113" s="25"/>
      <c r="B113" s="22"/>
      <c r="C113" s="22">
        <f t="shared" si="6"/>
        <v>0</v>
      </c>
      <c r="D113" s="25"/>
      <c r="E113" s="22"/>
      <c r="F113" s="22" t="str">
        <f t="shared" si="8"/>
        <v>#DIV/0!</v>
      </c>
      <c r="I113" s="22" t="str">
        <f t="shared" si="3"/>
        <v>#DIV/0!</v>
      </c>
    </row>
    <row r="114" ht="15.75" customHeight="1">
      <c r="A114" s="25"/>
      <c r="B114" s="22"/>
      <c r="C114" s="22">
        <f t="shared" si="6"/>
        <v>0</v>
      </c>
      <c r="D114" s="25"/>
      <c r="E114" s="22"/>
      <c r="F114" s="22" t="str">
        <f t="shared" si="8"/>
        <v>#DIV/0!</v>
      </c>
      <c r="I114" s="22" t="str">
        <f t="shared" si="3"/>
        <v>#DIV/0!</v>
      </c>
    </row>
    <row r="115" ht="15.75" customHeight="1">
      <c r="A115" s="25"/>
      <c r="B115" s="22"/>
      <c r="C115" s="22">
        <f t="shared" si="6"/>
        <v>0</v>
      </c>
      <c r="D115" s="25"/>
      <c r="E115" s="22"/>
      <c r="F115" s="22" t="str">
        <f t="shared" si="8"/>
        <v>#DIV/0!</v>
      </c>
      <c r="I115" s="22" t="str">
        <f t="shared" si="3"/>
        <v>#DIV/0!</v>
      </c>
    </row>
    <row r="116" ht="15.75" customHeight="1">
      <c r="A116" s="25"/>
      <c r="B116" s="22"/>
      <c r="C116" s="22">
        <f t="shared" si="6"/>
        <v>0</v>
      </c>
      <c r="D116" s="25"/>
      <c r="E116" s="22"/>
      <c r="F116" s="22" t="str">
        <f t="shared" si="8"/>
        <v>#DIV/0!</v>
      </c>
      <c r="I116" s="22" t="str">
        <f t="shared" si="3"/>
        <v>#DIV/0!</v>
      </c>
    </row>
    <row r="117" ht="15.75" customHeight="1">
      <c r="A117" s="25"/>
      <c r="B117" s="22"/>
      <c r="C117" s="22">
        <f t="shared" si="6"/>
        <v>0</v>
      </c>
      <c r="D117" s="25"/>
      <c r="E117" s="22"/>
      <c r="F117" s="22" t="str">
        <f t="shared" si="8"/>
        <v>#DIV/0!</v>
      </c>
      <c r="I117" s="22" t="str">
        <f t="shared" si="3"/>
        <v>#DIV/0!</v>
      </c>
    </row>
    <row r="118" ht="15.75" customHeight="1">
      <c r="A118" s="25"/>
      <c r="B118" s="22"/>
      <c r="C118" s="22">
        <f t="shared" si="6"/>
        <v>0</v>
      </c>
      <c r="D118" s="25"/>
      <c r="E118" s="22"/>
      <c r="F118" s="22" t="str">
        <f t="shared" si="8"/>
        <v>#DIV/0!</v>
      </c>
      <c r="I118" s="22" t="str">
        <f t="shared" si="3"/>
        <v>#DIV/0!</v>
      </c>
    </row>
    <row r="119" ht="15.75" customHeight="1">
      <c r="A119" s="25"/>
      <c r="B119" s="22"/>
      <c r="C119" s="22">
        <f t="shared" si="6"/>
        <v>0</v>
      </c>
      <c r="D119" s="25"/>
      <c r="E119" s="22"/>
      <c r="F119" s="22" t="str">
        <f t="shared" si="8"/>
        <v>#DIV/0!</v>
      </c>
      <c r="I119" s="22" t="str">
        <f t="shared" si="3"/>
        <v>#DIV/0!</v>
      </c>
    </row>
    <row r="120" ht="15.75" customHeight="1">
      <c r="A120" s="25"/>
      <c r="B120" s="22"/>
      <c r="C120" s="22">
        <f t="shared" si="6"/>
        <v>0</v>
      </c>
      <c r="D120" s="25"/>
      <c r="E120" s="22"/>
      <c r="F120" s="22" t="str">
        <f t="shared" si="8"/>
        <v>#DIV/0!</v>
      </c>
      <c r="I120" s="22" t="str">
        <f t="shared" si="3"/>
        <v>#DIV/0!</v>
      </c>
    </row>
    <row r="121" ht="15.75" customHeight="1">
      <c r="A121" s="25"/>
      <c r="B121" s="22"/>
      <c r="C121" s="22">
        <f t="shared" si="6"/>
        <v>0</v>
      </c>
      <c r="D121" s="25"/>
      <c r="E121" s="22"/>
      <c r="F121" s="22" t="str">
        <f t="shared" si="8"/>
        <v>#DIV/0!</v>
      </c>
      <c r="I121" s="22" t="str">
        <f t="shared" si="3"/>
        <v>#DIV/0!</v>
      </c>
    </row>
    <row r="122" ht="15.75" customHeight="1">
      <c r="A122" s="25"/>
      <c r="B122" s="22"/>
      <c r="C122" s="22">
        <f t="shared" si="6"/>
        <v>0</v>
      </c>
      <c r="D122" s="25"/>
      <c r="E122" s="22"/>
      <c r="F122" s="22" t="str">
        <f t="shared" si="8"/>
        <v>#DIV/0!</v>
      </c>
      <c r="I122" s="22" t="str">
        <f t="shared" si="3"/>
        <v>#DIV/0!</v>
      </c>
    </row>
    <row r="123" ht="15.75" customHeight="1">
      <c r="A123" s="25"/>
      <c r="B123" s="22"/>
      <c r="C123" s="22">
        <f t="shared" si="6"/>
        <v>0</v>
      </c>
      <c r="D123" s="25"/>
      <c r="E123" s="22"/>
      <c r="F123" s="22" t="str">
        <f t="shared" si="8"/>
        <v>#DIV/0!</v>
      </c>
      <c r="I123" s="22" t="str">
        <f t="shared" si="3"/>
        <v>#DIV/0!</v>
      </c>
    </row>
    <row r="124" ht="15.75" customHeight="1">
      <c r="A124" s="25"/>
      <c r="B124" s="22"/>
      <c r="C124" s="22">
        <f t="shared" si="6"/>
        <v>0</v>
      </c>
      <c r="D124" s="25"/>
      <c r="E124" s="22"/>
      <c r="F124" s="22" t="str">
        <f t="shared" si="8"/>
        <v>#DIV/0!</v>
      </c>
      <c r="I124" s="22" t="str">
        <f t="shared" si="3"/>
        <v>#DIV/0!</v>
      </c>
    </row>
    <row r="125" ht="15.75" customHeight="1">
      <c r="A125" s="25"/>
      <c r="B125" s="22"/>
      <c r="C125" s="22">
        <f t="shared" si="6"/>
        <v>0</v>
      </c>
      <c r="D125" s="25"/>
      <c r="E125" s="22"/>
      <c r="F125" s="22" t="str">
        <f t="shared" si="8"/>
        <v>#DIV/0!</v>
      </c>
      <c r="I125" s="22" t="str">
        <f t="shared" si="3"/>
        <v>#DIV/0!</v>
      </c>
    </row>
    <row r="126" ht="15.75" customHeight="1">
      <c r="A126" s="25"/>
      <c r="B126" s="22"/>
      <c r="C126" s="22">
        <f t="shared" si="6"/>
        <v>0</v>
      </c>
      <c r="D126" s="25"/>
      <c r="E126" s="22"/>
      <c r="F126" s="22" t="str">
        <f t="shared" si="8"/>
        <v>#DIV/0!</v>
      </c>
      <c r="I126" s="22" t="str">
        <f t="shared" si="3"/>
        <v>#DIV/0!</v>
      </c>
    </row>
    <row r="127" ht="15.75" customHeight="1">
      <c r="A127" s="25"/>
      <c r="B127" s="22"/>
      <c r="C127" s="22">
        <f t="shared" si="6"/>
        <v>0</v>
      </c>
      <c r="D127" s="25"/>
      <c r="E127" s="22"/>
      <c r="F127" s="22" t="str">
        <f t="shared" si="8"/>
        <v>#DIV/0!</v>
      </c>
      <c r="I127" s="22" t="str">
        <f t="shared" si="3"/>
        <v>#DIV/0!</v>
      </c>
    </row>
    <row r="128" ht="15.75" customHeight="1">
      <c r="A128" s="25"/>
      <c r="B128" s="22"/>
      <c r="C128" s="22">
        <f t="shared" si="6"/>
        <v>0</v>
      </c>
      <c r="D128" s="25"/>
      <c r="E128" s="22"/>
      <c r="F128" s="22" t="str">
        <f t="shared" si="8"/>
        <v>#DIV/0!</v>
      </c>
      <c r="I128" s="22" t="str">
        <f t="shared" si="3"/>
        <v>#DIV/0!</v>
      </c>
    </row>
    <row r="129" ht="15.75" customHeight="1">
      <c r="A129" s="25"/>
      <c r="B129" s="22"/>
      <c r="C129" s="22">
        <f t="shared" si="6"/>
        <v>0</v>
      </c>
      <c r="D129" s="25"/>
      <c r="E129" s="22"/>
      <c r="F129" s="22" t="str">
        <f t="shared" si="8"/>
        <v>#DIV/0!</v>
      </c>
      <c r="I129" s="22" t="str">
        <f t="shared" si="3"/>
        <v>#DIV/0!</v>
      </c>
    </row>
    <row r="130" ht="15.75" customHeight="1">
      <c r="A130" s="25"/>
      <c r="B130" s="22"/>
      <c r="C130" s="22">
        <f t="shared" si="6"/>
        <v>0</v>
      </c>
      <c r="D130" s="25"/>
      <c r="E130" s="22"/>
      <c r="F130" s="22" t="str">
        <f t="shared" si="8"/>
        <v>#DIV/0!</v>
      </c>
      <c r="I130" s="22" t="str">
        <f t="shared" si="3"/>
        <v>#DIV/0!</v>
      </c>
    </row>
    <row r="131" ht="15.75" customHeight="1">
      <c r="A131" s="25"/>
      <c r="B131" s="22"/>
      <c r="C131" s="22">
        <f t="shared" si="6"/>
        <v>0</v>
      </c>
      <c r="D131" s="25"/>
      <c r="E131" s="22"/>
      <c r="F131" s="22" t="str">
        <f t="shared" si="8"/>
        <v>#DIV/0!</v>
      </c>
      <c r="I131" s="22" t="str">
        <f t="shared" si="3"/>
        <v>#DIV/0!</v>
      </c>
    </row>
    <row r="132" ht="15.75" customHeight="1">
      <c r="A132" s="25"/>
      <c r="B132" s="22"/>
      <c r="C132" s="22">
        <f t="shared" si="6"/>
        <v>0</v>
      </c>
      <c r="D132" s="25"/>
      <c r="E132" s="22"/>
      <c r="F132" s="22" t="str">
        <f t="shared" si="8"/>
        <v>#DIV/0!</v>
      </c>
      <c r="I132" s="22" t="str">
        <f t="shared" si="3"/>
        <v>#DIV/0!</v>
      </c>
    </row>
    <row r="133" ht="15.75" customHeight="1">
      <c r="A133" s="25"/>
      <c r="B133" s="22"/>
      <c r="C133" s="22">
        <f t="shared" si="6"/>
        <v>0</v>
      </c>
      <c r="D133" s="25"/>
      <c r="E133" s="22"/>
      <c r="F133" s="22" t="str">
        <f t="shared" si="8"/>
        <v>#DIV/0!</v>
      </c>
      <c r="I133" s="22" t="str">
        <f t="shared" si="3"/>
        <v>#DIV/0!</v>
      </c>
    </row>
    <row r="134" ht="15.75" customHeight="1">
      <c r="A134" s="25"/>
      <c r="B134" s="22"/>
      <c r="C134" s="22">
        <f t="shared" si="6"/>
        <v>0</v>
      </c>
      <c r="D134" s="25"/>
      <c r="E134" s="22"/>
      <c r="F134" s="22" t="str">
        <f t="shared" si="8"/>
        <v>#DIV/0!</v>
      </c>
      <c r="I134" s="22" t="str">
        <f t="shared" si="3"/>
        <v>#DIV/0!</v>
      </c>
    </row>
    <row r="135" ht="15.75" customHeight="1">
      <c r="A135" s="25"/>
      <c r="B135" s="22"/>
      <c r="C135" s="22">
        <f t="shared" si="6"/>
        <v>0</v>
      </c>
      <c r="D135" s="25"/>
      <c r="E135" s="22"/>
      <c r="F135" s="22" t="str">
        <f t="shared" si="8"/>
        <v>#DIV/0!</v>
      </c>
      <c r="I135" s="22" t="str">
        <f t="shared" si="3"/>
        <v>#DIV/0!</v>
      </c>
    </row>
    <row r="136" ht="15.75" customHeight="1">
      <c r="A136" s="25"/>
      <c r="B136" s="22"/>
      <c r="C136" s="22">
        <f t="shared" si="6"/>
        <v>0</v>
      </c>
      <c r="D136" s="25"/>
      <c r="E136" s="22"/>
      <c r="F136" s="22" t="str">
        <f t="shared" si="8"/>
        <v>#DIV/0!</v>
      </c>
      <c r="I136" s="22" t="str">
        <f t="shared" si="3"/>
        <v>#DIV/0!</v>
      </c>
    </row>
    <row r="137" ht="15.75" customHeight="1">
      <c r="A137" s="25"/>
      <c r="B137" s="22"/>
      <c r="C137" s="22">
        <f t="shared" si="6"/>
        <v>0</v>
      </c>
      <c r="D137" s="25"/>
      <c r="E137" s="22"/>
      <c r="F137" s="22" t="str">
        <f t="shared" si="8"/>
        <v>#DIV/0!</v>
      </c>
      <c r="I137" s="22" t="str">
        <f t="shared" si="3"/>
        <v>#DIV/0!</v>
      </c>
    </row>
    <row r="138" ht="15.75" customHeight="1">
      <c r="A138" s="25"/>
      <c r="B138" s="22"/>
      <c r="C138" s="22">
        <f t="shared" si="6"/>
        <v>0</v>
      </c>
      <c r="D138" s="25"/>
      <c r="E138" s="22"/>
      <c r="F138" s="22" t="str">
        <f t="shared" si="8"/>
        <v>#DIV/0!</v>
      </c>
      <c r="I138" s="22" t="str">
        <f t="shared" si="3"/>
        <v>#DIV/0!</v>
      </c>
    </row>
    <row r="139" ht="15.75" customHeight="1">
      <c r="A139" s="25"/>
      <c r="B139" s="22"/>
      <c r="C139" s="22">
        <f t="shared" si="6"/>
        <v>0</v>
      </c>
      <c r="D139" s="25"/>
      <c r="E139" s="22"/>
      <c r="F139" s="22" t="str">
        <f t="shared" si="8"/>
        <v>#DIV/0!</v>
      </c>
      <c r="I139" s="22" t="str">
        <f t="shared" si="3"/>
        <v>#DIV/0!</v>
      </c>
    </row>
    <row r="140" ht="15.75" customHeight="1">
      <c r="A140" s="25"/>
      <c r="B140" s="22"/>
      <c r="C140" s="22">
        <f t="shared" si="6"/>
        <v>0</v>
      </c>
      <c r="D140" s="25"/>
      <c r="E140" s="22"/>
      <c r="F140" s="22" t="str">
        <f t="shared" si="8"/>
        <v>#DIV/0!</v>
      </c>
      <c r="I140" s="22" t="str">
        <f t="shared" si="3"/>
        <v>#DIV/0!</v>
      </c>
    </row>
    <row r="141" ht="15.75" customHeight="1">
      <c r="A141" s="25"/>
      <c r="B141" s="22"/>
      <c r="C141" s="22">
        <f t="shared" si="6"/>
        <v>0</v>
      </c>
      <c r="D141" s="25"/>
      <c r="E141" s="22"/>
      <c r="F141" s="22" t="str">
        <f t="shared" si="8"/>
        <v>#DIV/0!</v>
      </c>
      <c r="I141" s="22" t="str">
        <f t="shared" si="3"/>
        <v>#DIV/0!</v>
      </c>
    </row>
    <row r="142" ht="15.75" customHeight="1">
      <c r="A142" s="25"/>
      <c r="B142" s="22"/>
      <c r="C142" s="22">
        <f t="shared" si="6"/>
        <v>0</v>
      </c>
      <c r="D142" s="25"/>
      <c r="E142" s="22"/>
      <c r="F142" s="22" t="str">
        <f t="shared" si="8"/>
        <v>#DIV/0!</v>
      </c>
      <c r="I142" s="22" t="str">
        <f t="shared" si="3"/>
        <v>#DIV/0!</v>
      </c>
    </row>
    <row r="143" ht="15.75" customHeight="1">
      <c r="A143" s="25"/>
      <c r="B143" s="22"/>
      <c r="C143" s="22">
        <f t="shared" si="6"/>
        <v>0</v>
      </c>
      <c r="D143" s="25"/>
      <c r="E143" s="22"/>
      <c r="F143" s="22" t="str">
        <f t="shared" si="8"/>
        <v>#DIV/0!</v>
      </c>
      <c r="I143" s="22" t="str">
        <f t="shared" si="3"/>
        <v>#DIV/0!</v>
      </c>
    </row>
    <row r="144" ht="15.75" customHeight="1">
      <c r="A144" s="25"/>
      <c r="B144" s="22"/>
      <c r="C144" s="22">
        <f t="shared" si="6"/>
        <v>0</v>
      </c>
      <c r="D144" s="25"/>
      <c r="E144" s="22"/>
      <c r="F144" s="22" t="str">
        <f t="shared" si="8"/>
        <v>#DIV/0!</v>
      </c>
      <c r="I144" s="22" t="str">
        <f t="shared" si="3"/>
        <v>#DIV/0!</v>
      </c>
    </row>
    <row r="145" ht="15.75" customHeight="1">
      <c r="A145" s="25"/>
      <c r="B145" s="22"/>
      <c r="C145" s="22">
        <f t="shared" si="6"/>
        <v>0</v>
      </c>
      <c r="D145" s="25"/>
      <c r="E145" s="22"/>
      <c r="F145" s="22" t="str">
        <f t="shared" si="8"/>
        <v>#DIV/0!</v>
      </c>
      <c r="I145" s="22" t="str">
        <f t="shared" si="3"/>
        <v>#DIV/0!</v>
      </c>
    </row>
    <row r="146" ht="15.75" customHeight="1">
      <c r="A146" s="25"/>
      <c r="B146" s="22"/>
      <c r="C146" s="22">
        <f t="shared" si="6"/>
        <v>0</v>
      </c>
      <c r="D146" s="25"/>
      <c r="E146" s="22"/>
      <c r="F146" s="22" t="str">
        <f t="shared" si="8"/>
        <v>#DIV/0!</v>
      </c>
      <c r="I146" s="22" t="str">
        <f t="shared" si="3"/>
        <v>#DIV/0!</v>
      </c>
    </row>
    <row r="147" ht="15.75" customHeight="1">
      <c r="A147" s="25"/>
      <c r="B147" s="22"/>
      <c r="C147" s="22">
        <f t="shared" si="6"/>
        <v>0</v>
      </c>
      <c r="D147" s="25"/>
      <c r="E147" s="22"/>
      <c r="F147" s="22" t="str">
        <f t="shared" si="8"/>
        <v>#DIV/0!</v>
      </c>
      <c r="I147" s="22" t="str">
        <f t="shared" si="3"/>
        <v>#DIV/0!</v>
      </c>
    </row>
    <row r="148" ht="15.75" customHeight="1">
      <c r="A148" s="25"/>
      <c r="B148" s="22"/>
      <c r="C148" s="22">
        <f t="shared" si="6"/>
        <v>0</v>
      </c>
      <c r="D148" s="25"/>
      <c r="E148" s="22"/>
      <c r="F148" s="22" t="str">
        <f t="shared" si="8"/>
        <v>#DIV/0!</v>
      </c>
      <c r="I148" s="22" t="str">
        <f t="shared" si="3"/>
        <v>#DIV/0!</v>
      </c>
    </row>
    <row r="149" ht="15.75" customHeight="1">
      <c r="A149" s="25"/>
      <c r="B149" s="22"/>
      <c r="C149" s="22">
        <f t="shared" si="6"/>
        <v>0</v>
      </c>
      <c r="D149" s="25"/>
      <c r="E149" s="22"/>
      <c r="F149" s="22" t="str">
        <f t="shared" si="8"/>
        <v>#DIV/0!</v>
      </c>
      <c r="I149" s="22" t="str">
        <f t="shared" si="3"/>
        <v>#DIV/0!</v>
      </c>
    </row>
    <row r="150" ht="15.75" customHeight="1">
      <c r="A150" s="25"/>
      <c r="B150" s="22"/>
      <c r="C150" s="22">
        <f t="shared" si="6"/>
        <v>0</v>
      </c>
      <c r="D150" s="25"/>
      <c r="E150" s="22"/>
      <c r="F150" s="22" t="str">
        <f t="shared" si="8"/>
        <v>#DIV/0!</v>
      </c>
      <c r="I150" s="22" t="str">
        <f t="shared" si="3"/>
        <v>#DIV/0!</v>
      </c>
    </row>
    <row r="151" ht="15.75" customHeight="1">
      <c r="A151" s="25"/>
      <c r="B151" s="22"/>
      <c r="C151" s="22">
        <f t="shared" si="6"/>
        <v>0</v>
      </c>
      <c r="D151" s="25"/>
      <c r="E151" s="22"/>
      <c r="F151" s="22" t="str">
        <f t="shared" si="8"/>
        <v>#DIV/0!</v>
      </c>
      <c r="I151" s="22" t="str">
        <f t="shared" si="3"/>
        <v>#DIV/0!</v>
      </c>
    </row>
    <row r="152" ht="15.75" customHeight="1">
      <c r="A152" s="25"/>
      <c r="B152" s="22"/>
      <c r="C152" s="22">
        <f t="shared" si="6"/>
        <v>0</v>
      </c>
      <c r="D152" s="25"/>
      <c r="E152" s="22"/>
      <c r="F152" s="22" t="str">
        <f t="shared" si="8"/>
        <v>#DIV/0!</v>
      </c>
      <c r="I152" s="22" t="str">
        <f t="shared" si="3"/>
        <v>#DIV/0!</v>
      </c>
    </row>
    <row r="153" ht="15.75" customHeight="1">
      <c r="A153" s="25"/>
      <c r="B153" s="22"/>
      <c r="C153" s="22">
        <f t="shared" si="6"/>
        <v>0</v>
      </c>
      <c r="D153" s="25"/>
      <c r="E153" s="22"/>
      <c r="F153" s="22" t="str">
        <f t="shared" si="8"/>
        <v>#DIV/0!</v>
      </c>
      <c r="I153" s="22" t="str">
        <f t="shared" si="3"/>
        <v>#DIV/0!</v>
      </c>
    </row>
    <row r="154" ht="15.75" customHeight="1">
      <c r="A154" s="25"/>
      <c r="B154" s="22"/>
      <c r="C154" s="22">
        <f t="shared" si="6"/>
        <v>0</v>
      </c>
      <c r="D154" s="25"/>
      <c r="E154" s="22"/>
      <c r="F154" s="22" t="str">
        <f t="shared" si="8"/>
        <v>#DIV/0!</v>
      </c>
      <c r="I154" s="22" t="str">
        <f t="shared" si="3"/>
        <v>#DIV/0!</v>
      </c>
    </row>
    <row r="155" ht="15.75" customHeight="1">
      <c r="A155" s="25"/>
      <c r="B155" s="22"/>
      <c r="C155" s="22">
        <f t="shared" si="6"/>
        <v>0</v>
      </c>
      <c r="D155" s="25"/>
      <c r="E155" s="22"/>
      <c r="F155" s="22" t="str">
        <f t="shared" si="8"/>
        <v>#DIV/0!</v>
      </c>
      <c r="I155" s="22" t="str">
        <f t="shared" si="3"/>
        <v>#DIV/0!</v>
      </c>
    </row>
    <row r="156" ht="15.75" customHeight="1">
      <c r="A156" s="25"/>
      <c r="B156" s="22"/>
      <c r="C156" s="22">
        <f t="shared" si="6"/>
        <v>0</v>
      </c>
      <c r="D156" s="25"/>
      <c r="E156" s="22"/>
      <c r="F156" s="22" t="str">
        <f t="shared" si="8"/>
        <v>#DIV/0!</v>
      </c>
      <c r="I156" s="22" t="str">
        <f t="shared" si="3"/>
        <v>#DIV/0!</v>
      </c>
    </row>
    <row r="157" ht="15.75" customHeight="1">
      <c r="A157" s="25"/>
      <c r="B157" s="22"/>
      <c r="C157" s="22">
        <f t="shared" si="6"/>
        <v>0</v>
      </c>
      <c r="D157" s="25"/>
      <c r="E157" s="22"/>
      <c r="F157" s="22" t="str">
        <f t="shared" si="8"/>
        <v>#DIV/0!</v>
      </c>
      <c r="I157" s="22" t="str">
        <f t="shared" si="3"/>
        <v>#DIV/0!</v>
      </c>
    </row>
    <row r="158" ht="15.75" customHeight="1">
      <c r="A158" s="25"/>
      <c r="B158" s="22"/>
      <c r="C158" s="22">
        <f t="shared" si="6"/>
        <v>0</v>
      </c>
      <c r="D158" s="25"/>
      <c r="E158" s="22"/>
      <c r="F158" s="22" t="str">
        <f t="shared" si="8"/>
        <v>#DIV/0!</v>
      </c>
      <c r="I158" s="22" t="str">
        <f t="shared" si="3"/>
        <v>#DIV/0!</v>
      </c>
    </row>
    <row r="159" ht="15.75" customHeight="1">
      <c r="A159" s="25"/>
      <c r="B159" s="22"/>
      <c r="C159" s="22">
        <f t="shared" si="6"/>
        <v>0</v>
      </c>
      <c r="D159" s="25"/>
      <c r="E159" s="22"/>
      <c r="F159" s="22" t="str">
        <f t="shared" si="8"/>
        <v>#DIV/0!</v>
      </c>
      <c r="I159" s="22" t="str">
        <f t="shared" si="3"/>
        <v>#DIV/0!</v>
      </c>
    </row>
    <row r="160" ht="15.75" customHeight="1">
      <c r="A160" s="25"/>
      <c r="B160" s="22"/>
      <c r="C160" s="22">
        <f t="shared" si="6"/>
        <v>0</v>
      </c>
      <c r="D160" s="25"/>
      <c r="E160" s="22"/>
      <c r="F160" s="22" t="str">
        <f t="shared" si="8"/>
        <v>#DIV/0!</v>
      </c>
      <c r="I160" s="22" t="str">
        <f t="shared" si="3"/>
        <v>#DIV/0!</v>
      </c>
    </row>
    <row r="161" ht="15.75" customHeight="1">
      <c r="A161" s="25"/>
      <c r="B161" s="22"/>
      <c r="C161" s="22">
        <f t="shared" si="6"/>
        <v>0</v>
      </c>
      <c r="D161" s="25"/>
      <c r="E161" s="22"/>
      <c r="F161" s="22" t="str">
        <f t="shared" si="8"/>
        <v>#DIV/0!</v>
      </c>
      <c r="I161" s="22" t="str">
        <f t="shared" si="3"/>
        <v>#DIV/0!</v>
      </c>
    </row>
    <row r="162" ht="15.75" customHeight="1">
      <c r="A162" s="25"/>
      <c r="B162" s="22"/>
      <c r="C162" s="22">
        <f t="shared" si="6"/>
        <v>0</v>
      </c>
      <c r="D162" s="25"/>
      <c r="E162" s="22"/>
      <c r="F162" s="22" t="str">
        <f t="shared" si="8"/>
        <v>#DIV/0!</v>
      </c>
      <c r="G162" s="22" t="str">
        <f t="shared" ref="G162:G1345" si="31">100*(F162/F6-1)</f>
        <v>#DIV/0!</v>
      </c>
      <c r="I162" s="22" t="str">
        <f t="shared" si="3"/>
        <v>#DIV/0!</v>
      </c>
    </row>
    <row r="163" ht="15.75" customHeight="1">
      <c r="A163" s="25"/>
      <c r="B163" s="22"/>
      <c r="C163" s="22">
        <f t="shared" si="6"/>
        <v>0</v>
      </c>
      <c r="D163" s="25"/>
      <c r="E163" s="22"/>
      <c r="F163" s="22" t="str">
        <f t="shared" si="8"/>
        <v>#DIV/0!</v>
      </c>
      <c r="G163" s="22" t="str">
        <f t="shared" si="31"/>
        <v>#DIV/0!</v>
      </c>
      <c r="I163" s="22" t="str">
        <f t="shared" si="3"/>
        <v>#DIV/0!</v>
      </c>
    </row>
    <row r="164" ht="15.75" customHeight="1">
      <c r="A164" s="25"/>
      <c r="B164" s="22"/>
      <c r="C164" s="22">
        <f t="shared" si="6"/>
        <v>0</v>
      </c>
      <c r="D164" s="25"/>
      <c r="E164" s="22"/>
      <c r="F164" s="22" t="str">
        <f t="shared" si="8"/>
        <v>#DIV/0!</v>
      </c>
      <c r="G164" s="22" t="str">
        <f t="shared" si="31"/>
        <v>#DIV/0!</v>
      </c>
      <c r="I164" s="22" t="str">
        <f t="shared" si="3"/>
        <v>#DIV/0!</v>
      </c>
    </row>
    <row r="165" ht="15.75" customHeight="1">
      <c r="A165" s="25"/>
      <c r="B165" s="22"/>
      <c r="C165" s="22">
        <f t="shared" si="6"/>
        <v>0</v>
      </c>
      <c r="D165" s="25"/>
      <c r="E165" s="22"/>
      <c r="F165" s="22" t="str">
        <f t="shared" si="8"/>
        <v>#DIV/0!</v>
      </c>
      <c r="G165" s="22" t="str">
        <f t="shared" si="31"/>
        <v>#DIV/0!</v>
      </c>
      <c r="I165" s="22" t="str">
        <f t="shared" si="3"/>
        <v>#DIV/0!</v>
      </c>
    </row>
    <row r="166" ht="15.75" customHeight="1">
      <c r="A166" s="25"/>
      <c r="B166" s="22"/>
      <c r="C166" s="22">
        <f t="shared" si="6"/>
        <v>0</v>
      </c>
      <c r="D166" s="25"/>
      <c r="E166" s="22"/>
      <c r="F166" s="22" t="str">
        <f t="shared" si="8"/>
        <v>#DIV/0!</v>
      </c>
      <c r="G166" s="22" t="str">
        <f t="shared" si="31"/>
        <v>#DIV/0!</v>
      </c>
      <c r="I166" s="22" t="str">
        <f t="shared" si="3"/>
        <v>#DIV/0!</v>
      </c>
    </row>
    <row r="167" ht="15.75" customHeight="1">
      <c r="A167" s="25"/>
      <c r="B167" s="22"/>
      <c r="C167" s="22">
        <f t="shared" si="6"/>
        <v>0</v>
      </c>
      <c r="D167" s="25"/>
      <c r="E167" s="22"/>
      <c r="F167" s="22" t="str">
        <f t="shared" si="8"/>
        <v>#DIV/0!</v>
      </c>
      <c r="G167" s="22" t="str">
        <f t="shared" si="31"/>
        <v>#DIV/0!</v>
      </c>
      <c r="I167" s="22" t="str">
        <f t="shared" si="3"/>
        <v>#DIV/0!</v>
      </c>
    </row>
    <row r="168" ht="15.75" customHeight="1">
      <c r="A168" s="25"/>
      <c r="B168" s="22"/>
      <c r="C168" s="22">
        <f t="shared" si="6"/>
        <v>0</v>
      </c>
      <c r="D168" s="25"/>
      <c r="E168" s="22"/>
      <c r="F168" s="22" t="str">
        <f t="shared" si="8"/>
        <v>#DIV/0!</v>
      </c>
      <c r="G168" s="22" t="str">
        <f t="shared" si="31"/>
        <v>#DIV/0!</v>
      </c>
      <c r="I168" s="22" t="str">
        <f t="shared" si="3"/>
        <v>#DIV/0!</v>
      </c>
    </row>
    <row r="169" ht="15.75" customHeight="1">
      <c r="A169" s="25"/>
      <c r="B169" s="22"/>
      <c r="C169" s="22">
        <f t="shared" si="6"/>
        <v>0</v>
      </c>
      <c r="D169" s="25"/>
      <c r="E169" s="22"/>
      <c r="F169" s="22" t="str">
        <f t="shared" si="8"/>
        <v>#DIV/0!</v>
      </c>
      <c r="G169" s="22" t="str">
        <f t="shared" si="31"/>
        <v>#DIV/0!</v>
      </c>
      <c r="I169" s="22" t="str">
        <f t="shared" si="3"/>
        <v>#DIV/0!</v>
      </c>
    </row>
    <row r="170" ht="15.75" customHeight="1">
      <c r="A170" s="25"/>
      <c r="B170" s="22"/>
      <c r="C170" s="22">
        <f t="shared" si="6"/>
        <v>0</v>
      </c>
      <c r="D170" s="25"/>
      <c r="E170" s="22"/>
      <c r="F170" s="22" t="str">
        <f t="shared" si="8"/>
        <v>#DIV/0!</v>
      </c>
      <c r="G170" s="22" t="str">
        <f t="shared" si="31"/>
        <v>#DIV/0!</v>
      </c>
      <c r="I170" s="22" t="str">
        <f t="shared" si="3"/>
        <v>#DIV/0!</v>
      </c>
    </row>
    <row r="171" ht="15.75" customHeight="1">
      <c r="A171" s="25"/>
      <c r="B171" s="22"/>
      <c r="C171" s="22">
        <f t="shared" si="6"/>
        <v>0</v>
      </c>
      <c r="D171" s="25"/>
      <c r="E171" s="22"/>
      <c r="F171" s="22" t="str">
        <f t="shared" si="8"/>
        <v>#DIV/0!</v>
      </c>
      <c r="G171" s="22" t="str">
        <f t="shared" si="31"/>
        <v>#DIV/0!</v>
      </c>
      <c r="I171" s="22" t="str">
        <f t="shared" si="3"/>
        <v>#DIV/0!</v>
      </c>
    </row>
    <row r="172" ht="15.75" customHeight="1">
      <c r="A172" s="25"/>
      <c r="B172" s="22"/>
      <c r="C172" s="22">
        <f t="shared" si="6"/>
        <v>0</v>
      </c>
      <c r="D172" s="25"/>
      <c r="E172" s="22"/>
      <c r="F172" s="22" t="str">
        <f t="shared" si="8"/>
        <v>#DIV/0!</v>
      </c>
      <c r="G172" s="22" t="str">
        <f t="shared" si="31"/>
        <v>#DIV/0!</v>
      </c>
      <c r="I172" s="22" t="str">
        <f t="shared" si="3"/>
        <v>#DIV/0!</v>
      </c>
    </row>
    <row r="173" ht="15.75" customHeight="1">
      <c r="A173" s="25"/>
      <c r="B173" s="22"/>
      <c r="C173" s="22">
        <f t="shared" si="6"/>
        <v>0</v>
      </c>
      <c r="D173" s="25"/>
      <c r="E173" s="22"/>
      <c r="F173" s="22" t="str">
        <f t="shared" si="8"/>
        <v>#DIV/0!</v>
      </c>
      <c r="G173" s="22" t="str">
        <f t="shared" si="31"/>
        <v>#DIV/0!</v>
      </c>
      <c r="I173" s="22" t="str">
        <f t="shared" si="3"/>
        <v>#DIV/0!</v>
      </c>
    </row>
    <row r="174" ht="15.75" customHeight="1">
      <c r="A174" s="25"/>
      <c r="B174" s="22"/>
      <c r="C174" s="22">
        <f t="shared" si="6"/>
        <v>0</v>
      </c>
      <c r="D174" s="25"/>
      <c r="E174" s="22"/>
      <c r="F174" s="22" t="str">
        <f t="shared" si="8"/>
        <v>#DIV/0!</v>
      </c>
      <c r="G174" s="22" t="str">
        <f t="shared" si="31"/>
        <v>#DIV/0!</v>
      </c>
      <c r="I174" s="22" t="str">
        <f t="shared" si="3"/>
        <v>#DIV/0!</v>
      </c>
    </row>
    <row r="175" ht="15.75" customHeight="1">
      <c r="A175" s="25"/>
      <c r="B175" s="22"/>
      <c r="C175" s="22">
        <f t="shared" si="6"/>
        <v>0</v>
      </c>
      <c r="D175" s="25"/>
      <c r="E175" s="22"/>
      <c r="F175" s="22" t="str">
        <f t="shared" si="8"/>
        <v>#DIV/0!</v>
      </c>
      <c r="G175" s="22" t="str">
        <f t="shared" si="31"/>
        <v>#DIV/0!</v>
      </c>
      <c r="I175" s="22" t="str">
        <f t="shared" si="3"/>
        <v>#DIV/0!</v>
      </c>
    </row>
    <row r="176" ht="15.75" customHeight="1">
      <c r="A176" s="25"/>
      <c r="B176" s="22"/>
      <c r="C176" s="22">
        <f t="shared" si="6"/>
        <v>0</v>
      </c>
      <c r="D176" s="25"/>
      <c r="E176" s="22"/>
      <c r="F176" s="22" t="str">
        <f t="shared" si="8"/>
        <v>#DIV/0!</v>
      </c>
      <c r="G176" s="22" t="str">
        <f t="shared" si="31"/>
        <v>#DIV/0!</v>
      </c>
      <c r="I176" s="22" t="str">
        <f t="shared" si="3"/>
        <v>#DIV/0!</v>
      </c>
    </row>
    <row r="177" ht="15.75" customHeight="1">
      <c r="A177" s="25"/>
      <c r="B177" s="22"/>
      <c r="C177" s="22">
        <f t="shared" si="6"/>
        <v>0</v>
      </c>
      <c r="D177" s="25"/>
      <c r="E177" s="22"/>
      <c r="F177" s="22" t="str">
        <f t="shared" si="8"/>
        <v>#DIV/0!</v>
      </c>
      <c r="G177" s="22" t="str">
        <f t="shared" si="31"/>
        <v>#DIV/0!</v>
      </c>
      <c r="I177" s="22" t="str">
        <f t="shared" si="3"/>
        <v>#DIV/0!</v>
      </c>
    </row>
    <row r="178" ht="15.75" customHeight="1">
      <c r="A178" s="25"/>
      <c r="B178" s="22"/>
      <c r="C178" s="22">
        <f t="shared" si="6"/>
        <v>0</v>
      </c>
      <c r="D178" s="25"/>
      <c r="E178" s="22"/>
      <c r="F178" s="22" t="str">
        <f t="shared" si="8"/>
        <v>#DIV/0!</v>
      </c>
      <c r="G178" s="22" t="str">
        <f t="shared" si="31"/>
        <v>#DIV/0!</v>
      </c>
      <c r="I178" s="22" t="str">
        <f t="shared" si="3"/>
        <v>#DIV/0!</v>
      </c>
    </row>
    <row r="179" ht="15.75" customHeight="1">
      <c r="A179" s="25"/>
      <c r="B179" s="22"/>
      <c r="C179" s="22">
        <f t="shared" si="6"/>
        <v>0</v>
      </c>
      <c r="D179" s="25"/>
      <c r="E179" s="22"/>
      <c r="F179" s="22" t="str">
        <f t="shared" si="8"/>
        <v>#DIV/0!</v>
      </c>
      <c r="G179" s="22" t="str">
        <f t="shared" si="31"/>
        <v>#DIV/0!</v>
      </c>
      <c r="I179" s="22" t="str">
        <f t="shared" si="3"/>
        <v>#DIV/0!</v>
      </c>
    </row>
    <row r="180" ht="15.75" customHeight="1">
      <c r="A180" s="25"/>
      <c r="B180" s="22"/>
      <c r="C180" s="22">
        <f t="shared" si="6"/>
        <v>0</v>
      </c>
      <c r="D180" s="25"/>
      <c r="E180" s="22"/>
      <c r="F180" s="22" t="str">
        <f t="shared" si="8"/>
        <v>#DIV/0!</v>
      </c>
      <c r="G180" s="22" t="str">
        <f t="shared" si="31"/>
        <v>#DIV/0!</v>
      </c>
      <c r="I180" s="22" t="str">
        <f t="shared" si="3"/>
        <v>#DIV/0!</v>
      </c>
    </row>
    <row r="181" ht="15.75" customHeight="1">
      <c r="A181" s="25"/>
      <c r="B181" s="22"/>
      <c r="C181" s="22">
        <f t="shared" si="6"/>
        <v>0</v>
      </c>
      <c r="D181" s="25"/>
      <c r="E181" s="22"/>
      <c r="F181" s="22" t="str">
        <f t="shared" si="8"/>
        <v>#DIV/0!</v>
      </c>
      <c r="G181" s="22" t="str">
        <f t="shared" si="31"/>
        <v>#DIV/0!</v>
      </c>
      <c r="I181" s="22" t="str">
        <f t="shared" si="3"/>
        <v>#DIV/0!</v>
      </c>
    </row>
    <row r="182" ht="15.75" customHeight="1">
      <c r="A182" s="25"/>
      <c r="B182" s="22"/>
      <c r="C182" s="22">
        <f t="shared" si="6"/>
        <v>0</v>
      </c>
      <c r="D182" s="25"/>
      <c r="E182" s="22"/>
      <c r="F182" s="22" t="str">
        <f t="shared" si="8"/>
        <v>#DIV/0!</v>
      </c>
      <c r="G182" s="22" t="str">
        <f t="shared" si="31"/>
        <v>#DIV/0!</v>
      </c>
      <c r="I182" s="22" t="str">
        <f t="shared" si="3"/>
        <v>#DIV/0!</v>
      </c>
    </row>
    <row r="183" ht="15.75" customHeight="1">
      <c r="A183" s="25"/>
      <c r="B183" s="22"/>
      <c r="C183" s="22">
        <f t="shared" si="6"/>
        <v>0</v>
      </c>
      <c r="D183" s="25"/>
      <c r="E183" s="22"/>
      <c r="F183" s="22" t="str">
        <f t="shared" si="8"/>
        <v>#DIV/0!</v>
      </c>
      <c r="G183" s="22" t="str">
        <f t="shared" si="31"/>
        <v>#DIV/0!</v>
      </c>
      <c r="I183" s="22" t="str">
        <f t="shared" si="3"/>
        <v>#DIV/0!</v>
      </c>
    </row>
    <row r="184" ht="15.75" customHeight="1">
      <c r="A184" s="25"/>
      <c r="B184" s="22"/>
      <c r="C184" s="22">
        <f t="shared" si="6"/>
        <v>0</v>
      </c>
      <c r="D184" s="25"/>
      <c r="E184" s="22"/>
      <c r="F184" s="22" t="str">
        <f t="shared" si="8"/>
        <v>#DIV/0!</v>
      </c>
      <c r="G184" s="22" t="str">
        <f t="shared" si="31"/>
        <v>#DIV/0!</v>
      </c>
      <c r="I184" s="22" t="str">
        <f t="shared" si="3"/>
        <v>#DIV/0!</v>
      </c>
    </row>
    <row r="185" ht="15.75" customHeight="1">
      <c r="A185" s="25"/>
      <c r="B185" s="22"/>
      <c r="C185" s="22">
        <f t="shared" si="6"/>
        <v>0</v>
      </c>
      <c r="D185" s="25"/>
      <c r="E185" s="22"/>
      <c r="F185" s="22" t="str">
        <f t="shared" si="8"/>
        <v>#DIV/0!</v>
      </c>
      <c r="G185" s="22" t="str">
        <f t="shared" si="31"/>
        <v>#DIV/0!</v>
      </c>
      <c r="I185" s="22" t="str">
        <f t="shared" si="3"/>
        <v>#DIV/0!</v>
      </c>
    </row>
    <row r="186" ht="15.75" customHeight="1">
      <c r="A186" s="25"/>
      <c r="B186" s="22"/>
      <c r="C186" s="22">
        <f t="shared" si="6"/>
        <v>0</v>
      </c>
      <c r="D186" s="25"/>
      <c r="E186" s="22"/>
      <c r="F186" s="22" t="str">
        <f t="shared" si="8"/>
        <v>#DIV/0!</v>
      </c>
      <c r="G186" s="22" t="str">
        <f t="shared" si="31"/>
        <v>#DIV/0!</v>
      </c>
      <c r="I186" s="22" t="str">
        <f t="shared" si="3"/>
        <v>#DIV/0!</v>
      </c>
    </row>
    <row r="187" ht="15.75" customHeight="1">
      <c r="A187" s="25"/>
      <c r="B187" s="22"/>
      <c r="C187" s="22">
        <f t="shared" si="6"/>
        <v>0</v>
      </c>
      <c r="D187" s="25"/>
      <c r="E187" s="22"/>
      <c r="F187" s="22" t="str">
        <f t="shared" si="8"/>
        <v>#DIV/0!</v>
      </c>
      <c r="G187" s="22" t="str">
        <f t="shared" si="31"/>
        <v>#DIV/0!</v>
      </c>
      <c r="I187" s="22" t="str">
        <f t="shared" si="3"/>
        <v>#DIV/0!</v>
      </c>
    </row>
    <row r="188" ht="15.75" customHeight="1">
      <c r="A188" s="25"/>
      <c r="B188" s="22"/>
      <c r="C188" s="22">
        <f t="shared" si="6"/>
        <v>0</v>
      </c>
      <c r="D188" s="25"/>
      <c r="E188" s="22"/>
      <c r="F188" s="22" t="str">
        <f t="shared" si="8"/>
        <v>#DIV/0!</v>
      </c>
      <c r="G188" s="22" t="str">
        <f t="shared" si="31"/>
        <v>#DIV/0!</v>
      </c>
      <c r="I188" s="22" t="str">
        <f t="shared" si="3"/>
        <v>#DIV/0!</v>
      </c>
    </row>
    <row r="189" ht="15.75" customHeight="1">
      <c r="A189" s="25"/>
      <c r="B189" s="22"/>
      <c r="C189" s="22">
        <f t="shared" si="6"/>
        <v>0</v>
      </c>
      <c r="D189" s="25"/>
      <c r="E189" s="22"/>
      <c r="F189" s="22" t="str">
        <f t="shared" si="8"/>
        <v>#DIV/0!</v>
      </c>
      <c r="G189" s="22" t="str">
        <f t="shared" si="31"/>
        <v>#DIV/0!</v>
      </c>
      <c r="I189" s="22" t="str">
        <f t="shared" si="3"/>
        <v>#DIV/0!</v>
      </c>
    </row>
    <row r="190" ht="15.75" customHeight="1">
      <c r="A190" s="25"/>
      <c r="B190" s="22"/>
      <c r="C190" s="22">
        <f t="shared" si="6"/>
        <v>0</v>
      </c>
      <c r="D190" s="25"/>
      <c r="E190" s="22"/>
      <c r="F190" s="22" t="str">
        <f t="shared" si="8"/>
        <v>#DIV/0!</v>
      </c>
      <c r="G190" s="22" t="str">
        <f t="shared" si="31"/>
        <v>#DIV/0!</v>
      </c>
      <c r="I190" s="22" t="str">
        <f t="shared" si="3"/>
        <v>#DIV/0!</v>
      </c>
    </row>
    <row r="191" ht="15.75" customHeight="1">
      <c r="A191" s="25"/>
      <c r="B191" s="22"/>
      <c r="C191" s="22">
        <f t="shared" si="6"/>
        <v>0</v>
      </c>
      <c r="D191" s="25"/>
      <c r="E191" s="22"/>
      <c r="F191" s="22" t="str">
        <f t="shared" si="8"/>
        <v>#DIV/0!</v>
      </c>
      <c r="G191" s="22" t="str">
        <f t="shared" si="31"/>
        <v>#DIV/0!</v>
      </c>
      <c r="I191" s="22" t="str">
        <f t="shared" si="3"/>
        <v>#DIV/0!</v>
      </c>
    </row>
    <row r="192" ht="15.75" customHeight="1">
      <c r="A192" s="25"/>
      <c r="B192" s="22"/>
      <c r="C192" s="22">
        <f t="shared" si="6"/>
        <v>0</v>
      </c>
      <c r="D192" s="25"/>
      <c r="E192" s="22"/>
      <c r="F192" s="22" t="str">
        <f t="shared" si="8"/>
        <v>#DIV/0!</v>
      </c>
      <c r="G192" s="22" t="str">
        <f t="shared" si="31"/>
        <v>#DIV/0!</v>
      </c>
      <c r="I192" s="22" t="str">
        <f t="shared" si="3"/>
        <v>#DIV/0!</v>
      </c>
    </row>
    <row r="193" ht="15.75" customHeight="1">
      <c r="A193" s="25"/>
      <c r="B193" s="22"/>
      <c r="C193" s="22">
        <f t="shared" si="6"/>
        <v>0</v>
      </c>
      <c r="D193" s="25"/>
      <c r="E193" s="22"/>
      <c r="F193" s="22" t="str">
        <f t="shared" si="8"/>
        <v>#DIV/0!</v>
      </c>
      <c r="G193" s="22" t="str">
        <f t="shared" si="31"/>
        <v>#DIV/0!</v>
      </c>
      <c r="I193" s="22" t="str">
        <f t="shared" si="3"/>
        <v>#DIV/0!</v>
      </c>
    </row>
    <row r="194" ht="15.75" customHeight="1">
      <c r="A194" s="25"/>
      <c r="B194" s="22"/>
      <c r="C194" s="22">
        <f t="shared" si="6"/>
        <v>0</v>
      </c>
      <c r="D194" s="25"/>
      <c r="E194" s="22"/>
      <c r="F194" s="22" t="str">
        <f t="shared" si="8"/>
        <v>#DIV/0!</v>
      </c>
      <c r="G194" s="22" t="str">
        <f t="shared" si="31"/>
        <v>#DIV/0!</v>
      </c>
      <c r="I194" s="22" t="str">
        <f t="shared" si="3"/>
        <v>#DIV/0!</v>
      </c>
    </row>
    <row r="195" ht="15.75" customHeight="1">
      <c r="A195" s="25"/>
      <c r="B195" s="22"/>
      <c r="C195" s="22">
        <f t="shared" si="6"/>
        <v>0</v>
      </c>
      <c r="D195" s="25"/>
      <c r="E195" s="22"/>
      <c r="F195" s="22" t="str">
        <f t="shared" si="8"/>
        <v>#DIV/0!</v>
      </c>
      <c r="G195" s="22" t="str">
        <f t="shared" si="31"/>
        <v>#DIV/0!</v>
      </c>
      <c r="I195" s="22" t="str">
        <f t="shared" si="3"/>
        <v>#DIV/0!</v>
      </c>
    </row>
    <row r="196" ht="15.75" customHeight="1">
      <c r="A196" s="25"/>
      <c r="B196" s="22"/>
      <c r="C196" s="22">
        <f t="shared" si="6"/>
        <v>0</v>
      </c>
      <c r="D196" s="25"/>
      <c r="E196" s="22"/>
      <c r="F196" s="22" t="str">
        <f t="shared" si="8"/>
        <v>#DIV/0!</v>
      </c>
      <c r="G196" s="22" t="str">
        <f t="shared" si="31"/>
        <v>#DIV/0!</v>
      </c>
      <c r="I196" s="22" t="str">
        <f t="shared" si="3"/>
        <v>#DIV/0!</v>
      </c>
    </row>
    <row r="197" ht="15.75" customHeight="1">
      <c r="A197" s="25"/>
      <c r="B197" s="22"/>
      <c r="C197" s="22">
        <f t="shared" si="6"/>
        <v>0</v>
      </c>
      <c r="D197" s="25"/>
      <c r="E197" s="22"/>
      <c r="F197" s="22" t="str">
        <f t="shared" si="8"/>
        <v>#DIV/0!</v>
      </c>
      <c r="G197" s="22" t="str">
        <f t="shared" si="31"/>
        <v>#DIV/0!</v>
      </c>
      <c r="I197" s="22" t="str">
        <f t="shared" si="3"/>
        <v>#DIV/0!</v>
      </c>
    </row>
    <row r="198" ht="15.75" customHeight="1">
      <c r="A198" s="25"/>
      <c r="B198" s="22"/>
      <c r="C198" s="22">
        <f t="shared" si="6"/>
        <v>0</v>
      </c>
      <c r="D198" s="25"/>
      <c r="E198" s="22"/>
      <c r="F198" s="22" t="str">
        <f t="shared" si="8"/>
        <v>#DIV/0!</v>
      </c>
      <c r="G198" s="22" t="str">
        <f t="shared" si="31"/>
        <v>#DIV/0!</v>
      </c>
      <c r="I198" s="22" t="str">
        <f t="shared" si="3"/>
        <v>#DIV/0!</v>
      </c>
    </row>
    <row r="199" ht="15.75" customHeight="1">
      <c r="A199" s="25"/>
      <c r="B199" s="22"/>
      <c r="C199" s="22">
        <f t="shared" si="6"/>
        <v>0</v>
      </c>
      <c r="D199" s="25"/>
      <c r="E199" s="22"/>
      <c r="F199" s="22" t="str">
        <f t="shared" si="8"/>
        <v>#DIV/0!</v>
      </c>
      <c r="G199" s="22" t="str">
        <f t="shared" si="31"/>
        <v>#DIV/0!</v>
      </c>
      <c r="I199" s="22" t="str">
        <f t="shared" si="3"/>
        <v>#DIV/0!</v>
      </c>
    </row>
    <row r="200" ht="15.75" customHeight="1">
      <c r="A200" s="25"/>
      <c r="B200" s="22"/>
      <c r="C200" s="22">
        <f t="shared" si="6"/>
        <v>0</v>
      </c>
      <c r="D200" s="25"/>
      <c r="E200" s="22"/>
      <c r="F200" s="22" t="str">
        <f t="shared" si="8"/>
        <v>#DIV/0!</v>
      </c>
      <c r="G200" s="22" t="str">
        <f t="shared" si="31"/>
        <v>#DIV/0!</v>
      </c>
      <c r="I200" s="22" t="str">
        <f t="shared" si="3"/>
        <v>#DIV/0!</v>
      </c>
    </row>
    <row r="201" ht="15.75" customHeight="1">
      <c r="A201" s="25"/>
      <c r="B201" s="22"/>
      <c r="C201" s="22">
        <f t="shared" si="6"/>
        <v>0</v>
      </c>
      <c r="D201" s="25"/>
      <c r="E201" s="22"/>
      <c r="F201" s="22" t="str">
        <f t="shared" si="8"/>
        <v>#DIV/0!</v>
      </c>
      <c r="G201" s="22" t="str">
        <f t="shared" si="31"/>
        <v>#DIV/0!</v>
      </c>
      <c r="I201" s="22" t="str">
        <f t="shared" si="3"/>
        <v>#DIV/0!</v>
      </c>
    </row>
    <row r="202" ht="15.75" customHeight="1">
      <c r="A202" s="25"/>
      <c r="B202" s="22"/>
      <c r="C202" s="22">
        <f t="shared" si="6"/>
        <v>0</v>
      </c>
      <c r="D202" s="25"/>
      <c r="E202" s="22"/>
      <c r="F202" s="22" t="str">
        <f t="shared" si="8"/>
        <v>#DIV/0!</v>
      </c>
      <c r="G202" s="22" t="str">
        <f t="shared" si="31"/>
        <v>#DIV/0!</v>
      </c>
      <c r="I202" s="22" t="str">
        <f t="shared" si="3"/>
        <v>#DIV/0!</v>
      </c>
    </row>
    <row r="203" ht="15.75" customHeight="1">
      <c r="A203" s="25"/>
      <c r="B203" s="22"/>
      <c r="C203" s="22">
        <f t="shared" si="6"/>
        <v>0</v>
      </c>
      <c r="D203" s="25"/>
      <c r="E203" s="22"/>
      <c r="F203" s="22" t="str">
        <f t="shared" si="8"/>
        <v>#DIV/0!</v>
      </c>
      <c r="G203" s="22" t="str">
        <f t="shared" si="31"/>
        <v>#DIV/0!</v>
      </c>
      <c r="I203" s="22" t="str">
        <f t="shared" si="3"/>
        <v>#DIV/0!</v>
      </c>
    </row>
    <row r="204" ht="15.75" customHeight="1">
      <c r="A204" s="25"/>
      <c r="B204" s="22"/>
      <c r="C204" s="22">
        <f t="shared" si="6"/>
        <v>0</v>
      </c>
      <c r="D204" s="25"/>
      <c r="E204" s="22"/>
      <c r="F204" s="22" t="str">
        <f t="shared" si="8"/>
        <v>#DIV/0!</v>
      </c>
      <c r="G204" s="22" t="str">
        <f t="shared" si="31"/>
        <v>#DIV/0!</v>
      </c>
      <c r="I204" s="22" t="str">
        <f t="shared" si="3"/>
        <v>#DIV/0!</v>
      </c>
    </row>
    <row r="205" ht="15.75" customHeight="1">
      <c r="A205" s="25"/>
      <c r="B205" s="22"/>
      <c r="C205" s="22">
        <f t="shared" si="6"/>
        <v>0</v>
      </c>
      <c r="D205" s="25"/>
      <c r="E205" s="22"/>
      <c r="F205" s="22" t="str">
        <f t="shared" si="8"/>
        <v>#DIV/0!</v>
      </c>
      <c r="G205" s="22" t="str">
        <f t="shared" si="31"/>
        <v>#DIV/0!</v>
      </c>
      <c r="I205" s="22" t="str">
        <f t="shared" si="3"/>
        <v>#DIV/0!</v>
      </c>
    </row>
    <row r="206" ht="15.75" customHeight="1">
      <c r="A206" s="25"/>
      <c r="B206" s="22"/>
      <c r="C206" s="22">
        <f t="shared" si="6"/>
        <v>0</v>
      </c>
      <c r="D206" s="25"/>
      <c r="E206" s="22"/>
      <c r="F206" s="22" t="str">
        <f t="shared" si="8"/>
        <v>#DIV/0!</v>
      </c>
      <c r="G206" s="22" t="str">
        <f t="shared" si="31"/>
        <v>#DIV/0!</v>
      </c>
      <c r="I206" s="22" t="str">
        <f t="shared" si="3"/>
        <v>#DIV/0!</v>
      </c>
    </row>
    <row r="207" ht="15.75" customHeight="1">
      <c r="A207" s="25"/>
      <c r="B207" s="22"/>
      <c r="C207" s="22">
        <f t="shared" si="6"/>
        <v>0</v>
      </c>
      <c r="D207" s="25"/>
      <c r="E207" s="22"/>
      <c r="F207" s="22" t="str">
        <f t="shared" si="8"/>
        <v>#DIV/0!</v>
      </c>
      <c r="G207" s="22" t="str">
        <f t="shared" si="31"/>
        <v>#DIV/0!</v>
      </c>
      <c r="I207" s="22" t="str">
        <f t="shared" si="3"/>
        <v>#DIV/0!</v>
      </c>
    </row>
    <row r="208" ht="15.75" customHeight="1">
      <c r="A208" s="25"/>
      <c r="B208" s="22"/>
      <c r="C208" s="22">
        <f t="shared" si="6"/>
        <v>0</v>
      </c>
      <c r="D208" s="25"/>
      <c r="E208" s="22"/>
      <c r="F208" s="22" t="str">
        <f t="shared" si="8"/>
        <v>#DIV/0!</v>
      </c>
      <c r="G208" s="22" t="str">
        <f t="shared" si="31"/>
        <v>#DIV/0!</v>
      </c>
      <c r="I208" s="22" t="str">
        <f t="shared" si="3"/>
        <v>#DIV/0!</v>
      </c>
    </row>
    <row r="209" ht="15.75" customHeight="1">
      <c r="A209" s="25"/>
      <c r="B209" s="22"/>
      <c r="C209" s="22">
        <f t="shared" si="6"/>
        <v>0</v>
      </c>
      <c r="D209" s="25"/>
      <c r="E209" s="22"/>
      <c r="F209" s="22" t="str">
        <f t="shared" si="8"/>
        <v>#DIV/0!</v>
      </c>
      <c r="G209" s="22" t="str">
        <f t="shared" si="31"/>
        <v>#DIV/0!</v>
      </c>
      <c r="I209" s="22" t="str">
        <f t="shared" si="3"/>
        <v>#DIV/0!</v>
      </c>
    </row>
    <row r="210" ht="15.75" customHeight="1">
      <c r="A210" s="25"/>
      <c r="B210" s="22"/>
      <c r="C210" s="22">
        <f t="shared" si="6"/>
        <v>0</v>
      </c>
      <c r="D210" s="25"/>
      <c r="E210" s="22"/>
      <c r="F210" s="22" t="str">
        <f t="shared" si="8"/>
        <v>#DIV/0!</v>
      </c>
      <c r="G210" s="22" t="str">
        <f t="shared" si="31"/>
        <v>#DIV/0!</v>
      </c>
      <c r="I210" s="22" t="str">
        <f t="shared" si="3"/>
        <v>#DIV/0!</v>
      </c>
    </row>
    <row r="211" ht="15.75" customHeight="1">
      <c r="A211" s="25"/>
      <c r="B211" s="22"/>
      <c r="C211" s="22">
        <f t="shared" si="6"/>
        <v>0</v>
      </c>
      <c r="D211" s="25"/>
      <c r="E211" s="22"/>
      <c r="F211" s="22" t="str">
        <f t="shared" si="8"/>
        <v>#DIV/0!</v>
      </c>
      <c r="G211" s="22" t="str">
        <f t="shared" si="31"/>
        <v>#DIV/0!</v>
      </c>
      <c r="I211" s="22" t="str">
        <f t="shared" si="3"/>
        <v>#DIV/0!</v>
      </c>
    </row>
    <row r="212" ht="15.75" customHeight="1">
      <c r="A212" s="25"/>
      <c r="B212" s="22"/>
      <c r="C212" s="22">
        <f t="shared" si="6"/>
        <v>0</v>
      </c>
      <c r="D212" s="25"/>
      <c r="E212" s="22"/>
      <c r="F212" s="22" t="str">
        <f t="shared" si="8"/>
        <v>#DIV/0!</v>
      </c>
      <c r="G212" s="22" t="str">
        <f t="shared" si="31"/>
        <v>#DIV/0!</v>
      </c>
      <c r="I212" s="22" t="str">
        <f t="shared" si="3"/>
        <v>#DIV/0!</v>
      </c>
    </row>
    <row r="213" ht="15.75" customHeight="1">
      <c r="A213" s="25"/>
      <c r="B213" s="22"/>
      <c r="C213" s="22">
        <f t="shared" si="6"/>
        <v>0</v>
      </c>
      <c r="D213" s="25"/>
      <c r="E213" s="22"/>
      <c r="F213" s="22" t="str">
        <f t="shared" si="8"/>
        <v>#DIV/0!</v>
      </c>
      <c r="G213" s="22" t="str">
        <f t="shared" si="31"/>
        <v>#DIV/0!</v>
      </c>
      <c r="I213" s="22" t="str">
        <f t="shared" si="3"/>
        <v>#DIV/0!</v>
      </c>
    </row>
    <row r="214" ht="15.75" customHeight="1">
      <c r="A214" s="25"/>
      <c r="B214" s="22"/>
      <c r="C214" s="22">
        <f t="shared" si="6"/>
        <v>0</v>
      </c>
      <c r="D214" s="25"/>
      <c r="E214" s="22"/>
      <c r="F214" s="22" t="str">
        <f t="shared" si="8"/>
        <v>#DIV/0!</v>
      </c>
      <c r="G214" s="22" t="str">
        <f t="shared" si="31"/>
        <v>#DIV/0!</v>
      </c>
      <c r="I214" s="22" t="str">
        <f t="shared" si="3"/>
        <v>#DIV/0!</v>
      </c>
    </row>
    <row r="215" ht="15.75" customHeight="1">
      <c r="A215" s="25"/>
      <c r="B215" s="22"/>
      <c r="C215" s="22">
        <f t="shared" si="6"/>
        <v>0</v>
      </c>
      <c r="D215" s="25"/>
      <c r="E215" s="22"/>
      <c r="F215" s="22" t="str">
        <f t="shared" si="8"/>
        <v>#DIV/0!</v>
      </c>
      <c r="G215" s="22" t="str">
        <f t="shared" si="31"/>
        <v>#DIV/0!</v>
      </c>
      <c r="I215" s="22" t="str">
        <f t="shared" si="3"/>
        <v>#DIV/0!</v>
      </c>
    </row>
    <row r="216" ht="15.75" customHeight="1">
      <c r="A216" s="25"/>
      <c r="B216" s="22"/>
      <c r="C216" s="22">
        <f t="shared" si="6"/>
        <v>0</v>
      </c>
      <c r="D216" s="25"/>
      <c r="E216" s="22"/>
      <c r="F216" s="22" t="str">
        <f t="shared" si="8"/>
        <v>#DIV/0!</v>
      </c>
      <c r="G216" s="22" t="str">
        <f t="shared" si="31"/>
        <v>#DIV/0!</v>
      </c>
      <c r="I216" s="22" t="str">
        <f t="shared" si="3"/>
        <v>#DIV/0!</v>
      </c>
    </row>
    <row r="217" ht="15.75" customHeight="1">
      <c r="A217" s="25"/>
      <c r="B217" s="22"/>
      <c r="C217" s="22">
        <f t="shared" si="6"/>
        <v>0</v>
      </c>
      <c r="D217" s="25"/>
      <c r="E217" s="22"/>
      <c r="F217" s="22" t="str">
        <f t="shared" si="8"/>
        <v>#DIV/0!</v>
      </c>
      <c r="G217" s="22" t="str">
        <f t="shared" si="31"/>
        <v>#DIV/0!</v>
      </c>
      <c r="I217" s="22" t="str">
        <f t="shared" si="3"/>
        <v>#DIV/0!</v>
      </c>
    </row>
    <row r="218" ht="15.75" customHeight="1">
      <c r="A218" s="25"/>
      <c r="B218" s="22"/>
      <c r="C218" s="22">
        <f t="shared" si="6"/>
        <v>0</v>
      </c>
      <c r="D218" s="25"/>
      <c r="E218" s="22"/>
      <c r="F218" s="22" t="str">
        <f t="shared" si="8"/>
        <v>#DIV/0!</v>
      </c>
      <c r="G218" s="22" t="str">
        <f t="shared" si="31"/>
        <v>#DIV/0!</v>
      </c>
      <c r="I218" s="22" t="str">
        <f t="shared" si="3"/>
        <v>#DIV/0!</v>
      </c>
    </row>
    <row r="219" ht="15.75" customHeight="1">
      <c r="A219" s="25"/>
      <c r="B219" s="22"/>
      <c r="C219" s="22">
        <f t="shared" si="6"/>
        <v>0</v>
      </c>
      <c r="D219" s="25"/>
      <c r="E219" s="22"/>
      <c r="F219" s="22" t="str">
        <f t="shared" si="8"/>
        <v>#DIV/0!</v>
      </c>
      <c r="G219" s="22" t="str">
        <f t="shared" si="31"/>
        <v>#DIV/0!</v>
      </c>
      <c r="I219" s="22" t="str">
        <f t="shared" si="3"/>
        <v>#DIV/0!</v>
      </c>
    </row>
    <row r="220" ht="15.75" customHeight="1">
      <c r="A220" s="25"/>
      <c r="B220" s="22"/>
      <c r="C220" s="22">
        <f t="shared" si="6"/>
        <v>0</v>
      </c>
      <c r="D220" s="25"/>
      <c r="E220" s="22"/>
      <c r="F220" s="22" t="str">
        <f t="shared" si="8"/>
        <v>#DIV/0!</v>
      </c>
      <c r="G220" s="22" t="str">
        <f t="shared" si="31"/>
        <v>#DIV/0!</v>
      </c>
      <c r="I220" s="22" t="str">
        <f t="shared" si="3"/>
        <v>#DIV/0!</v>
      </c>
    </row>
    <row r="221" ht="15.75" customHeight="1">
      <c r="A221" s="25"/>
      <c r="B221" s="22"/>
      <c r="C221" s="22">
        <f t="shared" si="6"/>
        <v>0</v>
      </c>
      <c r="D221" s="25"/>
      <c r="E221" s="22"/>
      <c r="F221" s="22" t="str">
        <f t="shared" si="8"/>
        <v>#DIV/0!</v>
      </c>
      <c r="G221" s="22" t="str">
        <f t="shared" si="31"/>
        <v>#DIV/0!</v>
      </c>
      <c r="I221" s="22" t="str">
        <f t="shared" si="3"/>
        <v>#DIV/0!</v>
      </c>
    </row>
    <row r="222" ht="15.75" customHeight="1">
      <c r="A222" s="25"/>
      <c r="B222" s="22"/>
      <c r="C222" s="22">
        <f t="shared" si="6"/>
        <v>0</v>
      </c>
      <c r="D222" s="25"/>
      <c r="E222" s="22"/>
      <c r="F222" s="22" t="str">
        <f t="shared" si="8"/>
        <v>#DIV/0!</v>
      </c>
      <c r="G222" s="22" t="str">
        <f t="shared" si="31"/>
        <v>#DIV/0!</v>
      </c>
      <c r="I222" s="22" t="str">
        <f t="shared" si="3"/>
        <v>#DIV/0!</v>
      </c>
    </row>
    <row r="223" ht="15.75" customHeight="1">
      <c r="A223" s="25"/>
      <c r="B223" s="22"/>
      <c r="C223" s="22">
        <f t="shared" si="6"/>
        <v>0</v>
      </c>
      <c r="D223" s="25"/>
      <c r="E223" s="22"/>
      <c r="F223" s="22" t="str">
        <f t="shared" si="8"/>
        <v>#DIV/0!</v>
      </c>
      <c r="G223" s="22" t="str">
        <f t="shared" si="31"/>
        <v>#DIV/0!</v>
      </c>
      <c r="I223" s="22" t="str">
        <f t="shared" si="3"/>
        <v>#DIV/0!</v>
      </c>
    </row>
    <row r="224" ht="15.75" customHeight="1">
      <c r="A224" s="25"/>
      <c r="B224" s="22"/>
      <c r="C224" s="22">
        <f t="shared" si="6"/>
        <v>0</v>
      </c>
      <c r="D224" s="25"/>
      <c r="E224" s="22"/>
      <c r="F224" s="22" t="str">
        <f t="shared" si="8"/>
        <v>#DIV/0!</v>
      </c>
      <c r="G224" s="22" t="str">
        <f t="shared" si="31"/>
        <v>#DIV/0!</v>
      </c>
      <c r="I224" s="22" t="str">
        <f t="shared" si="3"/>
        <v>#DIV/0!</v>
      </c>
    </row>
    <row r="225" ht="15.75" customHeight="1">
      <c r="A225" s="25"/>
      <c r="B225" s="22"/>
      <c r="C225" s="22">
        <f t="shared" si="6"/>
        <v>0</v>
      </c>
      <c r="D225" s="25"/>
      <c r="E225" s="22"/>
      <c r="F225" s="22" t="str">
        <f t="shared" si="8"/>
        <v>#DIV/0!</v>
      </c>
      <c r="G225" s="22" t="str">
        <f t="shared" si="31"/>
        <v>#DIV/0!</v>
      </c>
      <c r="I225" s="22" t="str">
        <f t="shared" si="3"/>
        <v>#DIV/0!</v>
      </c>
    </row>
    <row r="226" ht="15.75" customHeight="1">
      <c r="A226" s="25"/>
      <c r="B226" s="22"/>
      <c r="C226" s="22">
        <f t="shared" si="6"/>
        <v>0</v>
      </c>
      <c r="D226" s="25"/>
      <c r="E226" s="22"/>
      <c r="F226" s="22" t="str">
        <f t="shared" si="8"/>
        <v>#DIV/0!</v>
      </c>
      <c r="G226" s="22" t="str">
        <f t="shared" si="31"/>
        <v>#DIV/0!</v>
      </c>
      <c r="I226" s="22" t="str">
        <f t="shared" si="3"/>
        <v>#DIV/0!</v>
      </c>
    </row>
    <row r="227" ht="15.75" customHeight="1">
      <c r="A227" s="25"/>
      <c r="B227" s="22"/>
      <c r="C227" s="22">
        <f t="shared" si="6"/>
        <v>0</v>
      </c>
      <c r="D227" s="25"/>
      <c r="E227" s="22"/>
      <c r="F227" s="22" t="str">
        <f t="shared" si="8"/>
        <v>#DIV/0!</v>
      </c>
      <c r="G227" s="22" t="str">
        <f t="shared" si="31"/>
        <v>#DIV/0!</v>
      </c>
      <c r="I227" s="22" t="str">
        <f t="shared" si="3"/>
        <v>#DIV/0!</v>
      </c>
    </row>
    <row r="228" ht="15.75" customHeight="1">
      <c r="A228" s="25"/>
      <c r="B228" s="22"/>
      <c r="C228" s="22">
        <f t="shared" si="6"/>
        <v>0</v>
      </c>
      <c r="D228" s="25"/>
      <c r="E228" s="22"/>
      <c r="F228" s="22" t="str">
        <f t="shared" si="8"/>
        <v>#DIV/0!</v>
      </c>
      <c r="G228" s="22" t="str">
        <f t="shared" si="31"/>
        <v>#DIV/0!</v>
      </c>
      <c r="I228" s="22" t="str">
        <f t="shared" si="3"/>
        <v>#DIV/0!</v>
      </c>
    </row>
    <row r="229" ht="15.75" customHeight="1">
      <c r="A229" s="25"/>
      <c r="B229" s="22"/>
      <c r="C229" s="22">
        <f t="shared" si="6"/>
        <v>0</v>
      </c>
      <c r="D229" s="25"/>
      <c r="E229" s="22"/>
      <c r="F229" s="22" t="str">
        <f t="shared" si="8"/>
        <v>#DIV/0!</v>
      </c>
      <c r="G229" s="22" t="str">
        <f t="shared" si="31"/>
        <v>#DIV/0!</v>
      </c>
      <c r="I229" s="22" t="str">
        <f t="shared" si="3"/>
        <v>#DIV/0!</v>
      </c>
    </row>
    <row r="230" ht="15.75" customHeight="1">
      <c r="A230" s="25"/>
      <c r="B230" s="22"/>
      <c r="C230" s="22">
        <f t="shared" si="6"/>
        <v>0</v>
      </c>
      <c r="D230" s="25"/>
      <c r="E230" s="22"/>
      <c r="F230" s="22" t="str">
        <f t="shared" si="8"/>
        <v>#DIV/0!</v>
      </c>
      <c r="G230" s="22" t="str">
        <f t="shared" si="31"/>
        <v>#DIV/0!</v>
      </c>
      <c r="I230" s="22" t="str">
        <f t="shared" si="3"/>
        <v>#DIV/0!</v>
      </c>
    </row>
    <row r="231" ht="15.75" customHeight="1">
      <c r="A231" s="25"/>
      <c r="B231" s="22"/>
      <c r="C231" s="22">
        <f t="shared" si="6"/>
        <v>0</v>
      </c>
      <c r="D231" s="25"/>
      <c r="E231" s="22"/>
      <c r="F231" s="22" t="str">
        <f t="shared" si="8"/>
        <v>#DIV/0!</v>
      </c>
      <c r="G231" s="22" t="str">
        <f t="shared" si="31"/>
        <v>#DIV/0!</v>
      </c>
      <c r="I231" s="22" t="str">
        <f t="shared" si="3"/>
        <v>#DIV/0!</v>
      </c>
    </row>
    <row r="232" ht="15.75" customHeight="1">
      <c r="A232" s="25"/>
      <c r="B232" s="22"/>
      <c r="C232" s="22">
        <f t="shared" si="6"/>
        <v>0</v>
      </c>
      <c r="D232" s="25"/>
      <c r="E232" s="22"/>
      <c r="F232" s="22" t="str">
        <f t="shared" si="8"/>
        <v>#DIV/0!</v>
      </c>
      <c r="G232" s="22" t="str">
        <f t="shared" si="31"/>
        <v>#DIV/0!</v>
      </c>
      <c r="I232" s="22" t="str">
        <f t="shared" si="3"/>
        <v>#DIV/0!</v>
      </c>
    </row>
    <row r="233" ht="15.75" customHeight="1">
      <c r="A233" s="25"/>
      <c r="B233" s="22"/>
      <c r="C233" s="22">
        <f t="shared" si="6"/>
        <v>0</v>
      </c>
      <c r="D233" s="25"/>
      <c r="E233" s="22"/>
      <c r="F233" s="22" t="str">
        <f t="shared" si="8"/>
        <v>#DIV/0!</v>
      </c>
      <c r="G233" s="22" t="str">
        <f t="shared" si="31"/>
        <v>#DIV/0!</v>
      </c>
      <c r="I233" s="22" t="str">
        <f t="shared" si="3"/>
        <v>#DIV/0!</v>
      </c>
    </row>
    <row r="234" ht="15.75" customHeight="1">
      <c r="A234" s="25"/>
      <c r="B234" s="22"/>
      <c r="C234" s="22">
        <f t="shared" si="6"/>
        <v>0</v>
      </c>
      <c r="D234" s="25"/>
      <c r="E234" s="22"/>
      <c r="F234" s="22" t="str">
        <f t="shared" si="8"/>
        <v>#DIV/0!</v>
      </c>
      <c r="G234" s="22" t="str">
        <f t="shared" si="31"/>
        <v>#DIV/0!</v>
      </c>
      <c r="I234" s="22" t="str">
        <f t="shared" si="3"/>
        <v>#DIV/0!</v>
      </c>
    </row>
    <row r="235" ht="15.75" customHeight="1">
      <c r="A235" s="25"/>
      <c r="B235" s="22"/>
      <c r="C235" s="22">
        <f t="shared" si="6"/>
        <v>0</v>
      </c>
      <c r="D235" s="25"/>
      <c r="E235" s="22"/>
      <c r="F235" s="22" t="str">
        <f t="shared" si="8"/>
        <v>#DIV/0!</v>
      </c>
      <c r="G235" s="22" t="str">
        <f t="shared" si="31"/>
        <v>#DIV/0!</v>
      </c>
      <c r="I235" s="22" t="str">
        <f t="shared" si="3"/>
        <v>#DIV/0!</v>
      </c>
    </row>
    <row r="236" ht="15.75" customHeight="1">
      <c r="A236" s="25"/>
      <c r="B236" s="22"/>
      <c r="C236" s="22">
        <f t="shared" si="6"/>
        <v>0</v>
      </c>
      <c r="D236" s="25"/>
      <c r="E236" s="22"/>
      <c r="F236" s="22" t="str">
        <f t="shared" si="8"/>
        <v>#DIV/0!</v>
      </c>
      <c r="G236" s="22" t="str">
        <f t="shared" si="31"/>
        <v>#DIV/0!</v>
      </c>
      <c r="I236" s="22" t="str">
        <f t="shared" si="3"/>
        <v>#DIV/0!</v>
      </c>
    </row>
    <row r="237" ht="15.75" customHeight="1">
      <c r="A237" s="25"/>
      <c r="B237" s="22"/>
      <c r="C237" s="22">
        <f t="shared" si="6"/>
        <v>0</v>
      </c>
      <c r="D237" s="25"/>
      <c r="E237" s="22"/>
      <c r="F237" s="22" t="str">
        <f t="shared" si="8"/>
        <v>#DIV/0!</v>
      </c>
      <c r="G237" s="22" t="str">
        <f t="shared" si="31"/>
        <v>#DIV/0!</v>
      </c>
      <c r="I237" s="22" t="str">
        <f t="shared" si="3"/>
        <v>#DIV/0!</v>
      </c>
    </row>
    <row r="238" ht="15.75" customHeight="1">
      <c r="A238" s="25"/>
      <c r="B238" s="22"/>
      <c r="C238" s="22">
        <f t="shared" si="6"/>
        <v>0</v>
      </c>
      <c r="D238" s="25"/>
      <c r="E238" s="22"/>
      <c r="F238" s="22" t="str">
        <f t="shared" si="8"/>
        <v>#DIV/0!</v>
      </c>
      <c r="G238" s="22" t="str">
        <f t="shared" si="31"/>
        <v>#DIV/0!</v>
      </c>
      <c r="I238" s="22" t="str">
        <f t="shared" si="3"/>
        <v>#DIV/0!</v>
      </c>
    </row>
    <row r="239" ht="15.75" customHeight="1">
      <c r="A239" s="25"/>
      <c r="B239" s="22"/>
      <c r="C239" s="22">
        <f t="shared" si="6"/>
        <v>0</v>
      </c>
      <c r="D239" s="25"/>
      <c r="E239" s="22"/>
      <c r="F239" s="22" t="str">
        <f t="shared" si="8"/>
        <v>#DIV/0!</v>
      </c>
      <c r="G239" s="22" t="str">
        <f t="shared" si="31"/>
        <v>#DIV/0!</v>
      </c>
      <c r="I239" s="22" t="str">
        <f t="shared" si="3"/>
        <v>#DIV/0!</v>
      </c>
    </row>
    <row r="240" ht="15.75" customHeight="1">
      <c r="A240" s="25"/>
      <c r="B240" s="22"/>
      <c r="C240" s="22">
        <f t="shared" si="6"/>
        <v>0</v>
      </c>
      <c r="D240" s="25"/>
      <c r="E240" s="22"/>
      <c r="F240" s="22" t="str">
        <f t="shared" si="8"/>
        <v>#DIV/0!</v>
      </c>
      <c r="G240" s="22" t="str">
        <f t="shared" si="31"/>
        <v>#DIV/0!</v>
      </c>
      <c r="I240" s="22" t="str">
        <f t="shared" si="3"/>
        <v>#DIV/0!</v>
      </c>
    </row>
    <row r="241" ht="15.75" customHeight="1">
      <c r="A241" s="25"/>
      <c r="B241" s="22"/>
      <c r="C241" s="22">
        <f t="shared" si="6"/>
        <v>0</v>
      </c>
      <c r="D241" s="25"/>
      <c r="E241" s="22"/>
      <c r="F241" s="22" t="str">
        <f t="shared" si="8"/>
        <v>#DIV/0!</v>
      </c>
      <c r="G241" s="22" t="str">
        <f t="shared" si="31"/>
        <v>#DIV/0!</v>
      </c>
      <c r="I241" s="22" t="str">
        <f t="shared" si="3"/>
        <v>#DIV/0!</v>
      </c>
    </row>
    <row r="242" ht="15.75" customHeight="1">
      <c r="A242" s="25"/>
      <c r="B242" s="22"/>
      <c r="C242" s="22">
        <f t="shared" si="6"/>
        <v>0</v>
      </c>
      <c r="D242" s="25"/>
      <c r="E242" s="22"/>
      <c r="F242" s="22" t="str">
        <f t="shared" si="8"/>
        <v>#DIV/0!</v>
      </c>
      <c r="G242" s="22" t="str">
        <f t="shared" si="31"/>
        <v>#DIV/0!</v>
      </c>
      <c r="I242" s="22" t="str">
        <f t="shared" si="3"/>
        <v>#DIV/0!</v>
      </c>
    </row>
    <row r="243" ht="15.75" customHeight="1">
      <c r="A243" s="25"/>
      <c r="B243" s="22"/>
      <c r="C243" s="22">
        <f t="shared" si="6"/>
        <v>0</v>
      </c>
      <c r="D243" s="25"/>
      <c r="E243" s="22"/>
      <c r="F243" s="22" t="str">
        <f t="shared" si="8"/>
        <v>#DIV/0!</v>
      </c>
      <c r="G243" s="22" t="str">
        <f t="shared" si="31"/>
        <v>#DIV/0!</v>
      </c>
      <c r="I243" s="22" t="str">
        <f t="shared" si="3"/>
        <v>#DIV/0!</v>
      </c>
    </row>
    <row r="244" ht="15.75" customHeight="1">
      <c r="A244" s="25"/>
      <c r="B244" s="22"/>
      <c r="C244" s="22">
        <f t="shared" si="6"/>
        <v>0</v>
      </c>
      <c r="D244" s="25"/>
      <c r="E244" s="22"/>
      <c r="F244" s="22" t="str">
        <f t="shared" si="8"/>
        <v>#DIV/0!</v>
      </c>
      <c r="G244" s="22" t="str">
        <f t="shared" si="31"/>
        <v>#DIV/0!</v>
      </c>
      <c r="I244" s="22" t="str">
        <f t="shared" si="3"/>
        <v>#DIV/0!</v>
      </c>
    </row>
    <row r="245" ht="15.75" customHeight="1">
      <c r="A245" s="25"/>
      <c r="B245" s="22"/>
      <c r="C245" s="22">
        <f t="shared" si="6"/>
        <v>0</v>
      </c>
      <c r="D245" s="25"/>
      <c r="E245" s="22"/>
      <c r="F245" s="22" t="str">
        <f t="shared" si="8"/>
        <v>#DIV/0!</v>
      </c>
      <c r="G245" s="22" t="str">
        <f t="shared" si="31"/>
        <v>#DIV/0!</v>
      </c>
      <c r="I245" s="22" t="str">
        <f t="shared" si="3"/>
        <v>#DIV/0!</v>
      </c>
    </row>
    <row r="246" ht="15.75" customHeight="1">
      <c r="A246" s="25"/>
      <c r="B246" s="22"/>
      <c r="C246" s="22">
        <f t="shared" si="6"/>
        <v>0</v>
      </c>
      <c r="D246" s="25"/>
      <c r="E246" s="22"/>
      <c r="F246" s="22" t="str">
        <f t="shared" si="8"/>
        <v>#DIV/0!</v>
      </c>
      <c r="G246" s="22" t="str">
        <f t="shared" si="31"/>
        <v>#DIV/0!</v>
      </c>
      <c r="I246" s="22" t="str">
        <f t="shared" si="3"/>
        <v>#DIV/0!</v>
      </c>
    </row>
    <row r="247" ht="15.75" customHeight="1">
      <c r="A247" s="25"/>
      <c r="B247" s="22"/>
      <c r="C247" s="22">
        <f t="shared" si="6"/>
        <v>0</v>
      </c>
      <c r="D247" s="25"/>
      <c r="E247" s="22"/>
      <c r="F247" s="22" t="str">
        <f t="shared" si="8"/>
        <v>#DIV/0!</v>
      </c>
      <c r="G247" s="22" t="str">
        <f t="shared" si="31"/>
        <v>#DIV/0!</v>
      </c>
      <c r="I247" s="22" t="str">
        <f t="shared" si="3"/>
        <v>#DIV/0!</v>
      </c>
    </row>
    <row r="248" ht="15.75" customHeight="1">
      <c r="A248" s="25"/>
      <c r="B248" s="22"/>
      <c r="C248" s="22">
        <f t="shared" si="6"/>
        <v>0</v>
      </c>
      <c r="D248" s="25"/>
      <c r="E248" s="22"/>
      <c r="F248" s="22" t="str">
        <f t="shared" si="8"/>
        <v>#DIV/0!</v>
      </c>
      <c r="G248" s="22" t="str">
        <f t="shared" si="31"/>
        <v>#DIV/0!</v>
      </c>
      <c r="I248" s="22" t="str">
        <f t="shared" si="3"/>
        <v>#DIV/0!</v>
      </c>
    </row>
    <row r="249" ht="15.75" customHeight="1">
      <c r="A249" s="25"/>
      <c r="B249" s="22"/>
      <c r="C249" s="22">
        <f t="shared" si="6"/>
        <v>0</v>
      </c>
      <c r="D249" s="25"/>
      <c r="E249" s="22"/>
      <c r="F249" s="22" t="str">
        <f t="shared" si="8"/>
        <v>#DIV/0!</v>
      </c>
      <c r="G249" s="22" t="str">
        <f t="shared" si="31"/>
        <v>#DIV/0!</v>
      </c>
      <c r="I249" s="22" t="str">
        <f t="shared" si="3"/>
        <v>#DIV/0!</v>
      </c>
    </row>
    <row r="250" ht="15.75" customHeight="1">
      <c r="A250" s="25"/>
      <c r="B250" s="22"/>
      <c r="C250" s="22">
        <f t="shared" si="6"/>
        <v>0</v>
      </c>
      <c r="D250" s="25"/>
      <c r="E250" s="22"/>
      <c r="F250" s="22" t="str">
        <f t="shared" si="8"/>
        <v>#DIV/0!</v>
      </c>
      <c r="G250" s="22" t="str">
        <f t="shared" si="31"/>
        <v>#DIV/0!</v>
      </c>
      <c r="I250" s="22" t="str">
        <f t="shared" si="3"/>
        <v>#DIV/0!</v>
      </c>
    </row>
    <row r="251" ht="15.75" customHeight="1">
      <c r="A251" s="25"/>
      <c r="B251" s="22"/>
      <c r="C251" s="22">
        <f t="shared" si="6"/>
        <v>0</v>
      </c>
      <c r="D251" s="25"/>
      <c r="E251" s="22"/>
      <c r="F251" s="22" t="str">
        <f t="shared" si="8"/>
        <v>#DIV/0!</v>
      </c>
      <c r="G251" s="22" t="str">
        <f t="shared" si="31"/>
        <v>#DIV/0!</v>
      </c>
      <c r="I251" s="22" t="str">
        <f t="shared" si="3"/>
        <v>#DIV/0!</v>
      </c>
    </row>
    <row r="252" ht="15.75" customHeight="1">
      <c r="A252" s="25"/>
      <c r="B252" s="22"/>
      <c r="C252" s="22">
        <f t="shared" si="6"/>
        <v>0</v>
      </c>
      <c r="D252" s="25"/>
      <c r="E252" s="22"/>
      <c r="F252" s="22" t="str">
        <f t="shared" si="8"/>
        <v>#DIV/0!</v>
      </c>
      <c r="G252" s="22" t="str">
        <f t="shared" si="31"/>
        <v>#DIV/0!</v>
      </c>
      <c r="I252" s="22" t="str">
        <f t="shared" si="3"/>
        <v>#DIV/0!</v>
      </c>
    </row>
    <row r="253" ht="15.75" customHeight="1">
      <c r="A253" s="25"/>
      <c r="B253" s="22"/>
      <c r="C253" s="22">
        <f t="shared" si="6"/>
        <v>0</v>
      </c>
      <c r="D253" s="25"/>
      <c r="E253" s="22"/>
      <c r="F253" s="22" t="str">
        <f t="shared" si="8"/>
        <v>#DIV/0!</v>
      </c>
      <c r="G253" s="22" t="str">
        <f t="shared" si="31"/>
        <v>#DIV/0!</v>
      </c>
      <c r="I253" s="22" t="str">
        <f t="shared" si="3"/>
        <v>#DIV/0!</v>
      </c>
    </row>
    <row r="254" ht="15.75" customHeight="1">
      <c r="A254" s="25"/>
      <c r="B254" s="22"/>
      <c r="C254" s="22">
        <f t="shared" si="6"/>
        <v>0</v>
      </c>
      <c r="D254" s="25"/>
      <c r="E254" s="22"/>
      <c r="F254" s="22" t="str">
        <f t="shared" si="8"/>
        <v>#DIV/0!</v>
      </c>
      <c r="G254" s="22" t="str">
        <f t="shared" si="31"/>
        <v>#DIV/0!</v>
      </c>
      <c r="I254" s="22" t="str">
        <f t="shared" si="3"/>
        <v>#DIV/0!</v>
      </c>
    </row>
    <row r="255" ht="15.75" customHeight="1">
      <c r="A255" s="25"/>
      <c r="B255" s="22"/>
      <c r="C255" s="22">
        <f t="shared" si="6"/>
        <v>0</v>
      </c>
      <c r="D255" s="25"/>
      <c r="E255" s="22"/>
      <c r="F255" s="22" t="str">
        <f t="shared" si="8"/>
        <v>#DIV/0!</v>
      </c>
      <c r="G255" s="22" t="str">
        <f t="shared" si="31"/>
        <v>#DIV/0!</v>
      </c>
      <c r="I255" s="22" t="str">
        <f t="shared" si="3"/>
        <v>#DIV/0!</v>
      </c>
    </row>
    <row r="256" ht="15.75" customHeight="1">
      <c r="A256" s="25"/>
      <c r="B256" s="22"/>
      <c r="C256" s="22">
        <f t="shared" si="6"/>
        <v>0</v>
      </c>
      <c r="D256" s="25"/>
      <c r="E256" s="22"/>
      <c r="F256" s="22" t="str">
        <f t="shared" si="8"/>
        <v>#DIV/0!</v>
      </c>
      <c r="G256" s="22" t="str">
        <f t="shared" si="31"/>
        <v>#DIV/0!</v>
      </c>
      <c r="I256" s="22" t="str">
        <f t="shared" si="3"/>
        <v>#DIV/0!</v>
      </c>
    </row>
    <row r="257" ht="15.75" customHeight="1">
      <c r="A257" s="25"/>
      <c r="B257" s="22"/>
      <c r="C257" s="22">
        <f t="shared" si="6"/>
        <v>0</v>
      </c>
      <c r="D257" s="25"/>
      <c r="E257" s="22"/>
      <c r="F257" s="22" t="str">
        <f t="shared" si="8"/>
        <v>#DIV/0!</v>
      </c>
      <c r="G257" s="22" t="str">
        <f t="shared" si="31"/>
        <v>#DIV/0!</v>
      </c>
      <c r="I257" s="22" t="str">
        <f t="shared" si="3"/>
        <v>#DIV/0!</v>
      </c>
    </row>
    <row r="258" ht="15.75" customHeight="1">
      <c r="A258" s="25"/>
      <c r="B258" s="22"/>
      <c r="C258" s="22">
        <f t="shared" si="6"/>
        <v>0</v>
      </c>
      <c r="D258" s="25"/>
      <c r="E258" s="22"/>
      <c r="F258" s="22" t="str">
        <f t="shared" si="8"/>
        <v>#DIV/0!</v>
      </c>
      <c r="G258" s="22" t="str">
        <f t="shared" si="31"/>
        <v>#DIV/0!</v>
      </c>
      <c r="I258" s="22" t="str">
        <f t="shared" si="3"/>
        <v>#DIV/0!</v>
      </c>
    </row>
    <row r="259" ht="15.75" customHeight="1">
      <c r="A259" s="25"/>
      <c r="B259" s="22"/>
      <c r="C259" s="22">
        <f t="shared" si="6"/>
        <v>0</v>
      </c>
      <c r="D259" s="25"/>
      <c r="E259" s="22"/>
      <c r="F259" s="22" t="str">
        <f t="shared" si="8"/>
        <v>#DIV/0!</v>
      </c>
      <c r="G259" s="22" t="str">
        <f t="shared" si="31"/>
        <v>#DIV/0!</v>
      </c>
      <c r="I259" s="22" t="str">
        <f t="shared" si="3"/>
        <v>#DIV/0!</v>
      </c>
    </row>
    <row r="260" ht="15.75" customHeight="1">
      <c r="A260" s="25"/>
      <c r="B260" s="22"/>
      <c r="C260" s="22">
        <f t="shared" si="6"/>
        <v>0</v>
      </c>
      <c r="D260" s="25"/>
      <c r="E260" s="22"/>
      <c r="F260" s="22" t="str">
        <f t="shared" si="8"/>
        <v>#DIV/0!</v>
      </c>
      <c r="G260" s="22" t="str">
        <f t="shared" si="31"/>
        <v>#DIV/0!</v>
      </c>
      <c r="I260" s="22" t="str">
        <f t="shared" si="3"/>
        <v>#DIV/0!</v>
      </c>
    </row>
    <row r="261" ht="15.75" customHeight="1">
      <c r="A261" s="25"/>
      <c r="B261" s="22"/>
      <c r="C261" s="22">
        <f t="shared" si="6"/>
        <v>0</v>
      </c>
      <c r="D261" s="25"/>
      <c r="E261" s="22"/>
      <c r="F261" s="22" t="str">
        <f t="shared" si="8"/>
        <v>#DIV/0!</v>
      </c>
      <c r="G261" s="22" t="str">
        <f t="shared" si="31"/>
        <v>#DIV/0!</v>
      </c>
      <c r="I261" s="22" t="str">
        <f t="shared" si="3"/>
        <v>#DIV/0!</v>
      </c>
    </row>
    <row r="262" ht="15.75" customHeight="1">
      <c r="A262" s="25"/>
      <c r="B262" s="22"/>
      <c r="C262" s="22">
        <f t="shared" si="6"/>
        <v>0</v>
      </c>
      <c r="D262" s="25"/>
      <c r="E262" s="22"/>
      <c r="F262" s="22" t="str">
        <f t="shared" si="8"/>
        <v>#DIV/0!</v>
      </c>
      <c r="G262" s="22" t="str">
        <f t="shared" si="31"/>
        <v>#DIV/0!</v>
      </c>
      <c r="I262" s="22" t="str">
        <f t="shared" si="3"/>
        <v>#DIV/0!</v>
      </c>
    </row>
    <row r="263" ht="15.75" customHeight="1">
      <c r="A263" s="25"/>
      <c r="B263" s="22"/>
      <c r="C263" s="22">
        <f t="shared" si="6"/>
        <v>0</v>
      </c>
      <c r="D263" s="25"/>
      <c r="E263" s="22"/>
      <c r="F263" s="22" t="str">
        <f t="shared" si="8"/>
        <v>#DIV/0!</v>
      </c>
      <c r="G263" s="22" t="str">
        <f t="shared" si="31"/>
        <v>#DIV/0!</v>
      </c>
      <c r="I263" s="22" t="str">
        <f t="shared" si="3"/>
        <v>#DIV/0!</v>
      </c>
    </row>
    <row r="264" ht="15.75" customHeight="1">
      <c r="A264" s="25"/>
      <c r="B264" s="22"/>
      <c r="C264" s="22">
        <f t="shared" si="6"/>
        <v>0</v>
      </c>
      <c r="D264" s="25"/>
      <c r="E264" s="22"/>
      <c r="F264" s="22" t="str">
        <f t="shared" si="8"/>
        <v>#DIV/0!</v>
      </c>
      <c r="G264" s="22" t="str">
        <f t="shared" si="31"/>
        <v>#DIV/0!</v>
      </c>
      <c r="I264" s="22" t="str">
        <f t="shared" si="3"/>
        <v>#DIV/0!</v>
      </c>
    </row>
    <row r="265" ht="15.75" customHeight="1">
      <c r="A265" s="25"/>
      <c r="B265" s="22"/>
      <c r="C265" s="22">
        <f t="shared" si="6"/>
        <v>0</v>
      </c>
      <c r="D265" s="25"/>
      <c r="E265" s="22"/>
      <c r="F265" s="22" t="str">
        <f t="shared" si="8"/>
        <v>#DIV/0!</v>
      </c>
      <c r="G265" s="22" t="str">
        <f t="shared" si="31"/>
        <v>#DIV/0!</v>
      </c>
      <c r="I265" s="22" t="str">
        <f t="shared" si="3"/>
        <v>#DIV/0!</v>
      </c>
    </row>
    <row r="266" ht="15.75" customHeight="1">
      <c r="A266" s="25"/>
      <c r="B266" s="22"/>
      <c r="C266" s="22">
        <f t="shared" si="6"/>
        <v>0</v>
      </c>
      <c r="D266" s="25"/>
      <c r="E266" s="22"/>
      <c r="F266" s="22" t="str">
        <f t="shared" si="8"/>
        <v>#DIV/0!</v>
      </c>
      <c r="G266" s="22" t="str">
        <f t="shared" si="31"/>
        <v>#DIV/0!</v>
      </c>
      <c r="H266" s="22" t="str">
        <f t="shared" ref="H266:H1345" si="32">100*($F266/$F6-1)</f>
        <v>#DIV/0!</v>
      </c>
      <c r="I266" s="22" t="str">
        <f t="shared" si="3"/>
        <v>#DIV/0!</v>
      </c>
      <c r="J266" s="22" t="str">
        <f t="shared" ref="J266:J1345" si="33">I266/I6-1</f>
        <v>#DIV/0!</v>
      </c>
    </row>
    <row r="267" ht="15.75" customHeight="1">
      <c r="A267" s="25"/>
      <c r="B267" s="22"/>
      <c r="C267" s="22">
        <f t="shared" si="6"/>
        <v>0</v>
      </c>
      <c r="D267" s="25"/>
      <c r="E267" s="22"/>
      <c r="F267" s="22" t="str">
        <f t="shared" si="8"/>
        <v>#DIV/0!</v>
      </c>
      <c r="G267" s="22" t="str">
        <f t="shared" si="31"/>
        <v>#DIV/0!</v>
      </c>
      <c r="H267" s="22" t="str">
        <f t="shared" si="32"/>
        <v>#DIV/0!</v>
      </c>
      <c r="I267" s="22" t="str">
        <f t="shared" si="3"/>
        <v>#DIV/0!</v>
      </c>
      <c r="J267" s="22" t="str">
        <f t="shared" si="33"/>
        <v>#DIV/0!</v>
      </c>
    </row>
    <row r="268" ht="15.75" customHeight="1">
      <c r="A268" s="25"/>
      <c r="B268" s="22"/>
      <c r="C268" s="22">
        <f t="shared" si="6"/>
        <v>0</v>
      </c>
      <c r="D268" s="25"/>
      <c r="E268" s="22"/>
      <c r="F268" s="22" t="str">
        <f t="shared" si="8"/>
        <v>#DIV/0!</v>
      </c>
      <c r="G268" s="22" t="str">
        <f t="shared" si="31"/>
        <v>#DIV/0!</v>
      </c>
      <c r="H268" s="22" t="str">
        <f t="shared" si="32"/>
        <v>#DIV/0!</v>
      </c>
      <c r="I268" s="22" t="str">
        <f t="shared" si="3"/>
        <v>#DIV/0!</v>
      </c>
      <c r="J268" s="22" t="str">
        <f t="shared" si="33"/>
        <v>#DIV/0!</v>
      </c>
    </row>
    <row r="269" ht="15.75" customHeight="1">
      <c r="A269" s="25"/>
      <c r="B269" s="22"/>
      <c r="C269" s="22">
        <f t="shared" si="6"/>
        <v>0</v>
      </c>
      <c r="D269" s="25"/>
      <c r="E269" s="22"/>
      <c r="F269" s="22" t="str">
        <f t="shared" si="8"/>
        <v>#DIV/0!</v>
      </c>
      <c r="G269" s="22" t="str">
        <f t="shared" si="31"/>
        <v>#DIV/0!</v>
      </c>
      <c r="H269" s="22" t="str">
        <f t="shared" si="32"/>
        <v>#DIV/0!</v>
      </c>
      <c r="I269" s="22" t="str">
        <f t="shared" si="3"/>
        <v>#DIV/0!</v>
      </c>
      <c r="J269" s="22" t="str">
        <f t="shared" si="33"/>
        <v>#DIV/0!</v>
      </c>
    </row>
    <row r="270" ht="15.75" customHeight="1">
      <c r="A270" s="25"/>
      <c r="B270" s="22"/>
      <c r="C270" s="22">
        <f t="shared" si="6"/>
        <v>0</v>
      </c>
      <c r="D270" s="25"/>
      <c r="E270" s="22"/>
      <c r="F270" s="22" t="str">
        <f t="shared" si="8"/>
        <v>#DIV/0!</v>
      </c>
      <c r="G270" s="22" t="str">
        <f t="shared" si="31"/>
        <v>#DIV/0!</v>
      </c>
      <c r="H270" s="22" t="str">
        <f t="shared" si="32"/>
        <v>#DIV/0!</v>
      </c>
      <c r="I270" s="22" t="str">
        <f t="shared" si="3"/>
        <v>#DIV/0!</v>
      </c>
      <c r="J270" s="22" t="str">
        <f t="shared" si="33"/>
        <v>#DIV/0!</v>
      </c>
    </row>
    <row r="271" ht="15.75" customHeight="1">
      <c r="A271" s="25"/>
      <c r="B271" s="22"/>
      <c r="C271" s="22">
        <f t="shared" si="6"/>
        <v>0</v>
      </c>
      <c r="D271" s="25"/>
      <c r="E271" s="22"/>
      <c r="F271" s="22" t="str">
        <f t="shared" si="8"/>
        <v>#DIV/0!</v>
      </c>
      <c r="G271" s="22" t="str">
        <f t="shared" si="31"/>
        <v>#DIV/0!</v>
      </c>
      <c r="H271" s="22" t="str">
        <f t="shared" si="32"/>
        <v>#DIV/0!</v>
      </c>
      <c r="I271" s="22" t="str">
        <f t="shared" si="3"/>
        <v>#DIV/0!</v>
      </c>
      <c r="J271" s="22" t="str">
        <f t="shared" si="33"/>
        <v>#DIV/0!</v>
      </c>
    </row>
    <row r="272" ht="15.75" customHeight="1">
      <c r="A272" s="25"/>
      <c r="B272" s="22"/>
      <c r="C272" s="22">
        <f t="shared" si="6"/>
        <v>0</v>
      </c>
      <c r="D272" s="25"/>
      <c r="E272" s="22"/>
      <c r="F272" s="22" t="str">
        <f t="shared" si="8"/>
        <v>#DIV/0!</v>
      </c>
      <c r="G272" s="22" t="str">
        <f t="shared" si="31"/>
        <v>#DIV/0!</v>
      </c>
      <c r="H272" s="22" t="str">
        <f t="shared" si="32"/>
        <v>#DIV/0!</v>
      </c>
      <c r="I272" s="22" t="str">
        <f t="shared" si="3"/>
        <v>#DIV/0!</v>
      </c>
      <c r="J272" s="22" t="str">
        <f t="shared" si="33"/>
        <v>#DIV/0!</v>
      </c>
    </row>
    <row r="273" ht="15.75" customHeight="1">
      <c r="A273" s="25"/>
      <c r="B273" s="22"/>
      <c r="C273" s="22">
        <f t="shared" si="6"/>
        <v>0</v>
      </c>
      <c r="D273" s="25"/>
      <c r="E273" s="22"/>
      <c r="F273" s="22" t="str">
        <f t="shared" si="8"/>
        <v>#DIV/0!</v>
      </c>
      <c r="G273" s="22" t="str">
        <f t="shared" si="31"/>
        <v>#DIV/0!</v>
      </c>
      <c r="H273" s="22" t="str">
        <f t="shared" si="32"/>
        <v>#DIV/0!</v>
      </c>
      <c r="I273" s="22" t="str">
        <f t="shared" si="3"/>
        <v>#DIV/0!</v>
      </c>
      <c r="J273" s="22" t="str">
        <f t="shared" si="33"/>
        <v>#DIV/0!</v>
      </c>
    </row>
    <row r="274" ht="15.75" customHeight="1">
      <c r="A274" s="25"/>
      <c r="B274" s="22"/>
      <c r="C274" s="22">
        <f t="shared" si="6"/>
        <v>0</v>
      </c>
      <c r="D274" s="25"/>
      <c r="E274" s="22"/>
      <c r="F274" s="22" t="str">
        <f t="shared" si="8"/>
        <v>#DIV/0!</v>
      </c>
      <c r="G274" s="22" t="str">
        <f t="shared" si="31"/>
        <v>#DIV/0!</v>
      </c>
      <c r="H274" s="22" t="str">
        <f t="shared" si="32"/>
        <v>#DIV/0!</v>
      </c>
      <c r="I274" s="22" t="str">
        <f t="shared" si="3"/>
        <v>#DIV/0!</v>
      </c>
      <c r="J274" s="22" t="str">
        <f t="shared" si="33"/>
        <v>#DIV/0!</v>
      </c>
    </row>
    <row r="275" ht="15.75" customHeight="1">
      <c r="A275" s="25"/>
      <c r="B275" s="22"/>
      <c r="C275" s="22">
        <f t="shared" si="6"/>
        <v>0</v>
      </c>
      <c r="D275" s="25"/>
      <c r="E275" s="22"/>
      <c r="F275" s="22" t="str">
        <f t="shared" si="8"/>
        <v>#DIV/0!</v>
      </c>
      <c r="G275" s="22" t="str">
        <f t="shared" si="31"/>
        <v>#DIV/0!</v>
      </c>
      <c r="H275" s="22" t="str">
        <f t="shared" si="32"/>
        <v>#DIV/0!</v>
      </c>
      <c r="I275" s="22" t="str">
        <f t="shared" si="3"/>
        <v>#DIV/0!</v>
      </c>
      <c r="J275" s="22" t="str">
        <f t="shared" si="33"/>
        <v>#DIV/0!</v>
      </c>
    </row>
    <row r="276" ht="15.75" customHeight="1">
      <c r="A276" s="25"/>
      <c r="B276" s="22"/>
      <c r="C276" s="22">
        <f t="shared" si="6"/>
        <v>0</v>
      </c>
      <c r="D276" s="25"/>
      <c r="E276" s="22"/>
      <c r="F276" s="22" t="str">
        <f t="shared" si="8"/>
        <v>#DIV/0!</v>
      </c>
      <c r="G276" s="22" t="str">
        <f t="shared" si="31"/>
        <v>#DIV/0!</v>
      </c>
      <c r="H276" s="22" t="str">
        <f t="shared" si="32"/>
        <v>#DIV/0!</v>
      </c>
      <c r="I276" s="22" t="str">
        <f t="shared" si="3"/>
        <v>#DIV/0!</v>
      </c>
      <c r="J276" s="22" t="str">
        <f t="shared" si="33"/>
        <v>#DIV/0!</v>
      </c>
    </row>
    <row r="277" ht="15.75" customHeight="1">
      <c r="A277" s="25"/>
      <c r="B277" s="22"/>
      <c r="C277" s="22">
        <f t="shared" si="6"/>
        <v>0</v>
      </c>
      <c r="D277" s="25"/>
      <c r="E277" s="22"/>
      <c r="F277" s="22" t="str">
        <f t="shared" si="8"/>
        <v>#DIV/0!</v>
      </c>
      <c r="G277" s="22" t="str">
        <f t="shared" si="31"/>
        <v>#DIV/0!</v>
      </c>
      <c r="H277" s="22" t="str">
        <f t="shared" si="32"/>
        <v>#DIV/0!</v>
      </c>
      <c r="I277" s="22" t="str">
        <f t="shared" si="3"/>
        <v>#DIV/0!</v>
      </c>
      <c r="J277" s="22" t="str">
        <f t="shared" si="33"/>
        <v>#DIV/0!</v>
      </c>
    </row>
    <row r="278" ht="15.75" customHeight="1">
      <c r="A278" s="25"/>
      <c r="B278" s="22"/>
      <c r="C278" s="22">
        <f t="shared" si="6"/>
        <v>0</v>
      </c>
      <c r="D278" s="25"/>
      <c r="E278" s="22"/>
      <c r="F278" s="22" t="str">
        <f t="shared" si="8"/>
        <v>#DIV/0!</v>
      </c>
      <c r="G278" s="22" t="str">
        <f t="shared" si="31"/>
        <v>#DIV/0!</v>
      </c>
      <c r="H278" s="22" t="str">
        <f t="shared" si="32"/>
        <v>#DIV/0!</v>
      </c>
      <c r="I278" s="22" t="str">
        <f t="shared" si="3"/>
        <v>#DIV/0!</v>
      </c>
      <c r="J278" s="22" t="str">
        <f t="shared" si="33"/>
        <v>#DIV/0!</v>
      </c>
    </row>
    <row r="279" ht="15.75" customHeight="1">
      <c r="A279" s="25"/>
      <c r="B279" s="22"/>
      <c r="C279" s="22">
        <f t="shared" si="6"/>
        <v>0</v>
      </c>
      <c r="D279" s="25"/>
      <c r="E279" s="22"/>
      <c r="F279" s="22" t="str">
        <f t="shared" si="8"/>
        <v>#DIV/0!</v>
      </c>
      <c r="G279" s="22" t="str">
        <f t="shared" si="31"/>
        <v>#DIV/0!</v>
      </c>
      <c r="H279" s="22" t="str">
        <f t="shared" si="32"/>
        <v>#DIV/0!</v>
      </c>
      <c r="I279" s="22" t="str">
        <f t="shared" si="3"/>
        <v>#DIV/0!</v>
      </c>
      <c r="J279" s="22" t="str">
        <f t="shared" si="33"/>
        <v>#DIV/0!</v>
      </c>
    </row>
    <row r="280" ht="15.75" customHeight="1">
      <c r="A280" s="25"/>
      <c r="B280" s="22"/>
      <c r="C280" s="22">
        <f t="shared" si="6"/>
        <v>0</v>
      </c>
      <c r="D280" s="25"/>
      <c r="E280" s="22"/>
      <c r="F280" s="22" t="str">
        <f t="shared" si="8"/>
        <v>#DIV/0!</v>
      </c>
      <c r="G280" s="22" t="str">
        <f t="shared" si="31"/>
        <v>#DIV/0!</v>
      </c>
      <c r="H280" s="22" t="str">
        <f t="shared" si="32"/>
        <v>#DIV/0!</v>
      </c>
      <c r="I280" s="22" t="str">
        <f t="shared" si="3"/>
        <v>#DIV/0!</v>
      </c>
      <c r="J280" s="22" t="str">
        <f t="shared" si="33"/>
        <v>#DIV/0!</v>
      </c>
    </row>
    <row r="281" ht="15.75" customHeight="1">
      <c r="A281" s="25"/>
      <c r="B281" s="22"/>
      <c r="C281" s="22">
        <f t="shared" si="6"/>
        <v>0</v>
      </c>
      <c r="D281" s="25"/>
      <c r="E281" s="22"/>
      <c r="F281" s="22" t="str">
        <f t="shared" si="8"/>
        <v>#DIV/0!</v>
      </c>
      <c r="G281" s="22" t="str">
        <f t="shared" si="31"/>
        <v>#DIV/0!</v>
      </c>
      <c r="H281" s="22" t="str">
        <f t="shared" si="32"/>
        <v>#DIV/0!</v>
      </c>
      <c r="I281" s="22" t="str">
        <f t="shared" si="3"/>
        <v>#DIV/0!</v>
      </c>
      <c r="J281" s="22" t="str">
        <f t="shared" si="33"/>
        <v>#DIV/0!</v>
      </c>
    </row>
    <row r="282" ht="15.75" customHeight="1">
      <c r="A282" s="25"/>
      <c r="B282" s="22"/>
      <c r="C282" s="22">
        <f t="shared" si="6"/>
        <v>0</v>
      </c>
      <c r="D282" s="25"/>
      <c r="E282" s="22"/>
      <c r="F282" s="22" t="str">
        <f t="shared" si="8"/>
        <v>#DIV/0!</v>
      </c>
      <c r="G282" s="22" t="str">
        <f t="shared" si="31"/>
        <v>#DIV/0!</v>
      </c>
      <c r="H282" s="22" t="str">
        <f t="shared" si="32"/>
        <v>#DIV/0!</v>
      </c>
      <c r="I282" s="22" t="str">
        <f t="shared" si="3"/>
        <v>#DIV/0!</v>
      </c>
      <c r="J282" s="22" t="str">
        <f t="shared" si="33"/>
        <v>#DIV/0!</v>
      </c>
    </row>
    <row r="283" ht="15.75" customHeight="1">
      <c r="A283" s="25"/>
      <c r="B283" s="22"/>
      <c r="C283" s="22">
        <f t="shared" si="6"/>
        <v>0</v>
      </c>
      <c r="D283" s="25"/>
      <c r="E283" s="22"/>
      <c r="F283" s="22" t="str">
        <f t="shared" si="8"/>
        <v>#DIV/0!</v>
      </c>
      <c r="G283" s="22" t="str">
        <f t="shared" si="31"/>
        <v>#DIV/0!</v>
      </c>
      <c r="H283" s="22" t="str">
        <f t="shared" si="32"/>
        <v>#DIV/0!</v>
      </c>
      <c r="I283" s="22" t="str">
        <f t="shared" si="3"/>
        <v>#DIV/0!</v>
      </c>
      <c r="J283" s="22" t="str">
        <f t="shared" si="33"/>
        <v>#DIV/0!</v>
      </c>
    </row>
    <row r="284" ht="15.75" customHeight="1">
      <c r="A284" s="25"/>
      <c r="B284" s="22"/>
      <c r="C284" s="22">
        <f t="shared" si="6"/>
        <v>0</v>
      </c>
      <c r="D284" s="25"/>
      <c r="E284" s="22"/>
      <c r="F284" s="22" t="str">
        <f t="shared" si="8"/>
        <v>#DIV/0!</v>
      </c>
      <c r="G284" s="22" t="str">
        <f t="shared" si="31"/>
        <v>#DIV/0!</v>
      </c>
      <c r="H284" s="22" t="str">
        <f t="shared" si="32"/>
        <v>#DIV/0!</v>
      </c>
      <c r="I284" s="22" t="str">
        <f t="shared" si="3"/>
        <v>#DIV/0!</v>
      </c>
      <c r="J284" s="22" t="str">
        <f t="shared" si="33"/>
        <v>#DIV/0!</v>
      </c>
    </row>
    <row r="285" ht="15.75" customHeight="1">
      <c r="A285" s="25"/>
      <c r="B285" s="22"/>
      <c r="C285" s="22">
        <f t="shared" si="6"/>
        <v>0</v>
      </c>
      <c r="D285" s="25"/>
      <c r="E285" s="22"/>
      <c r="F285" s="22" t="str">
        <f t="shared" si="8"/>
        <v>#DIV/0!</v>
      </c>
      <c r="G285" s="22" t="str">
        <f t="shared" si="31"/>
        <v>#DIV/0!</v>
      </c>
      <c r="H285" s="22" t="str">
        <f t="shared" si="32"/>
        <v>#DIV/0!</v>
      </c>
      <c r="I285" s="22" t="str">
        <f t="shared" si="3"/>
        <v>#DIV/0!</v>
      </c>
      <c r="J285" s="22" t="str">
        <f t="shared" si="33"/>
        <v>#DIV/0!</v>
      </c>
    </row>
    <row r="286" ht="15.75" customHeight="1">
      <c r="A286" s="25"/>
      <c r="B286" s="22"/>
      <c r="C286" s="22">
        <f t="shared" si="6"/>
        <v>0</v>
      </c>
      <c r="D286" s="25"/>
      <c r="E286" s="22"/>
      <c r="F286" s="22" t="str">
        <f t="shared" si="8"/>
        <v>#DIV/0!</v>
      </c>
      <c r="G286" s="22" t="str">
        <f t="shared" si="31"/>
        <v>#DIV/0!</v>
      </c>
      <c r="H286" s="22" t="str">
        <f t="shared" si="32"/>
        <v>#DIV/0!</v>
      </c>
      <c r="I286" s="22" t="str">
        <f t="shared" si="3"/>
        <v>#DIV/0!</v>
      </c>
      <c r="J286" s="22" t="str">
        <f t="shared" si="33"/>
        <v>#DIV/0!</v>
      </c>
    </row>
    <row r="287" ht="15.75" customHeight="1">
      <c r="A287" s="25"/>
      <c r="B287" s="22"/>
      <c r="C287" s="22">
        <f t="shared" si="6"/>
        <v>0</v>
      </c>
      <c r="D287" s="25"/>
      <c r="E287" s="22"/>
      <c r="F287" s="22" t="str">
        <f t="shared" si="8"/>
        <v>#DIV/0!</v>
      </c>
      <c r="G287" s="22" t="str">
        <f t="shared" si="31"/>
        <v>#DIV/0!</v>
      </c>
      <c r="H287" s="22" t="str">
        <f t="shared" si="32"/>
        <v>#DIV/0!</v>
      </c>
      <c r="I287" s="22" t="str">
        <f t="shared" si="3"/>
        <v>#DIV/0!</v>
      </c>
      <c r="J287" s="22" t="str">
        <f t="shared" si="33"/>
        <v>#DIV/0!</v>
      </c>
    </row>
    <row r="288" ht="15.75" customHeight="1">
      <c r="A288" s="25"/>
      <c r="B288" s="22"/>
      <c r="C288" s="22">
        <f t="shared" si="6"/>
        <v>0</v>
      </c>
      <c r="D288" s="25"/>
      <c r="E288" s="22"/>
      <c r="F288" s="22" t="str">
        <f t="shared" si="8"/>
        <v>#DIV/0!</v>
      </c>
      <c r="G288" s="22" t="str">
        <f t="shared" si="31"/>
        <v>#DIV/0!</v>
      </c>
      <c r="H288" s="22" t="str">
        <f t="shared" si="32"/>
        <v>#DIV/0!</v>
      </c>
      <c r="I288" s="22" t="str">
        <f t="shared" si="3"/>
        <v>#DIV/0!</v>
      </c>
      <c r="J288" s="22" t="str">
        <f t="shared" si="33"/>
        <v>#DIV/0!</v>
      </c>
    </row>
    <row r="289" ht="15.75" customHeight="1">
      <c r="A289" s="25"/>
      <c r="B289" s="22"/>
      <c r="C289" s="22">
        <f t="shared" si="6"/>
        <v>0</v>
      </c>
      <c r="D289" s="25"/>
      <c r="E289" s="22"/>
      <c r="F289" s="22" t="str">
        <f t="shared" si="8"/>
        <v>#DIV/0!</v>
      </c>
      <c r="G289" s="22" t="str">
        <f t="shared" si="31"/>
        <v>#DIV/0!</v>
      </c>
      <c r="H289" s="22" t="str">
        <f t="shared" si="32"/>
        <v>#DIV/0!</v>
      </c>
      <c r="I289" s="22" t="str">
        <f t="shared" si="3"/>
        <v>#DIV/0!</v>
      </c>
      <c r="J289" s="22" t="str">
        <f t="shared" si="33"/>
        <v>#DIV/0!</v>
      </c>
    </row>
    <row r="290" ht="15.75" customHeight="1">
      <c r="A290" s="25"/>
      <c r="B290" s="22"/>
      <c r="C290" s="22">
        <f t="shared" si="6"/>
        <v>0</v>
      </c>
      <c r="D290" s="25"/>
      <c r="E290" s="22"/>
      <c r="F290" s="22" t="str">
        <f t="shared" si="8"/>
        <v>#DIV/0!</v>
      </c>
      <c r="G290" s="22" t="str">
        <f t="shared" si="31"/>
        <v>#DIV/0!</v>
      </c>
      <c r="H290" s="22" t="str">
        <f t="shared" si="32"/>
        <v>#DIV/0!</v>
      </c>
      <c r="I290" s="22" t="str">
        <f t="shared" si="3"/>
        <v>#DIV/0!</v>
      </c>
      <c r="J290" s="22" t="str">
        <f t="shared" si="33"/>
        <v>#DIV/0!</v>
      </c>
    </row>
    <row r="291" ht="15.75" customHeight="1">
      <c r="A291" s="25"/>
      <c r="B291" s="22"/>
      <c r="C291" s="22">
        <f t="shared" si="6"/>
        <v>0</v>
      </c>
      <c r="D291" s="25"/>
      <c r="E291" s="22"/>
      <c r="F291" s="22" t="str">
        <f t="shared" si="8"/>
        <v>#DIV/0!</v>
      </c>
      <c r="G291" s="22" t="str">
        <f t="shared" si="31"/>
        <v>#DIV/0!</v>
      </c>
      <c r="H291" s="22" t="str">
        <f t="shared" si="32"/>
        <v>#DIV/0!</v>
      </c>
      <c r="I291" s="22" t="str">
        <f t="shared" si="3"/>
        <v>#DIV/0!</v>
      </c>
      <c r="J291" s="22" t="str">
        <f t="shared" si="33"/>
        <v>#DIV/0!</v>
      </c>
    </row>
    <row r="292" ht="15.75" customHeight="1">
      <c r="A292" s="25"/>
      <c r="B292" s="22"/>
      <c r="C292" s="22">
        <f t="shared" si="6"/>
        <v>0</v>
      </c>
      <c r="D292" s="25"/>
      <c r="E292" s="22"/>
      <c r="F292" s="22" t="str">
        <f t="shared" si="8"/>
        <v>#DIV/0!</v>
      </c>
      <c r="G292" s="22" t="str">
        <f t="shared" si="31"/>
        <v>#DIV/0!</v>
      </c>
      <c r="H292" s="22" t="str">
        <f t="shared" si="32"/>
        <v>#DIV/0!</v>
      </c>
      <c r="I292" s="22" t="str">
        <f t="shared" si="3"/>
        <v>#DIV/0!</v>
      </c>
      <c r="J292" s="22" t="str">
        <f t="shared" si="33"/>
        <v>#DIV/0!</v>
      </c>
    </row>
    <row r="293" ht="15.75" customHeight="1">
      <c r="A293" s="25"/>
      <c r="B293" s="22"/>
      <c r="C293" s="22">
        <f t="shared" si="6"/>
        <v>0</v>
      </c>
      <c r="D293" s="25"/>
      <c r="E293" s="22"/>
      <c r="F293" s="22" t="str">
        <f t="shared" si="8"/>
        <v>#DIV/0!</v>
      </c>
      <c r="G293" s="22" t="str">
        <f t="shared" si="31"/>
        <v>#DIV/0!</v>
      </c>
      <c r="H293" s="22" t="str">
        <f t="shared" si="32"/>
        <v>#DIV/0!</v>
      </c>
      <c r="I293" s="22" t="str">
        <f t="shared" si="3"/>
        <v>#DIV/0!</v>
      </c>
      <c r="J293" s="22" t="str">
        <f t="shared" si="33"/>
        <v>#DIV/0!</v>
      </c>
    </row>
    <row r="294" ht="15.75" customHeight="1">
      <c r="A294" s="25"/>
      <c r="B294" s="22"/>
      <c r="C294" s="22">
        <f t="shared" si="6"/>
        <v>0</v>
      </c>
      <c r="D294" s="25"/>
      <c r="E294" s="22"/>
      <c r="F294" s="22" t="str">
        <f t="shared" si="8"/>
        <v>#DIV/0!</v>
      </c>
      <c r="G294" s="22" t="str">
        <f t="shared" si="31"/>
        <v>#DIV/0!</v>
      </c>
      <c r="H294" s="22" t="str">
        <f t="shared" si="32"/>
        <v>#DIV/0!</v>
      </c>
      <c r="I294" s="22" t="str">
        <f t="shared" si="3"/>
        <v>#DIV/0!</v>
      </c>
      <c r="J294" s="22" t="str">
        <f t="shared" si="33"/>
        <v>#DIV/0!</v>
      </c>
    </row>
    <row r="295" ht="15.75" customHeight="1">
      <c r="A295" s="25"/>
      <c r="B295" s="22"/>
      <c r="C295" s="22">
        <f t="shared" si="6"/>
        <v>0</v>
      </c>
      <c r="D295" s="25"/>
      <c r="E295" s="22"/>
      <c r="F295" s="22" t="str">
        <f t="shared" si="8"/>
        <v>#DIV/0!</v>
      </c>
      <c r="G295" s="22" t="str">
        <f t="shared" si="31"/>
        <v>#DIV/0!</v>
      </c>
      <c r="H295" s="22" t="str">
        <f t="shared" si="32"/>
        <v>#DIV/0!</v>
      </c>
      <c r="I295" s="22" t="str">
        <f t="shared" si="3"/>
        <v>#DIV/0!</v>
      </c>
      <c r="J295" s="22" t="str">
        <f t="shared" si="33"/>
        <v>#DIV/0!</v>
      </c>
    </row>
    <row r="296" ht="15.75" customHeight="1">
      <c r="A296" s="25"/>
      <c r="B296" s="22"/>
      <c r="C296" s="22">
        <f t="shared" si="6"/>
        <v>0</v>
      </c>
      <c r="D296" s="25"/>
      <c r="E296" s="22"/>
      <c r="F296" s="22" t="str">
        <f t="shared" si="8"/>
        <v>#DIV/0!</v>
      </c>
      <c r="G296" s="22" t="str">
        <f t="shared" si="31"/>
        <v>#DIV/0!</v>
      </c>
      <c r="H296" s="22" t="str">
        <f t="shared" si="32"/>
        <v>#DIV/0!</v>
      </c>
      <c r="I296" s="22" t="str">
        <f t="shared" si="3"/>
        <v>#DIV/0!</v>
      </c>
      <c r="J296" s="22" t="str">
        <f t="shared" si="33"/>
        <v>#DIV/0!</v>
      </c>
    </row>
    <row r="297" ht="15.75" customHeight="1">
      <c r="A297" s="25"/>
      <c r="B297" s="22"/>
      <c r="C297" s="22">
        <f t="shared" si="6"/>
        <v>0</v>
      </c>
      <c r="D297" s="25"/>
      <c r="E297" s="22"/>
      <c r="F297" s="22" t="str">
        <f t="shared" si="8"/>
        <v>#DIV/0!</v>
      </c>
      <c r="G297" s="22" t="str">
        <f t="shared" si="31"/>
        <v>#DIV/0!</v>
      </c>
      <c r="H297" s="22" t="str">
        <f t="shared" si="32"/>
        <v>#DIV/0!</v>
      </c>
      <c r="I297" s="22" t="str">
        <f t="shared" si="3"/>
        <v>#DIV/0!</v>
      </c>
      <c r="J297" s="22" t="str">
        <f t="shared" si="33"/>
        <v>#DIV/0!</v>
      </c>
    </row>
    <row r="298" ht="15.75" customHeight="1">
      <c r="A298" s="25"/>
      <c r="B298" s="22"/>
      <c r="C298" s="22">
        <f t="shared" si="6"/>
        <v>0</v>
      </c>
      <c r="D298" s="25"/>
      <c r="E298" s="22"/>
      <c r="F298" s="22" t="str">
        <f t="shared" si="8"/>
        <v>#DIV/0!</v>
      </c>
      <c r="G298" s="22" t="str">
        <f t="shared" si="31"/>
        <v>#DIV/0!</v>
      </c>
      <c r="H298" s="22" t="str">
        <f t="shared" si="32"/>
        <v>#DIV/0!</v>
      </c>
      <c r="I298" s="22" t="str">
        <f t="shared" si="3"/>
        <v>#DIV/0!</v>
      </c>
      <c r="J298" s="22" t="str">
        <f t="shared" si="33"/>
        <v>#DIV/0!</v>
      </c>
    </row>
    <row r="299" ht="15.75" customHeight="1">
      <c r="A299" s="25"/>
      <c r="B299" s="22"/>
      <c r="C299" s="22">
        <f t="shared" si="6"/>
        <v>0</v>
      </c>
      <c r="D299" s="25"/>
      <c r="E299" s="22"/>
      <c r="F299" s="22" t="str">
        <f t="shared" si="8"/>
        <v>#DIV/0!</v>
      </c>
      <c r="G299" s="22" t="str">
        <f t="shared" si="31"/>
        <v>#DIV/0!</v>
      </c>
      <c r="H299" s="22" t="str">
        <f t="shared" si="32"/>
        <v>#DIV/0!</v>
      </c>
      <c r="I299" s="22" t="str">
        <f t="shared" si="3"/>
        <v>#DIV/0!</v>
      </c>
      <c r="J299" s="22" t="str">
        <f t="shared" si="33"/>
        <v>#DIV/0!</v>
      </c>
    </row>
    <row r="300" ht="15.75" customHeight="1">
      <c r="A300" s="25"/>
      <c r="B300" s="22"/>
      <c r="C300" s="22">
        <f t="shared" si="6"/>
        <v>0</v>
      </c>
      <c r="D300" s="25"/>
      <c r="E300" s="22"/>
      <c r="F300" s="22" t="str">
        <f t="shared" si="8"/>
        <v>#DIV/0!</v>
      </c>
      <c r="G300" s="22" t="str">
        <f t="shared" si="31"/>
        <v>#DIV/0!</v>
      </c>
      <c r="H300" s="22" t="str">
        <f t="shared" si="32"/>
        <v>#DIV/0!</v>
      </c>
      <c r="I300" s="22" t="str">
        <f t="shared" si="3"/>
        <v>#DIV/0!</v>
      </c>
      <c r="J300" s="22" t="str">
        <f t="shared" si="33"/>
        <v>#DIV/0!</v>
      </c>
    </row>
    <row r="301" ht="15.75" customHeight="1">
      <c r="A301" s="25"/>
      <c r="B301" s="22"/>
      <c r="C301" s="22">
        <f t="shared" si="6"/>
        <v>0</v>
      </c>
      <c r="D301" s="25"/>
      <c r="E301" s="22"/>
      <c r="F301" s="22" t="str">
        <f t="shared" si="8"/>
        <v>#DIV/0!</v>
      </c>
      <c r="G301" s="22" t="str">
        <f t="shared" si="31"/>
        <v>#DIV/0!</v>
      </c>
      <c r="H301" s="22" t="str">
        <f t="shared" si="32"/>
        <v>#DIV/0!</v>
      </c>
      <c r="I301" s="22" t="str">
        <f t="shared" si="3"/>
        <v>#DIV/0!</v>
      </c>
      <c r="J301" s="22" t="str">
        <f t="shared" si="33"/>
        <v>#DIV/0!</v>
      </c>
    </row>
    <row r="302" ht="15.75" customHeight="1">
      <c r="A302" s="25"/>
      <c r="B302" s="22"/>
      <c r="C302" s="22">
        <f t="shared" si="6"/>
        <v>0</v>
      </c>
      <c r="D302" s="25"/>
      <c r="E302" s="22"/>
      <c r="F302" s="22" t="str">
        <f t="shared" si="8"/>
        <v>#DIV/0!</v>
      </c>
      <c r="G302" s="22" t="str">
        <f t="shared" si="31"/>
        <v>#DIV/0!</v>
      </c>
      <c r="H302" s="22" t="str">
        <f t="shared" si="32"/>
        <v>#DIV/0!</v>
      </c>
      <c r="I302" s="22" t="str">
        <f t="shared" si="3"/>
        <v>#DIV/0!</v>
      </c>
      <c r="J302" s="22" t="str">
        <f t="shared" si="33"/>
        <v>#DIV/0!</v>
      </c>
    </row>
    <row r="303" ht="15.75" customHeight="1">
      <c r="A303" s="25"/>
      <c r="B303" s="22"/>
      <c r="C303" s="22">
        <f t="shared" si="6"/>
        <v>0</v>
      </c>
      <c r="D303" s="25"/>
      <c r="E303" s="22"/>
      <c r="F303" s="22" t="str">
        <f t="shared" si="8"/>
        <v>#DIV/0!</v>
      </c>
      <c r="G303" s="22" t="str">
        <f t="shared" si="31"/>
        <v>#DIV/0!</v>
      </c>
      <c r="H303" s="22" t="str">
        <f t="shared" si="32"/>
        <v>#DIV/0!</v>
      </c>
      <c r="I303" s="22" t="str">
        <f t="shared" si="3"/>
        <v>#DIV/0!</v>
      </c>
      <c r="J303" s="22" t="str">
        <f t="shared" si="33"/>
        <v>#DIV/0!</v>
      </c>
    </row>
    <row r="304" ht="15.75" customHeight="1">
      <c r="A304" s="25"/>
      <c r="B304" s="22"/>
      <c r="C304" s="22">
        <f t="shared" si="6"/>
        <v>0</v>
      </c>
      <c r="D304" s="25"/>
      <c r="E304" s="22"/>
      <c r="F304" s="22" t="str">
        <f t="shared" si="8"/>
        <v>#DIV/0!</v>
      </c>
      <c r="G304" s="22" t="str">
        <f t="shared" si="31"/>
        <v>#DIV/0!</v>
      </c>
      <c r="H304" s="22" t="str">
        <f t="shared" si="32"/>
        <v>#DIV/0!</v>
      </c>
      <c r="I304" s="22" t="str">
        <f t="shared" si="3"/>
        <v>#DIV/0!</v>
      </c>
      <c r="J304" s="22" t="str">
        <f t="shared" si="33"/>
        <v>#DIV/0!</v>
      </c>
    </row>
    <row r="305" ht="15.75" customHeight="1">
      <c r="A305" s="25"/>
      <c r="B305" s="22"/>
      <c r="C305" s="22">
        <f t="shared" si="6"/>
        <v>0</v>
      </c>
      <c r="D305" s="25"/>
      <c r="E305" s="22"/>
      <c r="F305" s="22" t="str">
        <f t="shared" si="8"/>
        <v>#DIV/0!</v>
      </c>
      <c r="G305" s="22" t="str">
        <f t="shared" si="31"/>
        <v>#DIV/0!</v>
      </c>
      <c r="H305" s="22" t="str">
        <f t="shared" si="32"/>
        <v>#DIV/0!</v>
      </c>
      <c r="I305" s="22" t="str">
        <f t="shared" si="3"/>
        <v>#DIV/0!</v>
      </c>
      <c r="J305" s="22" t="str">
        <f t="shared" si="33"/>
        <v>#DIV/0!</v>
      </c>
    </row>
    <row r="306" ht="15.75" customHeight="1">
      <c r="A306" s="25"/>
      <c r="B306" s="22"/>
      <c r="C306" s="22">
        <f t="shared" si="6"/>
        <v>0</v>
      </c>
      <c r="D306" s="25"/>
      <c r="E306" s="22"/>
      <c r="F306" s="22" t="str">
        <f t="shared" si="8"/>
        <v>#DIV/0!</v>
      </c>
      <c r="G306" s="22" t="str">
        <f t="shared" si="31"/>
        <v>#DIV/0!</v>
      </c>
      <c r="H306" s="22" t="str">
        <f t="shared" si="32"/>
        <v>#DIV/0!</v>
      </c>
      <c r="I306" s="22" t="str">
        <f t="shared" si="3"/>
        <v>#DIV/0!</v>
      </c>
      <c r="J306" s="22" t="str">
        <f t="shared" si="33"/>
        <v>#DIV/0!</v>
      </c>
    </row>
    <row r="307" ht="15.75" customHeight="1">
      <c r="A307" s="25"/>
      <c r="B307" s="22"/>
      <c r="C307" s="22">
        <f t="shared" si="6"/>
        <v>0</v>
      </c>
      <c r="D307" s="25"/>
      <c r="E307" s="22"/>
      <c r="F307" s="22" t="str">
        <f t="shared" si="8"/>
        <v>#DIV/0!</v>
      </c>
      <c r="G307" s="22" t="str">
        <f t="shared" si="31"/>
        <v>#DIV/0!</v>
      </c>
      <c r="H307" s="22" t="str">
        <f t="shared" si="32"/>
        <v>#DIV/0!</v>
      </c>
      <c r="I307" s="22" t="str">
        <f t="shared" si="3"/>
        <v>#DIV/0!</v>
      </c>
      <c r="J307" s="22" t="str">
        <f t="shared" si="33"/>
        <v>#DIV/0!</v>
      </c>
    </row>
    <row r="308" ht="15.75" customHeight="1">
      <c r="A308" s="25"/>
      <c r="B308" s="22"/>
      <c r="C308" s="22">
        <f t="shared" si="6"/>
        <v>0</v>
      </c>
      <c r="D308" s="25"/>
      <c r="E308" s="22"/>
      <c r="F308" s="22" t="str">
        <f t="shared" si="8"/>
        <v>#DIV/0!</v>
      </c>
      <c r="G308" s="22" t="str">
        <f t="shared" si="31"/>
        <v>#DIV/0!</v>
      </c>
      <c r="H308" s="22" t="str">
        <f t="shared" si="32"/>
        <v>#DIV/0!</v>
      </c>
      <c r="I308" s="22" t="str">
        <f t="shared" si="3"/>
        <v>#DIV/0!</v>
      </c>
      <c r="J308" s="22" t="str">
        <f t="shared" si="33"/>
        <v>#DIV/0!</v>
      </c>
    </row>
    <row r="309" ht="15.75" customHeight="1">
      <c r="A309" s="25"/>
      <c r="B309" s="22"/>
      <c r="C309" s="22">
        <f t="shared" si="6"/>
        <v>0</v>
      </c>
      <c r="D309" s="25"/>
      <c r="E309" s="22"/>
      <c r="F309" s="22" t="str">
        <f t="shared" si="8"/>
        <v>#DIV/0!</v>
      </c>
      <c r="G309" s="22" t="str">
        <f t="shared" si="31"/>
        <v>#DIV/0!</v>
      </c>
      <c r="H309" s="22" t="str">
        <f t="shared" si="32"/>
        <v>#DIV/0!</v>
      </c>
      <c r="I309" s="22" t="str">
        <f t="shared" si="3"/>
        <v>#DIV/0!</v>
      </c>
      <c r="J309" s="22" t="str">
        <f t="shared" si="33"/>
        <v>#DIV/0!</v>
      </c>
    </row>
    <row r="310" ht="15.75" customHeight="1">
      <c r="A310" s="25"/>
      <c r="B310" s="22"/>
      <c r="C310" s="22">
        <f t="shared" si="6"/>
        <v>0</v>
      </c>
      <c r="D310" s="25"/>
      <c r="E310" s="22"/>
      <c r="F310" s="22" t="str">
        <f t="shared" si="8"/>
        <v>#DIV/0!</v>
      </c>
      <c r="G310" s="22" t="str">
        <f t="shared" si="31"/>
        <v>#DIV/0!</v>
      </c>
      <c r="H310" s="22" t="str">
        <f t="shared" si="32"/>
        <v>#DIV/0!</v>
      </c>
      <c r="I310" s="22" t="str">
        <f t="shared" si="3"/>
        <v>#DIV/0!</v>
      </c>
      <c r="J310" s="22" t="str">
        <f t="shared" si="33"/>
        <v>#DIV/0!</v>
      </c>
    </row>
    <row r="311" ht="15.75" customHeight="1">
      <c r="A311" s="25"/>
      <c r="B311" s="22"/>
      <c r="C311" s="22">
        <f t="shared" si="6"/>
        <v>0</v>
      </c>
      <c r="D311" s="25"/>
      <c r="E311" s="22"/>
      <c r="F311" s="22" t="str">
        <f t="shared" si="8"/>
        <v>#DIV/0!</v>
      </c>
      <c r="G311" s="22" t="str">
        <f t="shared" si="31"/>
        <v>#DIV/0!</v>
      </c>
      <c r="H311" s="22" t="str">
        <f t="shared" si="32"/>
        <v>#DIV/0!</v>
      </c>
      <c r="I311" s="22" t="str">
        <f t="shared" si="3"/>
        <v>#DIV/0!</v>
      </c>
      <c r="J311" s="22" t="str">
        <f t="shared" si="33"/>
        <v>#DIV/0!</v>
      </c>
    </row>
    <row r="312" ht="15.75" customHeight="1">
      <c r="A312" s="25"/>
      <c r="B312" s="22"/>
      <c r="C312" s="22">
        <f t="shared" si="6"/>
        <v>0</v>
      </c>
      <c r="D312" s="25"/>
      <c r="E312" s="22"/>
      <c r="F312" s="22" t="str">
        <f t="shared" si="8"/>
        <v>#DIV/0!</v>
      </c>
      <c r="G312" s="22" t="str">
        <f t="shared" si="31"/>
        <v>#DIV/0!</v>
      </c>
      <c r="H312" s="22" t="str">
        <f t="shared" si="32"/>
        <v>#DIV/0!</v>
      </c>
      <c r="I312" s="22" t="str">
        <f t="shared" si="3"/>
        <v>#DIV/0!</v>
      </c>
      <c r="J312" s="22" t="str">
        <f t="shared" si="33"/>
        <v>#DIV/0!</v>
      </c>
    </row>
    <row r="313" ht="15.75" customHeight="1">
      <c r="A313" s="25"/>
      <c r="B313" s="22"/>
      <c r="C313" s="22">
        <f t="shared" si="6"/>
        <v>0</v>
      </c>
      <c r="D313" s="25"/>
      <c r="E313" s="22"/>
      <c r="F313" s="22" t="str">
        <f t="shared" si="8"/>
        <v>#DIV/0!</v>
      </c>
      <c r="G313" s="22" t="str">
        <f t="shared" si="31"/>
        <v>#DIV/0!</v>
      </c>
      <c r="H313" s="22" t="str">
        <f t="shared" si="32"/>
        <v>#DIV/0!</v>
      </c>
      <c r="I313" s="22" t="str">
        <f t="shared" si="3"/>
        <v>#DIV/0!</v>
      </c>
      <c r="J313" s="22" t="str">
        <f t="shared" si="33"/>
        <v>#DIV/0!</v>
      </c>
    </row>
    <row r="314" ht="15.75" customHeight="1">
      <c r="A314" s="25"/>
      <c r="B314" s="22"/>
      <c r="C314" s="22">
        <f t="shared" si="6"/>
        <v>0</v>
      </c>
      <c r="D314" s="25"/>
      <c r="E314" s="22"/>
      <c r="F314" s="22" t="str">
        <f t="shared" si="8"/>
        <v>#DIV/0!</v>
      </c>
      <c r="G314" s="22" t="str">
        <f t="shared" si="31"/>
        <v>#DIV/0!</v>
      </c>
      <c r="H314" s="22" t="str">
        <f t="shared" si="32"/>
        <v>#DIV/0!</v>
      </c>
      <c r="I314" s="22" t="str">
        <f t="shared" si="3"/>
        <v>#DIV/0!</v>
      </c>
      <c r="J314" s="22" t="str">
        <f t="shared" si="33"/>
        <v>#DIV/0!</v>
      </c>
    </row>
    <row r="315" ht="15.75" customHeight="1">
      <c r="A315" s="25"/>
      <c r="B315" s="22"/>
      <c r="C315" s="22">
        <f t="shared" si="6"/>
        <v>0</v>
      </c>
      <c r="D315" s="25"/>
      <c r="E315" s="22"/>
      <c r="F315" s="22" t="str">
        <f t="shared" si="8"/>
        <v>#DIV/0!</v>
      </c>
      <c r="G315" s="22" t="str">
        <f t="shared" si="31"/>
        <v>#DIV/0!</v>
      </c>
      <c r="H315" s="22" t="str">
        <f t="shared" si="32"/>
        <v>#DIV/0!</v>
      </c>
      <c r="I315" s="22" t="str">
        <f t="shared" si="3"/>
        <v>#DIV/0!</v>
      </c>
      <c r="J315" s="22" t="str">
        <f t="shared" si="33"/>
        <v>#DIV/0!</v>
      </c>
    </row>
    <row r="316" ht="15.75" customHeight="1">
      <c r="A316" s="25"/>
      <c r="B316" s="22"/>
      <c r="C316" s="22">
        <f t="shared" si="6"/>
        <v>0</v>
      </c>
      <c r="D316" s="25"/>
      <c r="E316" s="22"/>
      <c r="F316" s="22" t="str">
        <f t="shared" si="8"/>
        <v>#DIV/0!</v>
      </c>
      <c r="G316" s="22" t="str">
        <f t="shared" si="31"/>
        <v>#DIV/0!</v>
      </c>
      <c r="H316" s="22" t="str">
        <f t="shared" si="32"/>
        <v>#DIV/0!</v>
      </c>
      <c r="I316" s="22" t="str">
        <f t="shared" si="3"/>
        <v>#DIV/0!</v>
      </c>
      <c r="J316" s="22" t="str">
        <f t="shared" si="33"/>
        <v>#DIV/0!</v>
      </c>
    </row>
    <row r="317" ht="15.75" customHeight="1">
      <c r="A317" s="25"/>
      <c r="B317" s="22"/>
      <c r="C317" s="22">
        <f t="shared" si="6"/>
        <v>0</v>
      </c>
      <c r="D317" s="25"/>
      <c r="E317" s="22"/>
      <c r="F317" s="22" t="str">
        <f t="shared" si="8"/>
        <v>#DIV/0!</v>
      </c>
      <c r="G317" s="22" t="str">
        <f t="shared" si="31"/>
        <v>#DIV/0!</v>
      </c>
      <c r="H317" s="22" t="str">
        <f t="shared" si="32"/>
        <v>#DIV/0!</v>
      </c>
      <c r="I317" s="22" t="str">
        <f t="shared" si="3"/>
        <v>#DIV/0!</v>
      </c>
      <c r="J317" s="22" t="str">
        <f t="shared" si="33"/>
        <v>#DIV/0!</v>
      </c>
    </row>
    <row r="318" ht="15.75" customHeight="1">
      <c r="A318" s="25"/>
      <c r="B318" s="22"/>
      <c r="C318" s="22">
        <f t="shared" si="6"/>
        <v>0</v>
      </c>
      <c r="D318" s="25"/>
      <c r="E318" s="22"/>
      <c r="F318" s="22" t="str">
        <f t="shared" si="8"/>
        <v>#DIV/0!</v>
      </c>
      <c r="G318" s="22" t="str">
        <f t="shared" si="31"/>
        <v>#DIV/0!</v>
      </c>
      <c r="H318" s="22" t="str">
        <f t="shared" si="32"/>
        <v>#DIV/0!</v>
      </c>
      <c r="I318" s="22" t="str">
        <f t="shared" si="3"/>
        <v>#DIV/0!</v>
      </c>
      <c r="J318" s="22" t="str">
        <f t="shared" si="33"/>
        <v>#DIV/0!</v>
      </c>
    </row>
    <row r="319" ht="15.75" customHeight="1">
      <c r="A319" s="25"/>
      <c r="B319" s="22"/>
      <c r="C319" s="22">
        <f t="shared" si="6"/>
        <v>0</v>
      </c>
      <c r="D319" s="25"/>
      <c r="E319" s="22"/>
      <c r="F319" s="22" t="str">
        <f t="shared" si="8"/>
        <v>#DIV/0!</v>
      </c>
      <c r="G319" s="22" t="str">
        <f t="shared" si="31"/>
        <v>#DIV/0!</v>
      </c>
      <c r="H319" s="22" t="str">
        <f t="shared" si="32"/>
        <v>#DIV/0!</v>
      </c>
      <c r="I319" s="22" t="str">
        <f t="shared" si="3"/>
        <v>#DIV/0!</v>
      </c>
      <c r="J319" s="22" t="str">
        <f t="shared" si="33"/>
        <v>#DIV/0!</v>
      </c>
    </row>
    <row r="320" ht="15.75" customHeight="1">
      <c r="A320" s="25"/>
      <c r="B320" s="22"/>
      <c r="C320" s="22">
        <f t="shared" si="6"/>
        <v>0</v>
      </c>
      <c r="D320" s="25"/>
      <c r="E320" s="22"/>
      <c r="F320" s="22" t="str">
        <f t="shared" si="8"/>
        <v>#DIV/0!</v>
      </c>
      <c r="G320" s="22" t="str">
        <f t="shared" si="31"/>
        <v>#DIV/0!</v>
      </c>
      <c r="H320" s="22" t="str">
        <f t="shared" si="32"/>
        <v>#DIV/0!</v>
      </c>
      <c r="I320" s="22" t="str">
        <f t="shared" si="3"/>
        <v>#DIV/0!</v>
      </c>
      <c r="J320" s="22" t="str">
        <f t="shared" si="33"/>
        <v>#DIV/0!</v>
      </c>
    </row>
    <row r="321" ht="15.75" customHeight="1">
      <c r="A321" s="25"/>
      <c r="B321" s="22"/>
      <c r="C321" s="22">
        <f t="shared" si="6"/>
        <v>0</v>
      </c>
      <c r="D321" s="25"/>
      <c r="E321" s="22"/>
      <c r="F321" s="22" t="str">
        <f t="shared" si="8"/>
        <v>#DIV/0!</v>
      </c>
      <c r="G321" s="22" t="str">
        <f t="shared" si="31"/>
        <v>#DIV/0!</v>
      </c>
      <c r="H321" s="22" t="str">
        <f t="shared" si="32"/>
        <v>#DIV/0!</v>
      </c>
      <c r="I321" s="22" t="str">
        <f t="shared" si="3"/>
        <v>#DIV/0!</v>
      </c>
      <c r="J321" s="22" t="str">
        <f t="shared" si="33"/>
        <v>#DIV/0!</v>
      </c>
    </row>
    <row r="322" ht="15.75" customHeight="1">
      <c r="A322" s="25"/>
      <c r="B322" s="22"/>
      <c r="C322" s="22">
        <f t="shared" si="6"/>
        <v>0</v>
      </c>
      <c r="D322" s="25"/>
      <c r="E322" s="22"/>
      <c r="F322" s="22" t="str">
        <f t="shared" si="8"/>
        <v>#DIV/0!</v>
      </c>
      <c r="G322" s="22" t="str">
        <f t="shared" si="31"/>
        <v>#DIV/0!</v>
      </c>
      <c r="H322" s="22" t="str">
        <f t="shared" si="32"/>
        <v>#DIV/0!</v>
      </c>
      <c r="I322" s="22" t="str">
        <f t="shared" si="3"/>
        <v>#DIV/0!</v>
      </c>
      <c r="J322" s="22" t="str">
        <f t="shared" si="33"/>
        <v>#DIV/0!</v>
      </c>
    </row>
    <row r="323" ht="15.75" customHeight="1">
      <c r="A323" s="25"/>
      <c r="B323" s="22"/>
      <c r="C323" s="22">
        <f t="shared" si="6"/>
        <v>0</v>
      </c>
      <c r="D323" s="25"/>
      <c r="E323" s="22"/>
      <c r="F323" s="22" t="str">
        <f t="shared" si="8"/>
        <v>#DIV/0!</v>
      </c>
      <c r="G323" s="22" t="str">
        <f t="shared" si="31"/>
        <v>#DIV/0!</v>
      </c>
      <c r="H323" s="22" t="str">
        <f t="shared" si="32"/>
        <v>#DIV/0!</v>
      </c>
      <c r="I323" s="22" t="str">
        <f t="shared" si="3"/>
        <v>#DIV/0!</v>
      </c>
      <c r="J323" s="22" t="str">
        <f t="shared" si="33"/>
        <v>#DIV/0!</v>
      </c>
    </row>
    <row r="324" ht="15.75" customHeight="1">
      <c r="A324" s="25"/>
      <c r="B324" s="22"/>
      <c r="C324" s="22">
        <f t="shared" si="6"/>
        <v>0</v>
      </c>
      <c r="D324" s="25"/>
      <c r="E324" s="22"/>
      <c r="F324" s="22" t="str">
        <f t="shared" si="8"/>
        <v>#DIV/0!</v>
      </c>
      <c r="G324" s="22" t="str">
        <f t="shared" si="31"/>
        <v>#DIV/0!</v>
      </c>
      <c r="H324" s="22" t="str">
        <f t="shared" si="32"/>
        <v>#DIV/0!</v>
      </c>
      <c r="I324" s="22" t="str">
        <f t="shared" si="3"/>
        <v>#DIV/0!</v>
      </c>
      <c r="J324" s="22" t="str">
        <f t="shared" si="33"/>
        <v>#DIV/0!</v>
      </c>
    </row>
    <row r="325" ht="15.75" customHeight="1">
      <c r="A325" s="25"/>
      <c r="B325" s="22"/>
      <c r="C325" s="22">
        <f t="shared" si="6"/>
        <v>0</v>
      </c>
      <c r="D325" s="25"/>
      <c r="E325" s="22"/>
      <c r="F325" s="22" t="str">
        <f t="shared" si="8"/>
        <v>#DIV/0!</v>
      </c>
      <c r="G325" s="22" t="str">
        <f t="shared" si="31"/>
        <v>#DIV/0!</v>
      </c>
      <c r="H325" s="22" t="str">
        <f t="shared" si="32"/>
        <v>#DIV/0!</v>
      </c>
      <c r="I325" s="22" t="str">
        <f t="shared" si="3"/>
        <v>#DIV/0!</v>
      </c>
      <c r="J325" s="22" t="str">
        <f t="shared" si="33"/>
        <v>#DIV/0!</v>
      </c>
    </row>
    <row r="326" ht="15.75" customHeight="1">
      <c r="A326" s="25"/>
      <c r="B326" s="22"/>
      <c r="C326" s="22">
        <f t="shared" si="6"/>
        <v>0</v>
      </c>
      <c r="D326" s="25"/>
      <c r="E326" s="22"/>
      <c r="F326" s="22" t="str">
        <f t="shared" si="8"/>
        <v>#DIV/0!</v>
      </c>
      <c r="G326" s="22" t="str">
        <f t="shared" si="31"/>
        <v>#DIV/0!</v>
      </c>
      <c r="H326" s="22" t="str">
        <f t="shared" si="32"/>
        <v>#DIV/0!</v>
      </c>
      <c r="I326" s="22" t="str">
        <f t="shared" si="3"/>
        <v>#DIV/0!</v>
      </c>
      <c r="J326" s="22" t="str">
        <f t="shared" si="33"/>
        <v>#DIV/0!</v>
      </c>
    </row>
    <row r="327" ht="15.75" customHeight="1">
      <c r="A327" s="25"/>
      <c r="B327" s="22"/>
      <c r="C327" s="22">
        <f t="shared" si="6"/>
        <v>0</v>
      </c>
      <c r="D327" s="25"/>
      <c r="E327" s="22"/>
      <c r="F327" s="22" t="str">
        <f t="shared" si="8"/>
        <v>#DIV/0!</v>
      </c>
      <c r="G327" s="22" t="str">
        <f t="shared" si="31"/>
        <v>#DIV/0!</v>
      </c>
      <c r="H327" s="22" t="str">
        <f t="shared" si="32"/>
        <v>#DIV/0!</v>
      </c>
      <c r="I327" s="22" t="str">
        <f t="shared" si="3"/>
        <v>#DIV/0!</v>
      </c>
      <c r="J327" s="22" t="str">
        <f t="shared" si="33"/>
        <v>#DIV/0!</v>
      </c>
    </row>
    <row r="328" ht="15.75" customHeight="1">
      <c r="A328" s="25"/>
      <c r="B328" s="22"/>
      <c r="C328" s="22">
        <f t="shared" si="6"/>
        <v>0</v>
      </c>
      <c r="D328" s="25"/>
      <c r="E328" s="22"/>
      <c r="F328" s="22" t="str">
        <f t="shared" si="8"/>
        <v>#DIV/0!</v>
      </c>
      <c r="G328" s="22" t="str">
        <f t="shared" si="31"/>
        <v>#DIV/0!</v>
      </c>
      <c r="H328" s="22" t="str">
        <f t="shared" si="32"/>
        <v>#DIV/0!</v>
      </c>
      <c r="I328" s="22" t="str">
        <f t="shared" si="3"/>
        <v>#DIV/0!</v>
      </c>
      <c r="J328" s="22" t="str">
        <f t="shared" si="33"/>
        <v>#DIV/0!</v>
      </c>
    </row>
    <row r="329" ht="15.75" customHeight="1">
      <c r="A329" s="25"/>
      <c r="B329" s="22"/>
      <c r="C329" s="22">
        <f t="shared" si="6"/>
        <v>0</v>
      </c>
      <c r="D329" s="25"/>
      <c r="E329" s="22"/>
      <c r="F329" s="22" t="str">
        <f t="shared" si="8"/>
        <v>#DIV/0!</v>
      </c>
      <c r="G329" s="22" t="str">
        <f t="shared" si="31"/>
        <v>#DIV/0!</v>
      </c>
      <c r="H329" s="22" t="str">
        <f t="shared" si="32"/>
        <v>#DIV/0!</v>
      </c>
      <c r="I329" s="22" t="str">
        <f t="shared" si="3"/>
        <v>#DIV/0!</v>
      </c>
      <c r="J329" s="22" t="str">
        <f t="shared" si="33"/>
        <v>#DIV/0!</v>
      </c>
    </row>
    <row r="330" ht="15.75" customHeight="1">
      <c r="A330" s="25"/>
      <c r="B330" s="22"/>
      <c r="C330" s="22">
        <f t="shared" si="6"/>
        <v>0</v>
      </c>
      <c r="D330" s="25"/>
      <c r="E330" s="22"/>
      <c r="F330" s="22" t="str">
        <f t="shared" si="8"/>
        <v>#DIV/0!</v>
      </c>
      <c r="G330" s="22" t="str">
        <f t="shared" si="31"/>
        <v>#DIV/0!</v>
      </c>
      <c r="H330" s="22" t="str">
        <f t="shared" si="32"/>
        <v>#DIV/0!</v>
      </c>
      <c r="I330" s="22" t="str">
        <f t="shared" si="3"/>
        <v>#DIV/0!</v>
      </c>
      <c r="J330" s="22" t="str">
        <f t="shared" si="33"/>
        <v>#DIV/0!</v>
      </c>
    </row>
    <row r="331" ht="15.75" customHeight="1">
      <c r="A331" s="25"/>
      <c r="B331" s="22"/>
      <c r="C331" s="22">
        <f t="shared" si="6"/>
        <v>0</v>
      </c>
      <c r="D331" s="25"/>
      <c r="E331" s="22"/>
      <c r="F331" s="22" t="str">
        <f t="shared" si="8"/>
        <v>#DIV/0!</v>
      </c>
      <c r="G331" s="22" t="str">
        <f t="shared" si="31"/>
        <v>#DIV/0!</v>
      </c>
      <c r="H331" s="22" t="str">
        <f t="shared" si="32"/>
        <v>#DIV/0!</v>
      </c>
      <c r="I331" s="22" t="str">
        <f t="shared" si="3"/>
        <v>#DIV/0!</v>
      </c>
      <c r="J331" s="22" t="str">
        <f t="shared" si="33"/>
        <v>#DIV/0!</v>
      </c>
    </row>
    <row r="332" ht="15.75" customHeight="1">
      <c r="A332" s="25"/>
      <c r="B332" s="22"/>
      <c r="C332" s="22">
        <f t="shared" si="6"/>
        <v>0</v>
      </c>
      <c r="D332" s="25"/>
      <c r="E332" s="22"/>
      <c r="F332" s="22" t="str">
        <f t="shared" si="8"/>
        <v>#DIV/0!</v>
      </c>
      <c r="G332" s="22" t="str">
        <f t="shared" si="31"/>
        <v>#DIV/0!</v>
      </c>
      <c r="H332" s="22" t="str">
        <f t="shared" si="32"/>
        <v>#DIV/0!</v>
      </c>
      <c r="I332" s="22" t="str">
        <f t="shared" si="3"/>
        <v>#DIV/0!</v>
      </c>
      <c r="J332" s="22" t="str">
        <f t="shared" si="33"/>
        <v>#DIV/0!</v>
      </c>
    </row>
    <row r="333" ht="15.75" customHeight="1">
      <c r="A333" s="25"/>
      <c r="B333" s="22"/>
      <c r="C333" s="22">
        <f t="shared" si="6"/>
        <v>0</v>
      </c>
      <c r="D333" s="25"/>
      <c r="E333" s="22"/>
      <c r="F333" s="22" t="str">
        <f t="shared" si="8"/>
        <v>#DIV/0!</v>
      </c>
      <c r="G333" s="22" t="str">
        <f t="shared" si="31"/>
        <v>#DIV/0!</v>
      </c>
      <c r="H333" s="22" t="str">
        <f t="shared" si="32"/>
        <v>#DIV/0!</v>
      </c>
      <c r="I333" s="22" t="str">
        <f t="shared" si="3"/>
        <v>#DIV/0!</v>
      </c>
      <c r="J333" s="22" t="str">
        <f t="shared" si="33"/>
        <v>#DIV/0!</v>
      </c>
    </row>
    <row r="334" ht="15.75" customHeight="1">
      <c r="A334" s="25"/>
      <c r="B334" s="22"/>
      <c r="C334" s="22">
        <f t="shared" si="6"/>
        <v>0</v>
      </c>
      <c r="D334" s="25"/>
      <c r="E334" s="22"/>
      <c r="F334" s="22" t="str">
        <f t="shared" si="8"/>
        <v>#DIV/0!</v>
      </c>
      <c r="G334" s="22" t="str">
        <f t="shared" si="31"/>
        <v>#DIV/0!</v>
      </c>
      <c r="H334" s="22" t="str">
        <f t="shared" si="32"/>
        <v>#DIV/0!</v>
      </c>
      <c r="I334" s="22" t="str">
        <f t="shared" si="3"/>
        <v>#DIV/0!</v>
      </c>
      <c r="J334" s="22" t="str">
        <f t="shared" si="33"/>
        <v>#DIV/0!</v>
      </c>
    </row>
    <row r="335" ht="15.75" customHeight="1">
      <c r="A335" s="25"/>
      <c r="B335" s="22"/>
      <c r="C335" s="22">
        <f t="shared" si="6"/>
        <v>0</v>
      </c>
      <c r="D335" s="25"/>
      <c r="E335" s="22"/>
      <c r="F335" s="22" t="str">
        <f t="shared" si="8"/>
        <v>#DIV/0!</v>
      </c>
      <c r="G335" s="22" t="str">
        <f t="shared" si="31"/>
        <v>#DIV/0!</v>
      </c>
      <c r="H335" s="22" t="str">
        <f t="shared" si="32"/>
        <v>#DIV/0!</v>
      </c>
      <c r="I335" s="22" t="str">
        <f t="shared" si="3"/>
        <v>#DIV/0!</v>
      </c>
      <c r="J335" s="22" t="str">
        <f t="shared" si="33"/>
        <v>#DIV/0!</v>
      </c>
    </row>
    <row r="336" ht="15.75" customHeight="1">
      <c r="A336" s="25"/>
      <c r="B336" s="22"/>
      <c r="C336" s="22">
        <f t="shared" si="6"/>
        <v>0</v>
      </c>
      <c r="D336" s="25"/>
      <c r="E336" s="22"/>
      <c r="F336" s="22" t="str">
        <f t="shared" si="8"/>
        <v>#DIV/0!</v>
      </c>
      <c r="G336" s="22" t="str">
        <f t="shared" si="31"/>
        <v>#DIV/0!</v>
      </c>
      <c r="H336" s="22" t="str">
        <f t="shared" si="32"/>
        <v>#DIV/0!</v>
      </c>
      <c r="I336" s="22" t="str">
        <f t="shared" si="3"/>
        <v>#DIV/0!</v>
      </c>
      <c r="J336" s="22" t="str">
        <f t="shared" si="33"/>
        <v>#DIV/0!</v>
      </c>
    </row>
    <row r="337" ht="15.75" customHeight="1">
      <c r="A337" s="25"/>
      <c r="B337" s="22"/>
      <c r="C337" s="22">
        <f t="shared" si="6"/>
        <v>0</v>
      </c>
      <c r="D337" s="25"/>
      <c r="E337" s="22"/>
      <c r="F337" s="22" t="str">
        <f t="shared" si="8"/>
        <v>#DIV/0!</v>
      </c>
      <c r="G337" s="22" t="str">
        <f t="shared" si="31"/>
        <v>#DIV/0!</v>
      </c>
      <c r="H337" s="22" t="str">
        <f t="shared" si="32"/>
        <v>#DIV/0!</v>
      </c>
      <c r="I337" s="22" t="str">
        <f t="shared" si="3"/>
        <v>#DIV/0!</v>
      </c>
      <c r="J337" s="22" t="str">
        <f t="shared" si="33"/>
        <v>#DIV/0!</v>
      </c>
    </row>
    <row r="338" ht="15.75" customHeight="1">
      <c r="A338" s="25"/>
      <c r="B338" s="22"/>
      <c r="C338" s="22">
        <f t="shared" si="6"/>
        <v>0</v>
      </c>
      <c r="D338" s="25"/>
      <c r="E338" s="22"/>
      <c r="F338" s="22" t="str">
        <f t="shared" si="8"/>
        <v>#DIV/0!</v>
      </c>
      <c r="G338" s="22" t="str">
        <f t="shared" si="31"/>
        <v>#DIV/0!</v>
      </c>
      <c r="H338" s="22" t="str">
        <f t="shared" si="32"/>
        <v>#DIV/0!</v>
      </c>
      <c r="I338" s="22" t="str">
        <f t="shared" si="3"/>
        <v>#DIV/0!</v>
      </c>
      <c r="J338" s="22" t="str">
        <f t="shared" si="33"/>
        <v>#DIV/0!</v>
      </c>
    </row>
    <row r="339" ht="15.75" customHeight="1">
      <c r="A339" s="25"/>
      <c r="B339" s="22"/>
      <c r="C339" s="22">
        <f t="shared" si="6"/>
        <v>0</v>
      </c>
      <c r="D339" s="25"/>
      <c r="E339" s="22"/>
      <c r="F339" s="22" t="str">
        <f t="shared" si="8"/>
        <v>#DIV/0!</v>
      </c>
      <c r="G339" s="22" t="str">
        <f t="shared" si="31"/>
        <v>#DIV/0!</v>
      </c>
      <c r="H339" s="22" t="str">
        <f t="shared" si="32"/>
        <v>#DIV/0!</v>
      </c>
      <c r="I339" s="22" t="str">
        <f t="shared" si="3"/>
        <v>#DIV/0!</v>
      </c>
      <c r="J339" s="22" t="str">
        <f t="shared" si="33"/>
        <v>#DIV/0!</v>
      </c>
    </row>
    <row r="340" ht="15.75" customHeight="1">
      <c r="A340" s="25"/>
      <c r="B340" s="22"/>
      <c r="C340" s="22">
        <f t="shared" si="6"/>
        <v>0</v>
      </c>
      <c r="D340" s="25"/>
      <c r="E340" s="22"/>
      <c r="F340" s="22" t="str">
        <f t="shared" si="8"/>
        <v>#DIV/0!</v>
      </c>
      <c r="G340" s="22" t="str">
        <f t="shared" si="31"/>
        <v>#DIV/0!</v>
      </c>
      <c r="H340" s="22" t="str">
        <f t="shared" si="32"/>
        <v>#DIV/0!</v>
      </c>
      <c r="I340" s="22" t="str">
        <f t="shared" si="3"/>
        <v>#DIV/0!</v>
      </c>
      <c r="J340" s="22" t="str">
        <f t="shared" si="33"/>
        <v>#DIV/0!</v>
      </c>
    </row>
    <row r="341" ht="15.75" customHeight="1">
      <c r="A341" s="25"/>
      <c r="B341" s="22"/>
      <c r="C341" s="22">
        <f t="shared" si="6"/>
        <v>0</v>
      </c>
      <c r="D341" s="25"/>
      <c r="E341" s="22"/>
      <c r="F341" s="22" t="str">
        <f t="shared" si="8"/>
        <v>#DIV/0!</v>
      </c>
      <c r="G341" s="22" t="str">
        <f t="shared" si="31"/>
        <v>#DIV/0!</v>
      </c>
      <c r="H341" s="22" t="str">
        <f t="shared" si="32"/>
        <v>#DIV/0!</v>
      </c>
      <c r="I341" s="22" t="str">
        <f t="shared" si="3"/>
        <v>#DIV/0!</v>
      </c>
      <c r="J341" s="22" t="str">
        <f t="shared" si="33"/>
        <v>#DIV/0!</v>
      </c>
    </row>
    <row r="342" ht="15.75" customHeight="1">
      <c r="A342" s="25"/>
      <c r="B342" s="22"/>
      <c r="C342" s="22">
        <f t="shared" si="6"/>
        <v>0</v>
      </c>
      <c r="D342" s="25"/>
      <c r="E342" s="22"/>
      <c r="F342" s="22" t="str">
        <f t="shared" si="8"/>
        <v>#DIV/0!</v>
      </c>
      <c r="G342" s="22" t="str">
        <f t="shared" si="31"/>
        <v>#DIV/0!</v>
      </c>
      <c r="H342" s="22" t="str">
        <f t="shared" si="32"/>
        <v>#DIV/0!</v>
      </c>
      <c r="I342" s="22" t="str">
        <f t="shared" si="3"/>
        <v>#DIV/0!</v>
      </c>
      <c r="J342" s="22" t="str">
        <f t="shared" si="33"/>
        <v>#DIV/0!</v>
      </c>
    </row>
    <row r="343" ht="15.75" customHeight="1">
      <c r="A343" s="25"/>
      <c r="B343" s="22"/>
      <c r="C343" s="22">
        <f t="shared" si="6"/>
        <v>0</v>
      </c>
      <c r="D343" s="25"/>
      <c r="E343" s="22"/>
      <c r="F343" s="22" t="str">
        <f t="shared" si="8"/>
        <v>#DIV/0!</v>
      </c>
      <c r="G343" s="22" t="str">
        <f t="shared" si="31"/>
        <v>#DIV/0!</v>
      </c>
      <c r="H343" s="22" t="str">
        <f t="shared" si="32"/>
        <v>#DIV/0!</v>
      </c>
      <c r="I343" s="22" t="str">
        <f t="shared" si="3"/>
        <v>#DIV/0!</v>
      </c>
      <c r="J343" s="22" t="str">
        <f t="shared" si="33"/>
        <v>#DIV/0!</v>
      </c>
    </row>
    <row r="344" ht="15.75" customHeight="1">
      <c r="A344" s="25"/>
      <c r="B344" s="22"/>
      <c r="C344" s="22">
        <f t="shared" si="6"/>
        <v>0</v>
      </c>
      <c r="D344" s="25"/>
      <c r="E344" s="22"/>
      <c r="F344" s="22" t="str">
        <f t="shared" si="8"/>
        <v>#DIV/0!</v>
      </c>
      <c r="G344" s="22" t="str">
        <f t="shared" si="31"/>
        <v>#DIV/0!</v>
      </c>
      <c r="H344" s="22" t="str">
        <f t="shared" si="32"/>
        <v>#DIV/0!</v>
      </c>
      <c r="I344" s="22" t="str">
        <f t="shared" si="3"/>
        <v>#DIV/0!</v>
      </c>
      <c r="J344" s="22" t="str">
        <f t="shared" si="33"/>
        <v>#DIV/0!</v>
      </c>
    </row>
    <row r="345" ht="15.75" customHeight="1">
      <c r="A345" s="25"/>
      <c r="B345" s="22"/>
      <c r="C345" s="22">
        <f t="shared" si="6"/>
        <v>0</v>
      </c>
      <c r="D345" s="25"/>
      <c r="E345" s="22"/>
      <c r="F345" s="22" t="str">
        <f t="shared" si="8"/>
        <v>#DIV/0!</v>
      </c>
      <c r="G345" s="22" t="str">
        <f t="shared" si="31"/>
        <v>#DIV/0!</v>
      </c>
      <c r="H345" s="22" t="str">
        <f t="shared" si="32"/>
        <v>#DIV/0!</v>
      </c>
      <c r="I345" s="22" t="str">
        <f t="shared" si="3"/>
        <v>#DIV/0!</v>
      </c>
      <c r="J345" s="22" t="str">
        <f t="shared" si="33"/>
        <v>#DIV/0!</v>
      </c>
    </row>
    <row r="346" ht="15.75" customHeight="1">
      <c r="A346" s="25"/>
      <c r="B346" s="22"/>
      <c r="C346" s="22">
        <f t="shared" si="6"/>
        <v>0</v>
      </c>
      <c r="D346" s="25"/>
      <c r="E346" s="22"/>
      <c r="F346" s="22" t="str">
        <f t="shared" si="8"/>
        <v>#DIV/0!</v>
      </c>
      <c r="G346" s="22" t="str">
        <f t="shared" si="31"/>
        <v>#DIV/0!</v>
      </c>
      <c r="H346" s="22" t="str">
        <f t="shared" si="32"/>
        <v>#DIV/0!</v>
      </c>
      <c r="I346" s="22" t="str">
        <f t="shared" si="3"/>
        <v>#DIV/0!</v>
      </c>
      <c r="J346" s="22" t="str">
        <f t="shared" si="33"/>
        <v>#DIV/0!</v>
      </c>
    </row>
    <row r="347" ht="15.75" customHeight="1">
      <c r="A347" s="25"/>
      <c r="B347" s="22"/>
      <c r="C347" s="22">
        <f t="shared" si="6"/>
        <v>0</v>
      </c>
      <c r="D347" s="25"/>
      <c r="E347" s="22"/>
      <c r="F347" s="22" t="str">
        <f t="shared" si="8"/>
        <v>#DIV/0!</v>
      </c>
      <c r="G347" s="22" t="str">
        <f t="shared" si="31"/>
        <v>#DIV/0!</v>
      </c>
      <c r="H347" s="22" t="str">
        <f t="shared" si="32"/>
        <v>#DIV/0!</v>
      </c>
      <c r="I347" s="22" t="str">
        <f t="shared" si="3"/>
        <v>#DIV/0!</v>
      </c>
      <c r="J347" s="22" t="str">
        <f t="shared" si="33"/>
        <v>#DIV/0!</v>
      </c>
    </row>
    <row r="348" ht="15.75" customHeight="1">
      <c r="A348" s="25"/>
      <c r="B348" s="22"/>
      <c r="C348" s="22">
        <f t="shared" si="6"/>
        <v>0</v>
      </c>
      <c r="D348" s="25"/>
      <c r="E348" s="22"/>
      <c r="F348" s="22" t="str">
        <f t="shared" si="8"/>
        <v>#DIV/0!</v>
      </c>
      <c r="G348" s="22" t="str">
        <f t="shared" si="31"/>
        <v>#DIV/0!</v>
      </c>
      <c r="H348" s="22" t="str">
        <f t="shared" si="32"/>
        <v>#DIV/0!</v>
      </c>
      <c r="I348" s="22" t="str">
        <f t="shared" si="3"/>
        <v>#DIV/0!</v>
      </c>
      <c r="J348" s="22" t="str">
        <f t="shared" si="33"/>
        <v>#DIV/0!</v>
      </c>
    </row>
    <row r="349" ht="15.75" customHeight="1">
      <c r="A349" s="25"/>
      <c r="B349" s="22"/>
      <c r="C349" s="22">
        <f t="shared" si="6"/>
        <v>0</v>
      </c>
      <c r="D349" s="25"/>
      <c r="E349" s="22"/>
      <c r="F349" s="22" t="str">
        <f t="shared" si="8"/>
        <v>#DIV/0!</v>
      </c>
      <c r="G349" s="22" t="str">
        <f t="shared" si="31"/>
        <v>#DIV/0!</v>
      </c>
      <c r="H349" s="22" t="str">
        <f t="shared" si="32"/>
        <v>#DIV/0!</v>
      </c>
      <c r="I349" s="22" t="str">
        <f t="shared" si="3"/>
        <v>#DIV/0!</v>
      </c>
      <c r="J349" s="22" t="str">
        <f t="shared" si="33"/>
        <v>#DIV/0!</v>
      </c>
    </row>
    <row r="350" ht="15.75" customHeight="1">
      <c r="A350" s="25"/>
      <c r="B350" s="22"/>
      <c r="C350" s="22">
        <f t="shared" si="6"/>
        <v>0</v>
      </c>
      <c r="D350" s="25"/>
      <c r="E350" s="22"/>
      <c r="F350" s="22" t="str">
        <f t="shared" si="8"/>
        <v>#DIV/0!</v>
      </c>
      <c r="G350" s="22" t="str">
        <f t="shared" si="31"/>
        <v>#DIV/0!</v>
      </c>
      <c r="H350" s="22" t="str">
        <f t="shared" si="32"/>
        <v>#DIV/0!</v>
      </c>
      <c r="I350" s="22" t="str">
        <f t="shared" si="3"/>
        <v>#DIV/0!</v>
      </c>
      <c r="J350" s="22" t="str">
        <f t="shared" si="33"/>
        <v>#DIV/0!</v>
      </c>
    </row>
    <row r="351" ht="15.75" customHeight="1">
      <c r="A351" s="25"/>
      <c r="B351" s="22"/>
      <c r="C351" s="22">
        <f t="shared" si="6"/>
        <v>0</v>
      </c>
      <c r="D351" s="25"/>
      <c r="E351" s="22"/>
      <c r="F351" s="22" t="str">
        <f t="shared" si="8"/>
        <v>#DIV/0!</v>
      </c>
      <c r="G351" s="22" t="str">
        <f t="shared" si="31"/>
        <v>#DIV/0!</v>
      </c>
      <c r="H351" s="22" t="str">
        <f t="shared" si="32"/>
        <v>#DIV/0!</v>
      </c>
      <c r="I351" s="22" t="str">
        <f t="shared" si="3"/>
        <v>#DIV/0!</v>
      </c>
      <c r="J351" s="22" t="str">
        <f t="shared" si="33"/>
        <v>#DIV/0!</v>
      </c>
    </row>
    <row r="352" ht="15.75" customHeight="1">
      <c r="A352" s="25"/>
      <c r="B352" s="22"/>
      <c r="C352" s="22">
        <f t="shared" si="6"/>
        <v>0</v>
      </c>
      <c r="D352" s="25"/>
      <c r="E352" s="22"/>
      <c r="F352" s="22" t="str">
        <f t="shared" si="8"/>
        <v>#DIV/0!</v>
      </c>
      <c r="G352" s="22" t="str">
        <f t="shared" si="31"/>
        <v>#DIV/0!</v>
      </c>
      <c r="H352" s="22" t="str">
        <f t="shared" si="32"/>
        <v>#DIV/0!</v>
      </c>
      <c r="I352" s="22" t="str">
        <f t="shared" si="3"/>
        <v>#DIV/0!</v>
      </c>
      <c r="J352" s="22" t="str">
        <f t="shared" si="33"/>
        <v>#DIV/0!</v>
      </c>
    </row>
    <row r="353" ht="15.75" customHeight="1">
      <c r="A353" s="25"/>
      <c r="B353" s="22"/>
      <c r="C353" s="22">
        <f t="shared" si="6"/>
        <v>0</v>
      </c>
      <c r="D353" s="25"/>
      <c r="E353" s="22"/>
      <c r="F353" s="22" t="str">
        <f t="shared" si="8"/>
        <v>#DIV/0!</v>
      </c>
      <c r="G353" s="22" t="str">
        <f t="shared" si="31"/>
        <v>#DIV/0!</v>
      </c>
      <c r="H353" s="22" t="str">
        <f t="shared" si="32"/>
        <v>#DIV/0!</v>
      </c>
      <c r="I353" s="22" t="str">
        <f t="shared" si="3"/>
        <v>#DIV/0!</v>
      </c>
      <c r="J353" s="22" t="str">
        <f t="shared" si="33"/>
        <v>#DIV/0!</v>
      </c>
    </row>
    <row r="354" ht="15.75" customHeight="1">
      <c r="A354" s="25"/>
      <c r="B354" s="22"/>
      <c r="C354" s="22">
        <f t="shared" si="6"/>
        <v>0</v>
      </c>
      <c r="D354" s="25"/>
      <c r="E354" s="22"/>
      <c r="F354" s="22" t="str">
        <f t="shared" si="8"/>
        <v>#DIV/0!</v>
      </c>
      <c r="G354" s="22" t="str">
        <f t="shared" si="31"/>
        <v>#DIV/0!</v>
      </c>
      <c r="H354" s="22" t="str">
        <f t="shared" si="32"/>
        <v>#DIV/0!</v>
      </c>
      <c r="I354" s="22" t="str">
        <f t="shared" si="3"/>
        <v>#DIV/0!</v>
      </c>
      <c r="J354" s="22" t="str">
        <f t="shared" si="33"/>
        <v>#DIV/0!</v>
      </c>
    </row>
    <row r="355" ht="15.75" customHeight="1">
      <c r="A355" s="25"/>
      <c r="B355" s="22"/>
      <c r="C355" s="22">
        <f t="shared" si="6"/>
        <v>0</v>
      </c>
      <c r="D355" s="25"/>
      <c r="E355" s="22"/>
      <c r="F355" s="22" t="str">
        <f t="shared" si="8"/>
        <v>#DIV/0!</v>
      </c>
      <c r="G355" s="22" t="str">
        <f t="shared" si="31"/>
        <v>#DIV/0!</v>
      </c>
      <c r="H355" s="22" t="str">
        <f t="shared" si="32"/>
        <v>#DIV/0!</v>
      </c>
      <c r="I355" s="22" t="str">
        <f t="shared" si="3"/>
        <v>#DIV/0!</v>
      </c>
      <c r="J355" s="22" t="str">
        <f t="shared" si="33"/>
        <v>#DIV/0!</v>
      </c>
    </row>
    <row r="356" ht="15.75" customHeight="1">
      <c r="A356" s="25"/>
      <c r="B356" s="22"/>
      <c r="C356" s="22">
        <f t="shared" si="6"/>
        <v>0</v>
      </c>
      <c r="D356" s="25"/>
      <c r="E356" s="22"/>
      <c r="F356" s="22" t="str">
        <f t="shared" si="8"/>
        <v>#DIV/0!</v>
      </c>
      <c r="G356" s="22" t="str">
        <f t="shared" si="31"/>
        <v>#DIV/0!</v>
      </c>
      <c r="H356" s="22" t="str">
        <f t="shared" si="32"/>
        <v>#DIV/0!</v>
      </c>
      <c r="I356" s="22" t="str">
        <f t="shared" si="3"/>
        <v>#DIV/0!</v>
      </c>
      <c r="J356" s="22" t="str">
        <f t="shared" si="33"/>
        <v>#DIV/0!</v>
      </c>
    </row>
    <row r="357" ht="15.75" customHeight="1">
      <c r="A357" s="25"/>
      <c r="B357" s="22"/>
      <c r="C357" s="22">
        <f t="shared" si="6"/>
        <v>0</v>
      </c>
      <c r="D357" s="25"/>
      <c r="E357" s="22"/>
      <c r="F357" s="22" t="str">
        <f t="shared" si="8"/>
        <v>#DIV/0!</v>
      </c>
      <c r="G357" s="22" t="str">
        <f t="shared" si="31"/>
        <v>#DIV/0!</v>
      </c>
      <c r="H357" s="22" t="str">
        <f t="shared" si="32"/>
        <v>#DIV/0!</v>
      </c>
      <c r="I357" s="22" t="str">
        <f t="shared" si="3"/>
        <v>#DIV/0!</v>
      </c>
      <c r="J357" s="22" t="str">
        <f t="shared" si="33"/>
        <v>#DIV/0!</v>
      </c>
    </row>
    <row r="358" ht="15.75" customHeight="1">
      <c r="A358" s="25"/>
      <c r="B358" s="22"/>
      <c r="C358" s="22">
        <f t="shared" si="6"/>
        <v>0</v>
      </c>
      <c r="D358" s="25"/>
      <c r="E358" s="22"/>
      <c r="F358" s="22" t="str">
        <f t="shared" si="8"/>
        <v>#DIV/0!</v>
      </c>
      <c r="G358" s="22" t="str">
        <f t="shared" si="31"/>
        <v>#DIV/0!</v>
      </c>
      <c r="H358" s="22" t="str">
        <f t="shared" si="32"/>
        <v>#DIV/0!</v>
      </c>
      <c r="I358" s="22" t="str">
        <f t="shared" si="3"/>
        <v>#DIV/0!</v>
      </c>
      <c r="J358" s="22" t="str">
        <f t="shared" si="33"/>
        <v>#DIV/0!</v>
      </c>
    </row>
    <row r="359" ht="15.75" customHeight="1">
      <c r="A359" s="25"/>
      <c r="B359" s="22"/>
      <c r="C359" s="22">
        <f t="shared" si="6"/>
        <v>0</v>
      </c>
      <c r="D359" s="25"/>
      <c r="E359" s="22"/>
      <c r="F359" s="22" t="str">
        <f t="shared" si="8"/>
        <v>#DIV/0!</v>
      </c>
      <c r="G359" s="22" t="str">
        <f t="shared" si="31"/>
        <v>#DIV/0!</v>
      </c>
      <c r="H359" s="22" t="str">
        <f t="shared" si="32"/>
        <v>#DIV/0!</v>
      </c>
      <c r="I359" s="22" t="str">
        <f t="shared" si="3"/>
        <v>#DIV/0!</v>
      </c>
      <c r="J359" s="22" t="str">
        <f t="shared" si="33"/>
        <v>#DIV/0!</v>
      </c>
    </row>
    <row r="360" ht="15.75" customHeight="1">
      <c r="A360" s="25"/>
      <c r="B360" s="22"/>
      <c r="C360" s="22">
        <f t="shared" si="6"/>
        <v>0</v>
      </c>
      <c r="D360" s="25"/>
      <c r="E360" s="22"/>
      <c r="F360" s="22" t="str">
        <f t="shared" si="8"/>
        <v>#DIV/0!</v>
      </c>
      <c r="G360" s="22" t="str">
        <f t="shared" si="31"/>
        <v>#DIV/0!</v>
      </c>
      <c r="H360" s="22" t="str">
        <f t="shared" si="32"/>
        <v>#DIV/0!</v>
      </c>
      <c r="I360" s="22" t="str">
        <f t="shared" si="3"/>
        <v>#DIV/0!</v>
      </c>
      <c r="J360" s="22" t="str">
        <f t="shared" si="33"/>
        <v>#DIV/0!</v>
      </c>
    </row>
    <row r="361" ht="15.75" customHeight="1">
      <c r="A361" s="25"/>
      <c r="B361" s="22"/>
      <c r="C361" s="22">
        <f t="shared" si="6"/>
        <v>0</v>
      </c>
      <c r="D361" s="25"/>
      <c r="E361" s="22"/>
      <c r="F361" s="22" t="str">
        <f t="shared" si="8"/>
        <v>#DIV/0!</v>
      </c>
      <c r="G361" s="22" t="str">
        <f t="shared" si="31"/>
        <v>#DIV/0!</v>
      </c>
      <c r="H361" s="22" t="str">
        <f t="shared" si="32"/>
        <v>#DIV/0!</v>
      </c>
      <c r="I361" s="22" t="str">
        <f t="shared" si="3"/>
        <v>#DIV/0!</v>
      </c>
      <c r="J361" s="22" t="str">
        <f t="shared" si="33"/>
        <v>#DIV/0!</v>
      </c>
    </row>
    <row r="362" ht="15.75" customHeight="1">
      <c r="A362" s="25"/>
      <c r="B362" s="22"/>
      <c r="C362" s="22">
        <f t="shared" si="6"/>
        <v>0</v>
      </c>
      <c r="D362" s="25"/>
      <c r="E362" s="22"/>
      <c r="F362" s="22" t="str">
        <f t="shared" si="8"/>
        <v>#DIV/0!</v>
      </c>
      <c r="G362" s="22" t="str">
        <f t="shared" si="31"/>
        <v>#DIV/0!</v>
      </c>
      <c r="H362" s="22" t="str">
        <f t="shared" si="32"/>
        <v>#DIV/0!</v>
      </c>
      <c r="I362" s="22" t="str">
        <f t="shared" si="3"/>
        <v>#DIV/0!</v>
      </c>
      <c r="J362" s="22" t="str">
        <f t="shared" si="33"/>
        <v>#DIV/0!</v>
      </c>
    </row>
    <row r="363" ht="15.75" customHeight="1">
      <c r="A363" s="25"/>
      <c r="B363" s="22"/>
      <c r="C363" s="22">
        <f t="shared" si="6"/>
        <v>0</v>
      </c>
      <c r="D363" s="25"/>
      <c r="E363" s="22"/>
      <c r="F363" s="22" t="str">
        <f t="shared" si="8"/>
        <v>#DIV/0!</v>
      </c>
      <c r="G363" s="22" t="str">
        <f t="shared" si="31"/>
        <v>#DIV/0!</v>
      </c>
      <c r="H363" s="22" t="str">
        <f t="shared" si="32"/>
        <v>#DIV/0!</v>
      </c>
      <c r="I363" s="22" t="str">
        <f t="shared" si="3"/>
        <v>#DIV/0!</v>
      </c>
      <c r="J363" s="22" t="str">
        <f t="shared" si="33"/>
        <v>#DIV/0!</v>
      </c>
    </row>
    <row r="364" ht="15.75" customHeight="1">
      <c r="A364" s="25"/>
      <c r="B364" s="22"/>
      <c r="C364" s="22">
        <f t="shared" si="6"/>
        <v>0</v>
      </c>
      <c r="D364" s="25"/>
      <c r="E364" s="22"/>
      <c r="F364" s="22" t="str">
        <f t="shared" si="8"/>
        <v>#DIV/0!</v>
      </c>
      <c r="G364" s="22" t="str">
        <f t="shared" si="31"/>
        <v>#DIV/0!</v>
      </c>
      <c r="H364" s="22" t="str">
        <f t="shared" si="32"/>
        <v>#DIV/0!</v>
      </c>
      <c r="I364" s="22" t="str">
        <f t="shared" si="3"/>
        <v>#DIV/0!</v>
      </c>
      <c r="J364" s="22" t="str">
        <f t="shared" si="33"/>
        <v>#DIV/0!</v>
      </c>
    </row>
    <row r="365" ht="15.75" customHeight="1">
      <c r="A365" s="25"/>
      <c r="B365" s="22"/>
      <c r="C365" s="22">
        <f t="shared" si="6"/>
        <v>0</v>
      </c>
      <c r="D365" s="25"/>
      <c r="E365" s="22"/>
      <c r="F365" s="22" t="str">
        <f t="shared" si="8"/>
        <v>#DIV/0!</v>
      </c>
      <c r="G365" s="22" t="str">
        <f t="shared" si="31"/>
        <v>#DIV/0!</v>
      </c>
      <c r="H365" s="22" t="str">
        <f t="shared" si="32"/>
        <v>#DIV/0!</v>
      </c>
      <c r="I365" s="22" t="str">
        <f t="shared" si="3"/>
        <v>#DIV/0!</v>
      </c>
      <c r="J365" s="22" t="str">
        <f t="shared" si="33"/>
        <v>#DIV/0!</v>
      </c>
    </row>
    <row r="366" ht="15.75" customHeight="1">
      <c r="A366" s="25"/>
      <c r="B366" s="22"/>
      <c r="C366" s="22">
        <f t="shared" si="6"/>
        <v>0</v>
      </c>
      <c r="D366" s="25"/>
      <c r="E366" s="22"/>
      <c r="F366" s="22" t="str">
        <f t="shared" si="8"/>
        <v>#DIV/0!</v>
      </c>
      <c r="G366" s="22" t="str">
        <f t="shared" si="31"/>
        <v>#DIV/0!</v>
      </c>
      <c r="H366" s="22" t="str">
        <f t="shared" si="32"/>
        <v>#DIV/0!</v>
      </c>
      <c r="I366" s="22" t="str">
        <f t="shared" si="3"/>
        <v>#DIV/0!</v>
      </c>
      <c r="J366" s="22" t="str">
        <f t="shared" si="33"/>
        <v>#DIV/0!</v>
      </c>
    </row>
    <row r="367" ht="15.75" customHeight="1">
      <c r="A367" s="25"/>
      <c r="B367" s="22"/>
      <c r="C367" s="22">
        <f t="shared" si="6"/>
        <v>0</v>
      </c>
      <c r="D367" s="25"/>
      <c r="E367" s="22"/>
      <c r="F367" s="22" t="str">
        <f t="shared" si="8"/>
        <v>#DIV/0!</v>
      </c>
      <c r="G367" s="22" t="str">
        <f t="shared" si="31"/>
        <v>#DIV/0!</v>
      </c>
      <c r="H367" s="22" t="str">
        <f t="shared" si="32"/>
        <v>#DIV/0!</v>
      </c>
      <c r="I367" s="22" t="str">
        <f t="shared" si="3"/>
        <v>#DIV/0!</v>
      </c>
      <c r="J367" s="22" t="str">
        <f t="shared" si="33"/>
        <v>#DIV/0!</v>
      </c>
    </row>
    <row r="368" ht="15.75" customHeight="1">
      <c r="A368" s="25"/>
      <c r="B368" s="22"/>
      <c r="C368" s="22">
        <f t="shared" si="6"/>
        <v>0</v>
      </c>
      <c r="D368" s="25"/>
      <c r="E368" s="22"/>
      <c r="F368" s="22" t="str">
        <f t="shared" si="8"/>
        <v>#DIV/0!</v>
      </c>
      <c r="G368" s="22" t="str">
        <f t="shared" si="31"/>
        <v>#DIV/0!</v>
      </c>
      <c r="H368" s="22" t="str">
        <f t="shared" si="32"/>
        <v>#DIV/0!</v>
      </c>
      <c r="I368" s="22" t="str">
        <f t="shared" si="3"/>
        <v>#DIV/0!</v>
      </c>
      <c r="J368" s="22" t="str">
        <f t="shared" si="33"/>
        <v>#DIV/0!</v>
      </c>
    </row>
    <row r="369" ht="15.75" customHeight="1">
      <c r="A369" s="25"/>
      <c r="B369" s="22"/>
      <c r="C369" s="22">
        <f t="shared" si="6"/>
        <v>0</v>
      </c>
      <c r="D369" s="25"/>
      <c r="E369" s="22"/>
      <c r="F369" s="22" t="str">
        <f t="shared" si="8"/>
        <v>#DIV/0!</v>
      </c>
      <c r="G369" s="22" t="str">
        <f t="shared" si="31"/>
        <v>#DIV/0!</v>
      </c>
      <c r="H369" s="22" t="str">
        <f t="shared" si="32"/>
        <v>#DIV/0!</v>
      </c>
      <c r="I369" s="22" t="str">
        <f t="shared" si="3"/>
        <v>#DIV/0!</v>
      </c>
      <c r="J369" s="22" t="str">
        <f t="shared" si="33"/>
        <v>#DIV/0!</v>
      </c>
    </row>
    <row r="370" ht="15.75" customHeight="1">
      <c r="A370" s="25"/>
      <c r="B370" s="22"/>
      <c r="C370" s="22">
        <f t="shared" si="6"/>
        <v>0</v>
      </c>
      <c r="D370" s="25"/>
      <c r="E370" s="22"/>
      <c r="F370" s="22" t="str">
        <f t="shared" si="8"/>
        <v>#DIV/0!</v>
      </c>
      <c r="G370" s="22" t="str">
        <f t="shared" si="31"/>
        <v>#DIV/0!</v>
      </c>
      <c r="H370" s="22" t="str">
        <f t="shared" si="32"/>
        <v>#DIV/0!</v>
      </c>
      <c r="I370" s="22" t="str">
        <f t="shared" si="3"/>
        <v>#DIV/0!</v>
      </c>
      <c r="J370" s="22" t="str">
        <f t="shared" si="33"/>
        <v>#DIV/0!</v>
      </c>
    </row>
    <row r="371" ht="15.75" customHeight="1">
      <c r="A371" s="25"/>
      <c r="B371" s="22"/>
      <c r="C371" s="22">
        <f t="shared" si="6"/>
        <v>0</v>
      </c>
      <c r="D371" s="25"/>
      <c r="E371" s="22"/>
      <c r="F371" s="22" t="str">
        <f t="shared" si="8"/>
        <v>#DIV/0!</v>
      </c>
      <c r="G371" s="22" t="str">
        <f t="shared" si="31"/>
        <v>#DIV/0!</v>
      </c>
      <c r="H371" s="22" t="str">
        <f t="shared" si="32"/>
        <v>#DIV/0!</v>
      </c>
      <c r="I371" s="22" t="str">
        <f t="shared" si="3"/>
        <v>#DIV/0!</v>
      </c>
      <c r="J371" s="22" t="str">
        <f t="shared" si="33"/>
        <v>#DIV/0!</v>
      </c>
    </row>
    <row r="372" ht="15.75" customHeight="1">
      <c r="A372" s="25"/>
      <c r="B372" s="22"/>
      <c r="C372" s="22">
        <f t="shared" si="6"/>
        <v>0</v>
      </c>
      <c r="D372" s="25"/>
      <c r="E372" s="22"/>
      <c r="F372" s="22" t="str">
        <f t="shared" si="8"/>
        <v>#DIV/0!</v>
      </c>
      <c r="G372" s="22" t="str">
        <f t="shared" si="31"/>
        <v>#DIV/0!</v>
      </c>
      <c r="H372" s="22" t="str">
        <f t="shared" si="32"/>
        <v>#DIV/0!</v>
      </c>
      <c r="I372" s="22" t="str">
        <f t="shared" si="3"/>
        <v>#DIV/0!</v>
      </c>
      <c r="J372" s="22" t="str">
        <f t="shared" si="33"/>
        <v>#DIV/0!</v>
      </c>
    </row>
    <row r="373" ht="15.75" customHeight="1">
      <c r="A373" s="25"/>
      <c r="B373" s="22"/>
      <c r="C373" s="22">
        <f t="shared" si="6"/>
        <v>0</v>
      </c>
      <c r="D373" s="25"/>
      <c r="E373" s="22"/>
      <c r="F373" s="22" t="str">
        <f t="shared" si="8"/>
        <v>#DIV/0!</v>
      </c>
      <c r="G373" s="22" t="str">
        <f t="shared" si="31"/>
        <v>#DIV/0!</v>
      </c>
      <c r="H373" s="22" t="str">
        <f t="shared" si="32"/>
        <v>#DIV/0!</v>
      </c>
      <c r="I373" s="22" t="str">
        <f t="shared" si="3"/>
        <v>#DIV/0!</v>
      </c>
      <c r="J373" s="22" t="str">
        <f t="shared" si="33"/>
        <v>#DIV/0!</v>
      </c>
    </row>
    <row r="374" ht="15.75" customHeight="1">
      <c r="A374" s="25"/>
      <c r="B374" s="22"/>
      <c r="C374" s="22">
        <f t="shared" si="6"/>
        <v>0</v>
      </c>
      <c r="D374" s="25"/>
      <c r="E374" s="22"/>
      <c r="F374" s="22" t="str">
        <f t="shared" si="8"/>
        <v>#DIV/0!</v>
      </c>
      <c r="G374" s="22" t="str">
        <f t="shared" si="31"/>
        <v>#DIV/0!</v>
      </c>
      <c r="H374" s="22" t="str">
        <f t="shared" si="32"/>
        <v>#DIV/0!</v>
      </c>
      <c r="I374" s="22" t="str">
        <f t="shared" si="3"/>
        <v>#DIV/0!</v>
      </c>
      <c r="J374" s="22" t="str">
        <f t="shared" si="33"/>
        <v>#DIV/0!</v>
      </c>
    </row>
    <row r="375" ht="15.75" customHeight="1">
      <c r="A375" s="25"/>
      <c r="B375" s="22"/>
      <c r="C375" s="22">
        <f t="shared" si="6"/>
        <v>0</v>
      </c>
      <c r="D375" s="25"/>
      <c r="E375" s="22"/>
      <c r="F375" s="22" t="str">
        <f t="shared" si="8"/>
        <v>#DIV/0!</v>
      </c>
      <c r="G375" s="22" t="str">
        <f t="shared" si="31"/>
        <v>#DIV/0!</v>
      </c>
      <c r="H375" s="22" t="str">
        <f t="shared" si="32"/>
        <v>#DIV/0!</v>
      </c>
      <c r="I375" s="22" t="str">
        <f t="shared" si="3"/>
        <v>#DIV/0!</v>
      </c>
      <c r="J375" s="22" t="str">
        <f t="shared" si="33"/>
        <v>#DIV/0!</v>
      </c>
    </row>
    <row r="376" ht="15.75" customHeight="1">
      <c r="A376" s="25"/>
      <c r="B376" s="22"/>
      <c r="C376" s="22">
        <f t="shared" si="6"/>
        <v>0</v>
      </c>
      <c r="D376" s="25"/>
      <c r="E376" s="22"/>
      <c r="F376" s="22" t="str">
        <f t="shared" si="8"/>
        <v>#DIV/0!</v>
      </c>
      <c r="G376" s="22" t="str">
        <f t="shared" si="31"/>
        <v>#DIV/0!</v>
      </c>
      <c r="H376" s="22" t="str">
        <f t="shared" si="32"/>
        <v>#DIV/0!</v>
      </c>
      <c r="I376" s="22" t="str">
        <f t="shared" si="3"/>
        <v>#DIV/0!</v>
      </c>
      <c r="J376" s="22" t="str">
        <f t="shared" si="33"/>
        <v>#DIV/0!</v>
      </c>
    </row>
    <row r="377" ht="15.75" customHeight="1">
      <c r="A377" s="25"/>
      <c r="B377" s="22"/>
      <c r="C377" s="22">
        <f t="shared" si="6"/>
        <v>0</v>
      </c>
      <c r="D377" s="25"/>
      <c r="E377" s="22"/>
      <c r="F377" s="22" t="str">
        <f t="shared" si="8"/>
        <v>#DIV/0!</v>
      </c>
      <c r="G377" s="22" t="str">
        <f t="shared" si="31"/>
        <v>#DIV/0!</v>
      </c>
      <c r="H377" s="22" t="str">
        <f t="shared" si="32"/>
        <v>#DIV/0!</v>
      </c>
      <c r="I377" s="22" t="str">
        <f t="shared" si="3"/>
        <v>#DIV/0!</v>
      </c>
      <c r="J377" s="22" t="str">
        <f t="shared" si="33"/>
        <v>#DIV/0!</v>
      </c>
    </row>
    <row r="378" ht="15.75" customHeight="1">
      <c r="A378" s="25"/>
      <c r="B378" s="22"/>
      <c r="C378" s="22">
        <f t="shared" si="6"/>
        <v>0</v>
      </c>
      <c r="D378" s="25"/>
      <c r="E378" s="22"/>
      <c r="F378" s="22" t="str">
        <f t="shared" si="8"/>
        <v>#DIV/0!</v>
      </c>
      <c r="G378" s="22" t="str">
        <f t="shared" si="31"/>
        <v>#DIV/0!</v>
      </c>
      <c r="H378" s="22" t="str">
        <f t="shared" si="32"/>
        <v>#DIV/0!</v>
      </c>
      <c r="I378" s="22" t="str">
        <f t="shared" si="3"/>
        <v>#DIV/0!</v>
      </c>
      <c r="J378" s="22" t="str">
        <f t="shared" si="33"/>
        <v>#DIV/0!</v>
      </c>
    </row>
    <row r="379" ht="15.75" customHeight="1">
      <c r="A379" s="25"/>
      <c r="B379" s="22"/>
      <c r="C379" s="22">
        <f t="shared" si="6"/>
        <v>0</v>
      </c>
      <c r="D379" s="25"/>
      <c r="E379" s="22"/>
      <c r="F379" s="22" t="str">
        <f t="shared" si="8"/>
        <v>#DIV/0!</v>
      </c>
      <c r="G379" s="22" t="str">
        <f t="shared" si="31"/>
        <v>#DIV/0!</v>
      </c>
      <c r="H379" s="22" t="str">
        <f t="shared" si="32"/>
        <v>#DIV/0!</v>
      </c>
      <c r="I379" s="22" t="str">
        <f t="shared" si="3"/>
        <v>#DIV/0!</v>
      </c>
      <c r="J379" s="22" t="str">
        <f t="shared" si="33"/>
        <v>#DIV/0!</v>
      </c>
    </row>
    <row r="380" ht="15.75" customHeight="1">
      <c r="A380" s="25"/>
      <c r="B380" s="22"/>
      <c r="C380" s="22">
        <f t="shared" si="6"/>
        <v>0</v>
      </c>
      <c r="D380" s="25"/>
      <c r="E380" s="22"/>
      <c r="F380" s="22" t="str">
        <f t="shared" si="8"/>
        <v>#DIV/0!</v>
      </c>
      <c r="G380" s="22" t="str">
        <f t="shared" si="31"/>
        <v>#DIV/0!</v>
      </c>
      <c r="H380" s="22" t="str">
        <f t="shared" si="32"/>
        <v>#DIV/0!</v>
      </c>
      <c r="I380" s="22" t="str">
        <f t="shared" si="3"/>
        <v>#DIV/0!</v>
      </c>
      <c r="J380" s="22" t="str">
        <f t="shared" si="33"/>
        <v>#DIV/0!</v>
      </c>
    </row>
    <row r="381" ht="15.75" customHeight="1">
      <c r="A381" s="25"/>
      <c r="B381" s="22"/>
      <c r="C381" s="22">
        <f t="shared" si="6"/>
        <v>0</v>
      </c>
      <c r="D381" s="25"/>
      <c r="E381" s="22"/>
      <c r="F381" s="22" t="str">
        <f t="shared" si="8"/>
        <v>#DIV/0!</v>
      </c>
      <c r="G381" s="22" t="str">
        <f t="shared" si="31"/>
        <v>#DIV/0!</v>
      </c>
      <c r="H381" s="22" t="str">
        <f t="shared" si="32"/>
        <v>#DIV/0!</v>
      </c>
      <c r="I381" s="22" t="str">
        <f t="shared" si="3"/>
        <v>#DIV/0!</v>
      </c>
      <c r="J381" s="22" t="str">
        <f t="shared" si="33"/>
        <v>#DIV/0!</v>
      </c>
    </row>
    <row r="382" ht="15.75" customHeight="1">
      <c r="A382" s="25"/>
      <c r="B382" s="22"/>
      <c r="C382" s="22">
        <f t="shared" si="6"/>
        <v>0</v>
      </c>
      <c r="D382" s="25"/>
      <c r="E382" s="22"/>
      <c r="F382" s="22" t="str">
        <f t="shared" si="8"/>
        <v>#DIV/0!</v>
      </c>
      <c r="G382" s="22" t="str">
        <f t="shared" si="31"/>
        <v>#DIV/0!</v>
      </c>
      <c r="H382" s="22" t="str">
        <f t="shared" si="32"/>
        <v>#DIV/0!</v>
      </c>
      <c r="I382" s="22" t="str">
        <f t="shared" si="3"/>
        <v>#DIV/0!</v>
      </c>
      <c r="J382" s="22" t="str">
        <f t="shared" si="33"/>
        <v>#DIV/0!</v>
      </c>
    </row>
    <row r="383" ht="15.75" customHeight="1">
      <c r="A383" s="25"/>
      <c r="B383" s="22"/>
      <c r="C383" s="22">
        <f t="shared" si="6"/>
        <v>0</v>
      </c>
      <c r="D383" s="25"/>
      <c r="E383" s="22"/>
      <c r="F383" s="22" t="str">
        <f t="shared" si="8"/>
        <v>#DIV/0!</v>
      </c>
      <c r="G383" s="22" t="str">
        <f t="shared" si="31"/>
        <v>#DIV/0!</v>
      </c>
      <c r="H383" s="22" t="str">
        <f t="shared" si="32"/>
        <v>#DIV/0!</v>
      </c>
      <c r="I383" s="22" t="str">
        <f t="shared" si="3"/>
        <v>#DIV/0!</v>
      </c>
      <c r="J383" s="22" t="str">
        <f t="shared" si="33"/>
        <v>#DIV/0!</v>
      </c>
    </row>
    <row r="384" ht="15.75" customHeight="1">
      <c r="A384" s="25"/>
      <c r="B384" s="22"/>
      <c r="C384" s="22">
        <f t="shared" si="6"/>
        <v>0</v>
      </c>
      <c r="D384" s="25"/>
      <c r="E384" s="22"/>
      <c r="F384" s="22" t="str">
        <f t="shared" si="8"/>
        <v>#DIV/0!</v>
      </c>
      <c r="G384" s="22" t="str">
        <f t="shared" si="31"/>
        <v>#DIV/0!</v>
      </c>
      <c r="H384" s="22" t="str">
        <f t="shared" si="32"/>
        <v>#DIV/0!</v>
      </c>
      <c r="I384" s="22" t="str">
        <f t="shared" si="3"/>
        <v>#DIV/0!</v>
      </c>
      <c r="J384" s="22" t="str">
        <f t="shared" si="33"/>
        <v>#DIV/0!</v>
      </c>
    </row>
    <row r="385" ht="15.75" customHeight="1">
      <c r="A385" s="25"/>
      <c r="B385" s="22"/>
      <c r="C385" s="22">
        <f t="shared" si="6"/>
        <v>0</v>
      </c>
      <c r="D385" s="25"/>
      <c r="E385" s="22"/>
      <c r="F385" s="22" t="str">
        <f t="shared" si="8"/>
        <v>#DIV/0!</v>
      </c>
      <c r="G385" s="22" t="str">
        <f t="shared" si="31"/>
        <v>#DIV/0!</v>
      </c>
      <c r="H385" s="22" t="str">
        <f t="shared" si="32"/>
        <v>#DIV/0!</v>
      </c>
      <c r="I385" s="22" t="str">
        <f t="shared" si="3"/>
        <v>#DIV/0!</v>
      </c>
      <c r="J385" s="22" t="str">
        <f t="shared" si="33"/>
        <v>#DIV/0!</v>
      </c>
    </row>
    <row r="386" ht="15.75" customHeight="1">
      <c r="A386" s="25"/>
      <c r="B386" s="22"/>
      <c r="C386" s="22">
        <f t="shared" si="6"/>
        <v>0</v>
      </c>
      <c r="D386" s="25"/>
      <c r="E386" s="22"/>
      <c r="F386" s="22" t="str">
        <f t="shared" si="8"/>
        <v>#DIV/0!</v>
      </c>
      <c r="G386" s="22" t="str">
        <f t="shared" si="31"/>
        <v>#DIV/0!</v>
      </c>
      <c r="H386" s="22" t="str">
        <f t="shared" si="32"/>
        <v>#DIV/0!</v>
      </c>
      <c r="I386" s="22" t="str">
        <f t="shared" si="3"/>
        <v>#DIV/0!</v>
      </c>
      <c r="J386" s="22" t="str">
        <f t="shared" si="33"/>
        <v>#DIV/0!</v>
      </c>
    </row>
    <row r="387" ht="15.75" customHeight="1">
      <c r="A387" s="25"/>
      <c r="B387" s="22"/>
      <c r="C387" s="22">
        <f t="shared" si="6"/>
        <v>0</v>
      </c>
      <c r="D387" s="25"/>
      <c r="E387" s="22"/>
      <c r="F387" s="22" t="str">
        <f t="shared" si="8"/>
        <v>#DIV/0!</v>
      </c>
      <c r="G387" s="22" t="str">
        <f t="shared" si="31"/>
        <v>#DIV/0!</v>
      </c>
      <c r="H387" s="22" t="str">
        <f t="shared" si="32"/>
        <v>#DIV/0!</v>
      </c>
      <c r="I387" s="22" t="str">
        <f t="shared" si="3"/>
        <v>#DIV/0!</v>
      </c>
      <c r="J387" s="22" t="str">
        <f t="shared" si="33"/>
        <v>#DIV/0!</v>
      </c>
    </row>
    <row r="388" ht="15.75" customHeight="1">
      <c r="A388" s="25"/>
      <c r="B388" s="22"/>
      <c r="C388" s="22">
        <f t="shared" si="6"/>
        <v>0</v>
      </c>
      <c r="D388" s="25"/>
      <c r="E388" s="22"/>
      <c r="F388" s="22" t="str">
        <f t="shared" si="8"/>
        <v>#DIV/0!</v>
      </c>
      <c r="G388" s="22" t="str">
        <f t="shared" si="31"/>
        <v>#DIV/0!</v>
      </c>
      <c r="H388" s="22" t="str">
        <f t="shared" si="32"/>
        <v>#DIV/0!</v>
      </c>
      <c r="I388" s="22" t="str">
        <f t="shared" si="3"/>
        <v>#DIV/0!</v>
      </c>
      <c r="J388" s="22" t="str">
        <f t="shared" si="33"/>
        <v>#DIV/0!</v>
      </c>
    </row>
    <row r="389" ht="15.75" customHeight="1">
      <c r="A389" s="25"/>
      <c r="B389" s="22"/>
      <c r="C389" s="22">
        <f t="shared" si="6"/>
        <v>0</v>
      </c>
      <c r="D389" s="25"/>
      <c r="E389" s="22"/>
      <c r="F389" s="22" t="str">
        <f t="shared" si="8"/>
        <v>#DIV/0!</v>
      </c>
      <c r="G389" s="22" t="str">
        <f t="shared" si="31"/>
        <v>#DIV/0!</v>
      </c>
      <c r="H389" s="22" t="str">
        <f t="shared" si="32"/>
        <v>#DIV/0!</v>
      </c>
      <c r="I389" s="22" t="str">
        <f t="shared" si="3"/>
        <v>#DIV/0!</v>
      </c>
      <c r="J389" s="22" t="str">
        <f t="shared" si="33"/>
        <v>#DIV/0!</v>
      </c>
    </row>
    <row r="390" ht="15.75" customHeight="1">
      <c r="A390" s="25"/>
      <c r="B390" s="22"/>
      <c r="C390" s="22">
        <f t="shared" si="6"/>
        <v>0</v>
      </c>
      <c r="D390" s="25"/>
      <c r="E390" s="22"/>
      <c r="F390" s="22" t="str">
        <f t="shared" si="8"/>
        <v>#DIV/0!</v>
      </c>
      <c r="G390" s="22" t="str">
        <f t="shared" si="31"/>
        <v>#DIV/0!</v>
      </c>
      <c r="H390" s="22" t="str">
        <f t="shared" si="32"/>
        <v>#DIV/0!</v>
      </c>
      <c r="I390" s="22" t="str">
        <f t="shared" si="3"/>
        <v>#DIV/0!</v>
      </c>
      <c r="J390" s="22" t="str">
        <f t="shared" si="33"/>
        <v>#DIV/0!</v>
      </c>
    </row>
    <row r="391" ht="15.75" customHeight="1">
      <c r="A391" s="25"/>
      <c r="B391" s="22"/>
      <c r="C391" s="22">
        <f t="shared" si="6"/>
        <v>0</v>
      </c>
      <c r="D391" s="25"/>
      <c r="E391" s="22"/>
      <c r="F391" s="22" t="str">
        <f t="shared" si="8"/>
        <v>#DIV/0!</v>
      </c>
      <c r="G391" s="22" t="str">
        <f t="shared" si="31"/>
        <v>#DIV/0!</v>
      </c>
      <c r="H391" s="22" t="str">
        <f t="shared" si="32"/>
        <v>#DIV/0!</v>
      </c>
      <c r="I391" s="22" t="str">
        <f t="shared" si="3"/>
        <v>#DIV/0!</v>
      </c>
      <c r="J391" s="22" t="str">
        <f t="shared" si="33"/>
        <v>#DIV/0!</v>
      </c>
    </row>
    <row r="392" ht="15.75" customHeight="1">
      <c r="A392" s="25"/>
      <c r="B392" s="22"/>
      <c r="C392" s="22">
        <f t="shared" si="6"/>
        <v>0</v>
      </c>
      <c r="D392" s="25"/>
      <c r="E392" s="22"/>
      <c r="F392" s="22" t="str">
        <f t="shared" si="8"/>
        <v>#DIV/0!</v>
      </c>
      <c r="G392" s="22" t="str">
        <f t="shared" si="31"/>
        <v>#DIV/0!</v>
      </c>
      <c r="H392" s="22" t="str">
        <f t="shared" si="32"/>
        <v>#DIV/0!</v>
      </c>
      <c r="I392" s="22" t="str">
        <f t="shared" si="3"/>
        <v>#DIV/0!</v>
      </c>
      <c r="J392" s="22" t="str">
        <f t="shared" si="33"/>
        <v>#DIV/0!</v>
      </c>
    </row>
    <row r="393" ht="15.75" customHeight="1">
      <c r="A393" s="25"/>
      <c r="B393" s="22"/>
      <c r="C393" s="22">
        <f t="shared" si="6"/>
        <v>0</v>
      </c>
      <c r="D393" s="25"/>
      <c r="E393" s="22"/>
      <c r="F393" s="22" t="str">
        <f t="shared" si="8"/>
        <v>#DIV/0!</v>
      </c>
      <c r="G393" s="22" t="str">
        <f t="shared" si="31"/>
        <v>#DIV/0!</v>
      </c>
      <c r="H393" s="22" t="str">
        <f t="shared" si="32"/>
        <v>#DIV/0!</v>
      </c>
      <c r="I393" s="22" t="str">
        <f t="shared" si="3"/>
        <v>#DIV/0!</v>
      </c>
      <c r="J393" s="22" t="str">
        <f t="shared" si="33"/>
        <v>#DIV/0!</v>
      </c>
    </row>
    <row r="394" ht="15.75" customHeight="1">
      <c r="A394" s="25"/>
      <c r="B394" s="22"/>
      <c r="C394" s="22">
        <f t="shared" si="6"/>
        <v>0</v>
      </c>
      <c r="D394" s="25"/>
      <c r="E394" s="22"/>
      <c r="F394" s="22" t="str">
        <f t="shared" si="8"/>
        <v>#DIV/0!</v>
      </c>
      <c r="G394" s="22" t="str">
        <f t="shared" si="31"/>
        <v>#DIV/0!</v>
      </c>
      <c r="H394" s="22" t="str">
        <f t="shared" si="32"/>
        <v>#DIV/0!</v>
      </c>
      <c r="I394" s="22" t="str">
        <f t="shared" si="3"/>
        <v>#DIV/0!</v>
      </c>
      <c r="J394" s="22" t="str">
        <f t="shared" si="33"/>
        <v>#DIV/0!</v>
      </c>
    </row>
    <row r="395" ht="15.75" customHeight="1">
      <c r="A395" s="25"/>
      <c r="B395" s="22"/>
      <c r="C395" s="22">
        <f t="shared" si="6"/>
        <v>0</v>
      </c>
      <c r="D395" s="25"/>
      <c r="E395" s="22"/>
      <c r="F395" s="22" t="str">
        <f t="shared" si="8"/>
        <v>#DIV/0!</v>
      </c>
      <c r="G395" s="22" t="str">
        <f t="shared" si="31"/>
        <v>#DIV/0!</v>
      </c>
      <c r="H395" s="22" t="str">
        <f t="shared" si="32"/>
        <v>#DIV/0!</v>
      </c>
      <c r="I395" s="22" t="str">
        <f t="shared" si="3"/>
        <v>#DIV/0!</v>
      </c>
      <c r="J395" s="22" t="str">
        <f t="shared" si="33"/>
        <v>#DIV/0!</v>
      </c>
    </row>
    <row r="396" ht="15.75" customHeight="1">
      <c r="A396" s="25"/>
      <c r="B396" s="22"/>
      <c r="C396" s="22">
        <f t="shared" si="6"/>
        <v>0</v>
      </c>
      <c r="D396" s="25"/>
      <c r="E396" s="22"/>
      <c r="F396" s="22" t="str">
        <f t="shared" si="8"/>
        <v>#DIV/0!</v>
      </c>
      <c r="G396" s="22" t="str">
        <f t="shared" si="31"/>
        <v>#DIV/0!</v>
      </c>
      <c r="H396" s="22" t="str">
        <f t="shared" si="32"/>
        <v>#DIV/0!</v>
      </c>
      <c r="I396" s="22" t="str">
        <f t="shared" si="3"/>
        <v>#DIV/0!</v>
      </c>
      <c r="J396" s="22" t="str">
        <f t="shared" si="33"/>
        <v>#DIV/0!</v>
      </c>
    </row>
    <row r="397" ht="15.75" customHeight="1">
      <c r="A397" s="25"/>
      <c r="B397" s="22"/>
      <c r="C397" s="22">
        <f t="shared" si="6"/>
        <v>0</v>
      </c>
      <c r="D397" s="25"/>
      <c r="E397" s="22"/>
      <c r="F397" s="22" t="str">
        <f t="shared" si="8"/>
        <v>#DIV/0!</v>
      </c>
      <c r="G397" s="22" t="str">
        <f t="shared" si="31"/>
        <v>#DIV/0!</v>
      </c>
      <c r="H397" s="22" t="str">
        <f t="shared" si="32"/>
        <v>#DIV/0!</v>
      </c>
      <c r="I397" s="22" t="str">
        <f t="shared" si="3"/>
        <v>#DIV/0!</v>
      </c>
      <c r="J397" s="22" t="str">
        <f t="shared" si="33"/>
        <v>#DIV/0!</v>
      </c>
    </row>
    <row r="398" ht="15.75" customHeight="1">
      <c r="A398" s="25"/>
      <c r="B398" s="22"/>
      <c r="C398" s="22">
        <f t="shared" si="6"/>
        <v>0</v>
      </c>
      <c r="D398" s="25"/>
      <c r="E398" s="22"/>
      <c r="F398" s="22" t="str">
        <f t="shared" si="8"/>
        <v>#DIV/0!</v>
      </c>
      <c r="G398" s="22" t="str">
        <f t="shared" si="31"/>
        <v>#DIV/0!</v>
      </c>
      <c r="H398" s="22" t="str">
        <f t="shared" si="32"/>
        <v>#DIV/0!</v>
      </c>
      <c r="I398" s="22" t="str">
        <f t="shared" si="3"/>
        <v>#DIV/0!</v>
      </c>
      <c r="J398" s="22" t="str">
        <f t="shared" si="33"/>
        <v>#DIV/0!</v>
      </c>
    </row>
    <row r="399" ht="15.75" customHeight="1">
      <c r="A399" s="25"/>
      <c r="B399" s="22"/>
      <c r="C399" s="22">
        <f t="shared" si="6"/>
        <v>0</v>
      </c>
      <c r="D399" s="25"/>
      <c r="E399" s="22"/>
      <c r="F399" s="22" t="str">
        <f t="shared" si="8"/>
        <v>#DIV/0!</v>
      </c>
      <c r="G399" s="22" t="str">
        <f t="shared" si="31"/>
        <v>#DIV/0!</v>
      </c>
      <c r="H399" s="22" t="str">
        <f t="shared" si="32"/>
        <v>#DIV/0!</v>
      </c>
      <c r="I399" s="22" t="str">
        <f t="shared" si="3"/>
        <v>#DIV/0!</v>
      </c>
      <c r="J399" s="22" t="str">
        <f t="shared" si="33"/>
        <v>#DIV/0!</v>
      </c>
    </row>
    <row r="400" ht="15.75" customHeight="1">
      <c r="A400" s="25"/>
      <c r="B400" s="22"/>
      <c r="C400" s="22">
        <f t="shared" si="6"/>
        <v>0</v>
      </c>
      <c r="D400" s="25"/>
      <c r="E400" s="22"/>
      <c r="F400" s="22" t="str">
        <f t="shared" si="8"/>
        <v>#DIV/0!</v>
      </c>
      <c r="G400" s="22" t="str">
        <f t="shared" si="31"/>
        <v>#DIV/0!</v>
      </c>
      <c r="H400" s="22" t="str">
        <f t="shared" si="32"/>
        <v>#DIV/0!</v>
      </c>
      <c r="I400" s="22" t="str">
        <f t="shared" si="3"/>
        <v>#DIV/0!</v>
      </c>
      <c r="J400" s="22" t="str">
        <f t="shared" si="33"/>
        <v>#DIV/0!</v>
      </c>
    </row>
    <row r="401" ht="15.75" customHeight="1">
      <c r="A401" s="25"/>
      <c r="B401" s="22"/>
      <c r="C401" s="22">
        <f t="shared" si="6"/>
        <v>0</v>
      </c>
      <c r="D401" s="25"/>
      <c r="E401" s="22"/>
      <c r="F401" s="22" t="str">
        <f t="shared" si="8"/>
        <v>#DIV/0!</v>
      </c>
      <c r="G401" s="22" t="str">
        <f t="shared" si="31"/>
        <v>#DIV/0!</v>
      </c>
      <c r="H401" s="22" t="str">
        <f t="shared" si="32"/>
        <v>#DIV/0!</v>
      </c>
      <c r="I401" s="22" t="str">
        <f t="shared" si="3"/>
        <v>#DIV/0!</v>
      </c>
      <c r="J401" s="22" t="str">
        <f t="shared" si="33"/>
        <v>#DIV/0!</v>
      </c>
    </row>
    <row r="402" ht="15.75" customHeight="1">
      <c r="A402" s="25"/>
      <c r="B402" s="22"/>
      <c r="C402" s="22">
        <f t="shared" si="6"/>
        <v>0</v>
      </c>
      <c r="D402" s="25"/>
      <c r="E402" s="22"/>
      <c r="F402" s="22" t="str">
        <f t="shared" si="8"/>
        <v>#DIV/0!</v>
      </c>
      <c r="G402" s="22" t="str">
        <f t="shared" si="31"/>
        <v>#DIV/0!</v>
      </c>
      <c r="H402" s="22" t="str">
        <f t="shared" si="32"/>
        <v>#DIV/0!</v>
      </c>
      <c r="I402" s="22" t="str">
        <f t="shared" si="3"/>
        <v>#DIV/0!</v>
      </c>
      <c r="J402" s="22" t="str">
        <f t="shared" si="33"/>
        <v>#DIV/0!</v>
      </c>
    </row>
    <row r="403" ht="15.75" customHeight="1">
      <c r="A403" s="25"/>
      <c r="B403" s="22"/>
      <c r="C403" s="22">
        <f t="shared" si="6"/>
        <v>0</v>
      </c>
      <c r="D403" s="25"/>
      <c r="E403" s="22"/>
      <c r="F403" s="22" t="str">
        <f t="shared" si="8"/>
        <v>#DIV/0!</v>
      </c>
      <c r="G403" s="22" t="str">
        <f t="shared" si="31"/>
        <v>#DIV/0!</v>
      </c>
      <c r="H403" s="22" t="str">
        <f t="shared" si="32"/>
        <v>#DIV/0!</v>
      </c>
      <c r="I403" s="22" t="str">
        <f t="shared" si="3"/>
        <v>#DIV/0!</v>
      </c>
      <c r="J403" s="22" t="str">
        <f t="shared" si="33"/>
        <v>#DIV/0!</v>
      </c>
    </row>
    <row r="404" ht="15.75" customHeight="1">
      <c r="A404" s="25"/>
      <c r="B404" s="22"/>
      <c r="C404" s="22">
        <f t="shared" si="6"/>
        <v>0</v>
      </c>
      <c r="D404" s="25"/>
      <c r="E404" s="22"/>
      <c r="F404" s="22" t="str">
        <f t="shared" si="8"/>
        <v>#DIV/0!</v>
      </c>
      <c r="G404" s="22" t="str">
        <f t="shared" si="31"/>
        <v>#DIV/0!</v>
      </c>
      <c r="H404" s="22" t="str">
        <f t="shared" si="32"/>
        <v>#DIV/0!</v>
      </c>
      <c r="I404" s="22" t="str">
        <f t="shared" si="3"/>
        <v>#DIV/0!</v>
      </c>
      <c r="J404" s="22" t="str">
        <f t="shared" si="33"/>
        <v>#DIV/0!</v>
      </c>
    </row>
    <row r="405" ht="15.75" customHeight="1">
      <c r="A405" s="25"/>
      <c r="B405" s="22"/>
      <c r="C405" s="22">
        <f t="shared" si="6"/>
        <v>0</v>
      </c>
      <c r="D405" s="25"/>
      <c r="E405" s="22"/>
      <c r="F405" s="22" t="str">
        <f t="shared" si="8"/>
        <v>#DIV/0!</v>
      </c>
      <c r="G405" s="22" t="str">
        <f t="shared" si="31"/>
        <v>#DIV/0!</v>
      </c>
      <c r="H405" s="22" t="str">
        <f t="shared" si="32"/>
        <v>#DIV/0!</v>
      </c>
      <c r="I405" s="22" t="str">
        <f t="shared" si="3"/>
        <v>#DIV/0!</v>
      </c>
      <c r="J405" s="22" t="str">
        <f t="shared" si="33"/>
        <v>#DIV/0!</v>
      </c>
    </row>
    <row r="406" ht="15.75" customHeight="1">
      <c r="A406" s="25"/>
      <c r="B406" s="22"/>
      <c r="C406" s="22">
        <f t="shared" si="6"/>
        <v>0</v>
      </c>
      <c r="D406" s="25"/>
      <c r="E406" s="22"/>
      <c r="F406" s="22" t="str">
        <f t="shared" si="8"/>
        <v>#DIV/0!</v>
      </c>
      <c r="G406" s="22" t="str">
        <f t="shared" si="31"/>
        <v>#DIV/0!</v>
      </c>
      <c r="H406" s="22" t="str">
        <f t="shared" si="32"/>
        <v>#DIV/0!</v>
      </c>
      <c r="I406" s="22" t="str">
        <f t="shared" si="3"/>
        <v>#DIV/0!</v>
      </c>
      <c r="J406" s="22" t="str">
        <f t="shared" si="33"/>
        <v>#DIV/0!</v>
      </c>
    </row>
    <row r="407" ht="15.75" customHeight="1">
      <c r="A407" s="25"/>
      <c r="B407" s="22"/>
      <c r="C407" s="22">
        <f t="shared" si="6"/>
        <v>0</v>
      </c>
      <c r="D407" s="25"/>
      <c r="E407" s="22"/>
      <c r="F407" s="22" t="str">
        <f t="shared" si="8"/>
        <v>#DIV/0!</v>
      </c>
      <c r="G407" s="22" t="str">
        <f t="shared" si="31"/>
        <v>#DIV/0!</v>
      </c>
      <c r="H407" s="22" t="str">
        <f t="shared" si="32"/>
        <v>#DIV/0!</v>
      </c>
      <c r="I407" s="22" t="str">
        <f t="shared" si="3"/>
        <v>#DIV/0!</v>
      </c>
      <c r="J407" s="22" t="str">
        <f t="shared" si="33"/>
        <v>#DIV/0!</v>
      </c>
    </row>
    <row r="408" ht="15.75" customHeight="1">
      <c r="A408" s="25"/>
      <c r="B408" s="22"/>
      <c r="C408" s="22">
        <f t="shared" si="6"/>
        <v>0</v>
      </c>
      <c r="D408" s="25"/>
      <c r="E408" s="22"/>
      <c r="F408" s="22" t="str">
        <f t="shared" si="8"/>
        <v>#DIV/0!</v>
      </c>
      <c r="G408" s="22" t="str">
        <f t="shared" si="31"/>
        <v>#DIV/0!</v>
      </c>
      <c r="H408" s="22" t="str">
        <f t="shared" si="32"/>
        <v>#DIV/0!</v>
      </c>
      <c r="I408" s="22" t="str">
        <f t="shared" si="3"/>
        <v>#DIV/0!</v>
      </c>
      <c r="J408" s="22" t="str">
        <f t="shared" si="33"/>
        <v>#DIV/0!</v>
      </c>
    </row>
    <row r="409" ht="15.75" customHeight="1">
      <c r="A409" s="25"/>
      <c r="B409" s="22"/>
      <c r="C409" s="22">
        <f t="shared" si="6"/>
        <v>0</v>
      </c>
      <c r="D409" s="25"/>
      <c r="E409" s="22"/>
      <c r="F409" s="22" t="str">
        <f t="shared" si="8"/>
        <v>#DIV/0!</v>
      </c>
      <c r="G409" s="22" t="str">
        <f t="shared" si="31"/>
        <v>#DIV/0!</v>
      </c>
      <c r="H409" s="22" t="str">
        <f t="shared" si="32"/>
        <v>#DIV/0!</v>
      </c>
      <c r="I409" s="22" t="str">
        <f t="shared" si="3"/>
        <v>#DIV/0!</v>
      </c>
      <c r="J409" s="22" t="str">
        <f t="shared" si="33"/>
        <v>#DIV/0!</v>
      </c>
    </row>
    <row r="410" ht="15.75" customHeight="1">
      <c r="A410" s="25"/>
      <c r="B410" s="22"/>
      <c r="C410" s="22">
        <f t="shared" si="6"/>
        <v>0</v>
      </c>
      <c r="D410" s="25"/>
      <c r="E410" s="22"/>
      <c r="F410" s="22" t="str">
        <f t="shared" si="8"/>
        <v>#DIV/0!</v>
      </c>
      <c r="G410" s="22" t="str">
        <f t="shared" si="31"/>
        <v>#DIV/0!</v>
      </c>
      <c r="H410" s="22" t="str">
        <f t="shared" si="32"/>
        <v>#DIV/0!</v>
      </c>
      <c r="I410" s="22" t="str">
        <f t="shared" si="3"/>
        <v>#DIV/0!</v>
      </c>
      <c r="J410" s="22" t="str">
        <f t="shared" si="33"/>
        <v>#DIV/0!</v>
      </c>
    </row>
    <row r="411" ht="15.75" customHeight="1">
      <c r="A411" s="25"/>
      <c r="B411" s="22"/>
      <c r="C411" s="22">
        <f t="shared" si="6"/>
        <v>0</v>
      </c>
      <c r="D411" s="25"/>
      <c r="E411" s="22"/>
      <c r="F411" s="22" t="str">
        <f t="shared" si="8"/>
        <v>#DIV/0!</v>
      </c>
      <c r="G411" s="22" t="str">
        <f t="shared" si="31"/>
        <v>#DIV/0!</v>
      </c>
      <c r="H411" s="22" t="str">
        <f t="shared" si="32"/>
        <v>#DIV/0!</v>
      </c>
      <c r="I411" s="22" t="str">
        <f t="shared" si="3"/>
        <v>#DIV/0!</v>
      </c>
      <c r="J411" s="22" t="str">
        <f t="shared" si="33"/>
        <v>#DIV/0!</v>
      </c>
    </row>
    <row r="412" ht="15.75" customHeight="1">
      <c r="A412" s="25"/>
      <c r="B412" s="22"/>
      <c r="C412" s="22">
        <f t="shared" si="6"/>
        <v>0</v>
      </c>
      <c r="D412" s="25"/>
      <c r="E412" s="22"/>
      <c r="F412" s="22" t="str">
        <f t="shared" si="8"/>
        <v>#DIV/0!</v>
      </c>
      <c r="G412" s="22" t="str">
        <f t="shared" si="31"/>
        <v>#DIV/0!</v>
      </c>
      <c r="H412" s="22" t="str">
        <f t="shared" si="32"/>
        <v>#DIV/0!</v>
      </c>
      <c r="I412" s="22" t="str">
        <f t="shared" si="3"/>
        <v>#DIV/0!</v>
      </c>
      <c r="J412" s="22" t="str">
        <f t="shared" si="33"/>
        <v>#DIV/0!</v>
      </c>
    </row>
    <row r="413" ht="15.75" customHeight="1">
      <c r="A413" s="25"/>
      <c r="B413" s="22"/>
      <c r="C413" s="22">
        <f t="shared" si="6"/>
        <v>0</v>
      </c>
      <c r="D413" s="25"/>
      <c r="E413" s="22"/>
      <c r="F413" s="22" t="str">
        <f t="shared" si="8"/>
        <v>#DIV/0!</v>
      </c>
      <c r="G413" s="22" t="str">
        <f t="shared" si="31"/>
        <v>#DIV/0!</v>
      </c>
      <c r="H413" s="22" t="str">
        <f t="shared" si="32"/>
        <v>#DIV/0!</v>
      </c>
      <c r="I413" s="22" t="str">
        <f t="shared" si="3"/>
        <v>#DIV/0!</v>
      </c>
      <c r="J413" s="22" t="str">
        <f t="shared" si="33"/>
        <v>#DIV/0!</v>
      </c>
    </row>
    <row r="414" ht="15.75" customHeight="1">
      <c r="A414" s="25"/>
      <c r="B414" s="22"/>
      <c r="C414" s="22">
        <f t="shared" si="6"/>
        <v>0</v>
      </c>
      <c r="D414" s="25"/>
      <c r="E414" s="22"/>
      <c r="F414" s="22" t="str">
        <f t="shared" si="8"/>
        <v>#DIV/0!</v>
      </c>
      <c r="G414" s="22" t="str">
        <f t="shared" si="31"/>
        <v>#DIV/0!</v>
      </c>
      <c r="H414" s="22" t="str">
        <f t="shared" si="32"/>
        <v>#DIV/0!</v>
      </c>
      <c r="I414" s="22" t="str">
        <f t="shared" si="3"/>
        <v>#DIV/0!</v>
      </c>
      <c r="J414" s="22" t="str">
        <f t="shared" si="33"/>
        <v>#DIV/0!</v>
      </c>
    </row>
    <row r="415" ht="15.75" customHeight="1">
      <c r="A415" s="25"/>
      <c r="B415" s="22"/>
      <c r="C415" s="22">
        <f t="shared" si="6"/>
        <v>0</v>
      </c>
      <c r="D415" s="25"/>
      <c r="E415" s="22"/>
      <c r="F415" s="22" t="str">
        <f t="shared" si="8"/>
        <v>#DIV/0!</v>
      </c>
      <c r="G415" s="22" t="str">
        <f t="shared" si="31"/>
        <v>#DIV/0!</v>
      </c>
      <c r="H415" s="22" t="str">
        <f t="shared" si="32"/>
        <v>#DIV/0!</v>
      </c>
      <c r="I415" s="22" t="str">
        <f t="shared" si="3"/>
        <v>#DIV/0!</v>
      </c>
      <c r="J415" s="22" t="str">
        <f t="shared" si="33"/>
        <v>#DIV/0!</v>
      </c>
    </row>
    <row r="416" ht="15.75" customHeight="1">
      <c r="A416" s="25"/>
      <c r="B416" s="22"/>
      <c r="C416" s="22">
        <f t="shared" si="6"/>
        <v>0</v>
      </c>
      <c r="D416" s="25"/>
      <c r="E416" s="22"/>
      <c r="F416" s="22" t="str">
        <f t="shared" si="8"/>
        <v>#DIV/0!</v>
      </c>
      <c r="G416" s="22" t="str">
        <f t="shared" si="31"/>
        <v>#DIV/0!</v>
      </c>
      <c r="H416" s="22" t="str">
        <f t="shared" si="32"/>
        <v>#DIV/0!</v>
      </c>
      <c r="I416" s="22" t="str">
        <f t="shared" si="3"/>
        <v>#DIV/0!</v>
      </c>
      <c r="J416" s="22" t="str">
        <f t="shared" si="33"/>
        <v>#DIV/0!</v>
      </c>
    </row>
    <row r="417" ht="15.75" customHeight="1">
      <c r="A417" s="25"/>
      <c r="B417" s="22"/>
      <c r="C417" s="22">
        <f t="shared" si="6"/>
        <v>0</v>
      </c>
      <c r="D417" s="25"/>
      <c r="E417" s="22"/>
      <c r="F417" s="22" t="str">
        <f t="shared" si="8"/>
        <v>#DIV/0!</v>
      </c>
      <c r="G417" s="22" t="str">
        <f t="shared" si="31"/>
        <v>#DIV/0!</v>
      </c>
      <c r="H417" s="22" t="str">
        <f t="shared" si="32"/>
        <v>#DIV/0!</v>
      </c>
      <c r="I417" s="22" t="str">
        <f t="shared" si="3"/>
        <v>#DIV/0!</v>
      </c>
      <c r="J417" s="22" t="str">
        <f t="shared" si="33"/>
        <v>#DIV/0!</v>
      </c>
    </row>
    <row r="418" ht="15.75" customHeight="1">
      <c r="A418" s="25"/>
      <c r="B418" s="22"/>
      <c r="C418" s="22">
        <f t="shared" si="6"/>
        <v>0</v>
      </c>
      <c r="D418" s="25"/>
      <c r="E418" s="22"/>
      <c r="F418" s="22" t="str">
        <f t="shared" si="8"/>
        <v>#DIV/0!</v>
      </c>
      <c r="G418" s="22" t="str">
        <f t="shared" si="31"/>
        <v>#DIV/0!</v>
      </c>
      <c r="H418" s="22" t="str">
        <f t="shared" si="32"/>
        <v>#DIV/0!</v>
      </c>
      <c r="I418" s="22" t="str">
        <f t="shared" si="3"/>
        <v>#DIV/0!</v>
      </c>
      <c r="J418" s="22" t="str">
        <f t="shared" si="33"/>
        <v>#DIV/0!</v>
      </c>
    </row>
    <row r="419" ht="15.75" customHeight="1">
      <c r="A419" s="25"/>
      <c r="B419" s="22"/>
      <c r="C419" s="22">
        <f t="shared" si="6"/>
        <v>0</v>
      </c>
      <c r="D419" s="25"/>
      <c r="E419" s="22"/>
      <c r="F419" s="22" t="str">
        <f t="shared" si="8"/>
        <v>#DIV/0!</v>
      </c>
      <c r="G419" s="22" t="str">
        <f t="shared" si="31"/>
        <v>#DIV/0!</v>
      </c>
      <c r="H419" s="22" t="str">
        <f t="shared" si="32"/>
        <v>#DIV/0!</v>
      </c>
      <c r="I419" s="22" t="str">
        <f t="shared" si="3"/>
        <v>#DIV/0!</v>
      </c>
      <c r="J419" s="22" t="str">
        <f t="shared" si="33"/>
        <v>#DIV/0!</v>
      </c>
    </row>
    <row r="420" ht="15.75" customHeight="1">
      <c r="A420" s="25"/>
      <c r="B420" s="22"/>
      <c r="C420" s="22">
        <f t="shared" si="6"/>
        <v>0</v>
      </c>
      <c r="D420" s="25"/>
      <c r="E420" s="22"/>
      <c r="F420" s="22" t="str">
        <f t="shared" si="8"/>
        <v>#DIV/0!</v>
      </c>
      <c r="G420" s="22" t="str">
        <f t="shared" si="31"/>
        <v>#DIV/0!</v>
      </c>
      <c r="H420" s="22" t="str">
        <f t="shared" si="32"/>
        <v>#DIV/0!</v>
      </c>
      <c r="I420" s="22" t="str">
        <f t="shared" si="3"/>
        <v>#DIV/0!</v>
      </c>
      <c r="J420" s="22" t="str">
        <f t="shared" si="33"/>
        <v>#DIV/0!</v>
      </c>
    </row>
    <row r="421" ht="15.75" customHeight="1">
      <c r="A421" s="25"/>
      <c r="B421" s="22"/>
      <c r="C421" s="22">
        <f t="shared" si="6"/>
        <v>0</v>
      </c>
      <c r="D421" s="25"/>
      <c r="E421" s="22"/>
      <c r="F421" s="22" t="str">
        <f t="shared" si="8"/>
        <v>#DIV/0!</v>
      </c>
      <c r="G421" s="22" t="str">
        <f t="shared" si="31"/>
        <v>#DIV/0!</v>
      </c>
      <c r="H421" s="22" t="str">
        <f t="shared" si="32"/>
        <v>#DIV/0!</v>
      </c>
      <c r="I421" s="22" t="str">
        <f t="shared" si="3"/>
        <v>#DIV/0!</v>
      </c>
      <c r="J421" s="22" t="str">
        <f t="shared" si="33"/>
        <v>#DIV/0!</v>
      </c>
    </row>
    <row r="422" ht="15.75" customHeight="1">
      <c r="A422" s="25"/>
      <c r="B422" s="22"/>
      <c r="C422" s="22">
        <f t="shared" si="6"/>
        <v>0</v>
      </c>
      <c r="D422" s="25"/>
      <c r="E422" s="22"/>
      <c r="F422" s="22" t="str">
        <f t="shared" si="8"/>
        <v>#DIV/0!</v>
      </c>
      <c r="G422" s="22" t="str">
        <f t="shared" si="31"/>
        <v>#DIV/0!</v>
      </c>
      <c r="H422" s="22" t="str">
        <f t="shared" si="32"/>
        <v>#DIV/0!</v>
      </c>
      <c r="I422" s="22" t="str">
        <f t="shared" si="3"/>
        <v>#DIV/0!</v>
      </c>
      <c r="J422" s="22" t="str">
        <f t="shared" si="33"/>
        <v>#DIV/0!</v>
      </c>
    </row>
    <row r="423" ht="15.75" customHeight="1">
      <c r="A423" s="25"/>
      <c r="B423" s="22"/>
      <c r="C423" s="22">
        <f t="shared" si="6"/>
        <v>0</v>
      </c>
      <c r="D423" s="25"/>
      <c r="E423" s="22"/>
      <c r="F423" s="22" t="str">
        <f t="shared" si="8"/>
        <v>#DIV/0!</v>
      </c>
      <c r="G423" s="22" t="str">
        <f t="shared" si="31"/>
        <v>#DIV/0!</v>
      </c>
      <c r="H423" s="22" t="str">
        <f t="shared" si="32"/>
        <v>#DIV/0!</v>
      </c>
      <c r="I423" s="22" t="str">
        <f t="shared" si="3"/>
        <v>#DIV/0!</v>
      </c>
      <c r="J423" s="22" t="str">
        <f t="shared" si="33"/>
        <v>#DIV/0!</v>
      </c>
    </row>
    <row r="424" ht="15.75" customHeight="1">
      <c r="A424" s="25"/>
      <c r="B424" s="22"/>
      <c r="C424" s="22">
        <f t="shared" si="6"/>
        <v>0</v>
      </c>
      <c r="D424" s="25"/>
      <c r="E424" s="22"/>
      <c r="F424" s="22" t="str">
        <f t="shared" si="8"/>
        <v>#DIV/0!</v>
      </c>
      <c r="G424" s="22" t="str">
        <f t="shared" si="31"/>
        <v>#DIV/0!</v>
      </c>
      <c r="H424" s="22" t="str">
        <f t="shared" si="32"/>
        <v>#DIV/0!</v>
      </c>
      <c r="I424" s="22" t="str">
        <f t="shared" si="3"/>
        <v>#DIV/0!</v>
      </c>
      <c r="J424" s="22" t="str">
        <f t="shared" si="33"/>
        <v>#DIV/0!</v>
      </c>
    </row>
    <row r="425" ht="15.75" customHeight="1">
      <c r="A425" s="25"/>
      <c r="B425" s="22"/>
      <c r="C425" s="22">
        <f t="shared" si="6"/>
        <v>0</v>
      </c>
      <c r="D425" s="25"/>
      <c r="E425" s="22"/>
      <c r="F425" s="22" t="str">
        <f t="shared" si="8"/>
        <v>#DIV/0!</v>
      </c>
      <c r="G425" s="22" t="str">
        <f t="shared" si="31"/>
        <v>#DIV/0!</v>
      </c>
      <c r="H425" s="22" t="str">
        <f t="shared" si="32"/>
        <v>#DIV/0!</v>
      </c>
      <c r="I425" s="22" t="str">
        <f t="shared" si="3"/>
        <v>#DIV/0!</v>
      </c>
      <c r="J425" s="22" t="str">
        <f t="shared" si="33"/>
        <v>#DIV/0!</v>
      </c>
    </row>
    <row r="426" ht="15.75" customHeight="1">
      <c r="A426" s="25"/>
      <c r="B426" s="22"/>
      <c r="C426" s="22">
        <f t="shared" si="6"/>
        <v>0</v>
      </c>
      <c r="D426" s="25"/>
      <c r="E426" s="22"/>
      <c r="F426" s="22" t="str">
        <f t="shared" si="8"/>
        <v>#DIV/0!</v>
      </c>
      <c r="G426" s="22" t="str">
        <f t="shared" si="31"/>
        <v>#DIV/0!</v>
      </c>
      <c r="H426" s="22" t="str">
        <f t="shared" si="32"/>
        <v>#DIV/0!</v>
      </c>
      <c r="I426" s="22" t="str">
        <f t="shared" si="3"/>
        <v>#DIV/0!</v>
      </c>
      <c r="J426" s="22" t="str">
        <f t="shared" si="33"/>
        <v>#DIV/0!</v>
      </c>
    </row>
    <row r="427" ht="15.75" customHeight="1">
      <c r="A427" s="25"/>
      <c r="B427" s="22"/>
      <c r="C427" s="22">
        <f t="shared" si="6"/>
        <v>0</v>
      </c>
      <c r="D427" s="25"/>
      <c r="E427" s="22"/>
      <c r="F427" s="22" t="str">
        <f t="shared" si="8"/>
        <v>#DIV/0!</v>
      </c>
      <c r="G427" s="22" t="str">
        <f t="shared" si="31"/>
        <v>#DIV/0!</v>
      </c>
      <c r="H427" s="22" t="str">
        <f t="shared" si="32"/>
        <v>#DIV/0!</v>
      </c>
      <c r="I427" s="22" t="str">
        <f t="shared" si="3"/>
        <v>#DIV/0!</v>
      </c>
      <c r="J427" s="22" t="str">
        <f t="shared" si="33"/>
        <v>#DIV/0!</v>
      </c>
    </row>
    <row r="428" ht="15.75" customHeight="1">
      <c r="A428" s="25"/>
      <c r="B428" s="22"/>
      <c r="C428" s="22">
        <f t="shared" si="6"/>
        <v>0</v>
      </c>
      <c r="D428" s="25"/>
      <c r="E428" s="22"/>
      <c r="F428" s="22" t="str">
        <f t="shared" si="8"/>
        <v>#DIV/0!</v>
      </c>
      <c r="G428" s="22" t="str">
        <f t="shared" si="31"/>
        <v>#DIV/0!</v>
      </c>
      <c r="H428" s="22" t="str">
        <f t="shared" si="32"/>
        <v>#DIV/0!</v>
      </c>
      <c r="I428" s="22" t="str">
        <f t="shared" si="3"/>
        <v>#DIV/0!</v>
      </c>
      <c r="J428" s="22" t="str">
        <f t="shared" si="33"/>
        <v>#DIV/0!</v>
      </c>
    </row>
    <row r="429" ht="15.75" customHeight="1">
      <c r="A429" s="25"/>
      <c r="B429" s="22"/>
      <c r="C429" s="22">
        <f t="shared" si="6"/>
        <v>0</v>
      </c>
      <c r="D429" s="25"/>
      <c r="E429" s="22"/>
      <c r="F429" s="22" t="str">
        <f t="shared" si="8"/>
        <v>#DIV/0!</v>
      </c>
      <c r="G429" s="22" t="str">
        <f t="shared" si="31"/>
        <v>#DIV/0!</v>
      </c>
      <c r="H429" s="22" t="str">
        <f t="shared" si="32"/>
        <v>#DIV/0!</v>
      </c>
      <c r="I429" s="22" t="str">
        <f t="shared" si="3"/>
        <v>#DIV/0!</v>
      </c>
      <c r="J429" s="22" t="str">
        <f t="shared" si="33"/>
        <v>#DIV/0!</v>
      </c>
    </row>
    <row r="430" ht="15.75" customHeight="1">
      <c r="A430" s="25"/>
      <c r="B430" s="22"/>
      <c r="C430" s="22">
        <f t="shared" si="6"/>
        <v>0</v>
      </c>
      <c r="D430" s="25"/>
      <c r="E430" s="22"/>
      <c r="F430" s="22" t="str">
        <f t="shared" si="8"/>
        <v>#DIV/0!</v>
      </c>
      <c r="G430" s="22" t="str">
        <f t="shared" si="31"/>
        <v>#DIV/0!</v>
      </c>
      <c r="H430" s="22" t="str">
        <f t="shared" si="32"/>
        <v>#DIV/0!</v>
      </c>
      <c r="I430" s="22" t="str">
        <f t="shared" si="3"/>
        <v>#DIV/0!</v>
      </c>
      <c r="J430" s="22" t="str">
        <f t="shared" si="33"/>
        <v>#DIV/0!</v>
      </c>
    </row>
    <row r="431" ht="15.75" customHeight="1">
      <c r="A431" s="25"/>
      <c r="B431" s="22"/>
      <c r="C431" s="22">
        <f t="shared" si="6"/>
        <v>0</v>
      </c>
      <c r="D431" s="25"/>
      <c r="E431" s="22"/>
      <c r="F431" s="22" t="str">
        <f t="shared" si="8"/>
        <v>#DIV/0!</v>
      </c>
      <c r="G431" s="22" t="str">
        <f t="shared" si="31"/>
        <v>#DIV/0!</v>
      </c>
      <c r="H431" s="22" t="str">
        <f t="shared" si="32"/>
        <v>#DIV/0!</v>
      </c>
      <c r="I431" s="22" t="str">
        <f t="shared" si="3"/>
        <v>#DIV/0!</v>
      </c>
      <c r="J431" s="22" t="str">
        <f t="shared" si="33"/>
        <v>#DIV/0!</v>
      </c>
    </row>
    <row r="432" ht="15.75" customHeight="1">
      <c r="A432" s="25"/>
      <c r="B432" s="22"/>
      <c r="C432" s="22">
        <f t="shared" si="6"/>
        <v>0</v>
      </c>
      <c r="D432" s="25"/>
      <c r="E432" s="22"/>
      <c r="F432" s="22" t="str">
        <f t="shared" si="8"/>
        <v>#DIV/0!</v>
      </c>
      <c r="G432" s="22" t="str">
        <f t="shared" si="31"/>
        <v>#DIV/0!</v>
      </c>
      <c r="H432" s="22" t="str">
        <f t="shared" si="32"/>
        <v>#DIV/0!</v>
      </c>
      <c r="I432" s="22" t="str">
        <f t="shared" si="3"/>
        <v>#DIV/0!</v>
      </c>
      <c r="J432" s="22" t="str">
        <f t="shared" si="33"/>
        <v>#DIV/0!</v>
      </c>
    </row>
    <row r="433" ht="15.75" customHeight="1">
      <c r="A433" s="25"/>
      <c r="B433" s="22"/>
      <c r="C433" s="22">
        <f t="shared" si="6"/>
        <v>0</v>
      </c>
      <c r="D433" s="25"/>
      <c r="E433" s="22"/>
      <c r="F433" s="22" t="str">
        <f t="shared" si="8"/>
        <v>#DIV/0!</v>
      </c>
      <c r="G433" s="22" t="str">
        <f t="shared" si="31"/>
        <v>#DIV/0!</v>
      </c>
      <c r="H433" s="22" t="str">
        <f t="shared" si="32"/>
        <v>#DIV/0!</v>
      </c>
      <c r="I433" s="22" t="str">
        <f t="shared" si="3"/>
        <v>#DIV/0!</v>
      </c>
      <c r="J433" s="22" t="str">
        <f t="shared" si="33"/>
        <v>#DIV/0!</v>
      </c>
    </row>
    <row r="434" ht="15.75" customHeight="1">
      <c r="A434" s="25"/>
      <c r="B434" s="22"/>
      <c r="C434" s="22">
        <f t="shared" si="6"/>
        <v>0</v>
      </c>
      <c r="D434" s="25"/>
      <c r="E434" s="22"/>
      <c r="F434" s="22" t="str">
        <f t="shared" si="8"/>
        <v>#DIV/0!</v>
      </c>
      <c r="G434" s="22" t="str">
        <f t="shared" si="31"/>
        <v>#DIV/0!</v>
      </c>
      <c r="H434" s="22" t="str">
        <f t="shared" si="32"/>
        <v>#DIV/0!</v>
      </c>
      <c r="I434" s="22" t="str">
        <f t="shared" si="3"/>
        <v>#DIV/0!</v>
      </c>
      <c r="J434" s="22" t="str">
        <f t="shared" si="33"/>
        <v>#DIV/0!</v>
      </c>
    </row>
    <row r="435" ht="15.75" customHeight="1">
      <c r="A435" s="25"/>
      <c r="B435" s="22"/>
      <c r="C435" s="22">
        <f t="shared" si="6"/>
        <v>0</v>
      </c>
      <c r="D435" s="25"/>
      <c r="E435" s="22"/>
      <c r="F435" s="22" t="str">
        <f t="shared" si="8"/>
        <v>#DIV/0!</v>
      </c>
      <c r="G435" s="22" t="str">
        <f t="shared" si="31"/>
        <v>#DIV/0!</v>
      </c>
      <c r="H435" s="22" t="str">
        <f t="shared" si="32"/>
        <v>#DIV/0!</v>
      </c>
      <c r="I435" s="22" t="str">
        <f t="shared" si="3"/>
        <v>#DIV/0!</v>
      </c>
      <c r="J435" s="22" t="str">
        <f t="shared" si="33"/>
        <v>#DIV/0!</v>
      </c>
    </row>
    <row r="436" ht="15.75" customHeight="1">
      <c r="A436" s="25"/>
      <c r="B436" s="22"/>
      <c r="C436" s="22">
        <f t="shared" si="6"/>
        <v>0</v>
      </c>
      <c r="D436" s="25"/>
      <c r="E436" s="22"/>
      <c r="F436" s="22" t="str">
        <f t="shared" si="8"/>
        <v>#DIV/0!</v>
      </c>
      <c r="G436" s="22" t="str">
        <f t="shared" si="31"/>
        <v>#DIV/0!</v>
      </c>
      <c r="H436" s="22" t="str">
        <f t="shared" si="32"/>
        <v>#DIV/0!</v>
      </c>
      <c r="I436" s="22" t="str">
        <f t="shared" si="3"/>
        <v>#DIV/0!</v>
      </c>
      <c r="J436" s="22" t="str">
        <f t="shared" si="33"/>
        <v>#DIV/0!</v>
      </c>
    </row>
    <row r="437" ht="15.75" customHeight="1">
      <c r="A437" s="25"/>
      <c r="B437" s="22"/>
      <c r="C437" s="22">
        <f t="shared" si="6"/>
        <v>0</v>
      </c>
      <c r="D437" s="25"/>
      <c r="E437" s="22"/>
      <c r="F437" s="22" t="str">
        <f t="shared" si="8"/>
        <v>#DIV/0!</v>
      </c>
      <c r="G437" s="22" t="str">
        <f t="shared" si="31"/>
        <v>#DIV/0!</v>
      </c>
      <c r="H437" s="22" t="str">
        <f t="shared" si="32"/>
        <v>#DIV/0!</v>
      </c>
      <c r="I437" s="22" t="str">
        <f t="shared" si="3"/>
        <v>#DIV/0!</v>
      </c>
      <c r="J437" s="22" t="str">
        <f t="shared" si="33"/>
        <v>#DIV/0!</v>
      </c>
    </row>
    <row r="438" ht="15.75" customHeight="1">
      <c r="A438" s="25"/>
      <c r="B438" s="22"/>
      <c r="C438" s="22">
        <f t="shared" si="6"/>
        <v>0</v>
      </c>
      <c r="D438" s="25"/>
      <c r="E438" s="22"/>
      <c r="F438" s="22" t="str">
        <f t="shared" si="8"/>
        <v>#DIV/0!</v>
      </c>
      <c r="G438" s="22" t="str">
        <f t="shared" si="31"/>
        <v>#DIV/0!</v>
      </c>
      <c r="H438" s="22" t="str">
        <f t="shared" si="32"/>
        <v>#DIV/0!</v>
      </c>
      <c r="I438" s="22" t="str">
        <f t="shared" si="3"/>
        <v>#DIV/0!</v>
      </c>
      <c r="J438" s="22" t="str">
        <f t="shared" si="33"/>
        <v>#DIV/0!</v>
      </c>
    </row>
    <row r="439" ht="15.75" customHeight="1">
      <c r="A439" s="25"/>
      <c r="B439" s="22"/>
      <c r="C439" s="22">
        <f t="shared" si="6"/>
        <v>0</v>
      </c>
      <c r="D439" s="25"/>
      <c r="E439" s="22"/>
      <c r="F439" s="22" t="str">
        <f t="shared" si="8"/>
        <v>#DIV/0!</v>
      </c>
      <c r="G439" s="22" t="str">
        <f t="shared" si="31"/>
        <v>#DIV/0!</v>
      </c>
      <c r="H439" s="22" t="str">
        <f t="shared" si="32"/>
        <v>#DIV/0!</v>
      </c>
      <c r="I439" s="22" t="str">
        <f t="shared" si="3"/>
        <v>#DIV/0!</v>
      </c>
      <c r="J439" s="22" t="str">
        <f t="shared" si="33"/>
        <v>#DIV/0!</v>
      </c>
    </row>
    <row r="440" ht="15.75" customHeight="1">
      <c r="A440" s="25"/>
      <c r="B440" s="22"/>
      <c r="C440" s="22">
        <f t="shared" si="6"/>
        <v>0</v>
      </c>
      <c r="D440" s="25"/>
      <c r="E440" s="22"/>
      <c r="F440" s="22" t="str">
        <f t="shared" si="8"/>
        <v>#DIV/0!</v>
      </c>
      <c r="G440" s="22" t="str">
        <f t="shared" si="31"/>
        <v>#DIV/0!</v>
      </c>
      <c r="H440" s="22" t="str">
        <f t="shared" si="32"/>
        <v>#DIV/0!</v>
      </c>
      <c r="I440" s="22" t="str">
        <f t="shared" si="3"/>
        <v>#DIV/0!</v>
      </c>
      <c r="J440" s="22" t="str">
        <f t="shared" si="33"/>
        <v>#DIV/0!</v>
      </c>
    </row>
    <row r="441" ht="15.75" customHeight="1">
      <c r="A441" s="25"/>
      <c r="B441" s="22"/>
      <c r="C441" s="22">
        <f t="shared" si="6"/>
        <v>0</v>
      </c>
      <c r="D441" s="25"/>
      <c r="E441" s="22"/>
      <c r="F441" s="22" t="str">
        <f t="shared" si="8"/>
        <v>#DIV/0!</v>
      </c>
      <c r="G441" s="22" t="str">
        <f t="shared" si="31"/>
        <v>#DIV/0!</v>
      </c>
      <c r="H441" s="22" t="str">
        <f t="shared" si="32"/>
        <v>#DIV/0!</v>
      </c>
      <c r="I441" s="22" t="str">
        <f t="shared" si="3"/>
        <v>#DIV/0!</v>
      </c>
      <c r="J441" s="22" t="str">
        <f t="shared" si="33"/>
        <v>#DIV/0!</v>
      </c>
    </row>
    <row r="442" ht="15.75" customHeight="1">
      <c r="A442" s="25"/>
      <c r="B442" s="22"/>
      <c r="C442" s="22">
        <f t="shared" si="6"/>
        <v>0</v>
      </c>
      <c r="D442" s="25"/>
      <c r="E442" s="22"/>
      <c r="F442" s="22" t="str">
        <f t="shared" si="8"/>
        <v>#DIV/0!</v>
      </c>
      <c r="G442" s="22" t="str">
        <f t="shared" si="31"/>
        <v>#DIV/0!</v>
      </c>
      <c r="H442" s="22" t="str">
        <f t="shared" si="32"/>
        <v>#DIV/0!</v>
      </c>
      <c r="I442" s="22" t="str">
        <f t="shared" si="3"/>
        <v>#DIV/0!</v>
      </c>
      <c r="J442" s="22" t="str">
        <f t="shared" si="33"/>
        <v>#DIV/0!</v>
      </c>
    </row>
    <row r="443" ht="15.75" customHeight="1">
      <c r="A443" s="25"/>
      <c r="B443" s="22"/>
      <c r="C443" s="22">
        <f t="shared" si="6"/>
        <v>0</v>
      </c>
      <c r="D443" s="25"/>
      <c r="E443" s="22"/>
      <c r="F443" s="22" t="str">
        <f t="shared" si="8"/>
        <v>#DIV/0!</v>
      </c>
      <c r="G443" s="22" t="str">
        <f t="shared" si="31"/>
        <v>#DIV/0!</v>
      </c>
      <c r="H443" s="22" t="str">
        <f t="shared" si="32"/>
        <v>#DIV/0!</v>
      </c>
      <c r="I443" s="22" t="str">
        <f t="shared" si="3"/>
        <v>#DIV/0!</v>
      </c>
      <c r="J443" s="22" t="str">
        <f t="shared" si="33"/>
        <v>#DIV/0!</v>
      </c>
    </row>
    <row r="444" ht="15.75" customHeight="1">
      <c r="A444" s="25"/>
      <c r="B444" s="22"/>
      <c r="C444" s="22">
        <f t="shared" si="6"/>
        <v>0</v>
      </c>
      <c r="D444" s="25"/>
      <c r="E444" s="22"/>
      <c r="F444" s="22" t="str">
        <f t="shared" si="8"/>
        <v>#DIV/0!</v>
      </c>
      <c r="G444" s="22" t="str">
        <f t="shared" si="31"/>
        <v>#DIV/0!</v>
      </c>
      <c r="H444" s="22" t="str">
        <f t="shared" si="32"/>
        <v>#DIV/0!</v>
      </c>
      <c r="I444" s="22" t="str">
        <f t="shared" si="3"/>
        <v>#DIV/0!</v>
      </c>
      <c r="J444" s="22" t="str">
        <f t="shared" si="33"/>
        <v>#DIV/0!</v>
      </c>
    </row>
    <row r="445" ht="15.75" customHeight="1">
      <c r="A445" s="25"/>
      <c r="B445" s="22"/>
      <c r="C445" s="22">
        <f t="shared" si="6"/>
        <v>0</v>
      </c>
      <c r="D445" s="25"/>
      <c r="E445" s="22"/>
      <c r="F445" s="22" t="str">
        <f t="shared" si="8"/>
        <v>#DIV/0!</v>
      </c>
      <c r="G445" s="22" t="str">
        <f t="shared" si="31"/>
        <v>#DIV/0!</v>
      </c>
      <c r="H445" s="22" t="str">
        <f t="shared" si="32"/>
        <v>#DIV/0!</v>
      </c>
      <c r="I445" s="22" t="str">
        <f t="shared" si="3"/>
        <v>#DIV/0!</v>
      </c>
      <c r="J445" s="22" t="str">
        <f t="shared" si="33"/>
        <v>#DIV/0!</v>
      </c>
    </row>
    <row r="446" ht="15.75" customHeight="1">
      <c r="A446" s="25"/>
      <c r="B446" s="22"/>
      <c r="C446" s="22">
        <f t="shared" si="6"/>
        <v>0</v>
      </c>
      <c r="D446" s="25"/>
      <c r="E446" s="22"/>
      <c r="F446" s="22" t="str">
        <f t="shared" si="8"/>
        <v>#DIV/0!</v>
      </c>
      <c r="G446" s="22" t="str">
        <f t="shared" si="31"/>
        <v>#DIV/0!</v>
      </c>
      <c r="H446" s="22" t="str">
        <f t="shared" si="32"/>
        <v>#DIV/0!</v>
      </c>
      <c r="I446" s="22" t="str">
        <f t="shared" si="3"/>
        <v>#DIV/0!</v>
      </c>
      <c r="J446" s="22" t="str">
        <f t="shared" si="33"/>
        <v>#DIV/0!</v>
      </c>
    </row>
    <row r="447" ht="15.75" customHeight="1">
      <c r="A447" s="25"/>
      <c r="B447" s="22"/>
      <c r="C447" s="22">
        <f t="shared" si="6"/>
        <v>0</v>
      </c>
      <c r="D447" s="25"/>
      <c r="E447" s="22"/>
      <c r="F447" s="22" t="str">
        <f t="shared" si="8"/>
        <v>#DIV/0!</v>
      </c>
      <c r="G447" s="22" t="str">
        <f t="shared" si="31"/>
        <v>#DIV/0!</v>
      </c>
      <c r="H447" s="22" t="str">
        <f t="shared" si="32"/>
        <v>#DIV/0!</v>
      </c>
      <c r="I447" s="22" t="str">
        <f t="shared" si="3"/>
        <v>#DIV/0!</v>
      </c>
      <c r="J447" s="22" t="str">
        <f t="shared" si="33"/>
        <v>#DIV/0!</v>
      </c>
    </row>
    <row r="448" ht="15.75" customHeight="1">
      <c r="A448" s="25"/>
      <c r="B448" s="22"/>
      <c r="C448" s="22">
        <f t="shared" si="6"/>
        <v>0</v>
      </c>
      <c r="D448" s="25"/>
      <c r="E448" s="22"/>
      <c r="F448" s="22" t="str">
        <f t="shared" si="8"/>
        <v>#DIV/0!</v>
      </c>
      <c r="G448" s="22" t="str">
        <f t="shared" si="31"/>
        <v>#DIV/0!</v>
      </c>
      <c r="H448" s="22" t="str">
        <f t="shared" si="32"/>
        <v>#DIV/0!</v>
      </c>
      <c r="I448" s="22" t="str">
        <f t="shared" si="3"/>
        <v>#DIV/0!</v>
      </c>
      <c r="J448" s="22" t="str">
        <f t="shared" si="33"/>
        <v>#DIV/0!</v>
      </c>
    </row>
    <row r="449" ht="15.75" customHeight="1">
      <c r="A449" s="25"/>
      <c r="B449" s="22"/>
      <c r="C449" s="22">
        <f t="shared" si="6"/>
        <v>0</v>
      </c>
      <c r="D449" s="25"/>
      <c r="E449" s="22"/>
      <c r="F449" s="22" t="str">
        <f t="shared" si="8"/>
        <v>#DIV/0!</v>
      </c>
      <c r="G449" s="22" t="str">
        <f t="shared" si="31"/>
        <v>#DIV/0!</v>
      </c>
      <c r="H449" s="22" t="str">
        <f t="shared" si="32"/>
        <v>#DIV/0!</v>
      </c>
      <c r="I449" s="22" t="str">
        <f t="shared" si="3"/>
        <v>#DIV/0!</v>
      </c>
      <c r="J449" s="22" t="str">
        <f t="shared" si="33"/>
        <v>#DIV/0!</v>
      </c>
    </row>
    <row r="450" ht="15.75" customHeight="1">
      <c r="A450" s="25"/>
      <c r="B450" s="22"/>
      <c r="C450" s="22">
        <f t="shared" si="6"/>
        <v>0</v>
      </c>
      <c r="D450" s="25"/>
      <c r="E450" s="22"/>
      <c r="F450" s="22" t="str">
        <f t="shared" si="8"/>
        <v>#DIV/0!</v>
      </c>
      <c r="G450" s="22" t="str">
        <f t="shared" si="31"/>
        <v>#DIV/0!</v>
      </c>
      <c r="H450" s="22" t="str">
        <f t="shared" si="32"/>
        <v>#DIV/0!</v>
      </c>
      <c r="I450" s="22" t="str">
        <f t="shared" si="3"/>
        <v>#DIV/0!</v>
      </c>
      <c r="J450" s="22" t="str">
        <f t="shared" si="33"/>
        <v>#DIV/0!</v>
      </c>
    </row>
    <row r="451" ht="15.75" customHeight="1">
      <c r="A451" s="25"/>
      <c r="B451" s="22"/>
      <c r="C451" s="22">
        <f t="shared" si="6"/>
        <v>0</v>
      </c>
      <c r="D451" s="25"/>
      <c r="E451" s="22"/>
      <c r="F451" s="22" t="str">
        <f t="shared" si="8"/>
        <v>#DIV/0!</v>
      </c>
      <c r="G451" s="22" t="str">
        <f t="shared" si="31"/>
        <v>#DIV/0!</v>
      </c>
      <c r="H451" s="22" t="str">
        <f t="shared" si="32"/>
        <v>#DIV/0!</v>
      </c>
      <c r="I451" s="22" t="str">
        <f t="shared" si="3"/>
        <v>#DIV/0!</v>
      </c>
      <c r="J451" s="22" t="str">
        <f t="shared" si="33"/>
        <v>#DIV/0!</v>
      </c>
    </row>
    <row r="452" ht="15.75" customHeight="1">
      <c r="A452" s="25"/>
      <c r="B452" s="22"/>
      <c r="C452" s="22">
        <f t="shared" si="6"/>
        <v>0</v>
      </c>
      <c r="D452" s="25"/>
      <c r="E452" s="22"/>
      <c r="F452" s="22" t="str">
        <f t="shared" si="8"/>
        <v>#DIV/0!</v>
      </c>
      <c r="G452" s="22" t="str">
        <f t="shared" si="31"/>
        <v>#DIV/0!</v>
      </c>
      <c r="H452" s="22" t="str">
        <f t="shared" si="32"/>
        <v>#DIV/0!</v>
      </c>
      <c r="I452" s="22" t="str">
        <f t="shared" si="3"/>
        <v>#DIV/0!</v>
      </c>
      <c r="J452" s="22" t="str">
        <f t="shared" si="33"/>
        <v>#DIV/0!</v>
      </c>
    </row>
    <row r="453" ht="15.75" customHeight="1">
      <c r="A453" s="25"/>
      <c r="B453" s="22"/>
      <c r="C453" s="22">
        <f t="shared" si="6"/>
        <v>0</v>
      </c>
      <c r="D453" s="25"/>
      <c r="E453" s="22"/>
      <c r="F453" s="22" t="str">
        <f t="shared" si="8"/>
        <v>#DIV/0!</v>
      </c>
      <c r="G453" s="22" t="str">
        <f t="shared" si="31"/>
        <v>#DIV/0!</v>
      </c>
      <c r="H453" s="22" t="str">
        <f t="shared" si="32"/>
        <v>#DIV/0!</v>
      </c>
      <c r="I453" s="22" t="str">
        <f t="shared" si="3"/>
        <v>#DIV/0!</v>
      </c>
      <c r="J453" s="22" t="str">
        <f t="shared" si="33"/>
        <v>#DIV/0!</v>
      </c>
    </row>
    <row r="454" ht="15.75" customHeight="1">
      <c r="A454" s="25"/>
      <c r="B454" s="22"/>
      <c r="C454" s="22">
        <f t="shared" si="6"/>
        <v>0</v>
      </c>
      <c r="D454" s="25"/>
      <c r="E454" s="22"/>
      <c r="F454" s="22" t="str">
        <f t="shared" si="8"/>
        <v>#DIV/0!</v>
      </c>
      <c r="G454" s="22" t="str">
        <f t="shared" si="31"/>
        <v>#DIV/0!</v>
      </c>
      <c r="H454" s="22" t="str">
        <f t="shared" si="32"/>
        <v>#DIV/0!</v>
      </c>
      <c r="I454" s="22" t="str">
        <f t="shared" si="3"/>
        <v>#DIV/0!</v>
      </c>
      <c r="J454" s="22" t="str">
        <f t="shared" si="33"/>
        <v>#DIV/0!</v>
      </c>
    </row>
    <row r="455" ht="15.75" customHeight="1">
      <c r="A455" s="25"/>
      <c r="B455" s="22"/>
      <c r="C455" s="22">
        <f t="shared" si="6"/>
        <v>0</v>
      </c>
      <c r="D455" s="25"/>
      <c r="E455" s="22"/>
      <c r="F455" s="22" t="str">
        <f t="shared" si="8"/>
        <v>#DIV/0!</v>
      </c>
      <c r="G455" s="22" t="str">
        <f t="shared" si="31"/>
        <v>#DIV/0!</v>
      </c>
      <c r="H455" s="22" t="str">
        <f t="shared" si="32"/>
        <v>#DIV/0!</v>
      </c>
      <c r="I455" s="22" t="str">
        <f t="shared" si="3"/>
        <v>#DIV/0!</v>
      </c>
      <c r="J455" s="22" t="str">
        <f t="shared" si="33"/>
        <v>#DIV/0!</v>
      </c>
    </row>
    <row r="456" ht="15.75" customHeight="1">
      <c r="A456" s="25"/>
      <c r="B456" s="22"/>
      <c r="C456" s="22">
        <f t="shared" si="6"/>
        <v>0</v>
      </c>
      <c r="D456" s="25"/>
      <c r="E456" s="22"/>
      <c r="F456" s="22" t="str">
        <f t="shared" si="8"/>
        <v>#DIV/0!</v>
      </c>
      <c r="G456" s="22" t="str">
        <f t="shared" si="31"/>
        <v>#DIV/0!</v>
      </c>
      <c r="H456" s="22" t="str">
        <f t="shared" si="32"/>
        <v>#DIV/0!</v>
      </c>
      <c r="I456" s="22" t="str">
        <f t="shared" si="3"/>
        <v>#DIV/0!</v>
      </c>
      <c r="J456" s="22" t="str">
        <f t="shared" si="33"/>
        <v>#DIV/0!</v>
      </c>
    </row>
    <row r="457" ht="15.75" customHeight="1">
      <c r="A457" s="25"/>
      <c r="B457" s="22"/>
      <c r="C457" s="22">
        <f t="shared" si="6"/>
        <v>0</v>
      </c>
      <c r="D457" s="25"/>
      <c r="E457" s="22"/>
      <c r="F457" s="22" t="str">
        <f t="shared" si="8"/>
        <v>#DIV/0!</v>
      </c>
      <c r="G457" s="22" t="str">
        <f t="shared" si="31"/>
        <v>#DIV/0!</v>
      </c>
      <c r="H457" s="22" t="str">
        <f t="shared" si="32"/>
        <v>#DIV/0!</v>
      </c>
      <c r="I457" s="22" t="str">
        <f t="shared" si="3"/>
        <v>#DIV/0!</v>
      </c>
      <c r="J457" s="22" t="str">
        <f t="shared" si="33"/>
        <v>#DIV/0!</v>
      </c>
    </row>
    <row r="458" ht="15.75" customHeight="1">
      <c r="A458" s="25"/>
      <c r="B458" s="22"/>
      <c r="C458" s="22">
        <f t="shared" si="6"/>
        <v>0</v>
      </c>
      <c r="D458" s="25"/>
      <c r="E458" s="22"/>
      <c r="F458" s="22" t="str">
        <f t="shared" si="8"/>
        <v>#DIV/0!</v>
      </c>
      <c r="G458" s="22" t="str">
        <f t="shared" si="31"/>
        <v>#DIV/0!</v>
      </c>
      <c r="H458" s="22" t="str">
        <f t="shared" si="32"/>
        <v>#DIV/0!</v>
      </c>
      <c r="I458" s="22" t="str">
        <f t="shared" si="3"/>
        <v>#DIV/0!</v>
      </c>
      <c r="J458" s="22" t="str">
        <f t="shared" si="33"/>
        <v>#DIV/0!</v>
      </c>
    </row>
    <row r="459" ht="15.75" customHeight="1">
      <c r="A459" s="25"/>
      <c r="B459" s="22"/>
      <c r="C459" s="22">
        <f t="shared" si="6"/>
        <v>0</v>
      </c>
      <c r="D459" s="25"/>
      <c r="E459" s="22"/>
      <c r="F459" s="22" t="str">
        <f t="shared" si="8"/>
        <v>#DIV/0!</v>
      </c>
      <c r="G459" s="22" t="str">
        <f t="shared" si="31"/>
        <v>#DIV/0!</v>
      </c>
      <c r="H459" s="22" t="str">
        <f t="shared" si="32"/>
        <v>#DIV/0!</v>
      </c>
      <c r="I459" s="22" t="str">
        <f t="shared" si="3"/>
        <v>#DIV/0!</v>
      </c>
      <c r="J459" s="22" t="str">
        <f t="shared" si="33"/>
        <v>#DIV/0!</v>
      </c>
    </row>
    <row r="460" ht="15.75" customHeight="1">
      <c r="A460" s="25"/>
      <c r="B460" s="22"/>
      <c r="C460" s="22">
        <f t="shared" si="6"/>
        <v>0</v>
      </c>
      <c r="D460" s="25"/>
      <c r="E460" s="22"/>
      <c r="F460" s="22" t="str">
        <f t="shared" si="8"/>
        <v>#DIV/0!</v>
      </c>
      <c r="G460" s="22" t="str">
        <f t="shared" si="31"/>
        <v>#DIV/0!</v>
      </c>
      <c r="H460" s="22" t="str">
        <f t="shared" si="32"/>
        <v>#DIV/0!</v>
      </c>
      <c r="I460" s="22" t="str">
        <f t="shared" si="3"/>
        <v>#DIV/0!</v>
      </c>
      <c r="J460" s="22" t="str">
        <f t="shared" si="33"/>
        <v>#DIV/0!</v>
      </c>
    </row>
    <row r="461" ht="15.75" customHeight="1">
      <c r="A461" s="25"/>
      <c r="B461" s="22"/>
      <c r="C461" s="22">
        <f t="shared" si="6"/>
        <v>0</v>
      </c>
      <c r="D461" s="25"/>
      <c r="E461" s="22"/>
      <c r="F461" s="22" t="str">
        <f t="shared" si="8"/>
        <v>#DIV/0!</v>
      </c>
      <c r="G461" s="22" t="str">
        <f t="shared" si="31"/>
        <v>#DIV/0!</v>
      </c>
      <c r="H461" s="22" t="str">
        <f t="shared" si="32"/>
        <v>#DIV/0!</v>
      </c>
      <c r="I461" s="22" t="str">
        <f t="shared" si="3"/>
        <v>#DIV/0!</v>
      </c>
      <c r="J461" s="22" t="str">
        <f t="shared" si="33"/>
        <v>#DIV/0!</v>
      </c>
    </row>
    <row r="462" ht="15.75" customHeight="1">
      <c r="A462" s="25"/>
      <c r="B462" s="22"/>
      <c r="C462" s="22">
        <f t="shared" si="6"/>
        <v>0</v>
      </c>
      <c r="D462" s="25"/>
      <c r="E462" s="22"/>
      <c r="F462" s="22" t="str">
        <f t="shared" si="8"/>
        <v>#DIV/0!</v>
      </c>
      <c r="G462" s="22" t="str">
        <f t="shared" si="31"/>
        <v>#DIV/0!</v>
      </c>
      <c r="H462" s="22" t="str">
        <f t="shared" si="32"/>
        <v>#DIV/0!</v>
      </c>
      <c r="I462" s="22" t="str">
        <f t="shared" si="3"/>
        <v>#DIV/0!</v>
      </c>
      <c r="J462" s="22" t="str">
        <f t="shared" si="33"/>
        <v>#DIV/0!</v>
      </c>
    </row>
    <row r="463" ht="15.75" customHeight="1">
      <c r="A463" s="25"/>
      <c r="B463" s="22"/>
      <c r="C463" s="22">
        <f t="shared" si="6"/>
        <v>0</v>
      </c>
      <c r="D463" s="25"/>
      <c r="E463" s="22"/>
      <c r="F463" s="22" t="str">
        <f t="shared" si="8"/>
        <v>#DIV/0!</v>
      </c>
      <c r="G463" s="22" t="str">
        <f t="shared" si="31"/>
        <v>#DIV/0!</v>
      </c>
      <c r="H463" s="22" t="str">
        <f t="shared" si="32"/>
        <v>#DIV/0!</v>
      </c>
      <c r="I463" s="22" t="str">
        <f t="shared" si="3"/>
        <v>#DIV/0!</v>
      </c>
      <c r="J463" s="22" t="str">
        <f t="shared" si="33"/>
        <v>#DIV/0!</v>
      </c>
    </row>
    <row r="464" ht="15.75" customHeight="1">
      <c r="A464" s="25"/>
      <c r="B464" s="22"/>
      <c r="C464" s="22">
        <f t="shared" si="6"/>
        <v>0</v>
      </c>
      <c r="D464" s="25"/>
      <c r="E464" s="22"/>
      <c r="F464" s="22" t="str">
        <f t="shared" si="8"/>
        <v>#DIV/0!</v>
      </c>
      <c r="G464" s="22" t="str">
        <f t="shared" si="31"/>
        <v>#DIV/0!</v>
      </c>
      <c r="H464" s="22" t="str">
        <f t="shared" si="32"/>
        <v>#DIV/0!</v>
      </c>
      <c r="I464" s="22" t="str">
        <f t="shared" si="3"/>
        <v>#DIV/0!</v>
      </c>
      <c r="J464" s="22" t="str">
        <f t="shared" si="33"/>
        <v>#DIV/0!</v>
      </c>
    </row>
    <row r="465" ht="15.75" customHeight="1">
      <c r="A465" s="25"/>
      <c r="B465" s="22"/>
      <c r="C465" s="22">
        <f t="shared" si="6"/>
        <v>0</v>
      </c>
      <c r="D465" s="25"/>
      <c r="E465" s="22"/>
      <c r="F465" s="22" t="str">
        <f t="shared" si="8"/>
        <v>#DIV/0!</v>
      </c>
      <c r="G465" s="22" t="str">
        <f t="shared" si="31"/>
        <v>#DIV/0!</v>
      </c>
      <c r="H465" s="22" t="str">
        <f t="shared" si="32"/>
        <v>#DIV/0!</v>
      </c>
      <c r="I465" s="22" t="str">
        <f t="shared" si="3"/>
        <v>#DIV/0!</v>
      </c>
      <c r="J465" s="22" t="str">
        <f t="shared" si="33"/>
        <v>#DIV/0!</v>
      </c>
    </row>
    <row r="466" ht="15.75" customHeight="1">
      <c r="A466" s="25"/>
      <c r="B466" s="22"/>
      <c r="C466" s="22">
        <f t="shared" si="6"/>
        <v>0</v>
      </c>
      <c r="D466" s="25"/>
      <c r="E466" s="22"/>
      <c r="F466" s="22" t="str">
        <f t="shared" si="8"/>
        <v>#DIV/0!</v>
      </c>
      <c r="G466" s="22" t="str">
        <f t="shared" si="31"/>
        <v>#DIV/0!</v>
      </c>
      <c r="H466" s="22" t="str">
        <f t="shared" si="32"/>
        <v>#DIV/0!</v>
      </c>
      <c r="I466" s="22" t="str">
        <f t="shared" si="3"/>
        <v>#DIV/0!</v>
      </c>
      <c r="J466" s="22" t="str">
        <f t="shared" si="33"/>
        <v>#DIV/0!</v>
      </c>
    </row>
    <row r="467" ht="15.75" customHeight="1">
      <c r="A467" s="25"/>
      <c r="B467" s="22"/>
      <c r="C467" s="22">
        <f t="shared" si="6"/>
        <v>0</v>
      </c>
      <c r="D467" s="25"/>
      <c r="E467" s="22"/>
      <c r="F467" s="22" t="str">
        <f t="shared" si="8"/>
        <v>#DIV/0!</v>
      </c>
      <c r="G467" s="22" t="str">
        <f t="shared" si="31"/>
        <v>#DIV/0!</v>
      </c>
      <c r="H467" s="22" t="str">
        <f t="shared" si="32"/>
        <v>#DIV/0!</v>
      </c>
      <c r="I467" s="22" t="str">
        <f t="shared" si="3"/>
        <v>#DIV/0!</v>
      </c>
      <c r="J467" s="22" t="str">
        <f t="shared" si="33"/>
        <v>#DIV/0!</v>
      </c>
    </row>
    <row r="468" ht="15.75" customHeight="1">
      <c r="A468" s="25"/>
      <c r="B468" s="22"/>
      <c r="C468" s="22">
        <f t="shared" si="6"/>
        <v>0</v>
      </c>
      <c r="D468" s="25"/>
      <c r="E468" s="22"/>
      <c r="F468" s="22" t="str">
        <f t="shared" si="8"/>
        <v>#DIV/0!</v>
      </c>
      <c r="G468" s="22" t="str">
        <f t="shared" si="31"/>
        <v>#DIV/0!</v>
      </c>
      <c r="H468" s="22" t="str">
        <f t="shared" si="32"/>
        <v>#DIV/0!</v>
      </c>
      <c r="I468" s="22" t="str">
        <f t="shared" si="3"/>
        <v>#DIV/0!</v>
      </c>
      <c r="J468" s="22" t="str">
        <f t="shared" si="33"/>
        <v>#DIV/0!</v>
      </c>
    </row>
    <row r="469" ht="15.75" customHeight="1">
      <c r="A469" s="25"/>
      <c r="B469" s="22"/>
      <c r="C469" s="22">
        <f t="shared" si="6"/>
        <v>0</v>
      </c>
      <c r="D469" s="25"/>
      <c r="E469" s="22"/>
      <c r="F469" s="22" t="str">
        <f t="shared" si="8"/>
        <v>#DIV/0!</v>
      </c>
      <c r="G469" s="22" t="str">
        <f t="shared" si="31"/>
        <v>#DIV/0!</v>
      </c>
      <c r="H469" s="22" t="str">
        <f t="shared" si="32"/>
        <v>#DIV/0!</v>
      </c>
      <c r="I469" s="22" t="str">
        <f t="shared" si="3"/>
        <v>#DIV/0!</v>
      </c>
      <c r="J469" s="22" t="str">
        <f t="shared" si="33"/>
        <v>#DIV/0!</v>
      </c>
    </row>
    <row r="470" ht="15.75" customHeight="1">
      <c r="A470" s="25"/>
      <c r="B470" s="22"/>
      <c r="C470" s="22">
        <f t="shared" si="6"/>
        <v>0</v>
      </c>
      <c r="D470" s="25"/>
      <c r="E470" s="22"/>
      <c r="F470" s="22" t="str">
        <f t="shared" si="8"/>
        <v>#DIV/0!</v>
      </c>
      <c r="G470" s="22" t="str">
        <f t="shared" si="31"/>
        <v>#DIV/0!</v>
      </c>
      <c r="H470" s="22" t="str">
        <f t="shared" si="32"/>
        <v>#DIV/0!</v>
      </c>
      <c r="I470" s="22" t="str">
        <f t="shared" si="3"/>
        <v>#DIV/0!</v>
      </c>
      <c r="J470" s="22" t="str">
        <f t="shared" si="33"/>
        <v>#DIV/0!</v>
      </c>
    </row>
    <row r="471" ht="15.75" customHeight="1">
      <c r="A471" s="25"/>
      <c r="B471" s="22"/>
      <c r="C471" s="22">
        <f t="shared" si="6"/>
        <v>0</v>
      </c>
      <c r="D471" s="25"/>
      <c r="E471" s="22"/>
      <c r="F471" s="22" t="str">
        <f t="shared" si="8"/>
        <v>#DIV/0!</v>
      </c>
      <c r="G471" s="22" t="str">
        <f t="shared" si="31"/>
        <v>#DIV/0!</v>
      </c>
      <c r="H471" s="22" t="str">
        <f t="shared" si="32"/>
        <v>#DIV/0!</v>
      </c>
      <c r="I471" s="22" t="str">
        <f t="shared" si="3"/>
        <v>#DIV/0!</v>
      </c>
      <c r="J471" s="22" t="str">
        <f t="shared" si="33"/>
        <v>#DIV/0!</v>
      </c>
    </row>
    <row r="472" ht="15.75" customHeight="1">
      <c r="A472" s="25"/>
      <c r="B472" s="22"/>
      <c r="C472" s="22">
        <f t="shared" si="6"/>
        <v>0</v>
      </c>
      <c r="D472" s="25"/>
      <c r="E472" s="22"/>
      <c r="F472" s="22" t="str">
        <f t="shared" si="8"/>
        <v>#DIV/0!</v>
      </c>
      <c r="G472" s="22" t="str">
        <f t="shared" si="31"/>
        <v>#DIV/0!</v>
      </c>
      <c r="H472" s="22" t="str">
        <f t="shared" si="32"/>
        <v>#DIV/0!</v>
      </c>
      <c r="I472" s="22" t="str">
        <f t="shared" si="3"/>
        <v>#DIV/0!</v>
      </c>
      <c r="J472" s="22" t="str">
        <f t="shared" si="33"/>
        <v>#DIV/0!</v>
      </c>
    </row>
    <row r="473" ht="15.75" customHeight="1">
      <c r="A473" s="25"/>
      <c r="B473" s="22"/>
      <c r="C473" s="22">
        <f t="shared" si="6"/>
        <v>0</v>
      </c>
      <c r="D473" s="25"/>
      <c r="E473" s="22"/>
      <c r="F473" s="22" t="str">
        <f t="shared" si="8"/>
        <v>#DIV/0!</v>
      </c>
      <c r="G473" s="22" t="str">
        <f t="shared" si="31"/>
        <v>#DIV/0!</v>
      </c>
      <c r="H473" s="22" t="str">
        <f t="shared" si="32"/>
        <v>#DIV/0!</v>
      </c>
      <c r="I473" s="22" t="str">
        <f t="shared" si="3"/>
        <v>#DIV/0!</v>
      </c>
      <c r="J473" s="22" t="str">
        <f t="shared" si="33"/>
        <v>#DIV/0!</v>
      </c>
    </row>
    <row r="474" ht="15.75" customHeight="1">
      <c r="A474" s="25"/>
      <c r="B474" s="22"/>
      <c r="C474" s="22">
        <f t="shared" si="6"/>
        <v>0</v>
      </c>
      <c r="D474" s="25"/>
      <c r="E474" s="22"/>
      <c r="F474" s="22" t="str">
        <f t="shared" si="8"/>
        <v>#DIV/0!</v>
      </c>
      <c r="G474" s="22" t="str">
        <f t="shared" si="31"/>
        <v>#DIV/0!</v>
      </c>
      <c r="H474" s="22" t="str">
        <f t="shared" si="32"/>
        <v>#DIV/0!</v>
      </c>
      <c r="I474" s="22" t="str">
        <f t="shared" si="3"/>
        <v>#DIV/0!</v>
      </c>
      <c r="J474" s="22" t="str">
        <f t="shared" si="33"/>
        <v>#DIV/0!</v>
      </c>
    </row>
    <row r="475" ht="15.75" customHeight="1">
      <c r="A475" s="25"/>
      <c r="B475" s="22"/>
      <c r="C475" s="22">
        <f t="shared" si="6"/>
        <v>0</v>
      </c>
      <c r="D475" s="25"/>
      <c r="E475" s="22"/>
      <c r="F475" s="22" t="str">
        <f t="shared" si="8"/>
        <v>#DIV/0!</v>
      </c>
      <c r="G475" s="22" t="str">
        <f t="shared" si="31"/>
        <v>#DIV/0!</v>
      </c>
      <c r="H475" s="22" t="str">
        <f t="shared" si="32"/>
        <v>#DIV/0!</v>
      </c>
      <c r="I475" s="22" t="str">
        <f t="shared" si="3"/>
        <v>#DIV/0!</v>
      </c>
      <c r="J475" s="22" t="str">
        <f t="shared" si="33"/>
        <v>#DIV/0!</v>
      </c>
    </row>
    <row r="476" ht="15.75" customHeight="1">
      <c r="A476" s="25"/>
      <c r="B476" s="22"/>
      <c r="C476" s="22">
        <f t="shared" si="6"/>
        <v>0</v>
      </c>
      <c r="D476" s="25"/>
      <c r="E476" s="22"/>
      <c r="F476" s="22" t="str">
        <f t="shared" si="8"/>
        <v>#DIV/0!</v>
      </c>
      <c r="G476" s="22" t="str">
        <f t="shared" si="31"/>
        <v>#DIV/0!</v>
      </c>
      <c r="H476" s="22" t="str">
        <f t="shared" si="32"/>
        <v>#DIV/0!</v>
      </c>
      <c r="I476" s="22" t="str">
        <f t="shared" si="3"/>
        <v>#DIV/0!</v>
      </c>
      <c r="J476" s="22" t="str">
        <f t="shared" si="33"/>
        <v>#DIV/0!</v>
      </c>
    </row>
    <row r="477" ht="15.75" customHeight="1">
      <c r="A477" s="25"/>
      <c r="B477" s="22"/>
      <c r="C477" s="22">
        <f t="shared" si="6"/>
        <v>0</v>
      </c>
      <c r="D477" s="25"/>
      <c r="E477" s="22"/>
      <c r="F477" s="22" t="str">
        <f t="shared" si="8"/>
        <v>#DIV/0!</v>
      </c>
      <c r="G477" s="22" t="str">
        <f t="shared" si="31"/>
        <v>#DIV/0!</v>
      </c>
      <c r="H477" s="22" t="str">
        <f t="shared" si="32"/>
        <v>#DIV/0!</v>
      </c>
      <c r="I477" s="22" t="str">
        <f t="shared" si="3"/>
        <v>#DIV/0!</v>
      </c>
      <c r="J477" s="22" t="str">
        <f t="shared" si="33"/>
        <v>#DIV/0!</v>
      </c>
    </row>
    <row r="478" ht="15.75" customHeight="1">
      <c r="A478" s="25"/>
      <c r="B478" s="22"/>
      <c r="C478" s="22">
        <f t="shared" si="6"/>
        <v>0</v>
      </c>
      <c r="D478" s="25"/>
      <c r="E478" s="22"/>
      <c r="F478" s="22" t="str">
        <f t="shared" si="8"/>
        <v>#DIV/0!</v>
      </c>
      <c r="G478" s="22" t="str">
        <f t="shared" si="31"/>
        <v>#DIV/0!</v>
      </c>
      <c r="H478" s="22" t="str">
        <f t="shared" si="32"/>
        <v>#DIV/0!</v>
      </c>
      <c r="I478" s="22" t="str">
        <f t="shared" si="3"/>
        <v>#DIV/0!</v>
      </c>
      <c r="J478" s="22" t="str">
        <f t="shared" si="33"/>
        <v>#DIV/0!</v>
      </c>
    </row>
    <row r="479" ht="15.75" customHeight="1">
      <c r="A479" s="25"/>
      <c r="B479" s="22"/>
      <c r="C479" s="22">
        <f t="shared" si="6"/>
        <v>0</v>
      </c>
      <c r="D479" s="25"/>
      <c r="E479" s="22"/>
      <c r="F479" s="22" t="str">
        <f t="shared" si="8"/>
        <v>#DIV/0!</v>
      </c>
      <c r="G479" s="22" t="str">
        <f t="shared" si="31"/>
        <v>#DIV/0!</v>
      </c>
      <c r="H479" s="22" t="str">
        <f t="shared" si="32"/>
        <v>#DIV/0!</v>
      </c>
      <c r="I479" s="22" t="str">
        <f t="shared" si="3"/>
        <v>#DIV/0!</v>
      </c>
      <c r="J479" s="22" t="str">
        <f t="shared" si="33"/>
        <v>#DIV/0!</v>
      </c>
    </row>
    <row r="480" ht="15.75" customHeight="1">
      <c r="A480" s="25"/>
      <c r="B480" s="22"/>
      <c r="C480" s="22">
        <f t="shared" si="6"/>
        <v>0</v>
      </c>
      <c r="D480" s="25"/>
      <c r="E480" s="22"/>
      <c r="F480" s="22" t="str">
        <f t="shared" si="8"/>
        <v>#DIV/0!</v>
      </c>
      <c r="G480" s="22" t="str">
        <f t="shared" si="31"/>
        <v>#DIV/0!</v>
      </c>
      <c r="H480" s="22" t="str">
        <f t="shared" si="32"/>
        <v>#DIV/0!</v>
      </c>
      <c r="I480" s="22" t="str">
        <f t="shared" si="3"/>
        <v>#DIV/0!</v>
      </c>
      <c r="J480" s="22" t="str">
        <f t="shared" si="33"/>
        <v>#DIV/0!</v>
      </c>
    </row>
    <row r="481" ht="15.75" customHeight="1">
      <c r="A481" s="25"/>
      <c r="B481" s="22"/>
      <c r="C481" s="22">
        <f t="shared" si="6"/>
        <v>0</v>
      </c>
      <c r="D481" s="25"/>
      <c r="E481" s="22"/>
      <c r="F481" s="22" t="str">
        <f t="shared" si="8"/>
        <v>#DIV/0!</v>
      </c>
      <c r="G481" s="22" t="str">
        <f t="shared" si="31"/>
        <v>#DIV/0!</v>
      </c>
      <c r="H481" s="22" t="str">
        <f t="shared" si="32"/>
        <v>#DIV/0!</v>
      </c>
      <c r="I481" s="22" t="str">
        <f t="shared" si="3"/>
        <v>#DIV/0!</v>
      </c>
      <c r="J481" s="22" t="str">
        <f t="shared" si="33"/>
        <v>#DIV/0!</v>
      </c>
    </row>
    <row r="482" ht="15.75" customHeight="1">
      <c r="A482" s="25"/>
      <c r="B482" s="22"/>
      <c r="C482" s="22">
        <f t="shared" si="6"/>
        <v>0</v>
      </c>
      <c r="D482" s="25"/>
      <c r="E482" s="22"/>
      <c r="F482" s="22" t="str">
        <f t="shared" si="8"/>
        <v>#DIV/0!</v>
      </c>
      <c r="G482" s="22" t="str">
        <f t="shared" si="31"/>
        <v>#DIV/0!</v>
      </c>
      <c r="H482" s="22" t="str">
        <f t="shared" si="32"/>
        <v>#DIV/0!</v>
      </c>
      <c r="I482" s="22" t="str">
        <f t="shared" si="3"/>
        <v>#DIV/0!</v>
      </c>
      <c r="J482" s="22" t="str">
        <f t="shared" si="33"/>
        <v>#DIV/0!</v>
      </c>
    </row>
    <row r="483" ht="15.75" customHeight="1">
      <c r="A483" s="25"/>
      <c r="B483" s="22"/>
      <c r="C483" s="22">
        <f t="shared" si="6"/>
        <v>0</v>
      </c>
      <c r="D483" s="25"/>
      <c r="E483" s="22"/>
      <c r="F483" s="22" t="str">
        <f t="shared" si="8"/>
        <v>#DIV/0!</v>
      </c>
      <c r="G483" s="22" t="str">
        <f t="shared" si="31"/>
        <v>#DIV/0!</v>
      </c>
      <c r="H483" s="22" t="str">
        <f t="shared" si="32"/>
        <v>#DIV/0!</v>
      </c>
      <c r="I483" s="22" t="str">
        <f t="shared" si="3"/>
        <v>#DIV/0!</v>
      </c>
      <c r="J483" s="22" t="str">
        <f t="shared" si="33"/>
        <v>#DIV/0!</v>
      </c>
    </row>
    <row r="484" ht="15.75" customHeight="1">
      <c r="A484" s="25"/>
      <c r="B484" s="22"/>
      <c r="C484" s="22">
        <f t="shared" si="6"/>
        <v>0</v>
      </c>
      <c r="D484" s="25"/>
      <c r="E484" s="22"/>
      <c r="F484" s="22" t="str">
        <f t="shared" si="8"/>
        <v>#DIV/0!</v>
      </c>
      <c r="G484" s="22" t="str">
        <f t="shared" si="31"/>
        <v>#DIV/0!</v>
      </c>
      <c r="H484" s="22" t="str">
        <f t="shared" si="32"/>
        <v>#DIV/0!</v>
      </c>
      <c r="I484" s="22" t="str">
        <f t="shared" si="3"/>
        <v>#DIV/0!</v>
      </c>
      <c r="J484" s="22" t="str">
        <f t="shared" si="33"/>
        <v>#DIV/0!</v>
      </c>
    </row>
    <row r="485" ht="15.75" customHeight="1">
      <c r="A485" s="25"/>
      <c r="B485" s="22"/>
      <c r="C485" s="22">
        <f t="shared" si="6"/>
        <v>0</v>
      </c>
      <c r="D485" s="25"/>
      <c r="E485" s="22"/>
      <c r="F485" s="22" t="str">
        <f t="shared" si="8"/>
        <v>#DIV/0!</v>
      </c>
      <c r="G485" s="22" t="str">
        <f t="shared" si="31"/>
        <v>#DIV/0!</v>
      </c>
      <c r="H485" s="22" t="str">
        <f t="shared" si="32"/>
        <v>#DIV/0!</v>
      </c>
      <c r="I485" s="22" t="str">
        <f t="shared" si="3"/>
        <v>#DIV/0!</v>
      </c>
      <c r="J485" s="22" t="str">
        <f t="shared" si="33"/>
        <v>#DIV/0!</v>
      </c>
    </row>
    <row r="486" ht="15.75" customHeight="1">
      <c r="A486" s="25"/>
      <c r="B486" s="22"/>
      <c r="C486" s="22">
        <f t="shared" si="6"/>
        <v>0</v>
      </c>
      <c r="D486" s="25"/>
      <c r="E486" s="22"/>
      <c r="F486" s="22" t="str">
        <f t="shared" si="8"/>
        <v>#DIV/0!</v>
      </c>
      <c r="G486" s="22" t="str">
        <f t="shared" si="31"/>
        <v>#DIV/0!</v>
      </c>
      <c r="H486" s="22" t="str">
        <f t="shared" si="32"/>
        <v>#DIV/0!</v>
      </c>
      <c r="I486" s="22" t="str">
        <f t="shared" si="3"/>
        <v>#DIV/0!</v>
      </c>
      <c r="J486" s="22" t="str">
        <f t="shared" si="33"/>
        <v>#DIV/0!</v>
      </c>
    </row>
    <row r="487" ht="15.75" customHeight="1">
      <c r="A487" s="25"/>
      <c r="B487" s="22"/>
      <c r="C487" s="22">
        <f t="shared" si="6"/>
        <v>0</v>
      </c>
      <c r="D487" s="25"/>
      <c r="E487" s="22"/>
      <c r="F487" s="22" t="str">
        <f t="shared" si="8"/>
        <v>#DIV/0!</v>
      </c>
      <c r="G487" s="22" t="str">
        <f t="shared" si="31"/>
        <v>#DIV/0!</v>
      </c>
      <c r="H487" s="22" t="str">
        <f t="shared" si="32"/>
        <v>#DIV/0!</v>
      </c>
      <c r="I487" s="22" t="str">
        <f t="shared" si="3"/>
        <v>#DIV/0!</v>
      </c>
      <c r="J487" s="22" t="str">
        <f t="shared" si="33"/>
        <v>#DIV/0!</v>
      </c>
    </row>
    <row r="488" ht="15.75" customHeight="1">
      <c r="A488" s="25"/>
      <c r="B488" s="22"/>
      <c r="C488" s="22">
        <f t="shared" si="6"/>
        <v>0</v>
      </c>
      <c r="D488" s="25"/>
      <c r="E488" s="22"/>
      <c r="F488" s="22" t="str">
        <f t="shared" si="8"/>
        <v>#DIV/0!</v>
      </c>
      <c r="G488" s="22" t="str">
        <f t="shared" si="31"/>
        <v>#DIV/0!</v>
      </c>
      <c r="H488" s="22" t="str">
        <f t="shared" si="32"/>
        <v>#DIV/0!</v>
      </c>
      <c r="I488" s="22" t="str">
        <f t="shared" si="3"/>
        <v>#DIV/0!</v>
      </c>
      <c r="J488" s="22" t="str">
        <f t="shared" si="33"/>
        <v>#DIV/0!</v>
      </c>
    </row>
    <row r="489" ht="15.75" customHeight="1">
      <c r="A489" s="25"/>
      <c r="B489" s="22"/>
      <c r="C489" s="22">
        <f t="shared" si="6"/>
        <v>0</v>
      </c>
      <c r="D489" s="25"/>
      <c r="E489" s="22"/>
      <c r="F489" s="22" t="str">
        <f t="shared" si="8"/>
        <v>#DIV/0!</v>
      </c>
      <c r="G489" s="22" t="str">
        <f t="shared" si="31"/>
        <v>#DIV/0!</v>
      </c>
      <c r="H489" s="22" t="str">
        <f t="shared" si="32"/>
        <v>#DIV/0!</v>
      </c>
      <c r="I489" s="22" t="str">
        <f t="shared" si="3"/>
        <v>#DIV/0!</v>
      </c>
      <c r="J489" s="22" t="str">
        <f t="shared" si="33"/>
        <v>#DIV/0!</v>
      </c>
    </row>
    <row r="490" ht="15.75" customHeight="1">
      <c r="A490" s="25"/>
      <c r="B490" s="22"/>
      <c r="C490" s="22">
        <f t="shared" si="6"/>
        <v>0</v>
      </c>
      <c r="D490" s="25"/>
      <c r="E490" s="22"/>
      <c r="F490" s="22" t="str">
        <f t="shared" si="8"/>
        <v>#DIV/0!</v>
      </c>
      <c r="G490" s="22" t="str">
        <f t="shared" si="31"/>
        <v>#DIV/0!</v>
      </c>
      <c r="H490" s="22" t="str">
        <f t="shared" si="32"/>
        <v>#DIV/0!</v>
      </c>
      <c r="I490" s="22" t="str">
        <f t="shared" si="3"/>
        <v>#DIV/0!</v>
      </c>
      <c r="J490" s="22" t="str">
        <f t="shared" si="33"/>
        <v>#DIV/0!</v>
      </c>
    </row>
    <row r="491" ht="15.75" customHeight="1">
      <c r="A491" s="25"/>
      <c r="B491" s="22"/>
      <c r="C491" s="22">
        <f t="shared" si="6"/>
        <v>0</v>
      </c>
      <c r="D491" s="25"/>
      <c r="E491" s="22"/>
      <c r="F491" s="22" t="str">
        <f t="shared" si="8"/>
        <v>#DIV/0!</v>
      </c>
      <c r="G491" s="22" t="str">
        <f t="shared" si="31"/>
        <v>#DIV/0!</v>
      </c>
      <c r="H491" s="22" t="str">
        <f t="shared" si="32"/>
        <v>#DIV/0!</v>
      </c>
      <c r="I491" s="22" t="str">
        <f t="shared" si="3"/>
        <v>#DIV/0!</v>
      </c>
      <c r="J491" s="22" t="str">
        <f t="shared" si="33"/>
        <v>#DIV/0!</v>
      </c>
    </row>
    <row r="492" ht="15.75" customHeight="1">
      <c r="A492" s="25"/>
      <c r="B492" s="22"/>
      <c r="C492" s="22">
        <f t="shared" si="6"/>
        <v>0</v>
      </c>
      <c r="D492" s="25"/>
      <c r="E492" s="22"/>
      <c r="F492" s="22" t="str">
        <f t="shared" si="8"/>
        <v>#DIV/0!</v>
      </c>
      <c r="G492" s="22" t="str">
        <f t="shared" si="31"/>
        <v>#DIV/0!</v>
      </c>
      <c r="H492" s="22" t="str">
        <f t="shared" si="32"/>
        <v>#DIV/0!</v>
      </c>
      <c r="I492" s="22" t="str">
        <f t="shared" si="3"/>
        <v>#DIV/0!</v>
      </c>
      <c r="J492" s="22" t="str">
        <f t="shared" si="33"/>
        <v>#DIV/0!</v>
      </c>
    </row>
    <row r="493" ht="15.75" customHeight="1">
      <c r="A493" s="25"/>
      <c r="B493" s="22"/>
      <c r="C493" s="22">
        <f t="shared" si="6"/>
        <v>0</v>
      </c>
      <c r="D493" s="25"/>
      <c r="E493" s="22"/>
      <c r="F493" s="22" t="str">
        <f t="shared" si="8"/>
        <v>#DIV/0!</v>
      </c>
      <c r="G493" s="22" t="str">
        <f t="shared" si="31"/>
        <v>#DIV/0!</v>
      </c>
      <c r="H493" s="22" t="str">
        <f t="shared" si="32"/>
        <v>#DIV/0!</v>
      </c>
      <c r="I493" s="22" t="str">
        <f t="shared" si="3"/>
        <v>#DIV/0!</v>
      </c>
      <c r="J493" s="22" t="str">
        <f t="shared" si="33"/>
        <v>#DIV/0!</v>
      </c>
    </row>
    <row r="494" ht="15.75" customHeight="1">
      <c r="A494" s="25"/>
      <c r="B494" s="22"/>
      <c r="C494" s="22">
        <f t="shared" si="6"/>
        <v>0</v>
      </c>
      <c r="D494" s="25"/>
      <c r="E494" s="22"/>
      <c r="F494" s="22" t="str">
        <f t="shared" si="8"/>
        <v>#DIV/0!</v>
      </c>
      <c r="G494" s="22" t="str">
        <f t="shared" si="31"/>
        <v>#DIV/0!</v>
      </c>
      <c r="H494" s="22" t="str">
        <f t="shared" si="32"/>
        <v>#DIV/0!</v>
      </c>
      <c r="I494" s="22" t="str">
        <f t="shared" si="3"/>
        <v>#DIV/0!</v>
      </c>
      <c r="J494" s="22" t="str">
        <f t="shared" si="33"/>
        <v>#DIV/0!</v>
      </c>
    </row>
    <row r="495" ht="15.75" customHeight="1">
      <c r="A495" s="25"/>
      <c r="B495" s="22"/>
      <c r="C495" s="22">
        <f t="shared" si="6"/>
        <v>0</v>
      </c>
      <c r="D495" s="25"/>
      <c r="E495" s="22"/>
      <c r="F495" s="22" t="str">
        <f t="shared" si="8"/>
        <v>#DIV/0!</v>
      </c>
      <c r="G495" s="22" t="str">
        <f t="shared" si="31"/>
        <v>#DIV/0!</v>
      </c>
      <c r="H495" s="22" t="str">
        <f t="shared" si="32"/>
        <v>#DIV/0!</v>
      </c>
      <c r="I495" s="22" t="str">
        <f t="shared" si="3"/>
        <v>#DIV/0!</v>
      </c>
      <c r="J495" s="22" t="str">
        <f t="shared" si="33"/>
        <v>#DIV/0!</v>
      </c>
    </row>
    <row r="496" ht="15.75" customHeight="1">
      <c r="A496" s="25"/>
      <c r="B496" s="22"/>
      <c r="C496" s="22">
        <f t="shared" si="6"/>
        <v>0</v>
      </c>
      <c r="D496" s="25"/>
      <c r="E496" s="22"/>
      <c r="F496" s="22" t="str">
        <f t="shared" si="8"/>
        <v>#DIV/0!</v>
      </c>
      <c r="G496" s="22" t="str">
        <f t="shared" si="31"/>
        <v>#DIV/0!</v>
      </c>
      <c r="H496" s="22" t="str">
        <f t="shared" si="32"/>
        <v>#DIV/0!</v>
      </c>
      <c r="I496" s="22" t="str">
        <f t="shared" si="3"/>
        <v>#DIV/0!</v>
      </c>
      <c r="J496" s="22" t="str">
        <f t="shared" si="33"/>
        <v>#DIV/0!</v>
      </c>
    </row>
    <row r="497" ht="15.75" customHeight="1">
      <c r="A497" s="25"/>
      <c r="B497" s="22"/>
      <c r="C497" s="22">
        <f t="shared" si="6"/>
        <v>0</v>
      </c>
      <c r="D497" s="25"/>
      <c r="E497" s="22"/>
      <c r="F497" s="22" t="str">
        <f t="shared" si="8"/>
        <v>#DIV/0!</v>
      </c>
      <c r="G497" s="22" t="str">
        <f t="shared" si="31"/>
        <v>#DIV/0!</v>
      </c>
      <c r="H497" s="22" t="str">
        <f t="shared" si="32"/>
        <v>#DIV/0!</v>
      </c>
      <c r="I497" s="22" t="str">
        <f t="shared" si="3"/>
        <v>#DIV/0!</v>
      </c>
      <c r="J497" s="22" t="str">
        <f t="shared" si="33"/>
        <v>#DIV/0!</v>
      </c>
    </row>
    <row r="498" ht="15.75" customHeight="1">
      <c r="A498" s="25"/>
      <c r="B498" s="22"/>
      <c r="C498" s="22">
        <f t="shared" si="6"/>
        <v>0</v>
      </c>
      <c r="D498" s="25"/>
      <c r="E498" s="22"/>
      <c r="F498" s="22" t="str">
        <f t="shared" si="8"/>
        <v>#DIV/0!</v>
      </c>
      <c r="G498" s="22" t="str">
        <f t="shared" si="31"/>
        <v>#DIV/0!</v>
      </c>
      <c r="H498" s="22" t="str">
        <f t="shared" si="32"/>
        <v>#DIV/0!</v>
      </c>
      <c r="I498" s="22" t="str">
        <f t="shared" si="3"/>
        <v>#DIV/0!</v>
      </c>
      <c r="J498" s="22" t="str">
        <f t="shared" si="33"/>
        <v>#DIV/0!</v>
      </c>
    </row>
    <row r="499" ht="15.75" customHeight="1">
      <c r="A499" s="25"/>
      <c r="B499" s="22"/>
      <c r="C499" s="22">
        <f t="shared" si="6"/>
        <v>0</v>
      </c>
      <c r="D499" s="25"/>
      <c r="E499" s="22"/>
      <c r="F499" s="22" t="str">
        <f t="shared" si="8"/>
        <v>#DIV/0!</v>
      </c>
      <c r="G499" s="22" t="str">
        <f t="shared" si="31"/>
        <v>#DIV/0!</v>
      </c>
      <c r="H499" s="22" t="str">
        <f t="shared" si="32"/>
        <v>#DIV/0!</v>
      </c>
      <c r="I499" s="22" t="str">
        <f t="shared" si="3"/>
        <v>#DIV/0!</v>
      </c>
      <c r="J499" s="22" t="str">
        <f t="shared" si="33"/>
        <v>#DIV/0!</v>
      </c>
    </row>
    <row r="500" ht="15.75" customHeight="1">
      <c r="A500" s="25"/>
      <c r="B500" s="22"/>
      <c r="C500" s="22">
        <f t="shared" si="6"/>
        <v>0</v>
      </c>
      <c r="D500" s="25"/>
      <c r="E500" s="22"/>
      <c r="F500" s="22" t="str">
        <f t="shared" si="8"/>
        <v>#DIV/0!</v>
      </c>
      <c r="G500" s="22" t="str">
        <f t="shared" si="31"/>
        <v>#DIV/0!</v>
      </c>
      <c r="H500" s="22" t="str">
        <f t="shared" si="32"/>
        <v>#DIV/0!</v>
      </c>
      <c r="I500" s="22" t="str">
        <f t="shared" si="3"/>
        <v>#DIV/0!</v>
      </c>
      <c r="J500" s="22" t="str">
        <f t="shared" si="33"/>
        <v>#DIV/0!</v>
      </c>
    </row>
    <row r="501" ht="15.75" customHeight="1">
      <c r="A501" s="25"/>
      <c r="B501" s="22"/>
      <c r="C501" s="22">
        <f t="shared" si="6"/>
        <v>0</v>
      </c>
      <c r="D501" s="25"/>
      <c r="E501" s="22"/>
      <c r="F501" s="22" t="str">
        <f t="shared" si="8"/>
        <v>#DIV/0!</v>
      </c>
      <c r="G501" s="22" t="str">
        <f t="shared" si="31"/>
        <v>#DIV/0!</v>
      </c>
      <c r="H501" s="22" t="str">
        <f t="shared" si="32"/>
        <v>#DIV/0!</v>
      </c>
      <c r="I501" s="22" t="str">
        <f t="shared" si="3"/>
        <v>#DIV/0!</v>
      </c>
      <c r="J501" s="22" t="str">
        <f t="shared" si="33"/>
        <v>#DIV/0!</v>
      </c>
    </row>
    <row r="502" ht="15.75" customHeight="1">
      <c r="A502" s="25"/>
      <c r="B502" s="22"/>
      <c r="C502" s="22">
        <f t="shared" si="6"/>
        <v>0</v>
      </c>
      <c r="D502" s="25"/>
      <c r="E502" s="22"/>
      <c r="F502" s="22" t="str">
        <f t="shared" si="8"/>
        <v>#DIV/0!</v>
      </c>
      <c r="G502" s="22" t="str">
        <f t="shared" si="31"/>
        <v>#DIV/0!</v>
      </c>
      <c r="H502" s="22" t="str">
        <f t="shared" si="32"/>
        <v>#DIV/0!</v>
      </c>
      <c r="I502" s="22" t="str">
        <f t="shared" si="3"/>
        <v>#DIV/0!</v>
      </c>
      <c r="J502" s="22" t="str">
        <f t="shared" si="33"/>
        <v>#DIV/0!</v>
      </c>
    </row>
    <row r="503" ht="15.75" customHeight="1">
      <c r="A503" s="25"/>
      <c r="B503" s="22"/>
      <c r="C503" s="22">
        <f t="shared" si="6"/>
        <v>0</v>
      </c>
      <c r="D503" s="25"/>
      <c r="E503" s="22"/>
      <c r="F503" s="22" t="str">
        <f t="shared" si="8"/>
        <v>#DIV/0!</v>
      </c>
      <c r="G503" s="22" t="str">
        <f t="shared" si="31"/>
        <v>#DIV/0!</v>
      </c>
      <c r="H503" s="22" t="str">
        <f t="shared" si="32"/>
        <v>#DIV/0!</v>
      </c>
      <c r="I503" s="22" t="str">
        <f t="shared" si="3"/>
        <v>#DIV/0!</v>
      </c>
      <c r="J503" s="22" t="str">
        <f t="shared" si="33"/>
        <v>#DIV/0!</v>
      </c>
    </row>
    <row r="504" ht="15.75" customHeight="1">
      <c r="A504" s="25"/>
      <c r="B504" s="22"/>
      <c r="C504" s="22">
        <f t="shared" si="6"/>
        <v>0</v>
      </c>
      <c r="D504" s="25"/>
      <c r="E504" s="22"/>
      <c r="F504" s="22" t="str">
        <f t="shared" si="8"/>
        <v>#DIV/0!</v>
      </c>
      <c r="G504" s="22" t="str">
        <f t="shared" si="31"/>
        <v>#DIV/0!</v>
      </c>
      <c r="H504" s="22" t="str">
        <f t="shared" si="32"/>
        <v>#DIV/0!</v>
      </c>
      <c r="I504" s="22" t="str">
        <f t="shared" si="3"/>
        <v>#DIV/0!</v>
      </c>
      <c r="J504" s="22" t="str">
        <f t="shared" si="33"/>
        <v>#DIV/0!</v>
      </c>
    </row>
    <row r="505" ht="15.75" customHeight="1">
      <c r="A505" s="25"/>
      <c r="B505" s="22"/>
      <c r="C505" s="22">
        <f t="shared" si="6"/>
        <v>0</v>
      </c>
      <c r="D505" s="25"/>
      <c r="E505" s="22"/>
      <c r="F505" s="22" t="str">
        <f t="shared" si="8"/>
        <v>#DIV/0!</v>
      </c>
      <c r="G505" s="22" t="str">
        <f t="shared" si="31"/>
        <v>#DIV/0!</v>
      </c>
      <c r="H505" s="22" t="str">
        <f t="shared" si="32"/>
        <v>#DIV/0!</v>
      </c>
      <c r="I505" s="22" t="str">
        <f t="shared" si="3"/>
        <v>#DIV/0!</v>
      </c>
      <c r="J505" s="22" t="str">
        <f t="shared" si="33"/>
        <v>#DIV/0!</v>
      </c>
    </row>
    <row r="506" ht="15.75" customHeight="1">
      <c r="A506" s="25"/>
      <c r="B506" s="22"/>
      <c r="C506" s="22">
        <f t="shared" si="6"/>
        <v>0</v>
      </c>
      <c r="D506" s="25"/>
      <c r="E506" s="22"/>
      <c r="F506" s="22" t="str">
        <f t="shared" si="8"/>
        <v>#DIV/0!</v>
      </c>
      <c r="G506" s="22" t="str">
        <f t="shared" si="31"/>
        <v>#DIV/0!</v>
      </c>
      <c r="H506" s="22" t="str">
        <f t="shared" si="32"/>
        <v>#DIV/0!</v>
      </c>
      <c r="I506" s="22" t="str">
        <f t="shared" si="3"/>
        <v>#DIV/0!</v>
      </c>
      <c r="J506" s="22" t="str">
        <f t="shared" si="33"/>
        <v>#DIV/0!</v>
      </c>
    </row>
    <row r="507" ht="15.75" customHeight="1">
      <c r="A507" s="25"/>
      <c r="B507" s="22"/>
      <c r="C507" s="22">
        <f t="shared" si="6"/>
        <v>0</v>
      </c>
      <c r="D507" s="25"/>
      <c r="E507" s="22"/>
      <c r="F507" s="22" t="str">
        <f t="shared" si="8"/>
        <v>#DIV/0!</v>
      </c>
      <c r="G507" s="22" t="str">
        <f t="shared" si="31"/>
        <v>#DIV/0!</v>
      </c>
      <c r="H507" s="22" t="str">
        <f t="shared" si="32"/>
        <v>#DIV/0!</v>
      </c>
      <c r="I507" s="22" t="str">
        <f t="shared" si="3"/>
        <v>#DIV/0!</v>
      </c>
      <c r="J507" s="22" t="str">
        <f t="shared" si="33"/>
        <v>#DIV/0!</v>
      </c>
    </row>
    <row r="508" ht="15.75" customHeight="1">
      <c r="A508" s="25"/>
      <c r="B508" s="22"/>
      <c r="C508" s="22">
        <f t="shared" si="6"/>
        <v>0</v>
      </c>
      <c r="D508" s="25"/>
      <c r="E508" s="22"/>
      <c r="F508" s="22" t="str">
        <f t="shared" si="8"/>
        <v>#DIV/0!</v>
      </c>
      <c r="G508" s="22" t="str">
        <f t="shared" si="31"/>
        <v>#DIV/0!</v>
      </c>
      <c r="H508" s="22" t="str">
        <f t="shared" si="32"/>
        <v>#DIV/0!</v>
      </c>
      <c r="I508" s="22" t="str">
        <f t="shared" si="3"/>
        <v>#DIV/0!</v>
      </c>
      <c r="J508" s="22" t="str">
        <f t="shared" si="33"/>
        <v>#DIV/0!</v>
      </c>
    </row>
    <row r="509" ht="15.75" customHeight="1">
      <c r="A509" s="25"/>
      <c r="B509" s="22"/>
      <c r="C509" s="22">
        <f t="shared" si="6"/>
        <v>0</v>
      </c>
      <c r="D509" s="25"/>
      <c r="E509" s="22"/>
      <c r="F509" s="22" t="str">
        <f t="shared" si="8"/>
        <v>#DIV/0!</v>
      </c>
      <c r="G509" s="22" t="str">
        <f t="shared" si="31"/>
        <v>#DIV/0!</v>
      </c>
      <c r="H509" s="22" t="str">
        <f t="shared" si="32"/>
        <v>#DIV/0!</v>
      </c>
      <c r="I509" s="22" t="str">
        <f t="shared" si="3"/>
        <v>#DIV/0!</v>
      </c>
      <c r="J509" s="22" t="str">
        <f t="shared" si="33"/>
        <v>#DIV/0!</v>
      </c>
    </row>
    <row r="510" ht="15.75" customHeight="1">
      <c r="A510" s="25"/>
      <c r="B510" s="22"/>
      <c r="C510" s="22">
        <f t="shared" si="6"/>
        <v>0</v>
      </c>
      <c r="D510" s="25"/>
      <c r="E510" s="22"/>
      <c r="F510" s="22" t="str">
        <f t="shared" si="8"/>
        <v>#DIV/0!</v>
      </c>
      <c r="G510" s="22" t="str">
        <f t="shared" si="31"/>
        <v>#DIV/0!</v>
      </c>
      <c r="H510" s="22" t="str">
        <f t="shared" si="32"/>
        <v>#DIV/0!</v>
      </c>
      <c r="I510" s="22" t="str">
        <f t="shared" si="3"/>
        <v>#DIV/0!</v>
      </c>
      <c r="J510" s="22" t="str">
        <f t="shared" si="33"/>
        <v>#DIV/0!</v>
      </c>
    </row>
    <row r="511" ht="15.75" customHeight="1">
      <c r="A511" s="25"/>
      <c r="B511" s="22"/>
      <c r="C511" s="22">
        <f t="shared" si="6"/>
        <v>0</v>
      </c>
      <c r="D511" s="25"/>
      <c r="E511" s="22"/>
      <c r="F511" s="22" t="str">
        <f t="shared" si="8"/>
        <v>#DIV/0!</v>
      </c>
      <c r="G511" s="22" t="str">
        <f t="shared" si="31"/>
        <v>#DIV/0!</v>
      </c>
      <c r="H511" s="22" t="str">
        <f t="shared" si="32"/>
        <v>#DIV/0!</v>
      </c>
      <c r="I511" s="22" t="str">
        <f t="shared" si="3"/>
        <v>#DIV/0!</v>
      </c>
      <c r="J511" s="22" t="str">
        <f t="shared" si="33"/>
        <v>#DIV/0!</v>
      </c>
    </row>
    <row r="512" ht="15.75" customHeight="1">
      <c r="A512" s="25"/>
      <c r="B512" s="22"/>
      <c r="C512" s="22">
        <f t="shared" si="6"/>
        <v>0</v>
      </c>
      <c r="D512" s="25"/>
      <c r="E512" s="22"/>
      <c r="F512" s="22" t="str">
        <f t="shared" si="8"/>
        <v>#DIV/0!</v>
      </c>
      <c r="G512" s="22" t="str">
        <f t="shared" si="31"/>
        <v>#DIV/0!</v>
      </c>
      <c r="H512" s="22" t="str">
        <f t="shared" si="32"/>
        <v>#DIV/0!</v>
      </c>
      <c r="I512" s="22" t="str">
        <f t="shared" si="3"/>
        <v>#DIV/0!</v>
      </c>
      <c r="J512" s="22" t="str">
        <f t="shared" si="33"/>
        <v>#DIV/0!</v>
      </c>
    </row>
    <row r="513" ht="15.75" customHeight="1">
      <c r="A513" s="25"/>
      <c r="B513" s="22"/>
      <c r="C513" s="22">
        <f t="shared" si="6"/>
        <v>0</v>
      </c>
      <c r="D513" s="25"/>
      <c r="E513" s="22"/>
      <c r="F513" s="22" t="str">
        <f t="shared" si="8"/>
        <v>#DIV/0!</v>
      </c>
      <c r="G513" s="22" t="str">
        <f t="shared" si="31"/>
        <v>#DIV/0!</v>
      </c>
      <c r="H513" s="22" t="str">
        <f t="shared" si="32"/>
        <v>#DIV/0!</v>
      </c>
      <c r="I513" s="22" t="str">
        <f t="shared" si="3"/>
        <v>#DIV/0!</v>
      </c>
      <c r="J513" s="22" t="str">
        <f t="shared" si="33"/>
        <v>#DIV/0!</v>
      </c>
    </row>
    <row r="514" ht="15.75" customHeight="1">
      <c r="A514" s="25"/>
      <c r="B514" s="22"/>
      <c r="C514" s="22">
        <f t="shared" si="6"/>
        <v>0</v>
      </c>
      <c r="D514" s="25"/>
      <c r="E514" s="22"/>
      <c r="F514" s="22" t="str">
        <f t="shared" si="8"/>
        <v>#DIV/0!</v>
      </c>
      <c r="G514" s="22" t="str">
        <f t="shared" si="31"/>
        <v>#DIV/0!</v>
      </c>
      <c r="H514" s="22" t="str">
        <f t="shared" si="32"/>
        <v>#DIV/0!</v>
      </c>
      <c r="I514" s="22" t="str">
        <f t="shared" si="3"/>
        <v>#DIV/0!</v>
      </c>
      <c r="J514" s="22" t="str">
        <f t="shared" si="33"/>
        <v>#DIV/0!</v>
      </c>
    </row>
    <row r="515" ht="15.75" customHeight="1">
      <c r="A515" s="25"/>
      <c r="B515" s="22"/>
      <c r="C515" s="22">
        <f t="shared" si="6"/>
        <v>0</v>
      </c>
      <c r="D515" s="25"/>
      <c r="E515" s="22"/>
      <c r="F515" s="22" t="str">
        <f t="shared" si="8"/>
        <v>#DIV/0!</v>
      </c>
      <c r="G515" s="22" t="str">
        <f t="shared" si="31"/>
        <v>#DIV/0!</v>
      </c>
      <c r="H515" s="22" t="str">
        <f t="shared" si="32"/>
        <v>#DIV/0!</v>
      </c>
      <c r="I515" s="22" t="str">
        <f t="shared" si="3"/>
        <v>#DIV/0!</v>
      </c>
      <c r="J515" s="22" t="str">
        <f t="shared" si="33"/>
        <v>#DIV/0!</v>
      </c>
    </row>
    <row r="516" ht="15.75" customHeight="1">
      <c r="A516" s="25"/>
      <c r="B516" s="22"/>
      <c r="C516" s="22">
        <f t="shared" si="6"/>
        <v>0</v>
      </c>
      <c r="D516" s="25"/>
      <c r="E516" s="22"/>
      <c r="F516" s="22" t="str">
        <f t="shared" si="8"/>
        <v>#DIV/0!</v>
      </c>
      <c r="G516" s="22" t="str">
        <f t="shared" si="31"/>
        <v>#DIV/0!</v>
      </c>
      <c r="H516" s="22" t="str">
        <f t="shared" si="32"/>
        <v>#DIV/0!</v>
      </c>
      <c r="I516" s="22" t="str">
        <f t="shared" si="3"/>
        <v>#DIV/0!</v>
      </c>
      <c r="J516" s="22" t="str">
        <f t="shared" si="33"/>
        <v>#DIV/0!</v>
      </c>
    </row>
    <row r="517" ht="15.75" customHeight="1">
      <c r="A517" s="25"/>
      <c r="B517" s="22"/>
      <c r="C517" s="22">
        <f t="shared" si="6"/>
        <v>0</v>
      </c>
      <c r="D517" s="25"/>
      <c r="E517" s="22"/>
      <c r="F517" s="22" t="str">
        <f t="shared" si="8"/>
        <v>#DIV/0!</v>
      </c>
      <c r="G517" s="22" t="str">
        <f t="shared" si="31"/>
        <v>#DIV/0!</v>
      </c>
      <c r="H517" s="22" t="str">
        <f t="shared" si="32"/>
        <v>#DIV/0!</v>
      </c>
      <c r="I517" s="22" t="str">
        <f t="shared" si="3"/>
        <v>#DIV/0!</v>
      </c>
      <c r="J517" s="22" t="str">
        <f t="shared" si="33"/>
        <v>#DIV/0!</v>
      </c>
    </row>
    <row r="518" ht="15.75" customHeight="1">
      <c r="A518" s="25"/>
      <c r="B518" s="22"/>
      <c r="C518" s="22">
        <f t="shared" si="6"/>
        <v>0</v>
      </c>
      <c r="D518" s="25"/>
      <c r="E518" s="22"/>
      <c r="F518" s="22" t="str">
        <f t="shared" si="8"/>
        <v>#DIV/0!</v>
      </c>
      <c r="G518" s="22" t="str">
        <f t="shared" si="31"/>
        <v>#DIV/0!</v>
      </c>
      <c r="H518" s="22" t="str">
        <f t="shared" si="32"/>
        <v>#DIV/0!</v>
      </c>
      <c r="I518" s="22" t="str">
        <f t="shared" si="3"/>
        <v>#DIV/0!</v>
      </c>
      <c r="J518" s="22" t="str">
        <f t="shared" si="33"/>
        <v>#DIV/0!</v>
      </c>
    </row>
    <row r="519" ht="15.75" customHeight="1">
      <c r="A519" s="25"/>
      <c r="B519" s="22"/>
      <c r="C519" s="22">
        <f t="shared" si="6"/>
        <v>0</v>
      </c>
      <c r="D519" s="25"/>
      <c r="E519" s="22"/>
      <c r="F519" s="22" t="str">
        <f t="shared" si="8"/>
        <v>#DIV/0!</v>
      </c>
      <c r="G519" s="22" t="str">
        <f t="shared" si="31"/>
        <v>#DIV/0!</v>
      </c>
      <c r="H519" s="22" t="str">
        <f t="shared" si="32"/>
        <v>#DIV/0!</v>
      </c>
      <c r="I519" s="22" t="str">
        <f t="shared" si="3"/>
        <v>#DIV/0!</v>
      </c>
      <c r="J519" s="22" t="str">
        <f t="shared" si="33"/>
        <v>#DIV/0!</v>
      </c>
    </row>
    <row r="520" ht="15.75" customHeight="1">
      <c r="A520" s="25"/>
      <c r="B520" s="22"/>
      <c r="C520" s="22">
        <f t="shared" si="6"/>
        <v>0</v>
      </c>
      <c r="D520" s="25"/>
      <c r="E520" s="22"/>
      <c r="F520" s="22" t="str">
        <f t="shared" si="8"/>
        <v>#DIV/0!</v>
      </c>
      <c r="G520" s="22" t="str">
        <f t="shared" si="31"/>
        <v>#DIV/0!</v>
      </c>
      <c r="H520" s="22" t="str">
        <f t="shared" si="32"/>
        <v>#DIV/0!</v>
      </c>
      <c r="I520" s="22" t="str">
        <f t="shared" si="3"/>
        <v>#DIV/0!</v>
      </c>
      <c r="J520" s="22" t="str">
        <f t="shared" si="33"/>
        <v>#DIV/0!</v>
      </c>
    </row>
    <row r="521" ht="15.75" customHeight="1">
      <c r="A521" s="25"/>
      <c r="B521" s="22"/>
      <c r="C521" s="22">
        <f t="shared" si="6"/>
        <v>0</v>
      </c>
      <c r="D521" s="25"/>
      <c r="E521" s="22"/>
      <c r="F521" s="22" t="str">
        <f t="shared" si="8"/>
        <v>#DIV/0!</v>
      </c>
      <c r="G521" s="22" t="str">
        <f t="shared" si="31"/>
        <v>#DIV/0!</v>
      </c>
      <c r="H521" s="22" t="str">
        <f t="shared" si="32"/>
        <v>#DIV/0!</v>
      </c>
      <c r="I521" s="22" t="str">
        <f t="shared" si="3"/>
        <v>#DIV/0!</v>
      </c>
      <c r="J521" s="22" t="str">
        <f t="shared" si="33"/>
        <v>#DIV/0!</v>
      </c>
    </row>
    <row r="522" ht="15.75" customHeight="1">
      <c r="A522" s="25"/>
      <c r="B522" s="22"/>
      <c r="C522" s="22">
        <f t="shared" si="6"/>
        <v>0</v>
      </c>
      <c r="D522" s="25"/>
      <c r="E522" s="22"/>
      <c r="F522" s="22" t="str">
        <f t="shared" si="8"/>
        <v>#DIV/0!</v>
      </c>
      <c r="G522" s="22" t="str">
        <f t="shared" si="31"/>
        <v>#DIV/0!</v>
      </c>
      <c r="H522" s="22" t="str">
        <f t="shared" si="32"/>
        <v>#DIV/0!</v>
      </c>
      <c r="I522" s="22" t="str">
        <f t="shared" si="3"/>
        <v>#DIV/0!</v>
      </c>
      <c r="J522" s="22" t="str">
        <f t="shared" si="33"/>
        <v>#DIV/0!</v>
      </c>
    </row>
    <row r="523" ht="15.75" customHeight="1">
      <c r="A523" s="25"/>
      <c r="B523" s="22"/>
      <c r="C523" s="22">
        <f t="shared" si="6"/>
        <v>0</v>
      </c>
      <c r="D523" s="25"/>
      <c r="E523" s="22"/>
      <c r="F523" s="22" t="str">
        <f t="shared" si="8"/>
        <v>#DIV/0!</v>
      </c>
      <c r="G523" s="22" t="str">
        <f t="shared" si="31"/>
        <v>#DIV/0!</v>
      </c>
      <c r="H523" s="22" t="str">
        <f t="shared" si="32"/>
        <v>#DIV/0!</v>
      </c>
      <c r="I523" s="22" t="str">
        <f t="shared" si="3"/>
        <v>#DIV/0!</v>
      </c>
      <c r="J523" s="22" t="str">
        <f t="shared" si="33"/>
        <v>#DIV/0!</v>
      </c>
    </row>
    <row r="524" ht="15.75" customHeight="1">
      <c r="A524" s="25"/>
      <c r="B524" s="22"/>
      <c r="C524" s="22">
        <f t="shared" si="6"/>
        <v>0</v>
      </c>
      <c r="D524" s="25"/>
      <c r="E524" s="22"/>
      <c r="F524" s="22" t="str">
        <f t="shared" si="8"/>
        <v>#DIV/0!</v>
      </c>
      <c r="G524" s="22" t="str">
        <f t="shared" si="31"/>
        <v>#DIV/0!</v>
      </c>
      <c r="H524" s="22" t="str">
        <f t="shared" si="32"/>
        <v>#DIV/0!</v>
      </c>
      <c r="I524" s="22" t="str">
        <f t="shared" si="3"/>
        <v>#DIV/0!</v>
      </c>
      <c r="J524" s="22" t="str">
        <f t="shared" si="33"/>
        <v>#DIV/0!</v>
      </c>
    </row>
    <row r="525" ht="15.75" customHeight="1">
      <c r="A525" s="25"/>
      <c r="B525" s="22"/>
      <c r="C525" s="22">
        <f t="shared" si="6"/>
        <v>0</v>
      </c>
      <c r="D525" s="25"/>
      <c r="E525" s="22"/>
      <c r="F525" s="22" t="str">
        <f t="shared" si="8"/>
        <v>#DIV/0!</v>
      </c>
      <c r="G525" s="22" t="str">
        <f t="shared" si="31"/>
        <v>#DIV/0!</v>
      </c>
      <c r="H525" s="22" t="str">
        <f t="shared" si="32"/>
        <v>#DIV/0!</v>
      </c>
      <c r="I525" s="22" t="str">
        <f t="shared" si="3"/>
        <v>#DIV/0!</v>
      </c>
      <c r="J525" s="22" t="str">
        <f t="shared" si="33"/>
        <v>#DIV/0!</v>
      </c>
    </row>
    <row r="526" ht="15.75" customHeight="1">
      <c r="A526" s="25"/>
      <c r="B526" s="22"/>
      <c r="C526" s="22">
        <f t="shared" si="6"/>
        <v>0</v>
      </c>
      <c r="D526" s="25"/>
      <c r="E526" s="22"/>
      <c r="F526" s="22" t="str">
        <f t="shared" si="8"/>
        <v>#DIV/0!</v>
      </c>
      <c r="G526" s="22" t="str">
        <f t="shared" si="31"/>
        <v>#DIV/0!</v>
      </c>
      <c r="H526" s="22" t="str">
        <f t="shared" si="32"/>
        <v>#DIV/0!</v>
      </c>
      <c r="I526" s="22" t="str">
        <f t="shared" si="3"/>
        <v>#DIV/0!</v>
      </c>
      <c r="J526" s="22" t="str">
        <f t="shared" si="33"/>
        <v>#DIV/0!</v>
      </c>
    </row>
    <row r="527" ht="15.75" customHeight="1">
      <c r="A527" s="25"/>
      <c r="B527" s="22"/>
      <c r="C527" s="22">
        <f t="shared" si="6"/>
        <v>0</v>
      </c>
      <c r="D527" s="25"/>
      <c r="E527" s="22"/>
      <c r="F527" s="22" t="str">
        <f t="shared" si="8"/>
        <v>#DIV/0!</v>
      </c>
      <c r="G527" s="22" t="str">
        <f t="shared" si="31"/>
        <v>#DIV/0!</v>
      </c>
      <c r="H527" s="22" t="str">
        <f t="shared" si="32"/>
        <v>#DIV/0!</v>
      </c>
      <c r="I527" s="22" t="str">
        <f t="shared" si="3"/>
        <v>#DIV/0!</v>
      </c>
      <c r="J527" s="22" t="str">
        <f t="shared" si="33"/>
        <v>#DIV/0!</v>
      </c>
    </row>
    <row r="528" ht="15.75" customHeight="1">
      <c r="A528" s="25"/>
      <c r="B528" s="22"/>
      <c r="C528" s="22">
        <f t="shared" si="6"/>
        <v>0</v>
      </c>
      <c r="D528" s="25"/>
      <c r="E528" s="22"/>
      <c r="F528" s="22" t="str">
        <f t="shared" si="8"/>
        <v>#DIV/0!</v>
      </c>
      <c r="G528" s="22" t="str">
        <f t="shared" si="31"/>
        <v>#DIV/0!</v>
      </c>
      <c r="H528" s="22" t="str">
        <f t="shared" si="32"/>
        <v>#DIV/0!</v>
      </c>
      <c r="I528" s="22" t="str">
        <f t="shared" si="3"/>
        <v>#DIV/0!</v>
      </c>
      <c r="J528" s="22" t="str">
        <f t="shared" si="33"/>
        <v>#DIV/0!</v>
      </c>
    </row>
    <row r="529" ht="15.75" customHeight="1">
      <c r="A529" s="25"/>
      <c r="B529" s="22"/>
      <c r="C529" s="22">
        <f t="shared" si="6"/>
        <v>0</v>
      </c>
      <c r="D529" s="25"/>
      <c r="E529" s="22"/>
      <c r="F529" s="22" t="str">
        <f t="shared" si="8"/>
        <v>#DIV/0!</v>
      </c>
      <c r="G529" s="22" t="str">
        <f t="shared" si="31"/>
        <v>#DIV/0!</v>
      </c>
      <c r="H529" s="22" t="str">
        <f t="shared" si="32"/>
        <v>#DIV/0!</v>
      </c>
      <c r="I529" s="22" t="str">
        <f t="shared" si="3"/>
        <v>#DIV/0!</v>
      </c>
      <c r="J529" s="22" t="str">
        <f t="shared" si="33"/>
        <v>#DIV/0!</v>
      </c>
    </row>
    <row r="530" ht="15.75" customHeight="1">
      <c r="A530" s="25"/>
      <c r="B530" s="22"/>
      <c r="C530" s="22">
        <f t="shared" si="6"/>
        <v>0</v>
      </c>
      <c r="D530" s="25"/>
      <c r="E530" s="22"/>
      <c r="F530" s="22" t="str">
        <f t="shared" si="8"/>
        <v>#DIV/0!</v>
      </c>
      <c r="G530" s="22" t="str">
        <f t="shared" si="31"/>
        <v>#DIV/0!</v>
      </c>
      <c r="H530" s="22" t="str">
        <f t="shared" si="32"/>
        <v>#DIV/0!</v>
      </c>
      <c r="I530" s="22" t="str">
        <f t="shared" si="3"/>
        <v>#DIV/0!</v>
      </c>
      <c r="J530" s="22" t="str">
        <f t="shared" si="33"/>
        <v>#DIV/0!</v>
      </c>
    </row>
    <row r="531" ht="15.75" customHeight="1">
      <c r="A531" s="25"/>
      <c r="B531" s="22"/>
      <c r="C531" s="22">
        <f t="shared" si="6"/>
        <v>0</v>
      </c>
      <c r="D531" s="25"/>
      <c r="E531" s="22"/>
      <c r="F531" s="22" t="str">
        <f t="shared" si="8"/>
        <v>#DIV/0!</v>
      </c>
      <c r="G531" s="22" t="str">
        <f t="shared" si="31"/>
        <v>#DIV/0!</v>
      </c>
      <c r="H531" s="22" t="str">
        <f t="shared" si="32"/>
        <v>#DIV/0!</v>
      </c>
      <c r="I531" s="22" t="str">
        <f t="shared" si="3"/>
        <v>#DIV/0!</v>
      </c>
      <c r="J531" s="22" t="str">
        <f t="shared" si="33"/>
        <v>#DIV/0!</v>
      </c>
    </row>
    <row r="532" ht="15.75" customHeight="1">
      <c r="A532" s="25"/>
      <c r="B532" s="22"/>
      <c r="C532" s="22">
        <f t="shared" si="6"/>
        <v>0</v>
      </c>
      <c r="D532" s="25"/>
      <c r="E532" s="22"/>
      <c r="F532" s="22" t="str">
        <f t="shared" si="8"/>
        <v>#DIV/0!</v>
      </c>
      <c r="G532" s="22" t="str">
        <f t="shared" si="31"/>
        <v>#DIV/0!</v>
      </c>
      <c r="H532" s="22" t="str">
        <f t="shared" si="32"/>
        <v>#DIV/0!</v>
      </c>
      <c r="I532" s="22" t="str">
        <f t="shared" si="3"/>
        <v>#DIV/0!</v>
      </c>
      <c r="J532" s="22" t="str">
        <f t="shared" si="33"/>
        <v>#DIV/0!</v>
      </c>
    </row>
    <row r="533" ht="15.75" customHeight="1">
      <c r="A533" s="25"/>
      <c r="B533" s="22"/>
      <c r="C533" s="22">
        <f t="shared" si="6"/>
        <v>0</v>
      </c>
      <c r="D533" s="25"/>
      <c r="E533" s="22"/>
      <c r="F533" s="22" t="str">
        <f t="shared" si="8"/>
        <v>#DIV/0!</v>
      </c>
      <c r="G533" s="22" t="str">
        <f t="shared" si="31"/>
        <v>#DIV/0!</v>
      </c>
      <c r="H533" s="22" t="str">
        <f t="shared" si="32"/>
        <v>#DIV/0!</v>
      </c>
      <c r="I533" s="22" t="str">
        <f t="shared" si="3"/>
        <v>#DIV/0!</v>
      </c>
      <c r="J533" s="22" t="str">
        <f t="shared" si="33"/>
        <v>#DIV/0!</v>
      </c>
    </row>
    <row r="534" ht="15.75" customHeight="1">
      <c r="A534" s="25"/>
      <c r="B534" s="22"/>
      <c r="C534" s="22">
        <f t="shared" si="6"/>
        <v>0</v>
      </c>
      <c r="D534" s="25"/>
      <c r="E534" s="22"/>
      <c r="F534" s="22" t="str">
        <f t="shared" si="8"/>
        <v>#DIV/0!</v>
      </c>
      <c r="G534" s="22" t="str">
        <f t="shared" si="31"/>
        <v>#DIV/0!</v>
      </c>
      <c r="H534" s="22" t="str">
        <f t="shared" si="32"/>
        <v>#DIV/0!</v>
      </c>
      <c r="I534" s="22" t="str">
        <f t="shared" si="3"/>
        <v>#DIV/0!</v>
      </c>
      <c r="J534" s="22" t="str">
        <f t="shared" si="33"/>
        <v>#DIV/0!</v>
      </c>
    </row>
    <row r="535" ht="15.75" customHeight="1">
      <c r="A535" s="25"/>
      <c r="B535" s="22"/>
      <c r="C535" s="22">
        <f t="shared" si="6"/>
        <v>0</v>
      </c>
      <c r="D535" s="25"/>
      <c r="E535" s="22"/>
      <c r="F535" s="22" t="str">
        <f t="shared" si="8"/>
        <v>#DIV/0!</v>
      </c>
      <c r="G535" s="22" t="str">
        <f t="shared" si="31"/>
        <v>#DIV/0!</v>
      </c>
      <c r="H535" s="22" t="str">
        <f t="shared" si="32"/>
        <v>#DIV/0!</v>
      </c>
      <c r="I535" s="22" t="str">
        <f t="shared" si="3"/>
        <v>#DIV/0!</v>
      </c>
      <c r="J535" s="22" t="str">
        <f t="shared" si="33"/>
        <v>#DIV/0!</v>
      </c>
    </row>
    <row r="536" ht="15.75" customHeight="1">
      <c r="A536" s="25"/>
      <c r="B536" s="22"/>
      <c r="C536" s="22">
        <f t="shared" si="6"/>
        <v>0</v>
      </c>
      <c r="D536" s="25"/>
      <c r="E536" s="22"/>
      <c r="F536" s="22" t="str">
        <f t="shared" si="8"/>
        <v>#DIV/0!</v>
      </c>
      <c r="G536" s="22" t="str">
        <f t="shared" si="31"/>
        <v>#DIV/0!</v>
      </c>
      <c r="H536" s="22" t="str">
        <f t="shared" si="32"/>
        <v>#DIV/0!</v>
      </c>
      <c r="I536" s="22" t="str">
        <f t="shared" si="3"/>
        <v>#DIV/0!</v>
      </c>
      <c r="J536" s="22" t="str">
        <f t="shared" si="33"/>
        <v>#DIV/0!</v>
      </c>
    </row>
    <row r="537" ht="15.75" customHeight="1">
      <c r="A537" s="25"/>
      <c r="B537" s="22"/>
      <c r="C537" s="22">
        <f t="shared" si="6"/>
        <v>0</v>
      </c>
      <c r="D537" s="25"/>
      <c r="E537" s="22"/>
      <c r="F537" s="22" t="str">
        <f t="shared" si="8"/>
        <v>#DIV/0!</v>
      </c>
      <c r="G537" s="22" t="str">
        <f t="shared" si="31"/>
        <v>#DIV/0!</v>
      </c>
      <c r="H537" s="22" t="str">
        <f t="shared" si="32"/>
        <v>#DIV/0!</v>
      </c>
      <c r="I537" s="22" t="str">
        <f t="shared" si="3"/>
        <v>#DIV/0!</v>
      </c>
      <c r="J537" s="22" t="str">
        <f t="shared" si="33"/>
        <v>#DIV/0!</v>
      </c>
    </row>
    <row r="538" ht="15.75" customHeight="1">
      <c r="A538" s="25"/>
      <c r="B538" s="22"/>
      <c r="C538" s="22">
        <f t="shared" si="6"/>
        <v>0</v>
      </c>
      <c r="D538" s="25"/>
      <c r="E538" s="22"/>
      <c r="F538" s="22" t="str">
        <f t="shared" si="8"/>
        <v>#DIV/0!</v>
      </c>
      <c r="G538" s="22" t="str">
        <f t="shared" si="31"/>
        <v>#DIV/0!</v>
      </c>
      <c r="H538" s="22" t="str">
        <f t="shared" si="32"/>
        <v>#DIV/0!</v>
      </c>
      <c r="I538" s="22" t="str">
        <f t="shared" si="3"/>
        <v>#DIV/0!</v>
      </c>
      <c r="J538" s="22" t="str">
        <f t="shared" si="33"/>
        <v>#DIV/0!</v>
      </c>
    </row>
    <row r="539" ht="15.75" customHeight="1">
      <c r="A539" s="25"/>
      <c r="B539" s="22"/>
      <c r="C539" s="22">
        <f t="shared" si="6"/>
        <v>0</v>
      </c>
      <c r="D539" s="25"/>
      <c r="E539" s="22"/>
      <c r="F539" s="22" t="str">
        <f t="shared" si="8"/>
        <v>#DIV/0!</v>
      </c>
      <c r="G539" s="22" t="str">
        <f t="shared" si="31"/>
        <v>#DIV/0!</v>
      </c>
      <c r="H539" s="22" t="str">
        <f t="shared" si="32"/>
        <v>#DIV/0!</v>
      </c>
      <c r="I539" s="22" t="str">
        <f t="shared" si="3"/>
        <v>#DIV/0!</v>
      </c>
      <c r="J539" s="22" t="str">
        <f t="shared" si="33"/>
        <v>#DIV/0!</v>
      </c>
    </row>
    <row r="540" ht="15.75" customHeight="1">
      <c r="A540" s="25"/>
      <c r="B540" s="22"/>
      <c r="C540" s="22">
        <f t="shared" si="6"/>
        <v>0</v>
      </c>
      <c r="D540" s="25"/>
      <c r="E540" s="22"/>
      <c r="F540" s="22" t="str">
        <f t="shared" si="8"/>
        <v>#DIV/0!</v>
      </c>
      <c r="G540" s="22" t="str">
        <f t="shared" si="31"/>
        <v>#DIV/0!</v>
      </c>
      <c r="H540" s="22" t="str">
        <f t="shared" si="32"/>
        <v>#DIV/0!</v>
      </c>
      <c r="I540" s="22" t="str">
        <f t="shared" si="3"/>
        <v>#DIV/0!</v>
      </c>
      <c r="J540" s="22" t="str">
        <f t="shared" si="33"/>
        <v>#DIV/0!</v>
      </c>
    </row>
    <row r="541" ht="15.75" customHeight="1">
      <c r="A541" s="25"/>
      <c r="B541" s="22"/>
      <c r="C541" s="22">
        <f t="shared" si="6"/>
        <v>0</v>
      </c>
      <c r="D541" s="25"/>
      <c r="E541" s="22"/>
      <c r="F541" s="22" t="str">
        <f t="shared" si="8"/>
        <v>#DIV/0!</v>
      </c>
      <c r="G541" s="22" t="str">
        <f t="shared" si="31"/>
        <v>#DIV/0!</v>
      </c>
      <c r="H541" s="22" t="str">
        <f t="shared" si="32"/>
        <v>#DIV/0!</v>
      </c>
      <c r="I541" s="22" t="str">
        <f t="shared" si="3"/>
        <v>#DIV/0!</v>
      </c>
      <c r="J541" s="22" t="str">
        <f t="shared" si="33"/>
        <v>#DIV/0!</v>
      </c>
    </row>
    <row r="542" ht="15.75" customHeight="1">
      <c r="A542" s="25"/>
      <c r="B542" s="22"/>
      <c r="C542" s="22">
        <f t="shared" si="6"/>
        <v>0</v>
      </c>
      <c r="D542" s="25"/>
      <c r="E542" s="22"/>
      <c r="F542" s="22" t="str">
        <f t="shared" si="8"/>
        <v>#DIV/0!</v>
      </c>
      <c r="G542" s="22" t="str">
        <f t="shared" si="31"/>
        <v>#DIV/0!</v>
      </c>
      <c r="H542" s="22" t="str">
        <f t="shared" si="32"/>
        <v>#DIV/0!</v>
      </c>
      <c r="I542" s="22" t="str">
        <f t="shared" si="3"/>
        <v>#DIV/0!</v>
      </c>
      <c r="J542" s="22" t="str">
        <f t="shared" si="33"/>
        <v>#DIV/0!</v>
      </c>
    </row>
    <row r="543" ht="15.75" customHeight="1">
      <c r="A543" s="25"/>
      <c r="B543" s="22"/>
      <c r="C543" s="22">
        <f t="shared" si="6"/>
        <v>0</v>
      </c>
      <c r="D543" s="25"/>
      <c r="E543" s="22"/>
      <c r="F543" s="22" t="str">
        <f t="shared" si="8"/>
        <v>#DIV/0!</v>
      </c>
      <c r="G543" s="22" t="str">
        <f t="shared" si="31"/>
        <v>#DIV/0!</v>
      </c>
      <c r="H543" s="22" t="str">
        <f t="shared" si="32"/>
        <v>#DIV/0!</v>
      </c>
      <c r="I543" s="22" t="str">
        <f t="shared" si="3"/>
        <v>#DIV/0!</v>
      </c>
      <c r="J543" s="22" t="str">
        <f t="shared" si="33"/>
        <v>#DIV/0!</v>
      </c>
    </row>
    <row r="544" ht="15.75" customHeight="1">
      <c r="A544" s="25"/>
      <c r="B544" s="22"/>
      <c r="C544" s="22">
        <f t="shared" si="6"/>
        <v>0</v>
      </c>
      <c r="D544" s="25"/>
      <c r="E544" s="22"/>
      <c r="F544" s="22" t="str">
        <f t="shared" si="8"/>
        <v>#DIV/0!</v>
      </c>
      <c r="G544" s="22" t="str">
        <f t="shared" si="31"/>
        <v>#DIV/0!</v>
      </c>
      <c r="H544" s="22" t="str">
        <f t="shared" si="32"/>
        <v>#DIV/0!</v>
      </c>
      <c r="I544" s="22" t="str">
        <f t="shared" si="3"/>
        <v>#DIV/0!</v>
      </c>
      <c r="J544" s="22" t="str">
        <f t="shared" si="33"/>
        <v>#DIV/0!</v>
      </c>
    </row>
    <row r="545" ht="15.75" customHeight="1">
      <c r="A545" s="25"/>
      <c r="B545" s="22"/>
      <c r="C545" s="22">
        <f t="shared" si="6"/>
        <v>0</v>
      </c>
      <c r="D545" s="25"/>
      <c r="E545" s="22"/>
      <c r="F545" s="22" t="str">
        <f t="shared" si="8"/>
        <v>#DIV/0!</v>
      </c>
      <c r="G545" s="22" t="str">
        <f t="shared" si="31"/>
        <v>#DIV/0!</v>
      </c>
      <c r="H545" s="22" t="str">
        <f t="shared" si="32"/>
        <v>#DIV/0!</v>
      </c>
      <c r="I545" s="22" t="str">
        <f t="shared" si="3"/>
        <v>#DIV/0!</v>
      </c>
      <c r="J545" s="22" t="str">
        <f t="shared" si="33"/>
        <v>#DIV/0!</v>
      </c>
    </row>
    <row r="546" ht="15.75" customHeight="1">
      <c r="A546" s="25"/>
      <c r="B546" s="22"/>
      <c r="C546" s="22">
        <f t="shared" si="6"/>
        <v>0</v>
      </c>
      <c r="D546" s="25"/>
      <c r="E546" s="22"/>
      <c r="F546" s="22" t="str">
        <f t="shared" si="8"/>
        <v>#DIV/0!</v>
      </c>
      <c r="G546" s="22" t="str">
        <f t="shared" si="31"/>
        <v>#DIV/0!</v>
      </c>
      <c r="H546" s="22" t="str">
        <f t="shared" si="32"/>
        <v>#DIV/0!</v>
      </c>
      <c r="I546" s="22" t="str">
        <f t="shared" si="3"/>
        <v>#DIV/0!</v>
      </c>
      <c r="J546" s="22" t="str">
        <f t="shared" si="33"/>
        <v>#DIV/0!</v>
      </c>
    </row>
    <row r="547" ht="15.75" customHeight="1">
      <c r="A547" s="25"/>
      <c r="B547" s="22"/>
      <c r="C547" s="22">
        <f t="shared" si="6"/>
        <v>0</v>
      </c>
      <c r="D547" s="25"/>
      <c r="E547" s="22"/>
      <c r="F547" s="22" t="str">
        <f t="shared" si="8"/>
        <v>#DIV/0!</v>
      </c>
      <c r="G547" s="22" t="str">
        <f t="shared" si="31"/>
        <v>#DIV/0!</v>
      </c>
      <c r="H547" s="22" t="str">
        <f t="shared" si="32"/>
        <v>#DIV/0!</v>
      </c>
      <c r="I547" s="22" t="str">
        <f t="shared" si="3"/>
        <v>#DIV/0!</v>
      </c>
      <c r="J547" s="22" t="str">
        <f t="shared" si="33"/>
        <v>#DIV/0!</v>
      </c>
    </row>
    <row r="548" ht="15.75" customHeight="1">
      <c r="A548" s="25"/>
      <c r="B548" s="22"/>
      <c r="C548" s="22">
        <f t="shared" si="6"/>
        <v>0</v>
      </c>
      <c r="D548" s="25"/>
      <c r="E548" s="22"/>
      <c r="F548" s="22" t="str">
        <f t="shared" si="8"/>
        <v>#DIV/0!</v>
      </c>
      <c r="G548" s="22" t="str">
        <f t="shared" si="31"/>
        <v>#DIV/0!</v>
      </c>
      <c r="H548" s="22" t="str">
        <f t="shared" si="32"/>
        <v>#DIV/0!</v>
      </c>
      <c r="I548" s="22" t="str">
        <f t="shared" si="3"/>
        <v>#DIV/0!</v>
      </c>
      <c r="J548" s="22" t="str">
        <f t="shared" si="33"/>
        <v>#DIV/0!</v>
      </c>
    </row>
    <row r="549" ht="15.75" customHeight="1">
      <c r="A549" s="25"/>
      <c r="B549" s="22"/>
      <c r="C549" s="22">
        <f t="shared" si="6"/>
        <v>0</v>
      </c>
      <c r="D549" s="25"/>
      <c r="E549" s="22"/>
      <c r="F549" s="22" t="str">
        <f t="shared" si="8"/>
        <v>#DIV/0!</v>
      </c>
      <c r="G549" s="22" t="str">
        <f t="shared" si="31"/>
        <v>#DIV/0!</v>
      </c>
      <c r="H549" s="22" t="str">
        <f t="shared" si="32"/>
        <v>#DIV/0!</v>
      </c>
      <c r="I549" s="22" t="str">
        <f t="shared" si="3"/>
        <v>#DIV/0!</v>
      </c>
      <c r="J549" s="22" t="str">
        <f t="shared" si="33"/>
        <v>#DIV/0!</v>
      </c>
    </row>
    <row r="550" ht="15.75" customHeight="1">
      <c r="A550" s="25"/>
      <c r="B550" s="22"/>
      <c r="C550" s="22">
        <f t="shared" si="6"/>
        <v>0</v>
      </c>
      <c r="D550" s="25"/>
      <c r="E550" s="22"/>
      <c r="F550" s="22" t="str">
        <f t="shared" si="8"/>
        <v>#DIV/0!</v>
      </c>
      <c r="G550" s="22" t="str">
        <f t="shared" si="31"/>
        <v>#DIV/0!</v>
      </c>
      <c r="H550" s="22" t="str">
        <f t="shared" si="32"/>
        <v>#DIV/0!</v>
      </c>
      <c r="I550" s="22" t="str">
        <f t="shared" si="3"/>
        <v>#DIV/0!</v>
      </c>
      <c r="J550" s="22" t="str">
        <f t="shared" si="33"/>
        <v>#DIV/0!</v>
      </c>
    </row>
    <row r="551" ht="15.75" customHeight="1">
      <c r="A551" s="25"/>
      <c r="B551" s="22"/>
      <c r="C551" s="22">
        <f t="shared" si="6"/>
        <v>0</v>
      </c>
      <c r="D551" s="25"/>
      <c r="E551" s="22"/>
      <c r="F551" s="22" t="str">
        <f t="shared" si="8"/>
        <v>#DIV/0!</v>
      </c>
      <c r="G551" s="22" t="str">
        <f t="shared" si="31"/>
        <v>#DIV/0!</v>
      </c>
      <c r="H551" s="22" t="str">
        <f t="shared" si="32"/>
        <v>#DIV/0!</v>
      </c>
      <c r="I551" s="22" t="str">
        <f t="shared" si="3"/>
        <v>#DIV/0!</v>
      </c>
      <c r="J551" s="22" t="str">
        <f t="shared" si="33"/>
        <v>#DIV/0!</v>
      </c>
    </row>
    <row r="552" ht="15.75" customHeight="1">
      <c r="A552" s="25"/>
      <c r="B552" s="22"/>
      <c r="C552" s="22">
        <f t="shared" si="6"/>
        <v>0</v>
      </c>
      <c r="D552" s="25"/>
      <c r="E552" s="22"/>
      <c r="F552" s="22" t="str">
        <f t="shared" si="8"/>
        <v>#DIV/0!</v>
      </c>
      <c r="G552" s="22" t="str">
        <f t="shared" si="31"/>
        <v>#DIV/0!</v>
      </c>
      <c r="H552" s="22" t="str">
        <f t="shared" si="32"/>
        <v>#DIV/0!</v>
      </c>
      <c r="I552" s="22" t="str">
        <f t="shared" si="3"/>
        <v>#DIV/0!</v>
      </c>
      <c r="J552" s="22" t="str">
        <f t="shared" si="33"/>
        <v>#DIV/0!</v>
      </c>
    </row>
    <row r="553" ht="15.75" customHeight="1">
      <c r="A553" s="25"/>
      <c r="B553" s="22"/>
      <c r="C553" s="22">
        <f t="shared" si="6"/>
        <v>0</v>
      </c>
      <c r="D553" s="25"/>
      <c r="E553" s="22"/>
      <c r="F553" s="22" t="str">
        <f t="shared" si="8"/>
        <v>#DIV/0!</v>
      </c>
      <c r="G553" s="22" t="str">
        <f t="shared" si="31"/>
        <v>#DIV/0!</v>
      </c>
      <c r="H553" s="22" t="str">
        <f t="shared" si="32"/>
        <v>#DIV/0!</v>
      </c>
      <c r="I553" s="22" t="str">
        <f t="shared" si="3"/>
        <v>#DIV/0!</v>
      </c>
      <c r="J553" s="22" t="str">
        <f t="shared" si="33"/>
        <v>#DIV/0!</v>
      </c>
    </row>
    <row r="554" ht="15.75" customHeight="1">
      <c r="A554" s="25"/>
      <c r="B554" s="22"/>
      <c r="C554" s="22">
        <f t="shared" si="6"/>
        <v>0</v>
      </c>
      <c r="D554" s="25"/>
      <c r="E554" s="22"/>
      <c r="F554" s="22" t="str">
        <f t="shared" si="8"/>
        <v>#DIV/0!</v>
      </c>
      <c r="G554" s="22" t="str">
        <f t="shared" si="31"/>
        <v>#DIV/0!</v>
      </c>
      <c r="H554" s="22" t="str">
        <f t="shared" si="32"/>
        <v>#DIV/0!</v>
      </c>
      <c r="I554" s="22" t="str">
        <f t="shared" si="3"/>
        <v>#DIV/0!</v>
      </c>
      <c r="J554" s="22" t="str">
        <f t="shared" si="33"/>
        <v>#DIV/0!</v>
      </c>
    </row>
    <row r="555" ht="15.75" customHeight="1">
      <c r="A555" s="25"/>
      <c r="B555" s="22"/>
      <c r="C555" s="22">
        <f t="shared" si="6"/>
        <v>0</v>
      </c>
      <c r="D555" s="25"/>
      <c r="E555" s="22"/>
      <c r="F555" s="22" t="str">
        <f t="shared" si="8"/>
        <v>#DIV/0!</v>
      </c>
      <c r="G555" s="22" t="str">
        <f t="shared" si="31"/>
        <v>#DIV/0!</v>
      </c>
      <c r="H555" s="22" t="str">
        <f t="shared" si="32"/>
        <v>#DIV/0!</v>
      </c>
      <c r="I555" s="22" t="str">
        <f t="shared" si="3"/>
        <v>#DIV/0!</v>
      </c>
      <c r="J555" s="22" t="str">
        <f t="shared" si="33"/>
        <v>#DIV/0!</v>
      </c>
    </row>
    <row r="556" ht="15.75" customHeight="1">
      <c r="A556" s="25"/>
      <c r="B556" s="22"/>
      <c r="C556" s="22">
        <f t="shared" si="6"/>
        <v>0</v>
      </c>
      <c r="D556" s="25"/>
      <c r="E556" s="22"/>
      <c r="F556" s="22" t="str">
        <f t="shared" si="8"/>
        <v>#DIV/0!</v>
      </c>
      <c r="G556" s="22" t="str">
        <f t="shared" si="31"/>
        <v>#DIV/0!</v>
      </c>
      <c r="H556" s="22" t="str">
        <f t="shared" si="32"/>
        <v>#DIV/0!</v>
      </c>
      <c r="I556" s="22" t="str">
        <f t="shared" si="3"/>
        <v>#DIV/0!</v>
      </c>
      <c r="J556" s="22" t="str">
        <f t="shared" si="33"/>
        <v>#DIV/0!</v>
      </c>
    </row>
    <row r="557" ht="15.75" customHeight="1">
      <c r="A557" s="25"/>
      <c r="B557" s="22"/>
      <c r="C557" s="22">
        <f t="shared" si="6"/>
        <v>0</v>
      </c>
      <c r="D557" s="25"/>
      <c r="E557" s="22"/>
      <c r="F557" s="22" t="str">
        <f t="shared" si="8"/>
        <v>#DIV/0!</v>
      </c>
      <c r="G557" s="22" t="str">
        <f t="shared" si="31"/>
        <v>#DIV/0!</v>
      </c>
      <c r="H557" s="22" t="str">
        <f t="shared" si="32"/>
        <v>#DIV/0!</v>
      </c>
      <c r="I557" s="22" t="str">
        <f t="shared" si="3"/>
        <v>#DIV/0!</v>
      </c>
      <c r="J557" s="22" t="str">
        <f t="shared" si="33"/>
        <v>#DIV/0!</v>
      </c>
    </row>
    <row r="558" ht="15.75" customHeight="1">
      <c r="A558" s="25"/>
      <c r="B558" s="22"/>
      <c r="C558" s="22">
        <f t="shared" si="6"/>
        <v>0</v>
      </c>
      <c r="D558" s="25"/>
      <c r="E558" s="22"/>
      <c r="F558" s="22" t="str">
        <f t="shared" si="8"/>
        <v>#DIV/0!</v>
      </c>
      <c r="G558" s="22" t="str">
        <f t="shared" si="31"/>
        <v>#DIV/0!</v>
      </c>
      <c r="H558" s="22" t="str">
        <f t="shared" si="32"/>
        <v>#DIV/0!</v>
      </c>
      <c r="I558" s="22" t="str">
        <f t="shared" si="3"/>
        <v>#DIV/0!</v>
      </c>
      <c r="J558" s="22" t="str">
        <f t="shared" si="33"/>
        <v>#DIV/0!</v>
      </c>
    </row>
    <row r="559" ht="15.75" customHeight="1">
      <c r="A559" s="25"/>
      <c r="B559" s="22"/>
      <c r="C559" s="22">
        <f t="shared" si="6"/>
        <v>0</v>
      </c>
      <c r="D559" s="25"/>
      <c r="E559" s="22"/>
      <c r="F559" s="22" t="str">
        <f t="shared" si="8"/>
        <v>#DIV/0!</v>
      </c>
      <c r="G559" s="22" t="str">
        <f t="shared" si="31"/>
        <v>#DIV/0!</v>
      </c>
      <c r="H559" s="22" t="str">
        <f t="shared" si="32"/>
        <v>#DIV/0!</v>
      </c>
      <c r="I559" s="22" t="str">
        <f t="shared" si="3"/>
        <v>#DIV/0!</v>
      </c>
      <c r="J559" s="22" t="str">
        <f t="shared" si="33"/>
        <v>#DIV/0!</v>
      </c>
    </row>
    <row r="560" ht="15.75" customHeight="1">
      <c r="A560" s="25"/>
      <c r="B560" s="22"/>
      <c r="C560" s="22">
        <f t="shared" si="6"/>
        <v>0</v>
      </c>
      <c r="D560" s="25"/>
      <c r="E560" s="22"/>
      <c r="F560" s="22" t="str">
        <f t="shared" si="8"/>
        <v>#DIV/0!</v>
      </c>
      <c r="G560" s="22" t="str">
        <f t="shared" si="31"/>
        <v>#DIV/0!</v>
      </c>
      <c r="H560" s="22" t="str">
        <f t="shared" si="32"/>
        <v>#DIV/0!</v>
      </c>
      <c r="I560" s="22" t="str">
        <f t="shared" si="3"/>
        <v>#DIV/0!</v>
      </c>
      <c r="J560" s="22" t="str">
        <f t="shared" si="33"/>
        <v>#DIV/0!</v>
      </c>
    </row>
    <row r="561" ht="15.75" customHeight="1">
      <c r="A561" s="25"/>
      <c r="B561" s="22"/>
      <c r="C561" s="22">
        <f t="shared" si="6"/>
        <v>0</v>
      </c>
      <c r="D561" s="25"/>
      <c r="E561" s="22"/>
      <c r="F561" s="22" t="str">
        <f t="shared" si="8"/>
        <v>#DIV/0!</v>
      </c>
      <c r="G561" s="22" t="str">
        <f t="shared" si="31"/>
        <v>#DIV/0!</v>
      </c>
      <c r="H561" s="22" t="str">
        <f t="shared" si="32"/>
        <v>#DIV/0!</v>
      </c>
      <c r="I561" s="22" t="str">
        <f t="shared" si="3"/>
        <v>#DIV/0!</v>
      </c>
      <c r="J561" s="22" t="str">
        <f t="shared" si="33"/>
        <v>#DIV/0!</v>
      </c>
    </row>
    <row r="562" ht="15.75" customHeight="1">
      <c r="A562" s="25"/>
      <c r="B562" s="22"/>
      <c r="C562" s="22">
        <f t="shared" si="6"/>
        <v>0</v>
      </c>
      <c r="D562" s="25"/>
      <c r="E562" s="22"/>
      <c r="F562" s="22" t="str">
        <f t="shared" si="8"/>
        <v>#DIV/0!</v>
      </c>
      <c r="G562" s="22" t="str">
        <f t="shared" si="31"/>
        <v>#DIV/0!</v>
      </c>
      <c r="H562" s="22" t="str">
        <f t="shared" si="32"/>
        <v>#DIV/0!</v>
      </c>
      <c r="I562" s="22" t="str">
        <f t="shared" si="3"/>
        <v>#DIV/0!</v>
      </c>
      <c r="J562" s="22" t="str">
        <f t="shared" si="33"/>
        <v>#DIV/0!</v>
      </c>
    </row>
    <row r="563" ht="15.75" customHeight="1">
      <c r="A563" s="25"/>
      <c r="B563" s="22"/>
      <c r="C563" s="22">
        <f t="shared" si="6"/>
        <v>0</v>
      </c>
      <c r="D563" s="25"/>
      <c r="E563" s="22"/>
      <c r="F563" s="22" t="str">
        <f t="shared" si="8"/>
        <v>#DIV/0!</v>
      </c>
      <c r="G563" s="22" t="str">
        <f t="shared" si="31"/>
        <v>#DIV/0!</v>
      </c>
      <c r="H563" s="22" t="str">
        <f t="shared" si="32"/>
        <v>#DIV/0!</v>
      </c>
      <c r="I563" s="22" t="str">
        <f t="shared" si="3"/>
        <v>#DIV/0!</v>
      </c>
      <c r="J563" s="22" t="str">
        <f t="shared" si="33"/>
        <v>#DIV/0!</v>
      </c>
    </row>
    <row r="564" ht="15.75" customHeight="1">
      <c r="A564" s="25"/>
      <c r="B564" s="22"/>
      <c r="C564" s="22">
        <f t="shared" si="6"/>
        <v>0</v>
      </c>
      <c r="D564" s="25"/>
      <c r="E564" s="22"/>
      <c r="F564" s="22" t="str">
        <f t="shared" si="8"/>
        <v>#DIV/0!</v>
      </c>
      <c r="G564" s="22" t="str">
        <f t="shared" si="31"/>
        <v>#DIV/0!</v>
      </c>
      <c r="H564" s="22" t="str">
        <f t="shared" si="32"/>
        <v>#DIV/0!</v>
      </c>
      <c r="I564" s="22" t="str">
        <f t="shared" si="3"/>
        <v>#DIV/0!</v>
      </c>
      <c r="J564" s="22" t="str">
        <f t="shared" si="33"/>
        <v>#DIV/0!</v>
      </c>
    </row>
    <row r="565" ht="15.75" customHeight="1">
      <c r="A565" s="25"/>
      <c r="B565" s="22"/>
      <c r="C565" s="22">
        <f t="shared" si="6"/>
        <v>0</v>
      </c>
      <c r="D565" s="25"/>
      <c r="E565" s="22"/>
      <c r="F565" s="22" t="str">
        <f t="shared" si="8"/>
        <v>#DIV/0!</v>
      </c>
      <c r="G565" s="22" t="str">
        <f t="shared" si="31"/>
        <v>#DIV/0!</v>
      </c>
      <c r="H565" s="22" t="str">
        <f t="shared" si="32"/>
        <v>#DIV/0!</v>
      </c>
      <c r="I565" s="22" t="str">
        <f t="shared" si="3"/>
        <v>#DIV/0!</v>
      </c>
      <c r="J565" s="22" t="str">
        <f t="shared" si="33"/>
        <v>#DIV/0!</v>
      </c>
    </row>
    <row r="566" ht="15.75" customHeight="1">
      <c r="A566" s="25"/>
      <c r="B566" s="22"/>
      <c r="C566" s="22">
        <f t="shared" si="6"/>
        <v>0</v>
      </c>
      <c r="D566" s="25"/>
      <c r="E566" s="22"/>
      <c r="F566" s="22" t="str">
        <f t="shared" si="8"/>
        <v>#DIV/0!</v>
      </c>
      <c r="G566" s="22" t="str">
        <f t="shared" si="31"/>
        <v>#DIV/0!</v>
      </c>
      <c r="H566" s="22" t="str">
        <f t="shared" si="32"/>
        <v>#DIV/0!</v>
      </c>
      <c r="I566" s="22" t="str">
        <f t="shared" si="3"/>
        <v>#DIV/0!</v>
      </c>
      <c r="J566" s="22" t="str">
        <f t="shared" si="33"/>
        <v>#DIV/0!</v>
      </c>
    </row>
    <row r="567" ht="15.75" customHeight="1">
      <c r="A567" s="25"/>
      <c r="B567" s="22"/>
      <c r="C567" s="22">
        <f t="shared" si="6"/>
        <v>0</v>
      </c>
      <c r="D567" s="25"/>
      <c r="E567" s="22"/>
      <c r="F567" s="22" t="str">
        <f t="shared" si="8"/>
        <v>#DIV/0!</v>
      </c>
      <c r="G567" s="22" t="str">
        <f t="shared" si="31"/>
        <v>#DIV/0!</v>
      </c>
      <c r="H567" s="22" t="str">
        <f t="shared" si="32"/>
        <v>#DIV/0!</v>
      </c>
      <c r="I567" s="22" t="str">
        <f t="shared" si="3"/>
        <v>#DIV/0!</v>
      </c>
      <c r="J567" s="22" t="str">
        <f t="shared" si="33"/>
        <v>#DIV/0!</v>
      </c>
    </row>
    <row r="568" ht="15.75" customHeight="1">
      <c r="A568" s="25"/>
      <c r="B568" s="22"/>
      <c r="C568" s="22">
        <f t="shared" si="6"/>
        <v>0</v>
      </c>
      <c r="D568" s="25"/>
      <c r="E568" s="22"/>
      <c r="F568" s="22" t="str">
        <f t="shared" si="8"/>
        <v>#DIV/0!</v>
      </c>
      <c r="G568" s="22" t="str">
        <f t="shared" si="31"/>
        <v>#DIV/0!</v>
      </c>
      <c r="H568" s="22" t="str">
        <f t="shared" si="32"/>
        <v>#DIV/0!</v>
      </c>
      <c r="I568" s="22" t="str">
        <f t="shared" si="3"/>
        <v>#DIV/0!</v>
      </c>
      <c r="J568" s="22" t="str">
        <f t="shared" si="33"/>
        <v>#DIV/0!</v>
      </c>
    </row>
    <row r="569" ht="15.75" customHeight="1">
      <c r="A569" s="25"/>
      <c r="B569" s="22"/>
      <c r="C569" s="22">
        <f t="shared" si="6"/>
        <v>0</v>
      </c>
      <c r="D569" s="25"/>
      <c r="E569" s="22"/>
      <c r="F569" s="22" t="str">
        <f t="shared" si="8"/>
        <v>#DIV/0!</v>
      </c>
      <c r="G569" s="22" t="str">
        <f t="shared" si="31"/>
        <v>#DIV/0!</v>
      </c>
      <c r="H569" s="22" t="str">
        <f t="shared" si="32"/>
        <v>#DIV/0!</v>
      </c>
      <c r="I569" s="22" t="str">
        <f t="shared" si="3"/>
        <v>#DIV/0!</v>
      </c>
      <c r="J569" s="22" t="str">
        <f t="shared" si="33"/>
        <v>#DIV/0!</v>
      </c>
    </row>
    <row r="570" ht="15.75" customHeight="1">
      <c r="A570" s="25"/>
      <c r="B570" s="22"/>
      <c r="C570" s="22">
        <f t="shared" si="6"/>
        <v>0</v>
      </c>
      <c r="D570" s="25"/>
      <c r="E570" s="22"/>
      <c r="F570" s="22" t="str">
        <f t="shared" si="8"/>
        <v>#DIV/0!</v>
      </c>
      <c r="G570" s="22" t="str">
        <f t="shared" si="31"/>
        <v>#DIV/0!</v>
      </c>
      <c r="H570" s="22" t="str">
        <f t="shared" si="32"/>
        <v>#DIV/0!</v>
      </c>
      <c r="I570" s="22" t="str">
        <f t="shared" si="3"/>
        <v>#DIV/0!</v>
      </c>
      <c r="J570" s="22" t="str">
        <f t="shared" si="33"/>
        <v>#DIV/0!</v>
      </c>
    </row>
    <row r="571" ht="15.75" customHeight="1">
      <c r="A571" s="25"/>
      <c r="B571" s="22"/>
      <c r="C571" s="22">
        <f t="shared" si="6"/>
        <v>0</v>
      </c>
      <c r="D571" s="25"/>
      <c r="E571" s="22"/>
      <c r="F571" s="22" t="str">
        <f t="shared" si="8"/>
        <v>#DIV/0!</v>
      </c>
      <c r="G571" s="22" t="str">
        <f t="shared" si="31"/>
        <v>#DIV/0!</v>
      </c>
      <c r="H571" s="22" t="str">
        <f t="shared" si="32"/>
        <v>#DIV/0!</v>
      </c>
      <c r="I571" s="22" t="str">
        <f t="shared" si="3"/>
        <v>#DIV/0!</v>
      </c>
      <c r="J571" s="22" t="str">
        <f t="shared" si="33"/>
        <v>#DIV/0!</v>
      </c>
    </row>
    <row r="572" ht="15.75" customHeight="1">
      <c r="A572" s="25"/>
      <c r="B572" s="22"/>
      <c r="C572" s="22">
        <f t="shared" si="6"/>
        <v>0</v>
      </c>
      <c r="D572" s="25"/>
      <c r="E572" s="22"/>
      <c r="F572" s="22" t="str">
        <f t="shared" si="8"/>
        <v>#DIV/0!</v>
      </c>
      <c r="G572" s="22" t="str">
        <f t="shared" si="31"/>
        <v>#DIV/0!</v>
      </c>
      <c r="H572" s="22" t="str">
        <f t="shared" si="32"/>
        <v>#DIV/0!</v>
      </c>
      <c r="I572" s="22" t="str">
        <f t="shared" si="3"/>
        <v>#DIV/0!</v>
      </c>
      <c r="J572" s="22" t="str">
        <f t="shared" si="33"/>
        <v>#DIV/0!</v>
      </c>
    </row>
    <row r="573" ht="15.75" customHeight="1">
      <c r="A573" s="25"/>
      <c r="B573" s="22"/>
      <c r="C573" s="22">
        <f t="shared" si="6"/>
        <v>0</v>
      </c>
      <c r="D573" s="25"/>
      <c r="E573" s="22"/>
      <c r="F573" s="22" t="str">
        <f t="shared" si="8"/>
        <v>#DIV/0!</v>
      </c>
      <c r="G573" s="22" t="str">
        <f t="shared" si="31"/>
        <v>#DIV/0!</v>
      </c>
      <c r="H573" s="22" t="str">
        <f t="shared" si="32"/>
        <v>#DIV/0!</v>
      </c>
      <c r="I573" s="22" t="str">
        <f t="shared" si="3"/>
        <v>#DIV/0!</v>
      </c>
      <c r="J573" s="22" t="str">
        <f t="shared" si="33"/>
        <v>#DIV/0!</v>
      </c>
    </row>
    <row r="574" ht="15.75" customHeight="1">
      <c r="A574" s="25"/>
      <c r="B574" s="22"/>
      <c r="C574" s="22">
        <f t="shared" si="6"/>
        <v>0</v>
      </c>
      <c r="D574" s="25"/>
      <c r="E574" s="22"/>
      <c r="F574" s="22" t="str">
        <f t="shared" si="8"/>
        <v>#DIV/0!</v>
      </c>
      <c r="G574" s="22" t="str">
        <f t="shared" si="31"/>
        <v>#DIV/0!</v>
      </c>
      <c r="H574" s="22" t="str">
        <f t="shared" si="32"/>
        <v>#DIV/0!</v>
      </c>
      <c r="I574" s="22" t="str">
        <f t="shared" si="3"/>
        <v>#DIV/0!</v>
      </c>
      <c r="J574" s="22" t="str">
        <f t="shared" si="33"/>
        <v>#DIV/0!</v>
      </c>
    </row>
    <row r="575" ht="15.75" customHeight="1">
      <c r="A575" s="25"/>
      <c r="B575" s="22"/>
      <c r="C575" s="22">
        <f t="shared" si="6"/>
        <v>0</v>
      </c>
      <c r="D575" s="25"/>
      <c r="E575" s="22"/>
      <c r="F575" s="22" t="str">
        <f t="shared" si="8"/>
        <v>#DIV/0!</v>
      </c>
      <c r="G575" s="22" t="str">
        <f t="shared" si="31"/>
        <v>#DIV/0!</v>
      </c>
      <c r="H575" s="22" t="str">
        <f t="shared" si="32"/>
        <v>#DIV/0!</v>
      </c>
      <c r="I575" s="22" t="str">
        <f t="shared" si="3"/>
        <v>#DIV/0!</v>
      </c>
      <c r="J575" s="22" t="str">
        <f t="shared" si="33"/>
        <v>#DIV/0!</v>
      </c>
    </row>
    <row r="576" ht="15.75" customHeight="1">
      <c r="A576" s="25"/>
      <c r="B576" s="22"/>
      <c r="C576" s="22">
        <f t="shared" si="6"/>
        <v>0</v>
      </c>
      <c r="D576" s="25"/>
      <c r="E576" s="22"/>
      <c r="F576" s="22" t="str">
        <f t="shared" si="8"/>
        <v>#DIV/0!</v>
      </c>
      <c r="G576" s="22" t="str">
        <f t="shared" si="31"/>
        <v>#DIV/0!</v>
      </c>
      <c r="H576" s="22" t="str">
        <f t="shared" si="32"/>
        <v>#DIV/0!</v>
      </c>
      <c r="I576" s="22" t="str">
        <f t="shared" si="3"/>
        <v>#DIV/0!</v>
      </c>
      <c r="J576" s="22" t="str">
        <f t="shared" si="33"/>
        <v>#DIV/0!</v>
      </c>
    </row>
    <row r="577" ht="15.75" customHeight="1">
      <c r="A577" s="25"/>
      <c r="B577" s="22"/>
      <c r="C577" s="22">
        <f t="shared" si="6"/>
        <v>0</v>
      </c>
      <c r="D577" s="25"/>
      <c r="E577" s="22"/>
      <c r="F577" s="22" t="str">
        <f t="shared" si="8"/>
        <v>#DIV/0!</v>
      </c>
      <c r="G577" s="22" t="str">
        <f t="shared" si="31"/>
        <v>#DIV/0!</v>
      </c>
      <c r="H577" s="22" t="str">
        <f t="shared" si="32"/>
        <v>#DIV/0!</v>
      </c>
      <c r="I577" s="22" t="str">
        <f t="shared" si="3"/>
        <v>#DIV/0!</v>
      </c>
      <c r="J577" s="22" t="str">
        <f t="shared" si="33"/>
        <v>#DIV/0!</v>
      </c>
    </row>
    <row r="578" ht="15.75" customHeight="1">
      <c r="A578" s="25"/>
      <c r="B578" s="22"/>
      <c r="C578" s="22">
        <f t="shared" si="6"/>
        <v>0</v>
      </c>
      <c r="D578" s="25"/>
      <c r="E578" s="22"/>
      <c r="F578" s="22" t="str">
        <f t="shared" si="8"/>
        <v>#DIV/0!</v>
      </c>
      <c r="G578" s="22" t="str">
        <f t="shared" si="31"/>
        <v>#DIV/0!</v>
      </c>
      <c r="H578" s="22" t="str">
        <f t="shared" si="32"/>
        <v>#DIV/0!</v>
      </c>
      <c r="I578" s="22" t="str">
        <f t="shared" si="3"/>
        <v>#DIV/0!</v>
      </c>
      <c r="J578" s="22" t="str">
        <f t="shared" si="33"/>
        <v>#DIV/0!</v>
      </c>
    </row>
    <row r="579" ht="15.75" customHeight="1">
      <c r="A579" s="25"/>
      <c r="B579" s="22"/>
      <c r="C579" s="22">
        <f t="shared" si="6"/>
        <v>0</v>
      </c>
      <c r="D579" s="25"/>
      <c r="E579" s="22"/>
      <c r="F579" s="22" t="str">
        <f t="shared" si="8"/>
        <v>#DIV/0!</v>
      </c>
      <c r="G579" s="22" t="str">
        <f t="shared" si="31"/>
        <v>#DIV/0!</v>
      </c>
      <c r="H579" s="22" t="str">
        <f t="shared" si="32"/>
        <v>#DIV/0!</v>
      </c>
      <c r="I579" s="22" t="str">
        <f t="shared" si="3"/>
        <v>#DIV/0!</v>
      </c>
      <c r="J579" s="22" t="str">
        <f t="shared" si="33"/>
        <v>#DIV/0!</v>
      </c>
    </row>
    <row r="580" ht="15.75" customHeight="1">
      <c r="A580" s="25"/>
      <c r="B580" s="22"/>
      <c r="C580" s="22">
        <f t="shared" si="6"/>
        <v>0</v>
      </c>
      <c r="D580" s="25"/>
      <c r="E580" s="22"/>
      <c r="F580" s="22" t="str">
        <f t="shared" si="8"/>
        <v>#DIV/0!</v>
      </c>
      <c r="G580" s="22" t="str">
        <f t="shared" si="31"/>
        <v>#DIV/0!</v>
      </c>
      <c r="H580" s="22" t="str">
        <f t="shared" si="32"/>
        <v>#DIV/0!</v>
      </c>
      <c r="I580" s="22" t="str">
        <f t="shared" si="3"/>
        <v>#DIV/0!</v>
      </c>
      <c r="J580" s="22" t="str">
        <f t="shared" si="33"/>
        <v>#DIV/0!</v>
      </c>
    </row>
    <row r="581" ht="15.75" customHeight="1">
      <c r="A581" s="25"/>
      <c r="B581" s="22"/>
      <c r="C581" s="22">
        <f t="shared" si="6"/>
        <v>0</v>
      </c>
      <c r="D581" s="25"/>
      <c r="E581" s="22"/>
      <c r="F581" s="22" t="str">
        <f t="shared" si="8"/>
        <v>#DIV/0!</v>
      </c>
      <c r="G581" s="22" t="str">
        <f t="shared" si="31"/>
        <v>#DIV/0!</v>
      </c>
      <c r="H581" s="22" t="str">
        <f t="shared" si="32"/>
        <v>#DIV/0!</v>
      </c>
      <c r="I581" s="22" t="str">
        <f t="shared" si="3"/>
        <v>#DIV/0!</v>
      </c>
      <c r="J581" s="22" t="str">
        <f t="shared" si="33"/>
        <v>#DIV/0!</v>
      </c>
    </row>
    <row r="582" ht="15.75" customHeight="1">
      <c r="A582" s="25"/>
      <c r="B582" s="22"/>
      <c r="C582" s="22">
        <f t="shared" si="6"/>
        <v>0</v>
      </c>
      <c r="D582" s="25"/>
      <c r="E582" s="22"/>
      <c r="F582" s="22" t="str">
        <f t="shared" si="8"/>
        <v>#DIV/0!</v>
      </c>
      <c r="G582" s="22" t="str">
        <f t="shared" si="31"/>
        <v>#DIV/0!</v>
      </c>
      <c r="H582" s="22" t="str">
        <f t="shared" si="32"/>
        <v>#DIV/0!</v>
      </c>
      <c r="I582" s="22" t="str">
        <f t="shared" si="3"/>
        <v>#DIV/0!</v>
      </c>
      <c r="J582" s="22" t="str">
        <f t="shared" si="33"/>
        <v>#DIV/0!</v>
      </c>
    </row>
    <row r="583" ht="15.75" customHeight="1">
      <c r="A583" s="25"/>
      <c r="B583" s="22"/>
      <c r="C583" s="22">
        <f t="shared" si="6"/>
        <v>0</v>
      </c>
      <c r="D583" s="25"/>
      <c r="E583" s="22"/>
      <c r="F583" s="22" t="str">
        <f t="shared" si="8"/>
        <v>#DIV/0!</v>
      </c>
      <c r="G583" s="22" t="str">
        <f t="shared" si="31"/>
        <v>#DIV/0!</v>
      </c>
      <c r="H583" s="22" t="str">
        <f t="shared" si="32"/>
        <v>#DIV/0!</v>
      </c>
      <c r="I583" s="22" t="str">
        <f t="shared" si="3"/>
        <v>#DIV/0!</v>
      </c>
      <c r="J583" s="22" t="str">
        <f t="shared" si="33"/>
        <v>#DIV/0!</v>
      </c>
    </row>
    <row r="584" ht="15.75" customHeight="1">
      <c r="A584" s="25"/>
      <c r="B584" s="22"/>
      <c r="C584" s="22">
        <f t="shared" si="6"/>
        <v>0</v>
      </c>
      <c r="D584" s="25"/>
      <c r="E584" s="22"/>
      <c r="F584" s="22" t="str">
        <f t="shared" si="8"/>
        <v>#DIV/0!</v>
      </c>
      <c r="G584" s="22" t="str">
        <f t="shared" si="31"/>
        <v>#DIV/0!</v>
      </c>
      <c r="H584" s="22" t="str">
        <f t="shared" si="32"/>
        <v>#DIV/0!</v>
      </c>
      <c r="I584" s="22" t="str">
        <f t="shared" si="3"/>
        <v>#DIV/0!</v>
      </c>
      <c r="J584" s="22" t="str">
        <f t="shared" si="33"/>
        <v>#DIV/0!</v>
      </c>
    </row>
    <row r="585" ht="15.75" customHeight="1">
      <c r="A585" s="25"/>
      <c r="B585" s="22"/>
      <c r="C585" s="22">
        <f t="shared" si="6"/>
        <v>0</v>
      </c>
      <c r="D585" s="25"/>
      <c r="E585" s="22"/>
      <c r="F585" s="22" t="str">
        <f t="shared" si="8"/>
        <v>#DIV/0!</v>
      </c>
      <c r="G585" s="22" t="str">
        <f t="shared" si="31"/>
        <v>#DIV/0!</v>
      </c>
      <c r="H585" s="22" t="str">
        <f t="shared" si="32"/>
        <v>#DIV/0!</v>
      </c>
      <c r="I585" s="22" t="str">
        <f t="shared" si="3"/>
        <v>#DIV/0!</v>
      </c>
      <c r="J585" s="22" t="str">
        <f t="shared" si="33"/>
        <v>#DIV/0!</v>
      </c>
    </row>
    <row r="586" ht="15.75" customHeight="1">
      <c r="A586" s="25"/>
      <c r="B586" s="22"/>
      <c r="C586" s="22">
        <f t="shared" si="6"/>
        <v>0</v>
      </c>
      <c r="D586" s="25"/>
      <c r="E586" s="22"/>
      <c r="F586" s="22" t="str">
        <f t="shared" si="8"/>
        <v>#DIV/0!</v>
      </c>
      <c r="G586" s="22" t="str">
        <f t="shared" si="31"/>
        <v>#DIV/0!</v>
      </c>
      <c r="H586" s="22" t="str">
        <f t="shared" si="32"/>
        <v>#DIV/0!</v>
      </c>
      <c r="I586" s="22" t="str">
        <f t="shared" si="3"/>
        <v>#DIV/0!</v>
      </c>
      <c r="J586" s="22" t="str">
        <f t="shared" si="33"/>
        <v>#DIV/0!</v>
      </c>
    </row>
    <row r="587" ht="15.75" customHeight="1">
      <c r="A587" s="25"/>
      <c r="B587" s="22"/>
      <c r="C587" s="22">
        <f t="shared" si="6"/>
        <v>0</v>
      </c>
      <c r="D587" s="25"/>
      <c r="E587" s="22"/>
      <c r="F587" s="22" t="str">
        <f t="shared" si="8"/>
        <v>#DIV/0!</v>
      </c>
      <c r="G587" s="22" t="str">
        <f t="shared" si="31"/>
        <v>#DIV/0!</v>
      </c>
      <c r="H587" s="22" t="str">
        <f t="shared" si="32"/>
        <v>#DIV/0!</v>
      </c>
      <c r="I587" s="22" t="str">
        <f t="shared" si="3"/>
        <v>#DIV/0!</v>
      </c>
      <c r="J587" s="22" t="str">
        <f t="shared" si="33"/>
        <v>#DIV/0!</v>
      </c>
    </row>
    <row r="588" ht="15.75" customHeight="1">
      <c r="A588" s="25"/>
      <c r="B588" s="22"/>
      <c r="C588" s="22">
        <f t="shared" si="6"/>
        <v>0</v>
      </c>
      <c r="D588" s="25"/>
      <c r="E588" s="22"/>
      <c r="F588" s="22" t="str">
        <f t="shared" si="8"/>
        <v>#DIV/0!</v>
      </c>
      <c r="G588" s="22" t="str">
        <f t="shared" si="31"/>
        <v>#DIV/0!</v>
      </c>
      <c r="H588" s="22" t="str">
        <f t="shared" si="32"/>
        <v>#DIV/0!</v>
      </c>
      <c r="I588" s="22" t="str">
        <f t="shared" si="3"/>
        <v>#DIV/0!</v>
      </c>
      <c r="J588" s="22" t="str">
        <f t="shared" si="33"/>
        <v>#DIV/0!</v>
      </c>
    </row>
    <row r="589" ht="15.75" customHeight="1">
      <c r="A589" s="25"/>
      <c r="B589" s="22"/>
      <c r="C589" s="22">
        <f t="shared" si="6"/>
        <v>0</v>
      </c>
      <c r="D589" s="25"/>
      <c r="E589" s="22"/>
      <c r="F589" s="22" t="str">
        <f t="shared" si="8"/>
        <v>#DIV/0!</v>
      </c>
      <c r="G589" s="22" t="str">
        <f t="shared" si="31"/>
        <v>#DIV/0!</v>
      </c>
      <c r="H589" s="22" t="str">
        <f t="shared" si="32"/>
        <v>#DIV/0!</v>
      </c>
      <c r="I589" s="22" t="str">
        <f t="shared" si="3"/>
        <v>#DIV/0!</v>
      </c>
      <c r="J589" s="22" t="str">
        <f t="shared" si="33"/>
        <v>#DIV/0!</v>
      </c>
    </row>
    <row r="590" ht="15.75" customHeight="1">
      <c r="A590" s="25"/>
      <c r="B590" s="22"/>
      <c r="C590" s="22">
        <f t="shared" si="6"/>
        <v>0</v>
      </c>
      <c r="D590" s="25"/>
      <c r="E590" s="22"/>
      <c r="F590" s="22" t="str">
        <f t="shared" si="8"/>
        <v>#DIV/0!</v>
      </c>
      <c r="G590" s="22" t="str">
        <f t="shared" si="31"/>
        <v>#DIV/0!</v>
      </c>
      <c r="H590" s="22" t="str">
        <f t="shared" si="32"/>
        <v>#DIV/0!</v>
      </c>
      <c r="I590" s="22" t="str">
        <f t="shared" si="3"/>
        <v>#DIV/0!</v>
      </c>
      <c r="J590" s="22" t="str">
        <f t="shared" si="33"/>
        <v>#DIV/0!</v>
      </c>
    </row>
    <row r="591" ht="15.75" customHeight="1">
      <c r="A591" s="25"/>
      <c r="B591" s="22"/>
      <c r="C591" s="22">
        <f t="shared" si="6"/>
        <v>0</v>
      </c>
      <c r="D591" s="25"/>
      <c r="E591" s="22"/>
      <c r="F591" s="22" t="str">
        <f t="shared" si="8"/>
        <v>#DIV/0!</v>
      </c>
      <c r="G591" s="22" t="str">
        <f t="shared" si="31"/>
        <v>#DIV/0!</v>
      </c>
      <c r="H591" s="22" t="str">
        <f t="shared" si="32"/>
        <v>#DIV/0!</v>
      </c>
      <c r="I591" s="22" t="str">
        <f t="shared" si="3"/>
        <v>#DIV/0!</v>
      </c>
      <c r="J591" s="22" t="str">
        <f t="shared" si="33"/>
        <v>#DIV/0!</v>
      </c>
    </row>
    <row r="592" ht="15.75" customHeight="1">
      <c r="A592" s="25"/>
      <c r="B592" s="22"/>
      <c r="C592" s="22">
        <f t="shared" si="6"/>
        <v>0</v>
      </c>
      <c r="D592" s="25"/>
      <c r="E592" s="22"/>
      <c r="F592" s="22" t="str">
        <f t="shared" si="8"/>
        <v>#DIV/0!</v>
      </c>
      <c r="G592" s="22" t="str">
        <f t="shared" si="31"/>
        <v>#DIV/0!</v>
      </c>
      <c r="H592" s="22" t="str">
        <f t="shared" si="32"/>
        <v>#DIV/0!</v>
      </c>
      <c r="I592" s="22" t="str">
        <f t="shared" si="3"/>
        <v>#DIV/0!</v>
      </c>
      <c r="J592" s="22" t="str">
        <f t="shared" si="33"/>
        <v>#DIV/0!</v>
      </c>
    </row>
    <row r="593" ht="15.75" customHeight="1">
      <c r="A593" s="25"/>
      <c r="B593" s="22"/>
      <c r="C593" s="22">
        <f t="shared" si="6"/>
        <v>0</v>
      </c>
      <c r="D593" s="25"/>
      <c r="E593" s="22"/>
      <c r="F593" s="22" t="str">
        <f t="shared" si="8"/>
        <v>#DIV/0!</v>
      </c>
      <c r="G593" s="22" t="str">
        <f t="shared" si="31"/>
        <v>#DIV/0!</v>
      </c>
      <c r="H593" s="22" t="str">
        <f t="shared" si="32"/>
        <v>#DIV/0!</v>
      </c>
      <c r="I593" s="22" t="str">
        <f t="shared" si="3"/>
        <v>#DIV/0!</v>
      </c>
      <c r="J593" s="22" t="str">
        <f t="shared" si="33"/>
        <v>#DIV/0!</v>
      </c>
    </row>
    <row r="594" ht="15.75" customHeight="1">
      <c r="A594" s="25"/>
      <c r="B594" s="22"/>
      <c r="C594" s="22">
        <f t="shared" si="6"/>
        <v>0</v>
      </c>
      <c r="D594" s="25"/>
      <c r="E594" s="22"/>
      <c r="F594" s="22" t="str">
        <f t="shared" si="8"/>
        <v>#DIV/0!</v>
      </c>
      <c r="G594" s="22" t="str">
        <f t="shared" si="31"/>
        <v>#DIV/0!</v>
      </c>
      <c r="H594" s="22" t="str">
        <f t="shared" si="32"/>
        <v>#DIV/0!</v>
      </c>
      <c r="I594" s="22" t="str">
        <f t="shared" si="3"/>
        <v>#DIV/0!</v>
      </c>
      <c r="J594" s="22" t="str">
        <f t="shared" si="33"/>
        <v>#DIV/0!</v>
      </c>
    </row>
    <row r="595" ht="15.75" customHeight="1">
      <c r="A595" s="25"/>
      <c r="B595" s="22"/>
      <c r="C595" s="22">
        <f t="shared" si="6"/>
        <v>0</v>
      </c>
      <c r="D595" s="25"/>
      <c r="E595" s="22"/>
      <c r="F595" s="22" t="str">
        <f t="shared" si="8"/>
        <v>#DIV/0!</v>
      </c>
      <c r="G595" s="22" t="str">
        <f t="shared" si="31"/>
        <v>#DIV/0!</v>
      </c>
      <c r="H595" s="22" t="str">
        <f t="shared" si="32"/>
        <v>#DIV/0!</v>
      </c>
      <c r="I595" s="22" t="str">
        <f t="shared" si="3"/>
        <v>#DIV/0!</v>
      </c>
      <c r="J595" s="22" t="str">
        <f t="shared" si="33"/>
        <v>#DIV/0!</v>
      </c>
    </row>
    <row r="596" ht="15.75" customHeight="1">
      <c r="A596" s="25"/>
      <c r="B596" s="22"/>
      <c r="C596" s="22">
        <f t="shared" si="6"/>
        <v>0</v>
      </c>
      <c r="D596" s="25"/>
      <c r="E596" s="22"/>
      <c r="F596" s="22" t="str">
        <f t="shared" si="8"/>
        <v>#DIV/0!</v>
      </c>
      <c r="G596" s="22" t="str">
        <f t="shared" si="31"/>
        <v>#DIV/0!</v>
      </c>
      <c r="H596" s="22" t="str">
        <f t="shared" si="32"/>
        <v>#DIV/0!</v>
      </c>
      <c r="I596" s="22" t="str">
        <f t="shared" si="3"/>
        <v>#DIV/0!</v>
      </c>
      <c r="J596" s="22" t="str">
        <f t="shared" si="33"/>
        <v>#DIV/0!</v>
      </c>
    </row>
    <row r="597" ht="15.75" customHeight="1">
      <c r="A597" s="25"/>
      <c r="B597" s="22"/>
      <c r="C597" s="22">
        <f t="shared" si="6"/>
        <v>0</v>
      </c>
      <c r="D597" s="25"/>
      <c r="E597" s="22"/>
      <c r="F597" s="22" t="str">
        <f t="shared" si="8"/>
        <v>#DIV/0!</v>
      </c>
      <c r="G597" s="22" t="str">
        <f t="shared" si="31"/>
        <v>#DIV/0!</v>
      </c>
      <c r="H597" s="22" t="str">
        <f t="shared" si="32"/>
        <v>#DIV/0!</v>
      </c>
      <c r="I597" s="22" t="str">
        <f t="shared" si="3"/>
        <v>#DIV/0!</v>
      </c>
      <c r="J597" s="22" t="str">
        <f t="shared" si="33"/>
        <v>#DIV/0!</v>
      </c>
    </row>
    <row r="598" ht="15.75" customHeight="1">
      <c r="A598" s="25"/>
      <c r="B598" s="22"/>
      <c r="C598" s="22">
        <f t="shared" si="6"/>
        <v>0</v>
      </c>
      <c r="D598" s="25"/>
      <c r="E598" s="22"/>
      <c r="F598" s="22" t="str">
        <f t="shared" si="8"/>
        <v>#DIV/0!</v>
      </c>
      <c r="G598" s="22" t="str">
        <f t="shared" si="31"/>
        <v>#DIV/0!</v>
      </c>
      <c r="H598" s="22" t="str">
        <f t="shared" si="32"/>
        <v>#DIV/0!</v>
      </c>
      <c r="I598" s="22" t="str">
        <f t="shared" si="3"/>
        <v>#DIV/0!</v>
      </c>
      <c r="J598" s="22" t="str">
        <f t="shared" si="33"/>
        <v>#DIV/0!</v>
      </c>
    </row>
    <row r="599" ht="15.75" customHeight="1">
      <c r="A599" s="25"/>
      <c r="B599" s="22"/>
      <c r="C599" s="22">
        <f t="shared" si="6"/>
        <v>0</v>
      </c>
      <c r="D599" s="25"/>
      <c r="E599" s="22"/>
      <c r="F599" s="22" t="str">
        <f t="shared" si="8"/>
        <v>#DIV/0!</v>
      </c>
      <c r="G599" s="22" t="str">
        <f t="shared" si="31"/>
        <v>#DIV/0!</v>
      </c>
      <c r="H599" s="22" t="str">
        <f t="shared" si="32"/>
        <v>#DIV/0!</v>
      </c>
      <c r="I599" s="22" t="str">
        <f t="shared" si="3"/>
        <v>#DIV/0!</v>
      </c>
      <c r="J599" s="22" t="str">
        <f t="shared" si="33"/>
        <v>#DIV/0!</v>
      </c>
    </row>
    <row r="600" ht="15.75" customHeight="1">
      <c r="A600" s="25"/>
      <c r="B600" s="22"/>
      <c r="C600" s="22">
        <f t="shared" si="6"/>
        <v>0</v>
      </c>
      <c r="D600" s="25"/>
      <c r="E600" s="22"/>
      <c r="F600" s="22" t="str">
        <f t="shared" si="8"/>
        <v>#DIV/0!</v>
      </c>
      <c r="G600" s="22" t="str">
        <f t="shared" si="31"/>
        <v>#DIV/0!</v>
      </c>
      <c r="H600" s="22" t="str">
        <f t="shared" si="32"/>
        <v>#DIV/0!</v>
      </c>
      <c r="I600" s="22" t="str">
        <f t="shared" si="3"/>
        <v>#DIV/0!</v>
      </c>
      <c r="J600" s="22" t="str">
        <f t="shared" si="33"/>
        <v>#DIV/0!</v>
      </c>
    </row>
    <row r="601" ht="15.75" customHeight="1">
      <c r="A601" s="25"/>
      <c r="B601" s="22"/>
      <c r="C601" s="22">
        <f t="shared" si="6"/>
        <v>0</v>
      </c>
      <c r="D601" s="25"/>
      <c r="E601" s="22"/>
      <c r="F601" s="22" t="str">
        <f t="shared" si="8"/>
        <v>#DIV/0!</v>
      </c>
      <c r="G601" s="22" t="str">
        <f t="shared" si="31"/>
        <v>#DIV/0!</v>
      </c>
      <c r="H601" s="22" t="str">
        <f t="shared" si="32"/>
        <v>#DIV/0!</v>
      </c>
      <c r="I601" s="22" t="str">
        <f t="shared" si="3"/>
        <v>#DIV/0!</v>
      </c>
      <c r="J601" s="22" t="str">
        <f t="shared" si="33"/>
        <v>#DIV/0!</v>
      </c>
    </row>
    <row r="602" ht="15.75" customHeight="1">
      <c r="A602" s="25"/>
      <c r="B602" s="22"/>
      <c r="C602" s="22">
        <f t="shared" si="6"/>
        <v>0</v>
      </c>
      <c r="D602" s="25"/>
      <c r="E602" s="22"/>
      <c r="F602" s="22" t="str">
        <f t="shared" si="8"/>
        <v>#DIV/0!</v>
      </c>
      <c r="G602" s="22" t="str">
        <f t="shared" si="31"/>
        <v>#DIV/0!</v>
      </c>
      <c r="H602" s="22" t="str">
        <f t="shared" si="32"/>
        <v>#DIV/0!</v>
      </c>
      <c r="I602" s="22" t="str">
        <f t="shared" si="3"/>
        <v>#DIV/0!</v>
      </c>
      <c r="J602" s="22" t="str">
        <f t="shared" si="33"/>
        <v>#DIV/0!</v>
      </c>
    </row>
    <row r="603" ht="15.75" customHeight="1">
      <c r="A603" s="25"/>
      <c r="B603" s="22"/>
      <c r="C603" s="22">
        <f t="shared" si="6"/>
        <v>0</v>
      </c>
      <c r="D603" s="25"/>
      <c r="E603" s="22"/>
      <c r="F603" s="22" t="str">
        <f t="shared" si="8"/>
        <v>#DIV/0!</v>
      </c>
      <c r="G603" s="22" t="str">
        <f t="shared" si="31"/>
        <v>#DIV/0!</v>
      </c>
      <c r="H603" s="22" t="str">
        <f t="shared" si="32"/>
        <v>#DIV/0!</v>
      </c>
      <c r="I603" s="22" t="str">
        <f t="shared" si="3"/>
        <v>#DIV/0!</v>
      </c>
      <c r="J603" s="22" t="str">
        <f t="shared" si="33"/>
        <v>#DIV/0!</v>
      </c>
    </row>
    <row r="604" ht="15.75" customHeight="1">
      <c r="A604" s="25"/>
      <c r="B604" s="22"/>
      <c r="C604" s="22">
        <f t="shared" si="6"/>
        <v>0</v>
      </c>
      <c r="D604" s="25"/>
      <c r="E604" s="22"/>
      <c r="F604" s="22" t="str">
        <f t="shared" si="8"/>
        <v>#DIV/0!</v>
      </c>
      <c r="G604" s="22" t="str">
        <f t="shared" si="31"/>
        <v>#DIV/0!</v>
      </c>
      <c r="H604" s="22" t="str">
        <f t="shared" si="32"/>
        <v>#DIV/0!</v>
      </c>
      <c r="I604" s="22" t="str">
        <f t="shared" si="3"/>
        <v>#DIV/0!</v>
      </c>
      <c r="J604" s="22" t="str">
        <f t="shared" si="33"/>
        <v>#DIV/0!</v>
      </c>
    </row>
    <row r="605" ht="15.75" customHeight="1">
      <c r="A605" s="25"/>
      <c r="B605" s="22"/>
      <c r="C605" s="22">
        <f t="shared" si="6"/>
        <v>0</v>
      </c>
      <c r="D605" s="25"/>
      <c r="E605" s="22"/>
      <c r="F605" s="22" t="str">
        <f t="shared" si="8"/>
        <v>#DIV/0!</v>
      </c>
      <c r="G605" s="22" t="str">
        <f t="shared" si="31"/>
        <v>#DIV/0!</v>
      </c>
      <c r="H605" s="22" t="str">
        <f t="shared" si="32"/>
        <v>#DIV/0!</v>
      </c>
      <c r="I605" s="22" t="str">
        <f t="shared" si="3"/>
        <v>#DIV/0!</v>
      </c>
      <c r="J605" s="22" t="str">
        <f t="shared" si="33"/>
        <v>#DIV/0!</v>
      </c>
    </row>
    <row r="606" ht="15.75" customHeight="1">
      <c r="A606" s="25"/>
      <c r="B606" s="22"/>
      <c r="C606" s="22">
        <f t="shared" si="6"/>
        <v>0</v>
      </c>
      <c r="D606" s="25"/>
      <c r="E606" s="22"/>
      <c r="F606" s="22" t="str">
        <f t="shared" si="8"/>
        <v>#DIV/0!</v>
      </c>
      <c r="G606" s="22" t="str">
        <f t="shared" si="31"/>
        <v>#DIV/0!</v>
      </c>
      <c r="H606" s="22" t="str">
        <f t="shared" si="32"/>
        <v>#DIV/0!</v>
      </c>
      <c r="I606" s="22" t="str">
        <f t="shared" si="3"/>
        <v>#DIV/0!</v>
      </c>
      <c r="J606" s="22" t="str">
        <f t="shared" si="33"/>
        <v>#DIV/0!</v>
      </c>
    </row>
    <row r="607" ht="15.75" customHeight="1">
      <c r="A607" s="25"/>
      <c r="B607" s="22"/>
      <c r="C607" s="22">
        <f t="shared" si="6"/>
        <v>0</v>
      </c>
      <c r="D607" s="25"/>
      <c r="E607" s="22"/>
      <c r="F607" s="22" t="str">
        <f t="shared" si="8"/>
        <v>#DIV/0!</v>
      </c>
      <c r="G607" s="22" t="str">
        <f t="shared" si="31"/>
        <v>#DIV/0!</v>
      </c>
      <c r="H607" s="22" t="str">
        <f t="shared" si="32"/>
        <v>#DIV/0!</v>
      </c>
      <c r="I607" s="22" t="str">
        <f t="shared" si="3"/>
        <v>#DIV/0!</v>
      </c>
      <c r="J607" s="22" t="str">
        <f t="shared" si="33"/>
        <v>#DIV/0!</v>
      </c>
    </row>
    <row r="608" ht="15.75" customHeight="1">
      <c r="A608" s="25"/>
      <c r="B608" s="22"/>
      <c r="C608" s="22">
        <f t="shared" si="6"/>
        <v>0</v>
      </c>
      <c r="D608" s="25"/>
      <c r="E608" s="22"/>
      <c r="F608" s="22" t="str">
        <f t="shared" si="8"/>
        <v>#DIV/0!</v>
      </c>
      <c r="G608" s="22" t="str">
        <f t="shared" si="31"/>
        <v>#DIV/0!</v>
      </c>
      <c r="H608" s="22" t="str">
        <f t="shared" si="32"/>
        <v>#DIV/0!</v>
      </c>
      <c r="I608" s="22" t="str">
        <f t="shared" si="3"/>
        <v>#DIV/0!</v>
      </c>
      <c r="J608" s="22" t="str">
        <f t="shared" si="33"/>
        <v>#DIV/0!</v>
      </c>
    </row>
    <row r="609" ht="15.75" customHeight="1">
      <c r="A609" s="25"/>
      <c r="B609" s="22"/>
      <c r="C609" s="22">
        <f t="shared" si="6"/>
        <v>0</v>
      </c>
      <c r="D609" s="25"/>
      <c r="E609" s="22"/>
      <c r="F609" s="22" t="str">
        <f t="shared" si="8"/>
        <v>#DIV/0!</v>
      </c>
      <c r="G609" s="22" t="str">
        <f t="shared" si="31"/>
        <v>#DIV/0!</v>
      </c>
      <c r="H609" s="22" t="str">
        <f t="shared" si="32"/>
        <v>#DIV/0!</v>
      </c>
      <c r="I609" s="22" t="str">
        <f t="shared" si="3"/>
        <v>#DIV/0!</v>
      </c>
      <c r="J609" s="22" t="str">
        <f t="shared" si="33"/>
        <v>#DIV/0!</v>
      </c>
    </row>
    <row r="610" ht="15.75" customHeight="1">
      <c r="A610" s="25"/>
      <c r="B610" s="22"/>
      <c r="C610" s="22">
        <f t="shared" si="6"/>
        <v>0</v>
      </c>
      <c r="D610" s="25"/>
      <c r="E610" s="22"/>
      <c r="F610" s="22" t="str">
        <f t="shared" si="8"/>
        <v>#DIV/0!</v>
      </c>
      <c r="G610" s="22" t="str">
        <f t="shared" si="31"/>
        <v>#DIV/0!</v>
      </c>
      <c r="H610" s="22" t="str">
        <f t="shared" si="32"/>
        <v>#DIV/0!</v>
      </c>
      <c r="I610" s="22" t="str">
        <f t="shared" si="3"/>
        <v>#DIV/0!</v>
      </c>
      <c r="J610" s="22" t="str">
        <f t="shared" si="33"/>
        <v>#DIV/0!</v>
      </c>
    </row>
    <row r="611" ht="15.75" customHeight="1">
      <c r="A611" s="25"/>
      <c r="B611" s="22"/>
      <c r="C611" s="22">
        <f t="shared" si="6"/>
        <v>0</v>
      </c>
      <c r="D611" s="25"/>
      <c r="E611" s="22"/>
      <c r="F611" s="22" t="str">
        <f t="shared" si="8"/>
        <v>#DIV/0!</v>
      </c>
      <c r="G611" s="22" t="str">
        <f t="shared" si="31"/>
        <v>#DIV/0!</v>
      </c>
      <c r="H611" s="22" t="str">
        <f t="shared" si="32"/>
        <v>#DIV/0!</v>
      </c>
      <c r="I611" s="22" t="str">
        <f t="shared" si="3"/>
        <v>#DIV/0!</v>
      </c>
      <c r="J611" s="22" t="str">
        <f t="shared" si="33"/>
        <v>#DIV/0!</v>
      </c>
    </row>
    <row r="612" ht="15.75" customHeight="1">
      <c r="A612" s="25"/>
      <c r="B612" s="22"/>
      <c r="C612" s="22">
        <f t="shared" si="6"/>
        <v>0</v>
      </c>
      <c r="D612" s="25"/>
      <c r="E612" s="22"/>
      <c r="F612" s="22" t="str">
        <f t="shared" si="8"/>
        <v>#DIV/0!</v>
      </c>
      <c r="G612" s="22" t="str">
        <f t="shared" si="31"/>
        <v>#DIV/0!</v>
      </c>
      <c r="H612" s="22" t="str">
        <f t="shared" si="32"/>
        <v>#DIV/0!</v>
      </c>
      <c r="I612" s="22" t="str">
        <f t="shared" si="3"/>
        <v>#DIV/0!</v>
      </c>
      <c r="J612" s="22" t="str">
        <f t="shared" si="33"/>
        <v>#DIV/0!</v>
      </c>
    </row>
    <row r="613" ht="15.75" customHeight="1">
      <c r="A613" s="25"/>
      <c r="B613" s="22"/>
      <c r="C613" s="22">
        <f t="shared" si="6"/>
        <v>0</v>
      </c>
      <c r="D613" s="25"/>
      <c r="E613" s="22"/>
      <c r="F613" s="22" t="str">
        <f t="shared" si="8"/>
        <v>#DIV/0!</v>
      </c>
      <c r="G613" s="22" t="str">
        <f t="shared" si="31"/>
        <v>#DIV/0!</v>
      </c>
      <c r="H613" s="22" t="str">
        <f t="shared" si="32"/>
        <v>#DIV/0!</v>
      </c>
      <c r="I613" s="22" t="str">
        <f t="shared" si="3"/>
        <v>#DIV/0!</v>
      </c>
      <c r="J613" s="22" t="str">
        <f t="shared" si="33"/>
        <v>#DIV/0!</v>
      </c>
    </row>
    <row r="614" ht="15.75" customHeight="1">
      <c r="A614" s="25"/>
      <c r="B614" s="22"/>
      <c r="C614" s="22">
        <f t="shared" si="6"/>
        <v>0</v>
      </c>
      <c r="D614" s="25"/>
      <c r="E614" s="22"/>
      <c r="F614" s="22" t="str">
        <f t="shared" si="8"/>
        <v>#DIV/0!</v>
      </c>
      <c r="G614" s="22" t="str">
        <f t="shared" si="31"/>
        <v>#DIV/0!</v>
      </c>
      <c r="H614" s="22" t="str">
        <f t="shared" si="32"/>
        <v>#DIV/0!</v>
      </c>
      <c r="I614" s="22" t="str">
        <f t="shared" si="3"/>
        <v>#DIV/0!</v>
      </c>
      <c r="J614" s="22" t="str">
        <f t="shared" si="33"/>
        <v>#DIV/0!</v>
      </c>
    </row>
    <row r="615" ht="15.75" customHeight="1">
      <c r="A615" s="25"/>
      <c r="B615" s="22"/>
      <c r="C615" s="22">
        <f t="shared" si="6"/>
        <v>0</v>
      </c>
      <c r="D615" s="25"/>
      <c r="E615" s="22"/>
      <c r="F615" s="22" t="str">
        <f t="shared" si="8"/>
        <v>#DIV/0!</v>
      </c>
      <c r="G615" s="22" t="str">
        <f t="shared" si="31"/>
        <v>#DIV/0!</v>
      </c>
      <c r="H615" s="22" t="str">
        <f t="shared" si="32"/>
        <v>#DIV/0!</v>
      </c>
      <c r="I615" s="22" t="str">
        <f t="shared" si="3"/>
        <v>#DIV/0!</v>
      </c>
      <c r="J615" s="22" t="str">
        <f t="shared" si="33"/>
        <v>#DIV/0!</v>
      </c>
    </row>
    <row r="616" ht="15.75" customHeight="1">
      <c r="A616" s="25"/>
      <c r="B616" s="22"/>
      <c r="C616" s="22">
        <f t="shared" si="6"/>
        <v>0</v>
      </c>
      <c r="D616" s="25"/>
      <c r="E616" s="22"/>
      <c r="F616" s="22" t="str">
        <f t="shared" si="8"/>
        <v>#DIV/0!</v>
      </c>
      <c r="G616" s="22" t="str">
        <f t="shared" si="31"/>
        <v>#DIV/0!</v>
      </c>
      <c r="H616" s="22" t="str">
        <f t="shared" si="32"/>
        <v>#DIV/0!</v>
      </c>
      <c r="I616" s="22" t="str">
        <f t="shared" si="3"/>
        <v>#DIV/0!</v>
      </c>
      <c r="J616" s="22" t="str">
        <f t="shared" si="33"/>
        <v>#DIV/0!</v>
      </c>
    </row>
    <row r="617" ht="15.75" customHeight="1">
      <c r="A617" s="25"/>
      <c r="B617" s="22"/>
      <c r="C617" s="22">
        <f t="shared" si="6"/>
        <v>0</v>
      </c>
      <c r="D617" s="25"/>
      <c r="E617" s="22"/>
      <c r="F617" s="22" t="str">
        <f t="shared" si="8"/>
        <v>#DIV/0!</v>
      </c>
      <c r="G617" s="22" t="str">
        <f t="shared" si="31"/>
        <v>#DIV/0!</v>
      </c>
      <c r="H617" s="22" t="str">
        <f t="shared" si="32"/>
        <v>#DIV/0!</v>
      </c>
      <c r="I617" s="22" t="str">
        <f t="shared" si="3"/>
        <v>#DIV/0!</v>
      </c>
      <c r="J617" s="22" t="str">
        <f t="shared" si="33"/>
        <v>#DIV/0!</v>
      </c>
    </row>
    <row r="618" ht="15.75" customHeight="1">
      <c r="A618" s="25"/>
      <c r="B618" s="22"/>
      <c r="C618" s="22">
        <f t="shared" si="6"/>
        <v>0</v>
      </c>
      <c r="D618" s="25"/>
      <c r="E618" s="22"/>
      <c r="F618" s="22" t="str">
        <f t="shared" si="8"/>
        <v>#DIV/0!</v>
      </c>
      <c r="G618" s="22" t="str">
        <f t="shared" si="31"/>
        <v>#DIV/0!</v>
      </c>
      <c r="H618" s="22" t="str">
        <f t="shared" si="32"/>
        <v>#DIV/0!</v>
      </c>
      <c r="I618" s="22" t="str">
        <f t="shared" si="3"/>
        <v>#DIV/0!</v>
      </c>
      <c r="J618" s="22" t="str">
        <f t="shared" si="33"/>
        <v>#DIV/0!</v>
      </c>
    </row>
    <row r="619" ht="15.75" customHeight="1">
      <c r="A619" s="25"/>
      <c r="B619" s="22"/>
      <c r="C619" s="22">
        <f t="shared" si="6"/>
        <v>0</v>
      </c>
      <c r="D619" s="25"/>
      <c r="E619" s="22"/>
      <c r="F619" s="22" t="str">
        <f t="shared" si="8"/>
        <v>#DIV/0!</v>
      </c>
      <c r="G619" s="22" t="str">
        <f t="shared" si="31"/>
        <v>#DIV/0!</v>
      </c>
      <c r="H619" s="22" t="str">
        <f t="shared" si="32"/>
        <v>#DIV/0!</v>
      </c>
      <c r="I619" s="22" t="str">
        <f t="shared" si="3"/>
        <v>#DIV/0!</v>
      </c>
      <c r="J619" s="22" t="str">
        <f t="shared" si="33"/>
        <v>#DIV/0!</v>
      </c>
    </row>
    <row r="620" ht="15.75" customHeight="1">
      <c r="A620" s="25"/>
      <c r="B620" s="22"/>
      <c r="C620" s="22">
        <f t="shared" si="6"/>
        <v>0</v>
      </c>
      <c r="D620" s="25"/>
      <c r="E620" s="22"/>
      <c r="F620" s="22" t="str">
        <f t="shared" si="8"/>
        <v>#DIV/0!</v>
      </c>
      <c r="G620" s="22" t="str">
        <f t="shared" si="31"/>
        <v>#DIV/0!</v>
      </c>
      <c r="H620" s="22" t="str">
        <f t="shared" si="32"/>
        <v>#DIV/0!</v>
      </c>
      <c r="I620" s="22" t="str">
        <f t="shared" si="3"/>
        <v>#DIV/0!</v>
      </c>
      <c r="J620" s="22" t="str">
        <f t="shared" si="33"/>
        <v>#DIV/0!</v>
      </c>
    </row>
    <row r="621" ht="15.75" customHeight="1">
      <c r="A621" s="25"/>
      <c r="B621" s="22"/>
      <c r="C621" s="22">
        <f t="shared" si="6"/>
        <v>0</v>
      </c>
      <c r="D621" s="25"/>
      <c r="E621" s="22"/>
      <c r="F621" s="22" t="str">
        <f t="shared" si="8"/>
        <v>#DIV/0!</v>
      </c>
      <c r="G621" s="22" t="str">
        <f t="shared" si="31"/>
        <v>#DIV/0!</v>
      </c>
      <c r="H621" s="22" t="str">
        <f t="shared" si="32"/>
        <v>#DIV/0!</v>
      </c>
      <c r="I621" s="22" t="str">
        <f t="shared" si="3"/>
        <v>#DIV/0!</v>
      </c>
      <c r="J621" s="22" t="str">
        <f t="shared" si="33"/>
        <v>#DIV/0!</v>
      </c>
    </row>
    <row r="622" ht="15.75" customHeight="1">
      <c r="A622" s="25"/>
      <c r="B622" s="22"/>
      <c r="C622" s="22">
        <f t="shared" si="6"/>
        <v>0</v>
      </c>
      <c r="D622" s="25"/>
      <c r="E622" s="22"/>
      <c r="F622" s="22" t="str">
        <f t="shared" si="8"/>
        <v>#DIV/0!</v>
      </c>
      <c r="G622" s="22" t="str">
        <f t="shared" si="31"/>
        <v>#DIV/0!</v>
      </c>
      <c r="H622" s="22" t="str">
        <f t="shared" si="32"/>
        <v>#DIV/0!</v>
      </c>
      <c r="I622" s="22" t="str">
        <f t="shared" si="3"/>
        <v>#DIV/0!</v>
      </c>
      <c r="J622" s="22" t="str">
        <f t="shared" si="33"/>
        <v>#DIV/0!</v>
      </c>
    </row>
    <row r="623" ht="15.75" customHeight="1">
      <c r="A623" s="25"/>
      <c r="B623" s="22"/>
      <c r="C623" s="22">
        <f t="shared" si="6"/>
        <v>0</v>
      </c>
      <c r="D623" s="25"/>
      <c r="E623" s="22"/>
      <c r="F623" s="22" t="str">
        <f t="shared" si="8"/>
        <v>#DIV/0!</v>
      </c>
      <c r="G623" s="22" t="str">
        <f t="shared" si="31"/>
        <v>#DIV/0!</v>
      </c>
      <c r="H623" s="22" t="str">
        <f t="shared" si="32"/>
        <v>#DIV/0!</v>
      </c>
      <c r="I623" s="22" t="str">
        <f t="shared" si="3"/>
        <v>#DIV/0!</v>
      </c>
      <c r="J623" s="22" t="str">
        <f t="shared" si="33"/>
        <v>#DIV/0!</v>
      </c>
    </row>
    <row r="624" ht="15.75" customHeight="1">
      <c r="A624" s="25"/>
      <c r="B624" s="22"/>
      <c r="C624" s="22">
        <f t="shared" si="6"/>
        <v>0</v>
      </c>
      <c r="D624" s="25"/>
      <c r="E624" s="22"/>
      <c r="F624" s="22" t="str">
        <f t="shared" si="8"/>
        <v>#DIV/0!</v>
      </c>
      <c r="G624" s="22" t="str">
        <f t="shared" si="31"/>
        <v>#DIV/0!</v>
      </c>
      <c r="H624" s="22" t="str">
        <f t="shared" si="32"/>
        <v>#DIV/0!</v>
      </c>
      <c r="I624" s="22" t="str">
        <f t="shared" si="3"/>
        <v>#DIV/0!</v>
      </c>
      <c r="J624" s="22" t="str">
        <f t="shared" si="33"/>
        <v>#DIV/0!</v>
      </c>
    </row>
    <row r="625" ht="15.75" customHeight="1">
      <c r="A625" s="25"/>
      <c r="B625" s="22"/>
      <c r="C625" s="22">
        <f t="shared" si="6"/>
        <v>0</v>
      </c>
      <c r="D625" s="25"/>
      <c r="E625" s="22"/>
      <c r="F625" s="22" t="str">
        <f t="shared" si="8"/>
        <v>#DIV/0!</v>
      </c>
      <c r="G625" s="22" t="str">
        <f t="shared" si="31"/>
        <v>#DIV/0!</v>
      </c>
      <c r="H625" s="22" t="str">
        <f t="shared" si="32"/>
        <v>#DIV/0!</v>
      </c>
      <c r="I625" s="22" t="str">
        <f t="shared" si="3"/>
        <v>#DIV/0!</v>
      </c>
      <c r="J625" s="22" t="str">
        <f t="shared" si="33"/>
        <v>#DIV/0!</v>
      </c>
    </row>
    <row r="626" ht="15.75" customHeight="1">
      <c r="A626" s="25"/>
      <c r="B626" s="22"/>
      <c r="C626" s="22">
        <f t="shared" si="6"/>
        <v>0</v>
      </c>
      <c r="D626" s="25"/>
      <c r="E626" s="22"/>
      <c r="F626" s="22" t="str">
        <f t="shared" si="8"/>
        <v>#DIV/0!</v>
      </c>
      <c r="G626" s="22" t="str">
        <f t="shared" si="31"/>
        <v>#DIV/0!</v>
      </c>
      <c r="H626" s="22" t="str">
        <f t="shared" si="32"/>
        <v>#DIV/0!</v>
      </c>
      <c r="I626" s="22" t="str">
        <f t="shared" si="3"/>
        <v>#DIV/0!</v>
      </c>
      <c r="J626" s="22" t="str">
        <f t="shared" si="33"/>
        <v>#DIV/0!</v>
      </c>
    </row>
    <row r="627" ht="15.75" customHeight="1">
      <c r="A627" s="25"/>
      <c r="B627" s="22"/>
      <c r="C627" s="22">
        <f t="shared" si="6"/>
        <v>0</v>
      </c>
      <c r="D627" s="25"/>
      <c r="E627" s="22"/>
      <c r="F627" s="22" t="str">
        <f t="shared" si="8"/>
        <v>#DIV/0!</v>
      </c>
      <c r="G627" s="22" t="str">
        <f t="shared" si="31"/>
        <v>#DIV/0!</v>
      </c>
      <c r="H627" s="22" t="str">
        <f t="shared" si="32"/>
        <v>#DIV/0!</v>
      </c>
      <c r="I627" s="22" t="str">
        <f t="shared" si="3"/>
        <v>#DIV/0!</v>
      </c>
      <c r="J627" s="22" t="str">
        <f t="shared" si="33"/>
        <v>#DIV/0!</v>
      </c>
    </row>
    <row r="628" ht="15.75" customHeight="1">
      <c r="A628" s="25"/>
      <c r="B628" s="22"/>
      <c r="C628" s="22">
        <f t="shared" si="6"/>
        <v>0</v>
      </c>
      <c r="D628" s="25"/>
      <c r="E628" s="22"/>
      <c r="F628" s="22" t="str">
        <f t="shared" si="8"/>
        <v>#DIV/0!</v>
      </c>
      <c r="G628" s="22" t="str">
        <f t="shared" si="31"/>
        <v>#DIV/0!</v>
      </c>
      <c r="H628" s="22" t="str">
        <f t="shared" si="32"/>
        <v>#DIV/0!</v>
      </c>
      <c r="I628" s="22" t="str">
        <f t="shared" si="3"/>
        <v>#DIV/0!</v>
      </c>
      <c r="J628" s="22" t="str">
        <f t="shared" si="33"/>
        <v>#DIV/0!</v>
      </c>
    </row>
    <row r="629" ht="15.75" customHeight="1">
      <c r="A629" s="25"/>
      <c r="B629" s="22"/>
      <c r="C629" s="22">
        <f t="shared" si="6"/>
        <v>0</v>
      </c>
      <c r="D629" s="25"/>
      <c r="E629" s="22"/>
      <c r="F629" s="22" t="str">
        <f t="shared" si="8"/>
        <v>#DIV/0!</v>
      </c>
      <c r="G629" s="22" t="str">
        <f t="shared" si="31"/>
        <v>#DIV/0!</v>
      </c>
      <c r="H629" s="22" t="str">
        <f t="shared" si="32"/>
        <v>#DIV/0!</v>
      </c>
      <c r="I629" s="22" t="str">
        <f t="shared" si="3"/>
        <v>#DIV/0!</v>
      </c>
      <c r="J629" s="22" t="str">
        <f t="shared" si="33"/>
        <v>#DIV/0!</v>
      </c>
    </row>
    <row r="630" ht="15.75" customHeight="1">
      <c r="A630" s="25"/>
      <c r="B630" s="22"/>
      <c r="C630" s="22">
        <f t="shared" si="6"/>
        <v>0</v>
      </c>
      <c r="D630" s="25"/>
      <c r="E630" s="22"/>
      <c r="F630" s="22" t="str">
        <f t="shared" si="8"/>
        <v>#DIV/0!</v>
      </c>
      <c r="G630" s="22" t="str">
        <f t="shared" si="31"/>
        <v>#DIV/0!</v>
      </c>
      <c r="H630" s="22" t="str">
        <f t="shared" si="32"/>
        <v>#DIV/0!</v>
      </c>
      <c r="I630" s="22" t="str">
        <f t="shared" si="3"/>
        <v>#DIV/0!</v>
      </c>
      <c r="J630" s="22" t="str">
        <f t="shared" si="33"/>
        <v>#DIV/0!</v>
      </c>
    </row>
    <row r="631" ht="15.75" customHeight="1">
      <c r="A631" s="25"/>
      <c r="B631" s="22"/>
      <c r="C631" s="22">
        <f t="shared" si="6"/>
        <v>0</v>
      </c>
      <c r="D631" s="25"/>
      <c r="E631" s="22"/>
      <c r="F631" s="22" t="str">
        <f t="shared" si="8"/>
        <v>#DIV/0!</v>
      </c>
      <c r="G631" s="22" t="str">
        <f t="shared" si="31"/>
        <v>#DIV/0!</v>
      </c>
      <c r="H631" s="22" t="str">
        <f t="shared" si="32"/>
        <v>#DIV/0!</v>
      </c>
      <c r="I631" s="22" t="str">
        <f t="shared" si="3"/>
        <v>#DIV/0!</v>
      </c>
      <c r="J631" s="22" t="str">
        <f t="shared" si="33"/>
        <v>#DIV/0!</v>
      </c>
    </row>
    <row r="632" ht="15.75" customHeight="1">
      <c r="A632" s="25"/>
      <c r="B632" s="22"/>
      <c r="C632" s="22">
        <f t="shared" si="6"/>
        <v>0</v>
      </c>
      <c r="D632" s="25"/>
      <c r="E632" s="22"/>
      <c r="F632" s="22" t="str">
        <f t="shared" si="8"/>
        <v>#DIV/0!</v>
      </c>
      <c r="G632" s="22" t="str">
        <f t="shared" si="31"/>
        <v>#DIV/0!</v>
      </c>
      <c r="H632" s="22" t="str">
        <f t="shared" si="32"/>
        <v>#DIV/0!</v>
      </c>
      <c r="I632" s="22" t="str">
        <f t="shared" si="3"/>
        <v>#DIV/0!</v>
      </c>
      <c r="J632" s="22" t="str">
        <f t="shared" si="33"/>
        <v>#DIV/0!</v>
      </c>
    </row>
    <row r="633" ht="15.75" customHeight="1">
      <c r="A633" s="25"/>
      <c r="B633" s="22"/>
      <c r="C633" s="22">
        <f t="shared" si="6"/>
        <v>0</v>
      </c>
      <c r="D633" s="25"/>
      <c r="E633" s="22"/>
      <c r="F633" s="22" t="str">
        <f t="shared" si="8"/>
        <v>#DIV/0!</v>
      </c>
      <c r="G633" s="22" t="str">
        <f t="shared" si="31"/>
        <v>#DIV/0!</v>
      </c>
      <c r="H633" s="22" t="str">
        <f t="shared" si="32"/>
        <v>#DIV/0!</v>
      </c>
      <c r="I633" s="22" t="str">
        <f t="shared" si="3"/>
        <v>#DIV/0!</v>
      </c>
      <c r="J633" s="22" t="str">
        <f t="shared" si="33"/>
        <v>#DIV/0!</v>
      </c>
    </row>
    <row r="634" ht="15.75" customHeight="1">
      <c r="A634" s="25"/>
      <c r="B634" s="22"/>
      <c r="C634" s="22">
        <f t="shared" si="6"/>
        <v>0</v>
      </c>
      <c r="D634" s="25"/>
      <c r="E634" s="22"/>
      <c r="F634" s="22" t="str">
        <f t="shared" si="8"/>
        <v>#DIV/0!</v>
      </c>
      <c r="G634" s="22" t="str">
        <f t="shared" si="31"/>
        <v>#DIV/0!</v>
      </c>
      <c r="H634" s="22" t="str">
        <f t="shared" si="32"/>
        <v>#DIV/0!</v>
      </c>
      <c r="I634" s="22" t="str">
        <f t="shared" si="3"/>
        <v>#DIV/0!</v>
      </c>
      <c r="J634" s="22" t="str">
        <f t="shared" si="33"/>
        <v>#DIV/0!</v>
      </c>
    </row>
    <row r="635" ht="15.75" customHeight="1">
      <c r="A635" s="25"/>
      <c r="B635" s="22"/>
      <c r="C635" s="22">
        <f t="shared" si="6"/>
        <v>0</v>
      </c>
      <c r="D635" s="25"/>
      <c r="E635" s="22"/>
      <c r="F635" s="22" t="str">
        <f t="shared" si="8"/>
        <v>#DIV/0!</v>
      </c>
      <c r="G635" s="22" t="str">
        <f t="shared" si="31"/>
        <v>#DIV/0!</v>
      </c>
      <c r="H635" s="22" t="str">
        <f t="shared" si="32"/>
        <v>#DIV/0!</v>
      </c>
      <c r="I635" s="22" t="str">
        <f t="shared" si="3"/>
        <v>#DIV/0!</v>
      </c>
      <c r="J635" s="22" t="str">
        <f t="shared" si="33"/>
        <v>#DIV/0!</v>
      </c>
    </row>
    <row r="636" ht="15.75" customHeight="1">
      <c r="A636" s="25"/>
      <c r="B636" s="22"/>
      <c r="C636" s="22">
        <f t="shared" si="6"/>
        <v>0</v>
      </c>
      <c r="D636" s="25"/>
      <c r="E636" s="22"/>
      <c r="F636" s="22" t="str">
        <f t="shared" si="8"/>
        <v>#DIV/0!</v>
      </c>
      <c r="G636" s="22" t="str">
        <f t="shared" si="31"/>
        <v>#DIV/0!</v>
      </c>
      <c r="H636" s="22" t="str">
        <f t="shared" si="32"/>
        <v>#DIV/0!</v>
      </c>
      <c r="I636" s="22" t="str">
        <f t="shared" si="3"/>
        <v>#DIV/0!</v>
      </c>
      <c r="J636" s="22" t="str">
        <f t="shared" si="33"/>
        <v>#DIV/0!</v>
      </c>
    </row>
    <row r="637" ht="15.75" customHeight="1">
      <c r="A637" s="25"/>
      <c r="B637" s="22"/>
      <c r="C637" s="22">
        <f t="shared" si="6"/>
        <v>0</v>
      </c>
      <c r="D637" s="25"/>
      <c r="E637" s="22"/>
      <c r="F637" s="22" t="str">
        <f t="shared" si="8"/>
        <v>#DIV/0!</v>
      </c>
      <c r="G637" s="22" t="str">
        <f t="shared" si="31"/>
        <v>#DIV/0!</v>
      </c>
      <c r="H637" s="22" t="str">
        <f t="shared" si="32"/>
        <v>#DIV/0!</v>
      </c>
      <c r="I637" s="22" t="str">
        <f t="shared" si="3"/>
        <v>#DIV/0!</v>
      </c>
      <c r="J637" s="22" t="str">
        <f t="shared" si="33"/>
        <v>#DIV/0!</v>
      </c>
    </row>
    <row r="638" ht="15.75" customHeight="1">
      <c r="A638" s="25"/>
      <c r="B638" s="22"/>
      <c r="C638" s="22">
        <f t="shared" si="6"/>
        <v>0</v>
      </c>
      <c r="D638" s="25"/>
      <c r="E638" s="22"/>
      <c r="F638" s="22" t="str">
        <f t="shared" si="8"/>
        <v>#DIV/0!</v>
      </c>
      <c r="G638" s="22" t="str">
        <f t="shared" si="31"/>
        <v>#DIV/0!</v>
      </c>
      <c r="H638" s="22" t="str">
        <f t="shared" si="32"/>
        <v>#DIV/0!</v>
      </c>
      <c r="I638" s="22" t="str">
        <f t="shared" si="3"/>
        <v>#DIV/0!</v>
      </c>
      <c r="J638" s="22" t="str">
        <f t="shared" si="33"/>
        <v>#DIV/0!</v>
      </c>
    </row>
    <row r="639" ht="15.75" customHeight="1">
      <c r="A639" s="25"/>
      <c r="B639" s="22"/>
      <c r="C639" s="22">
        <f t="shared" si="6"/>
        <v>0</v>
      </c>
      <c r="D639" s="25"/>
      <c r="E639" s="22"/>
      <c r="F639" s="22" t="str">
        <f t="shared" si="8"/>
        <v>#DIV/0!</v>
      </c>
      <c r="G639" s="22" t="str">
        <f t="shared" si="31"/>
        <v>#DIV/0!</v>
      </c>
      <c r="H639" s="22" t="str">
        <f t="shared" si="32"/>
        <v>#DIV/0!</v>
      </c>
      <c r="I639" s="22" t="str">
        <f t="shared" si="3"/>
        <v>#DIV/0!</v>
      </c>
      <c r="J639" s="22" t="str">
        <f t="shared" si="33"/>
        <v>#DIV/0!</v>
      </c>
    </row>
    <row r="640" ht="15.75" customHeight="1">
      <c r="A640" s="25"/>
      <c r="B640" s="22"/>
      <c r="C640" s="22">
        <f t="shared" si="6"/>
        <v>0</v>
      </c>
      <c r="D640" s="25"/>
      <c r="E640" s="22"/>
      <c r="F640" s="22" t="str">
        <f t="shared" si="8"/>
        <v>#DIV/0!</v>
      </c>
      <c r="G640" s="22" t="str">
        <f t="shared" si="31"/>
        <v>#DIV/0!</v>
      </c>
      <c r="H640" s="22" t="str">
        <f t="shared" si="32"/>
        <v>#DIV/0!</v>
      </c>
      <c r="I640" s="22" t="str">
        <f t="shared" si="3"/>
        <v>#DIV/0!</v>
      </c>
      <c r="J640" s="22" t="str">
        <f t="shared" si="33"/>
        <v>#DIV/0!</v>
      </c>
    </row>
    <row r="641" ht="15.75" customHeight="1">
      <c r="A641" s="25"/>
      <c r="B641" s="22"/>
      <c r="C641" s="22">
        <f t="shared" si="6"/>
        <v>0</v>
      </c>
      <c r="D641" s="25"/>
      <c r="E641" s="22"/>
      <c r="F641" s="22" t="str">
        <f t="shared" si="8"/>
        <v>#DIV/0!</v>
      </c>
      <c r="G641" s="22" t="str">
        <f t="shared" si="31"/>
        <v>#DIV/0!</v>
      </c>
      <c r="H641" s="22" t="str">
        <f t="shared" si="32"/>
        <v>#DIV/0!</v>
      </c>
      <c r="I641" s="22" t="str">
        <f t="shared" si="3"/>
        <v>#DIV/0!</v>
      </c>
      <c r="J641" s="22" t="str">
        <f t="shared" si="33"/>
        <v>#DIV/0!</v>
      </c>
    </row>
    <row r="642" ht="15.75" customHeight="1">
      <c r="A642" s="25"/>
      <c r="B642" s="22"/>
      <c r="C642" s="22">
        <f t="shared" si="6"/>
        <v>0</v>
      </c>
      <c r="D642" s="25"/>
      <c r="E642" s="22"/>
      <c r="F642" s="22" t="str">
        <f t="shared" si="8"/>
        <v>#DIV/0!</v>
      </c>
      <c r="G642" s="22" t="str">
        <f t="shared" si="31"/>
        <v>#DIV/0!</v>
      </c>
      <c r="H642" s="22" t="str">
        <f t="shared" si="32"/>
        <v>#DIV/0!</v>
      </c>
      <c r="I642" s="22" t="str">
        <f t="shared" si="3"/>
        <v>#DIV/0!</v>
      </c>
      <c r="J642" s="22" t="str">
        <f t="shared" si="33"/>
        <v>#DIV/0!</v>
      </c>
    </row>
    <row r="643" ht="15.75" customHeight="1">
      <c r="A643" s="25"/>
      <c r="B643" s="22"/>
      <c r="C643" s="22">
        <f t="shared" si="6"/>
        <v>0</v>
      </c>
      <c r="D643" s="25"/>
      <c r="E643" s="22"/>
      <c r="F643" s="22" t="str">
        <f t="shared" si="8"/>
        <v>#DIV/0!</v>
      </c>
      <c r="G643" s="22" t="str">
        <f t="shared" si="31"/>
        <v>#DIV/0!</v>
      </c>
      <c r="H643" s="22" t="str">
        <f t="shared" si="32"/>
        <v>#DIV/0!</v>
      </c>
      <c r="I643" s="22" t="str">
        <f t="shared" si="3"/>
        <v>#DIV/0!</v>
      </c>
      <c r="J643" s="22" t="str">
        <f t="shared" si="33"/>
        <v>#DIV/0!</v>
      </c>
    </row>
    <row r="644" ht="15.75" customHeight="1">
      <c r="A644" s="25"/>
      <c r="B644" s="22"/>
      <c r="C644" s="22">
        <f t="shared" si="6"/>
        <v>0</v>
      </c>
      <c r="D644" s="25"/>
      <c r="E644" s="22"/>
      <c r="F644" s="22" t="str">
        <f t="shared" si="8"/>
        <v>#DIV/0!</v>
      </c>
      <c r="G644" s="22" t="str">
        <f t="shared" si="31"/>
        <v>#DIV/0!</v>
      </c>
      <c r="H644" s="22" t="str">
        <f t="shared" si="32"/>
        <v>#DIV/0!</v>
      </c>
      <c r="I644" s="22" t="str">
        <f t="shared" si="3"/>
        <v>#DIV/0!</v>
      </c>
      <c r="J644" s="22" t="str">
        <f t="shared" si="33"/>
        <v>#DIV/0!</v>
      </c>
    </row>
    <row r="645" ht="15.75" customHeight="1">
      <c r="A645" s="25"/>
      <c r="B645" s="22"/>
      <c r="C645" s="22">
        <f t="shared" si="6"/>
        <v>0</v>
      </c>
      <c r="D645" s="25"/>
      <c r="E645" s="22"/>
      <c r="F645" s="22" t="str">
        <f t="shared" si="8"/>
        <v>#DIV/0!</v>
      </c>
      <c r="G645" s="22" t="str">
        <f t="shared" si="31"/>
        <v>#DIV/0!</v>
      </c>
      <c r="H645" s="22" t="str">
        <f t="shared" si="32"/>
        <v>#DIV/0!</v>
      </c>
      <c r="I645" s="22" t="str">
        <f t="shared" si="3"/>
        <v>#DIV/0!</v>
      </c>
      <c r="J645" s="22" t="str">
        <f t="shared" si="33"/>
        <v>#DIV/0!</v>
      </c>
    </row>
    <row r="646" ht="15.75" customHeight="1">
      <c r="A646" s="25"/>
      <c r="B646" s="22"/>
      <c r="C646" s="22">
        <f t="shared" si="6"/>
        <v>0</v>
      </c>
      <c r="D646" s="25"/>
      <c r="E646" s="22"/>
      <c r="F646" s="22" t="str">
        <f t="shared" si="8"/>
        <v>#DIV/0!</v>
      </c>
      <c r="G646" s="22" t="str">
        <f t="shared" si="31"/>
        <v>#DIV/0!</v>
      </c>
      <c r="H646" s="22" t="str">
        <f t="shared" si="32"/>
        <v>#DIV/0!</v>
      </c>
      <c r="I646" s="22" t="str">
        <f t="shared" si="3"/>
        <v>#DIV/0!</v>
      </c>
      <c r="J646" s="22" t="str">
        <f t="shared" si="33"/>
        <v>#DIV/0!</v>
      </c>
    </row>
    <row r="647" ht="15.75" customHeight="1">
      <c r="A647" s="25"/>
      <c r="B647" s="22"/>
      <c r="C647" s="22">
        <f t="shared" si="6"/>
        <v>0</v>
      </c>
      <c r="D647" s="25"/>
      <c r="E647" s="22"/>
      <c r="F647" s="22" t="str">
        <f t="shared" si="8"/>
        <v>#DIV/0!</v>
      </c>
      <c r="G647" s="22" t="str">
        <f t="shared" si="31"/>
        <v>#DIV/0!</v>
      </c>
      <c r="H647" s="22" t="str">
        <f t="shared" si="32"/>
        <v>#DIV/0!</v>
      </c>
      <c r="I647" s="22" t="str">
        <f t="shared" si="3"/>
        <v>#DIV/0!</v>
      </c>
      <c r="J647" s="22" t="str">
        <f t="shared" si="33"/>
        <v>#DIV/0!</v>
      </c>
    </row>
    <row r="648" ht="15.75" customHeight="1">
      <c r="A648" s="25"/>
      <c r="B648" s="22"/>
      <c r="C648" s="22">
        <f t="shared" si="6"/>
        <v>0</v>
      </c>
      <c r="D648" s="25"/>
      <c r="E648" s="22"/>
      <c r="F648" s="22" t="str">
        <f t="shared" si="8"/>
        <v>#DIV/0!</v>
      </c>
      <c r="G648" s="22" t="str">
        <f t="shared" si="31"/>
        <v>#DIV/0!</v>
      </c>
      <c r="H648" s="22" t="str">
        <f t="shared" si="32"/>
        <v>#DIV/0!</v>
      </c>
      <c r="I648" s="22" t="str">
        <f t="shared" si="3"/>
        <v>#DIV/0!</v>
      </c>
      <c r="J648" s="22" t="str">
        <f t="shared" si="33"/>
        <v>#DIV/0!</v>
      </c>
    </row>
    <row r="649" ht="15.75" customHeight="1">
      <c r="A649" s="25"/>
      <c r="B649" s="22"/>
      <c r="C649" s="22">
        <f t="shared" si="6"/>
        <v>0</v>
      </c>
      <c r="D649" s="25"/>
      <c r="E649" s="22"/>
      <c r="F649" s="22" t="str">
        <f t="shared" si="8"/>
        <v>#DIV/0!</v>
      </c>
      <c r="G649" s="22" t="str">
        <f t="shared" si="31"/>
        <v>#DIV/0!</v>
      </c>
      <c r="H649" s="22" t="str">
        <f t="shared" si="32"/>
        <v>#DIV/0!</v>
      </c>
      <c r="I649" s="22" t="str">
        <f t="shared" si="3"/>
        <v>#DIV/0!</v>
      </c>
      <c r="J649" s="22" t="str">
        <f t="shared" si="33"/>
        <v>#DIV/0!</v>
      </c>
    </row>
    <row r="650" ht="15.75" customHeight="1">
      <c r="A650" s="25"/>
      <c r="B650" s="22"/>
      <c r="C650" s="22">
        <f t="shared" si="6"/>
        <v>0</v>
      </c>
      <c r="D650" s="25"/>
      <c r="E650" s="22"/>
      <c r="F650" s="22" t="str">
        <f t="shared" si="8"/>
        <v>#DIV/0!</v>
      </c>
      <c r="G650" s="22" t="str">
        <f t="shared" si="31"/>
        <v>#DIV/0!</v>
      </c>
      <c r="H650" s="22" t="str">
        <f t="shared" si="32"/>
        <v>#DIV/0!</v>
      </c>
      <c r="I650" s="22" t="str">
        <f t="shared" si="3"/>
        <v>#DIV/0!</v>
      </c>
      <c r="J650" s="22" t="str">
        <f t="shared" si="33"/>
        <v>#DIV/0!</v>
      </c>
    </row>
    <row r="651" ht="15.75" customHeight="1">
      <c r="A651" s="25"/>
      <c r="B651" s="22"/>
      <c r="C651" s="22">
        <f t="shared" si="6"/>
        <v>0</v>
      </c>
      <c r="D651" s="25"/>
      <c r="E651" s="22"/>
      <c r="F651" s="22" t="str">
        <f t="shared" si="8"/>
        <v>#DIV/0!</v>
      </c>
      <c r="G651" s="22" t="str">
        <f t="shared" si="31"/>
        <v>#DIV/0!</v>
      </c>
      <c r="H651" s="22" t="str">
        <f t="shared" si="32"/>
        <v>#DIV/0!</v>
      </c>
      <c r="I651" s="22" t="str">
        <f t="shared" si="3"/>
        <v>#DIV/0!</v>
      </c>
      <c r="J651" s="22" t="str">
        <f t="shared" si="33"/>
        <v>#DIV/0!</v>
      </c>
    </row>
    <row r="652" ht="15.75" customHeight="1">
      <c r="A652" s="25"/>
      <c r="B652" s="22"/>
      <c r="C652" s="22">
        <f t="shared" si="6"/>
        <v>0</v>
      </c>
      <c r="D652" s="25"/>
      <c r="E652" s="22"/>
      <c r="F652" s="22" t="str">
        <f t="shared" si="8"/>
        <v>#DIV/0!</v>
      </c>
      <c r="G652" s="22" t="str">
        <f t="shared" si="31"/>
        <v>#DIV/0!</v>
      </c>
      <c r="H652" s="22" t="str">
        <f t="shared" si="32"/>
        <v>#DIV/0!</v>
      </c>
      <c r="I652" s="22" t="str">
        <f t="shared" si="3"/>
        <v>#DIV/0!</v>
      </c>
      <c r="J652" s="22" t="str">
        <f t="shared" si="33"/>
        <v>#DIV/0!</v>
      </c>
    </row>
    <row r="653" ht="15.75" customHeight="1">
      <c r="A653" s="25"/>
      <c r="B653" s="22"/>
      <c r="C653" s="22">
        <f t="shared" si="6"/>
        <v>0</v>
      </c>
      <c r="D653" s="25"/>
      <c r="E653" s="22"/>
      <c r="F653" s="22" t="str">
        <f t="shared" si="8"/>
        <v>#DIV/0!</v>
      </c>
      <c r="G653" s="22" t="str">
        <f t="shared" si="31"/>
        <v>#DIV/0!</v>
      </c>
      <c r="H653" s="22" t="str">
        <f t="shared" si="32"/>
        <v>#DIV/0!</v>
      </c>
      <c r="I653" s="22" t="str">
        <f t="shared" si="3"/>
        <v>#DIV/0!</v>
      </c>
      <c r="J653" s="22" t="str">
        <f t="shared" si="33"/>
        <v>#DIV/0!</v>
      </c>
    </row>
    <row r="654" ht="15.75" customHeight="1">
      <c r="A654" s="25"/>
      <c r="B654" s="22"/>
      <c r="C654" s="22">
        <f t="shared" si="6"/>
        <v>0</v>
      </c>
      <c r="D654" s="25"/>
      <c r="E654" s="22"/>
      <c r="F654" s="22" t="str">
        <f t="shared" si="8"/>
        <v>#DIV/0!</v>
      </c>
      <c r="G654" s="22" t="str">
        <f t="shared" si="31"/>
        <v>#DIV/0!</v>
      </c>
      <c r="H654" s="22" t="str">
        <f t="shared" si="32"/>
        <v>#DIV/0!</v>
      </c>
      <c r="I654" s="22" t="str">
        <f t="shared" si="3"/>
        <v>#DIV/0!</v>
      </c>
      <c r="J654" s="22" t="str">
        <f t="shared" si="33"/>
        <v>#DIV/0!</v>
      </c>
    </row>
    <row r="655" ht="15.75" customHeight="1">
      <c r="A655" s="25"/>
      <c r="B655" s="22"/>
      <c r="C655" s="22">
        <f t="shared" si="6"/>
        <v>0</v>
      </c>
      <c r="D655" s="25"/>
      <c r="E655" s="22"/>
      <c r="F655" s="22" t="str">
        <f t="shared" si="8"/>
        <v>#DIV/0!</v>
      </c>
      <c r="G655" s="22" t="str">
        <f t="shared" si="31"/>
        <v>#DIV/0!</v>
      </c>
      <c r="H655" s="22" t="str">
        <f t="shared" si="32"/>
        <v>#DIV/0!</v>
      </c>
      <c r="I655" s="22" t="str">
        <f t="shared" si="3"/>
        <v>#DIV/0!</v>
      </c>
      <c r="J655" s="22" t="str">
        <f t="shared" si="33"/>
        <v>#DIV/0!</v>
      </c>
    </row>
    <row r="656" ht="15.75" customHeight="1">
      <c r="A656" s="25"/>
      <c r="B656" s="22"/>
      <c r="C656" s="22">
        <f t="shared" si="6"/>
        <v>0</v>
      </c>
      <c r="D656" s="25"/>
      <c r="E656" s="22"/>
      <c r="F656" s="22" t="str">
        <f t="shared" si="8"/>
        <v>#DIV/0!</v>
      </c>
      <c r="G656" s="22" t="str">
        <f t="shared" si="31"/>
        <v>#DIV/0!</v>
      </c>
      <c r="H656" s="22" t="str">
        <f t="shared" si="32"/>
        <v>#DIV/0!</v>
      </c>
      <c r="I656" s="22" t="str">
        <f t="shared" si="3"/>
        <v>#DIV/0!</v>
      </c>
      <c r="J656" s="22" t="str">
        <f t="shared" si="33"/>
        <v>#DIV/0!</v>
      </c>
    </row>
    <row r="657" ht="15.75" customHeight="1">
      <c r="A657" s="25"/>
      <c r="B657" s="22"/>
      <c r="C657" s="22">
        <f t="shared" si="6"/>
        <v>0</v>
      </c>
      <c r="D657" s="25"/>
      <c r="E657" s="22"/>
      <c r="F657" s="22" t="str">
        <f t="shared" si="8"/>
        <v>#DIV/0!</v>
      </c>
      <c r="G657" s="22" t="str">
        <f t="shared" si="31"/>
        <v>#DIV/0!</v>
      </c>
      <c r="H657" s="22" t="str">
        <f t="shared" si="32"/>
        <v>#DIV/0!</v>
      </c>
      <c r="I657" s="22" t="str">
        <f t="shared" si="3"/>
        <v>#DIV/0!</v>
      </c>
      <c r="J657" s="22" t="str">
        <f t="shared" si="33"/>
        <v>#DIV/0!</v>
      </c>
    </row>
    <row r="658" ht="15.75" customHeight="1">
      <c r="A658" s="25"/>
      <c r="B658" s="22"/>
      <c r="C658" s="22">
        <f t="shared" si="6"/>
        <v>0</v>
      </c>
      <c r="D658" s="25"/>
      <c r="E658" s="22"/>
      <c r="F658" s="22" t="str">
        <f t="shared" si="8"/>
        <v>#DIV/0!</v>
      </c>
      <c r="G658" s="22" t="str">
        <f t="shared" si="31"/>
        <v>#DIV/0!</v>
      </c>
      <c r="H658" s="22" t="str">
        <f t="shared" si="32"/>
        <v>#DIV/0!</v>
      </c>
      <c r="I658" s="22" t="str">
        <f t="shared" si="3"/>
        <v>#DIV/0!</v>
      </c>
      <c r="J658" s="22" t="str">
        <f t="shared" si="33"/>
        <v>#DIV/0!</v>
      </c>
    </row>
    <row r="659" ht="15.75" customHeight="1">
      <c r="A659" s="25"/>
      <c r="B659" s="22"/>
      <c r="C659" s="22">
        <f t="shared" si="6"/>
        <v>0</v>
      </c>
      <c r="D659" s="25"/>
      <c r="E659" s="22"/>
      <c r="F659" s="22" t="str">
        <f t="shared" si="8"/>
        <v>#DIV/0!</v>
      </c>
      <c r="G659" s="22" t="str">
        <f t="shared" si="31"/>
        <v>#DIV/0!</v>
      </c>
      <c r="H659" s="22" t="str">
        <f t="shared" si="32"/>
        <v>#DIV/0!</v>
      </c>
      <c r="I659" s="22" t="str">
        <f t="shared" si="3"/>
        <v>#DIV/0!</v>
      </c>
      <c r="J659" s="22" t="str">
        <f t="shared" si="33"/>
        <v>#DIV/0!</v>
      </c>
    </row>
    <row r="660" ht="15.75" customHeight="1">
      <c r="A660" s="25"/>
      <c r="B660" s="22"/>
      <c r="C660" s="22">
        <f t="shared" si="6"/>
        <v>0</v>
      </c>
      <c r="D660" s="25"/>
      <c r="E660" s="22"/>
      <c r="F660" s="22" t="str">
        <f t="shared" si="8"/>
        <v>#DIV/0!</v>
      </c>
      <c r="G660" s="22" t="str">
        <f t="shared" si="31"/>
        <v>#DIV/0!</v>
      </c>
      <c r="H660" s="22" t="str">
        <f t="shared" si="32"/>
        <v>#DIV/0!</v>
      </c>
      <c r="I660" s="22" t="str">
        <f t="shared" si="3"/>
        <v>#DIV/0!</v>
      </c>
      <c r="J660" s="22" t="str">
        <f t="shared" si="33"/>
        <v>#DIV/0!</v>
      </c>
    </row>
    <row r="661" ht="15.75" customHeight="1">
      <c r="A661" s="25"/>
      <c r="B661" s="22"/>
      <c r="C661" s="22">
        <f t="shared" si="6"/>
        <v>0</v>
      </c>
      <c r="D661" s="25"/>
      <c r="E661" s="22"/>
      <c r="F661" s="22" t="str">
        <f t="shared" si="8"/>
        <v>#DIV/0!</v>
      </c>
      <c r="G661" s="22" t="str">
        <f t="shared" si="31"/>
        <v>#DIV/0!</v>
      </c>
      <c r="H661" s="22" t="str">
        <f t="shared" si="32"/>
        <v>#DIV/0!</v>
      </c>
      <c r="I661" s="22" t="str">
        <f t="shared" si="3"/>
        <v>#DIV/0!</v>
      </c>
      <c r="J661" s="22" t="str">
        <f t="shared" si="33"/>
        <v>#DIV/0!</v>
      </c>
    </row>
    <row r="662" ht="15.75" customHeight="1">
      <c r="A662" s="25"/>
      <c r="B662" s="22"/>
      <c r="C662" s="22">
        <f t="shared" si="6"/>
        <v>0</v>
      </c>
      <c r="D662" s="25"/>
      <c r="E662" s="22"/>
      <c r="F662" s="22" t="str">
        <f t="shared" si="8"/>
        <v>#DIV/0!</v>
      </c>
      <c r="G662" s="22" t="str">
        <f t="shared" si="31"/>
        <v>#DIV/0!</v>
      </c>
      <c r="H662" s="22" t="str">
        <f t="shared" si="32"/>
        <v>#DIV/0!</v>
      </c>
      <c r="I662" s="22" t="str">
        <f t="shared" si="3"/>
        <v>#DIV/0!</v>
      </c>
      <c r="J662" s="22" t="str">
        <f t="shared" si="33"/>
        <v>#DIV/0!</v>
      </c>
    </row>
    <row r="663" ht="15.75" customHeight="1">
      <c r="A663" s="25"/>
      <c r="B663" s="22"/>
      <c r="C663" s="22">
        <f t="shared" si="6"/>
        <v>0</v>
      </c>
      <c r="D663" s="25"/>
      <c r="E663" s="22"/>
      <c r="F663" s="22" t="str">
        <f t="shared" si="8"/>
        <v>#DIV/0!</v>
      </c>
      <c r="G663" s="22" t="str">
        <f t="shared" si="31"/>
        <v>#DIV/0!</v>
      </c>
      <c r="H663" s="22" t="str">
        <f t="shared" si="32"/>
        <v>#DIV/0!</v>
      </c>
      <c r="I663" s="22" t="str">
        <f t="shared" si="3"/>
        <v>#DIV/0!</v>
      </c>
      <c r="J663" s="22" t="str">
        <f t="shared" si="33"/>
        <v>#DIV/0!</v>
      </c>
    </row>
    <row r="664" ht="15.75" customHeight="1">
      <c r="A664" s="25"/>
      <c r="B664" s="22"/>
      <c r="C664" s="22">
        <f t="shared" si="6"/>
        <v>0</v>
      </c>
      <c r="D664" s="25"/>
      <c r="E664" s="22"/>
      <c r="F664" s="22" t="str">
        <f t="shared" si="8"/>
        <v>#DIV/0!</v>
      </c>
      <c r="G664" s="22" t="str">
        <f t="shared" si="31"/>
        <v>#DIV/0!</v>
      </c>
      <c r="H664" s="22" t="str">
        <f t="shared" si="32"/>
        <v>#DIV/0!</v>
      </c>
      <c r="I664" s="22" t="str">
        <f t="shared" si="3"/>
        <v>#DIV/0!</v>
      </c>
      <c r="J664" s="22" t="str">
        <f t="shared" si="33"/>
        <v>#DIV/0!</v>
      </c>
    </row>
    <row r="665" ht="15.75" customHeight="1">
      <c r="A665" s="25"/>
      <c r="B665" s="22"/>
      <c r="C665" s="22">
        <f t="shared" si="6"/>
        <v>0</v>
      </c>
      <c r="D665" s="25"/>
      <c r="E665" s="22"/>
      <c r="F665" s="22" t="str">
        <f t="shared" si="8"/>
        <v>#DIV/0!</v>
      </c>
      <c r="G665" s="22" t="str">
        <f t="shared" si="31"/>
        <v>#DIV/0!</v>
      </c>
      <c r="H665" s="22" t="str">
        <f t="shared" si="32"/>
        <v>#DIV/0!</v>
      </c>
      <c r="I665" s="22" t="str">
        <f t="shared" si="3"/>
        <v>#DIV/0!</v>
      </c>
      <c r="J665" s="22" t="str">
        <f t="shared" si="33"/>
        <v>#DIV/0!</v>
      </c>
    </row>
    <row r="666" ht="15.75" customHeight="1">
      <c r="A666" s="25"/>
      <c r="B666" s="22"/>
      <c r="C666" s="22">
        <f t="shared" si="6"/>
        <v>0</v>
      </c>
      <c r="D666" s="25"/>
      <c r="E666" s="22"/>
      <c r="F666" s="22" t="str">
        <f t="shared" si="8"/>
        <v>#DIV/0!</v>
      </c>
      <c r="G666" s="22" t="str">
        <f t="shared" si="31"/>
        <v>#DIV/0!</v>
      </c>
      <c r="H666" s="22" t="str">
        <f t="shared" si="32"/>
        <v>#DIV/0!</v>
      </c>
      <c r="I666" s="22" t="str">
        <f t="shared" si="3"/>
        <v>#DIV/0!</v>
      </c>
      <c r="J666" s="22" t="str">
        <f t="shared" si="33"/>
        <v>#DIV/0!</v>
      </c>
    </row>
    <row r="667" ht="15.75" customHeight="1">
      <c r="A667" s="25"/>
      <c r="B667" s="22"/>
      <c r="C667" s="22">
        <f t="shared" si="6"/>
        <v>0</v>
      </c>
      <c r="D667" s="25"/>
      <c r="E667" s="22"/>
      <c r="F667" s="22" t="str">
        <f t="shared" si="8"/>
        <v>#DIV/0!</v>
      </c>
      <c r="G667" s="22" t="str">
        <f t="shared" si="31"/>
        <v>#DIV/0!</v>
      </c>
      <c r="H667" s="22" t="str">
        <f t="shared" si="32"/>
        <v>#DIV/0!</v>
      </c>
      <c r="I667" s="22" t="str">
        <f t="shared" si="3"/>
        <v>#DIV/0!</v>
      </c>
      <c r="J667" s="22" t="str">
        <f t="shared" si="33"/>
        <v>#DIV/0!</v>
      </c>
    </row>
    <row r="668" ht="15.75" customHeight="1">
      <c r="A668" s="25"/>
      <c r="B668" s="22"/>
      <c r="C668" s="22">
        <f t="shared" si="6"/>
        <v>0</v>
      </c>
      <c r="D668" s="25"/>
      <c r="E668" s="22"/>
      <c r="F668" s="22" t="str">
        <f t="shared" si="8"/>
        <v>#DIV/0!</v>
      </c>
      <c r="G668" s="22" t="str">
        <f t="shared" si="31"/>
        <v>#DIV/0!</v>
      </c>
      <c r="H668" s="22" t="str">
        <f t="shared" si="32"/>
        <v>#DIV/0!</v>
      </c>
      <c r="I668" s="22" t="str">
        <f t="shared" si="3"/>
        <v>#DIV/0!</v>
      </c>
      <c r="J668" s="22" t="str">
        <f t="shared" si="33"/>
        <v>#DIV/0!</v>
      </c>
    </row>
    <row r="669" ht="15.75" customHeight="1">
      <c r="A669" s="25"/>
      <c r="B669" s="22"/>
      <c r="C669" s="22">
        <f t="shared" si="6"/>
        <v>0</v>
      </c>
      <c r="D669" s="25"/>
      <c r="E669" s="22"/>
      <c r="F669" s="22" t="str">
        <f t="shared" si="8"/>
        <v>#DIV/0!</v>
      </c>
      <c r="G669" s="22" t="str">
        <f t="shared" si="31"/>
        <v>#DIV/0!</v>
      </c>
      <c r="H669" s="22" t="str">
        <f t="shared" si="32"/>
        <v>#DIV/0!</v>
      </c>
      <c r="I669" s="22" t="str">
        <f t="shared" si="3"/>
        <v>#DIV/0!</v>
      </c>
      <c r="J669" s="22" t="str">
        <f t="shared" si="33"/>
        <v>#DIV/0!</v>
      </c>
    </row>
    <row r="670" ht="15.75" customHeight="1">
      <c r="A670" s="25"/>
      <c r="B670" s="22"/>
      <c r="C670" s="22">
        <f t="shared" si="6"/>
        <v>0</v>
      </c>
      <c r="D670" s="25"/>
      <c r="E670" s="22"/>
      <c r="F670" s="22" t="str">
        <f t="shared" si="8"/>
        <v>#DIV/0!</v>
      </c>
      <c r="G670" s="22" t="str">
        <f t="shared" si="31"/>
        <v>#DIV/0!</v>
      </c>
      <c r="H670" s="22" t="str">
        <f t="shared" si="32"/>
        <v>#DIV/0!</v>
      </c>
      <c r="I670" s="22" t="str">
        <f t="shared" si="3"/>
        <v>#DIV/0!</v>
      </c>
      <c r="J670" s="22" t="str">
        <f t="shared" si="33"/>
        <v>#DIV/0!</v>
      </c>
    </row>
    <row r="671" ht="15.75" customHeight="1">
      <c r="A671" s="25"/>
      <c r="B671" s="22"/>
      <c r="C671" s="22">
        <f t="shared" si="6"/>
        <v>0</v>
      </c>
      <c r="D671" s="25"/>
      <c r="E671" s="22"/>
      <c r="F671" s="22" t="str">
        <f t="shared" si="8"/>
        <v>#DIV/0!</v>
      </c>
      <c r="G671" s="22" t="str">
        <f t="shared" si="31"/>
        <v>#DIV/0!</v>
      </c>
      <c r="H671" s="22" t="str">
        <f t="shared" si="32"/>
        <v>#DIV/0!</v>
      </c>
      <c r="I671" s="22" t="str">
        <f t="shared" si="3"/>
        <v>#DIV/0!</v>
      </c>
      <c r="J671" s="22" t="str">
        <f t="shared" si="33"/>
        <v>#DIV/0!</v>
      </c>
    </row>
    <row r="672" ht="15.75" customHeight="1">
      <c r="A672" s="25"/>
      <c r="B672" s="22"/>
      <c r="C672" s="22">
        <f t="shared" si="6"/>
        <v>0</v>
      </c>
      <c r="D672" s="25"/>
      <c r="E672" s="22"/>
      <c r="F672" s="22" t="str">
        <f t="shared" si="8"/>
        <v>#DIV/0!</v>
      </c>
      <c r="G672" s="22" t="str">
        <f t="shared" si="31"/>
        <v>#DIV/0!</v>
      </c>
      <c r="H672" s="22" t="str">
        <f t="shared" si="32"/>
        <v>#DIV/0!</v>
      </c>
      <c r="I672" s="22" t="str">
        <f t="shared" si="3"/>
        <v>#DIV/0!</v>
      </c>
      <c r="J672" s="22" t="str">
        <f t="shared" si="33"/>
        <v>#DIV/0!</v>
      </c>
    </row>
    <row r="673" ht="15.75" customHeight="1">
      <c r="A673" s="25"/>
      <c r="B673" s="22"/>
      <c r="C673" s="22">
        <f t="shared" si="6"/>
        <v>0</v>
      </c>
      <c r="D673" s="25"/>
      <c r="E673" s="22"/>
      <c r="F673" s="22" t="str">
        <f t="shared" si="8"/>
        <v>#DIV/0!</v>
      </c>
      <c r="G673" s="22" t="str">
        <f t="shared" si="31"/>
        <v>#DIV/0!</v>
      </c>
      <c r="H673" s="22" t="str">
        <f t="shared" si="32"/>
        <v>#DIV/0!</v>
      </c>
      <c r="I673" s="22" t="str">
        <f t="shared" si="3"/>
        <v>#DIV/0!</v>
      </c>
      <c r="J673" s="22" t="str">
        <f t="shared" si="33"/>
        <v>#DIV/0!</v>
      </c>
    </row>
    <row r="674" ht="15.75" customHeight="1">
      <c r="A674" s="25"/>
      <c r="B674" s="22"/>
      <c r="C674" s="22">
        <f t="shared" si="6"/>
        <v>0</v>
      </c>
      <c r="D674" s="25"/>
      <c r="E674" s="22"/>
      <c r="F674" s="22" t="str">
        <f t="shared" si="8"/>
        <v>#DIV/0!</v>
      </c>
      <c r="G674" s="22" t="str">
        <f t="shared" si="31"/>
        <v>#DIV/0!</v>
      </c>
      <c r="H674" s="22" t="str">
        <f t="shared" si="32"/>
        <v>#DIV/0!</v>
      </c>
      <c r="I674" s="22" t="str">
        <f t="shared" si="3"/>
        <v>#DIV/0!</v>
      </c>
      <c r="J674" s="22" t="str">
        <f t="shared" si="33"/>
        <v>#DIV/0!</v>
      </c>
    </row>
    <row r="675" ht="15.75" customHeight="1">
      <c r="A675" s="25"/>
      <c r="B675" s="22"/>
      <c r="C675" s="22">
        <f t="shared" si="6"/>
        <v>0</v>
      </c>
      <c r="D675" s="25"/>
      <c r="E675" s="22"/>
      <c r="F675" s="22" t="str">
        <f t="shared" si="8"/>
        <v>#DIV/0!</v>
      </c>
      <c r="G675" s="22" t="str">
        <f t="shared" si="31"/>
        <v>#DIV/0!</v>
      </c>
      <c r="H675" s="22" t="str">
        <f t="shared" si="32"/>
        <v>#DIV/0!</v>
      </c>
      <c r="I675" s="22" t="str">
        <f t="shared" si="3"/>
        <v>#DIV/0!</v>
      </c>
      <c r="J675" s="22" t="str">
        <f t="shared" si="33"/>
        <v>#DIV/0!</v>
      </c>
    </row>
    <row r="676" ht="15.75" customHeight="1">
      <c r="A676" s="25"/>
      <c r="B676" s="22"/>
      <c r="C676" s="22">
        <f t="shared" si="6"/>
        <v>0</v>
      </c>
      <c r="D676" s="25"/>
      <c r="E676" s="22"/>
      <c r="F676" s="22" t="str">
        <f t="shared" si="8"/>
        <v>#DIV/0!</v>
      </c>
      <c r="G676" s="22" t="str">
        <f t="shared" si="31"/>
        <v>#DIV/0!</v>
      </c>
      <c r="H676" s="22" t="str">
        <f t="shared" si="32"/>
        <v>#DIV/0!</v>
      </c>
      <c r="I676" s="22" t="str">
        <f t="shared" si="3"/>
        <v>#DIV/0!</v>
      </c>
      <c r="J676" s="22" t="str">
        <f t="shared" si="33"/>
        <v>#DIV/0!</v>
      </c>
    </row>
    <row r="677" ht="15.75" customHeight="1">
      <c r="A677" s="25"/>
      <c r="B677" s="22"/>
      <c r="C677" s="22">
        <f t="shared" si="6"/>
        <v>0</v>
      </c>
      <c r="D677" s="25"/>
      <c r="E677" s="22"/>
      <c r="F677" s="22" t="str">
        <f t="shared" si="8"/>
        <v>#DIV/0!</v>
      </c>
      <c r="G677" s="22" t="str">
        <f t="shared" si="31"/>
        <v>#DIV/0!</v>
      </c>
      <c r="H677" s="22" t="str">
        <f t="shared" si="32"/>
        <v>#DIV/0!</v>
      </c>
      <c r="I677" s="22" t="str">
        <f t="shared" si="3"/>
        <v>#DIV/0!</v>
      </c>
      <c r="J677" s="22" t="str">
        <f t="shared" si="33"/>
        <v>#DIV/0!</v>
      </c>
    </row>
    <row r="678" ht="15.75" customHeight="1">
      <c r="A678" s="25"/>
      <c r="B678" s="22"/>
      <c r="C678" s="22">
        <f t="shared" si="6"/>
        <v>0</v>
      </c>
      <c r="D678" s="25"/>
      <c r="E678" s="22"/>
      <c r="F678" s="22" t="str">
        <f t="shared" si="8"/>
        <v>#DIV/0!</v>
      </c>
      <c r="G678" s="22" t="str">
        <f t="shared" si="31"/>
        <v>#DIV/0!</v>
      </c>
      <c r="H678" s="22" t="str">
        <f t="shared" si="32"/>
        <v>#DIV/0!</v>
      </c>
      <c r="I678" s="22" t="str">
        <f t="shared" si="3"/>
        <v>#DIV/0!</v>
      </c>
      <c r="J678" s="22" t="str">
        <f t="shared" si="33"/>
        <v>#DIV/0!</v>
      </c>
    </row>
    <row r="679" ht="15.75" customHeight="1">
      <c r="A679" s="25"/>
      <c r="B679" s="22"/>
      <c r="C679" s="22">
        <f t="shared" si="6"/>
        <v>0</v>
      </c>
      <c r="D679" s="25"/>
      <c r="E679" s="22"/>
      <c r="F679" s="22" t="str">
        <f t="shared" si="8"/>
        <v>#DIV/0!</v>
      </c>
      <c r="G679" s="22" t="str">
        <f t="shared" si="31"/>
        <v>#DIV/0!</v>
      </c>
      <c r="H679" s="22" t="str">
        <f t="shared" si="32"/>
        <v>#DIV/0!</v>
      </c>
      <c r="I679" s="22" t="str">
        <f t="shared" si="3"/>
        <v>#DIV/0!</v>
      </c>
      <c r="J679" s="22" t="str">
        <f t="shared" si="33"/>
        <v>#DIV/0!</v>
      </c>
    </row>
    <row r="680" ht="15.75" customHeight="1">
      <c r="A680" s="25"/>
      <c r="B680" s="22"/>
      <c r="C680" s="22">
        <f t="shared" si="6"/>
        <v>0</v>
      </c>
      <c r="D680" s="25"/>
      <c r="E680" s="22"/>
      <c r="F680" s="22" t="str">
        <f t="shared" si="8"/>
        <v>#DIV/0!</v>
      </c>
      <c r="G680" s="22" t="str">
        <f t="shared" si="31"/>
        <v>#DIV/0!</v>
      </c>
      <c r="H680" s="22" t="str">
        <f t="shared" si="32"/>
        <v>#DIV/0!</v>
      </c>
      <c r="I680" s="22" t="str">
        <f t="shared" si="3"/>
        <v>#DIV/0!</v>
      </c>
      <c r="J680" s="22" t="str">
        <f t="shared" si="33"/>
        <v>#DIV/0!</v>
      </c>
    </row>
    <row r="681" ht="15.75" customHeight="1">
      <c r="A681" s="25"/>
      <c r="B681" s="22"/>
      <c r="C681" s="22">
        <f t="shared" si="6"/>
        <v>0</v>
      </c>
      <c r="D681" s="25"/>
      <c r="E681" s="22"/>
      <c r="F681" s="22" t="str">
        <f t="shared" si="8"/>
        <v>#DIV/0!</v>
      </c>
      <c r="G681" s="22" t="str">
        <f t="shared" si="31"/>
        <v>#DIV/0!</v>
      </c>
      <c r="H681" s="22" t="str">
        <f t="shared" si="32"/>
        <v>#DIV/0!</v>
      </c>
      <c r="I681" s="22" t="str">
        <f t="shared" si="3"/>
        <v>#DIV/0!</v>
      </c>
      <c r="J681" s="22" t="str">
        <f t="shared" si="33"/>
        <v>#DIV/0!</v>
      </c>
    </row>
    <row r="682" ht="15.75" customHeight="1">
      <c r="A682" s="25"/>
      <c r="B682" s="22"/>
      <c r="C682" s="22">
        <f t="shared" si="6"/>
        <v>0</v>
      </c>
      <c r="D682" s="25"/>
      <c r="E682" s="22"/>
      <c r="F682" s="22" t="str">
        <f t="shared" si="8"/>
        <v>#DIV/0!</v>
      </c>
      <c r="G682" s="22" t="str">
        <f t="shared" si="31"/>
        <v>#DIV/0!</v>
      </c>
      <c r="H682" s="22" t="str">
        <f t="shared" si="32"/>
        <v>#DIV/0!</v>
      </c>
      <c r="I682" s="22" t="str">
        <f t="shared" si="3"/>
        <v>#DIV/0!</v>
      </c>
      <c r="J682" s="22" t="str">
        <f t="shared" si="33"/>
        <v>#DIV/0!</v>
      </c>
    </row>
    <row r="683" ht="15.75" customHeight="1">
      <c r="A683" s="25"/>
      <c r="B683" s="22"/>
      <c r="C683" s="22">
        <f t="shared" si="6"/>
        <v>0</v>
      </c>
      <c r="D683" s="25"/>
      <c r="E683" s="22"/>
      <c r="F683" s="22" t="str">
        <f t="shared" si="8"/>
        <v>#DIV/0!</v>
      </c>
      <c r="G683" s="22" t="str">
        <f t="shared" si="31"/>
        <v>#DIV/0!</v>
      </c>
      <c r="H683" s="22" t="str">
        <f t="shared" si="32"/>
        <v>#DIV/0!</v>
      </c>
      <c r="I683" s="22" t="str">
        <f t="shared" si="3"/>
        <v>#DIV/0!</v>
      </c>
      <c r="J683" s="22" t="str">
        <f t="shared" si="33"/>
        <v>#DIV/0!</v>
      </c>
    </row>
    <row r="684" ht="15.75" customHeight="1">
      <c r="A684" s="25"/>
      <c r="B684" s="22"/>
      <c r="C684" s="22">
        <f t="shared" si="6"/>
        <v>0</v>
      </c>
      <c r="D684" s="25"/>
      <c r="E684" s="22"/>
      <c r="F684" s="22" t="str">
        <f t="shared" si="8"/>
        <v>#DIV/0!</v>
      </c>
      <c r="G684" s="22" t="str">
        <f t="shared" si="31"/>
        <v>#DIV/0!</v>
      </c>
      <c r="H684" s="22" t="str">
        <f t="shared" si="32"/>
        <v>#DIV/0!</v>
      </c>
      <c r="I684" s="22" t="str">
        <f t="shared" si="3"/>
        <v>#DIV/0!</v>
      </c>
      <c r="J684" s="22" t="str">
        <f t="shared" si="33"/>
        <v>#DIV/0!</v>
      </c>
    </row>
    <row r="685" ht="15.75" customHeight="1">
      <c r="A685" s="25"/>
      <c r="B685" s="22"/>
      <c r="C685" s="22">
        <f t="shared" si="6"/>
        <v>0</v>
      </c>
      <c r="D685" s="25"/>
      <c r="E685" s="22"/>
      <c r="F685" s="22" t="str">
        <f t="shared" si="8"/>
        <v>#DIV/0!</v>
      </c>
      <c r="G685" s="22" t="str">
        <f t="shared" si="31"/>
        <v>#DIV/0!</v>
      </c>
      <c r="H685" s="22" t="str">
        <f t="shared" si="32"/>
        <v>#DIV/0!</v>
      </c>
      <c r="I685" s="22" t="str">
        <f t="shared" si="3"/>
        <v>#DIV/0!</v>
      </c>
      <c r="J685" s="22" t="str">
        <f t="shared" si="33"/>
        <v>#DIV/0!</v>
      </c>
    </row>
    <row r="686" ht="15.75" customHeight="1">
      <c r="A686" s="25"/>
      <c r="B686" s="22"/>
      <c r="C686" s="22">
        <f t="shared" si="6"/>
        <v>0</v>
      </c>
      <c r="D686" s="25"/>
      <c r="E686" s="22"/>
      <c r="F686" s="22" t="str">
        <f t="shared" si="8"/>
        <v>#DIV/0!</v>
      </c>
      <c r="G686" s="22" t="str">
        <f t="shared" si="31"/>
        <v>#DIV/0!</v>
      </c>
      <c r="H686" s="22" t="str">
        <f t="shared" si="32"/>
        <v>#DIV/0!</v>
      </c>
      <c r="I686" s="22" t="str">
        <f t="shared" si="3"/>
        <v>#DIV/0!</v>
      </c>
      <c r="J686" s="22" t="str">
        <f t="shared" si="33"/>
        <v>#DIV/0!</v>
      </c>
    </row>
    <row r="687" ht="15.75" customHeight="1">
      <c r="A687" s="25"/>
      <c r="B687" s="22"/>
      <c r="C687" s="22">
        <f t="shared" si="6"/>
        <v>0</v>
      </c>
      <c r="D687" s="25"/>
      <c r="E687" s="22"/>
      <c r="F687" s="22" t="str">
        <f t="shared" si="8"/>
        <v>#DIV/0!</v>
      </c>
      <c r="G687" s="22" t="str">
        <f t="shared" si="31"/>
        <v>#DIV/0!</v>
      </c>
      <c r="H687" s="22" t="str">
        <f t="shared" si="32"/>
        <v>#DIV/0!</v>
      </c>
      <c r="I687" s="22" t="str">
        <f t="shared" si="3"/>
        <v>#DIV/0!</v>
      </c>
      <c r="J687" s="22" t="str">
        <f t="shared" si="33"/>
        <v>#DIV/0!</v>
      </c>
    </row>
    <row r="688" ht="15.75" customHeight="1">
      <c r="A688" s="25"/>
      <c r="B688" s="22"/>
      <c r="C688" s="22">
        <f t="shared" si="6"/>
        <v>0</v>
      </c>
      <c r="D688" s="25"/>
      <c r="E688" s="22"/>
      <c r="F688" s="22" t="str">
        <f t="shared" si="8"/>
        <v>#DIV/0!</v>
      </c>
      <c r="G688" s="22" t="str">
        <f t="shared" si="31"/>
        <v>#DIV/0!</v>
      </c>
      <c r="H688" s="22" t="str">
        <f t="shared" si="32"/>
        <v>#DIV/0!</v>
      </c>
      <c r="I688" s="22" t="str">
        <f t="shared" si="3"/>
        <v>#DIV/0!</v>
      </c>
      <c r="J688" s="22" t="str">
        <f t="shared" si="33"/>
        <v>#DIV/0!</v>
      </c>
    </row>
    <row r="689" ht="15.75" customHeight="1">
      <c r="A689" s="25"/>
      <c r="B689" s="22"/>
      <c r="C689" s="22">
        <f t="shared" si="6"/>
        <v>0</v>
      </c>
      <c r="D689" s="25"/>
      <c r="E689" s="22"/>
      <c r="F689" s="22" t="str">
        <f t="shared" si="8"/>
        <v>#DIV/0!</v>
      </c>
      <c r="G689" s="22" t="str">
        <f t="shared" si="31"/>
        <v>#DIV/0!</v>
      </c>
      <c r="H689" s="22" t="str">
        <f t="shared" si="32"/>
        <v>#DIV/0!</v>
      </c>
      <c r="I689" s="22" t="str">
        <f t="shared" si="3"/>
        <v>#DIV/0!</v>
      </c>
      <c r="J689" s="22" t="str">
        <f t="shared" si="33"/>
        <v>#DIV/0!</v>
      </c>
    </row>
    <row r="690" ht="15.75" customHeight="1">
      <c r="A690" s="25"/>
      <c r="B690" s="22"/>
      <c r="C690" s="22">
        <f t="shared" si="6"/>
        <v>0</v>
      </c>
      <c r="D690" s="25"/>
      <c r="E690" s="22"/>
      <c r="F690" s="22" t="str">
        <f t="shared" si="8"/>
        <v>#DIV/0!</v>
      </c>
      <c r="G690" s="22" t="str">
        <f t="shared" si="31"/>
        <v>#DIV/0!</v>
      </c>
      <c r="H690" s="22" t="str">
        <f t="shared" si="32"/>
        <v>#DIV/0!</v>
      </c>
      <c r="I690" s="22" t="str">
        <f t="shared" si="3"/>
        <v>#DIV/0!</v>
      </c>
      <c r="J690" s="22" t="str">
        <f t="shared" si="33"/>
        <v>#DIV/0!</v>
      </c>
    </row>
    <row r="691" ht="15.75" customHeight="1">
      <c r="A691" s="25"/>
      <c r="B691" s="22"/>
      <c r="C691" s="22">
        <f t="shared" si="6"/>
        <v>0</v>
      </c>
      <c r="D691" s="25"/>
      <c r="E691" s="22"/>
      <c r="F691" s="22" t="str">
        <f t="shared" si="8"/>
        <v>#DIV/0!</v>
      </c>
      <c r="G691" s="22" t="str">
        <f t="shared" si="31"/>
        <v>#DIV/0!</v>
      </c>
      <c r="H691" s="22" t="str">
        <f t="shared" si="32"/>
        <v>#DIV/0!</v>
      </c>
      <c r="I691" s="22" t="str">
        <f t="shared" si="3"/>
        <v>#DIV/0!</v>
      </c>
      <c r="J691" s="22" t="str">
        <f t="shared" si="33"/>
        <v>#DIV/0!</v>
      </c>
    </row>
    <row r="692" ht="15.75" customHeight="1">
      <c r="A692" s="25"/>
      <c r="B692" s="22"/>
      <c r="C692" s="22">
        <f t="shared" si="6"/>
        <v>0</v>
      </c>
      <c r="D692" s="25"/>
      <c r="E692" s="22"/>
      <c r="F692" s="22" t="str">
        <f t="shared" si="8"/>
        <v>#DIV/0!</v>
      </c>
      <c r="G692" s="22" t="str">
        <f t="shared" si="31"/>
        <v>#DIV/0!</v>
      </c>
      <c r="H692" s="22" t="str">
        <f t="shared" si="32"/>
        <v>#DIV/0!</v>
      </c>
      <c r="I692" s="22" t="str">
        <f t="shared" si="3"/>
        <v>#DIV/0!</v>
      </c>
      <c r="J692" s="22" t="str">
        <f t="shared" si="33"/>
        <v>#DIV/0!</v>
      </c>
    </row>
    <row r="693" ht="15.75" customHeight="1">
      <c r="A693" s="25"/>
      <c r="B693" s="22"/>
      <c r="C693" s="22">
        <f t="shared" si="6"/>
        <v>0</v>
      </c>
      <c r="D693" s="25"/>
      <c r="E693" s="22"/>
      <c r="F693" s="22" t="str">
        <f t="shared" si="8"/>
        <v>#DIV/0!</v>
      </c>
      <c r="G693" s="22" t="str">
        <f t="shared" si="31"/>
        <v>#DIV/0!</v>
      </c>
      <c r="H693" s="22" t="str">
        <f t="shared" si="32"/>
        <v>#DIV/0!</v>
      </c>
      <c r="I693" s="22" t="str">
        <f t="shared" si="3"/>
        <v>#DIV/0!</v>
      </c>
      <c r="J693" s="22" t="str">
        <f t="shared" si="33"/>
        <v>#DIV/0!</v>
      </c>
    </row>
    <row r="694" ht="15.75" customHeight="1">
      <c r="A694" s="25"/>
      <c r="B694" s="22"/>
      <c r="C694" s="22">
        <f t="shared" si="6"/>
        <v>0</v>
      </c>
      <c r="D694" s="25"/>
      <c r="E694" s="22"/>
      <c r="F694" s="22" t="str">
        <f t="shared" si="8"/>
        <v>#DIV/0!</v>
      </c>
      <c r="G694" s="22" t="str">
        <f t="shared" si="31"/>
        <v>#DIV/0!</v>
      </c>
      <c r="H694" s="22" t="str">
        <f t="shared" si="32"/>
        <v>#DIV/0!</v>
      </c>
      <c r="I694" s="22" t="str">
        <f t="shared" si="3"/>
        <v>#DIV/0!</v>
      </c>
      <c r="J694" s="22" t="str">
        <f t="shared" si="33"/>
        <v>#DIV/0!</v>
      </c>
    </row>
    <row r="695" ht="15.75" customHeight="1">
      <c r="A695" s="25"/>
      <c r="B695" s="22"/>
      <c r="C695" s="22">
        <f t="shared" si="6"/>
        <v>0</v>
      </c>
      <c r="D695" s="25"/>
      <c r="E695" s="22"/>
      <c r="F695" s="22" t="str">
        <f t="shared" si="8"/>
        <v>#DIV/0!</v>
      </c>
      <c r="G695" s="22" t="str">
        <f t="shared" si="31"/>
        <v>#DIV/0!</v>
      </c>
      <c r="H695" s="22" t="str">
        <f t="shared" si="32"/>
        <v>#DIV/0!</v>
      </c>
      <c r="I695" s="22" t="str">
        <f t="shared" si="3"/>
        <v>#DIV/0!</v>
      </c>
      <c r="J695" s="22" t="str">
        <f t="shared" si="33"/>
        <v>#DIV/0!</v>
      </c>
    </row>
    <row r="696" ht="15.75" customHeight="1">
      <c r="A696" s="25"/>
      <c r="B696" s="22"/>
      <c r="C696" s="22">
        <f t="shared" si="6"/>
        <v>0</v>
      </c>
      <c r="D696" s="25"/>
      <c r="E696" s="22"/>
      <c r="F696" s="22" t="str">
        <f t="shared" si="8"/>
        <v>#DIV/0!</v>
      </c>
      <c r="G696" s="22" t="str">
        <f t="shared" si="31"/>
        <v>#DIV/0!</v>
      </c>
      <c r="H696" s="22" t="str">
        <f t="shared" si="32"/>
        <v>#DIV/0!</v>
      </c>
      <c r="I696" s="22" t="str">
        <f t="shared" si="3"/>
        <v>#DIV/0!</v>
      </c>
      <c r="J696" s="22" t="str">
        <f t="shared" si="33"/>
        <v>#DIV/0!</v>
      </c>
    </row>
    <row r="697" ht="15.75" customHeight="1">
      <c r="A697" s="25"/>
      <c r="B697" s="22"/>
      <c r="C697" s="22">
        <f t="shared" si="6"/>
        <v>0</v>
      </c>
      <c r="D697" s="25"/>
      <c r="E697" s="22"/>
      <c r="F697" s="22" t="str">
        <f t="shared" si="8"/>
        <v>#DIV/0!</v>
      </c>
      <c r="G697" s="22" t="str">
        <f t="shared" si="31"/>
        <v>#DIV/0!</v>
      </c>
      <c r="H697" s="22" t="str">
        <f t="shared" si="32"/>
        <v>#DIV/0!</v>
      </c>
      <c r="I697" s="22" t="str">
        <f t="shared" si="3"/>
        <v>#DIV/0!</v>
      </c>
      <c r="J697" s="22" t="str">
        <f t="shared" si="33"/>
        <v>#DIV/0!</v>
      </c>
    </row>
    <row r="698" ht="15.75" customHeight="1">
      <c r="A698" s="25"/>
      <c r="B698" s="22"/>
      <c r="C698" s="22">
        <f t="shared" si="6"/>
        <v>0</v>
      </c>
      <c r="D698" s="25"/>
      <c r="E698" s="22"/>
      <c r="F698" s="22" t="str">
        <f t="shared" si="8"/>
        <v>#DIV/0!</v>
      </c>
      <c r="G698" s="22" t="str">
        <f t="shared" si="31"/>
        <v>#DIV/0!</v>
      </c>
      <c r="H698" s="22" t="str">
        <f t="shared" si="32"/>
        <v>#DIV/0!</v>
      </c>
      <c r="I698" s="22" t="str">
        <f t="shared" si="3"/>
        <v>#DIV/0!</v>
      </c>
      <c r="J698" s="22" t="str">
        <f t="shared" si="33"/>
        <v>#DIV/0!</v>
      </c>
    </row>
    <row r="699" ht="15.75" customHeight="1">
      <c r="A699" s="25"/>
      <c r="B699" s="22"/>
      <c r="C699" s="22">
        <f t="shared" si="6"/>
        <v>0</v>
      </c>
      <c r="D699" s="25"/>
      <c r="E699" s="22"/>
      <c r="F699" s="22" t="str">
        <f t="shared" si="8"/>
        <v>#DIV/0!</v>
      </c>
      <c r="G699" s="22" t="str">
        <f t="shared" si="31"/>
        <v>#DIV/0!</v>
      </c>
      <c r="H699" s="22" t="str">
        <f t="shared" si="32"/>
        <v>#DIV/0!</v>
      </c>
      <c r="I699" s="22" t="str">
        <f t="shared" si="3"/>
        <v>#DIV/0!</v>
      </c>
      <c r="J699" s="22" t="str">
        <f t="shared" si="33"/>
        <v>#DIV/0!</v>
      </c>
    </row>
    <row r="700" ht="15.75" customHeight="1">
      <c r="A700" s="25"/>
      <c r="B700" s="22"/>
      <c r="C700" s="22">
        <f t="shared" si="6"/>
        <v>0</v>
      </c>
      <c r="D700" s="25"/>
      <c r="E700" s="22"/>
      <c r="F700" s="22" t="str">
        <f t="shared" si="8"/>
        <v>#DIV/0!</v>
      </c>
      <c r="G700" s="22" t="str">
        <f t="shared" si="31"/>
        <v>#DIV/0!</v>
      </c>
      <c r="H700" s="22" t="str">
        <f t="shared" si="32"/>
        <v>#DIV/0!</v>
      </c>
      <c r="I700" s="22" t="str">
        <f t="shared" si="3"/>
        <v>#DIV/0!</v>
      </c>
      <c r="J700" s="22" t="str">
        <f t="shared" si="33"/>
        <v>#DIV/0!</v>
      </c>
    </row>
    <row r="701" ht="15.75" customHeight="1">
      <c r="A701" s="25"/>
      <c r="B701" s="22"/>
      <c r="C701" s="22">
        <f t="shared" si="6"/>
        <v>0</v>
      </c>
      <c r="D701" s="25"/>
      <c r="E701" s="22"/>
      <c r="F701" s="22" t="str">
        <f t="shared" si="8"/>
        <v>#DIV/0!</v>
      </c>
      <c r="G701" s="22" t="str">
        <f t="shared" si="31"/>
        <v>#DIV/0!</v>
      </c>
      <c r="H701" s="22" t="str">
        <f t="shared" si="32"/>
        <v>#DIV/0!</v>
      </c>
      <c r="I701" s="22" t="str">
        <f t="shared" si="3"/>
        <v>#DIV/0!</v>
      </c>
      <c r="J701" s="22" t="str">
        <f t="shared" si="33"/>
        <v>#DIV/0!</v>
      </c>
    </row>
    <row r="702" ht="15.75" customHeight="1">
      <c r="A702" s="25"/>
      <c r="B702" s="22"/>
      <c r="C702" s="22">
        <f t="shared" si="6"/>
        <v>0</v>
      </c>
      <c r="D702" s="25"/>
      <c r="E702" s="22"/>
      <c r="F702" s="22" t="str">
        <f t="shared" si="8"/>
        <v>#DIV/0!</v>
      </c>
      <c r="G702" s="22" t="str">
        <f t="shared" si="31"/>
        <v>#DIV/0!</v>
      </c>
      <c r="H702" s="22" t="str">
        <f t="shared" si="32"/>
        <v>#DIV/0!</v>
      </c>
      <c r="I702" s="22" t="str">
        <f t="shared" si="3"/>
        <v>#DIV/0!</v>
      </c>
      <c r="J702" s="22" t="str">
        <f t="shared" si="33"/>
        <v>#DIV/0!</v>
      </c>
    </row>
    <row r="703" ht="15.75" customHeight="1">
      <c r="A703" s="25"/>
      <c r="B703" s="22"/>
      <c r="C703" s="22">
        <f t="shared" si="6"/>
        <v>0</v>
      </c>
      <c r="D703" s="25"/>
      <c r="E703" s="22"/>
      <c r="F703" s="22" t="str">
        <f t="shared" si="8"/>
        <v>#DIV/0!</v>
      </c>
      <c r="G703" s="22" t="str">
        <f t="shared" si="31"/>
        <v>#DIV/0!</v>
      </c>
      <c r="H703" s="22" t="str">
        <f t="shared" si="32"/>
        <v>#DIV/0!</v>
      </c>
      <c r="I703" s="22" t="str">
        <f t="shared" si="3"/>
        <v>#DIV/0!</v>
      </c>
      <c r="J703" s="22" t="str">
        <f t="shared" si="33"/>
        <v>#DIV/0!</v>
      </c>
    </row>
    <row r="704" ht="15.75" customHeight="1">
      <c r="A704" s="25"/>
      <c r="B704" s="22"/>
      <c r="C704" s="22">
        <f t="shared" si="6"/>
        <v>0</v>
      </c>
      <c r="D704" s="25"/>
      <c r="E704" s="22"/>
      <c r="F704" s="22" t="str">
        <f t="shared" si="8"/>
        <v>#DIV/0!</v>
      </c>
      <c r="G704" s="22" t="str">
        <f t="shared" si="31"/>
        <v>#DIV/0!</v>
      </c>
      <c r="H704" s="22" t="str">
        <f t="shared" si="32"/>
        <v>#DIV/0!</v>
      </c>
      <c r="I704" s="22" t="str">
        <f t="shared" si="3"/>
        <v>#DIV/0!</v>
      </c>
      <c r="J704" s="22" t="str">
        <f t="shared" si="33"/>
        <v>#DIV/0!</v>
      </c>
    </row>
    <row r="705" ht="15.75" customHeight="1">
      <c r="A705" s="25"/>
      <c r="B705" s="22"/>
      <c r="C705" s="22">
        <f t="shared" si="6"/>
        <v>0</v>
      </c>
      <c r="D705" s="25"/>
      <c r="E705" s="22"/>
      <c r="F705" s="22" t="str">
        <f t="shared" si="8"/>
        <v>#DIV/0!</v>
      </c>
      <c r="G705" s="22" t="str">
        <f t="shared" si="31"/>
        <v>#DIV/0!</v>
      </c>
      <c r="H705" s="22" t="str">
        <f t="shared" si="32"/>
        <v>#DIV/0!</v>
      </c>
      <c r="I705" s="22" t="str">
        <f t="shared" si="3"/>
        <v>#DIV/0!</v>
      </c>
      <c r="J705" s="22" t="str">
        <f t="shared" si="33"/>
        <v>#DIV/0!</v>
      </c>
    </row>
    <row r="706" ht="15.75" customHeight="1">
      <c r="A706" s="25"/>
      <c r="B706" s="22"/>
      <c r="C706" s="22">
        <f t="shared" si="6"/>
        <v>0</v>
      </c>
      <c r="D706" s="25"/>
      <c r="E706" s="22"/>
      <c r="F706" s="22" t="str">
        <f t="shared" si="8"/>
        <v>#DIV/0!</v>
      </c>
      <c r="G706" s="22" t="str">
        <f t="shared" si="31"/>
        <v>#DIV/0!</v>
      </c>
      <c r="H706" s="22" t="str">
        <f t="shared" si="32"/>
        <v>#DIV/0!</v>
      </c>
      <c r="I706" s="22" t="str">
        <f t="shared" si="3"/>
        <v>#DIV/0!</v>
      </c>
      <c r="J706" s="22" t="str">
        <f t="shared" si="33"/>
        <v>#DIV/0!</v>
      </c>
    </row>
    <row r="707" ht="15.75" customHeight="1">
      <c r="A707" s="25"/>
      <c r="B707" s="22"/>
      <c r="C707" s="22">
        <f t="shared" si="6"/>
        <v>0</v>
      </c>
      <c r="D707" s="25"/>
      <c r="E707" s="22"/>
      <c r="F707" s="22" t="str">
        <f t="shared" si="8"/>
        <v>#DIV/0!</v>
      </c>
      <c r="G707" s="22" t="str">
        <f t="shared" si="31"/>
        <v>#DIV/0!</v>
      </c>
      <c r="H707" s="22" t="str">
        <f t="shared" si="32"/>
        <v>#DIV/0!</v>
      </c>
      <c r="I707" s="22" t="str">
        <f t="shared" si="3"/>
        <v>#DIV/0!</v>
      </c>
      <c r="J707" s="22" t="str">
        <f t="shared" si="33"/>
        <v>#DIV/0!</v>
      </c>
    </row>
    <row r="708" ht="15.75" customHeight="1">
      <c r="A708" s="25"/>
      <c r="B708" s="22"/>
      <c r="C708" s="22">
        <f t="shared" si="6"/>
        <v>0</v>
      </c>
      <c r="D708" s="25"/>
      <c r="E708" s="22"/>
      <c r="F708" s="22" t="str">
        <f t="shared" si="8"/>
        <v>#DIV/0!</v>
      </c>
      <c r="G708" s="22" t="str">
        <f t="shared" si="31"/>
        <v>#DIV/0!</v>
      </c>
      <c r="H708" s="22" t="str">
        <f t="shared" si="32"/>
        <v>#DIV/0!</v>
      </c>
      <c r="I708" s="22" t="str">
        <f t="shared" si="3"/>
        <v>#DIV/0!</v>
      </c>
      <c r="J708" s="22" t="str">
        <f t="shared" si="33"/>
        <v>#DIV/0!</v>
      </c>
    </row>
    <row r="709" ht="15.75" customHeight="1">
      <c r="A709" s="25"/>
      <c r="B709" s="22"/>
      <c r="C709" s="22">
        <f t="shared" si="6"/>
        <v>0</v>
      </c>
      <c r="D709" s="25"/>
      <c r="E709" s="22"/>
      <c r="F709" s="22" t="str">
        <f t="shared" si="8"/>
        <v>#DIV/0!</v>
      </c>
      <c r="G709" s="22" t="str">
        <f t="shared" si="31"/>
        <v>#DIV/0!</v>
      </c>
      <c r="H709" s="22" t="str">
        <f t="shared" si="32"/>
        <v>#DIV/0!</v>
      </c>
      <c r="I709" s="22" t="str">
        <f t="shared" si="3"/>
        <v>#DIV/0!</v>
      </c>
      <c r="J709" s="22" t="str">
        <f t="shared" si="33"/>
        <v>#DIV/0!</v>
      </c>
    </row>
    <row r="710" ht="15.75" customHeight="1">
      <c r="A710" s="25"/>
      <c r="B710" s="22"/>
      <c r="C710" s="22">
        <f t="shared" si="6"/>
        <v>0</v>
      </c>
      <c r="D710" s="25"/>
      <c r="E710" s="22"/>
      <c r="F710" s="22" t="str">
        <f t="shared" si="8"/>
        <v>#DIV/0!</v>
      </c>
      <c r="G710" s="22" t="str">
        <f t="shared" si="31"/>
        <v>#DIV/0!</v>
      </c>
      <c r="H710" s="22" t="str">
        <f t="shared" si="32"/>
        <v>#DIV/0!</v>
      </c>
      <c r="I710" s="22" t="str">
        <f t="shared" si="3"/>
        <v>#DIV/0!</v>
      </c>
      <c r="J710" s="22" t="str">
        <f t="shared" si="33"/>
        <v>#DIV/0!</v>
      </c>
    </row>
    <row r="711" ht="15.75" customHeight="1">
      <c r="A711" s="25"/>
      <c r="B711" s="22"/>
      <c r="C711" s="22">
        <f t="shared" si="6"/>
        <v>0</v>
      </c>
      <c r="D711" s="25"/>
      <c r="E711" s="22"/>
      <c r="F711" s="22" t="str">
        <f t="shared" si="8"/>
        <v>#DIV/0!</v>
      </c>
      <c r="G711" s="22" t="str">
        <f t="shared" si="31"/>
        <v>#DIV/0!</v>
      </c>
      <c r="H711" s="22" t="str">
        <f t="shared" si="32"/>
        <v>#DIV/0!</v>
      </c>
      <c r="I711" s="22" t="str">
        <f t="shared" si="3"/>
        <v>#DIV/0!</v>
      </c>
      <c r="J711" s="22" t="str">
        <f t="shared" si="33"/>
        <v>#DIV/0!</v>
      </c>
    </row>
    <row r="712" ht="15.75" customHeight="1">
      <c r="A712" s="25"/>
      <c r="B712" s="22"/>
      <c r="C712" s="22">
        <f t="shared" si="6"/>
        <v>0</v>
      </c>
      <c r="D712" s="25"/>
      <c r="E712" s="22"/>
      <c r="F712" s="22" t="str">
        <f t="shared" si="8"/>
        <v>#DIV/0!</v>
      </c>
      <c r="G712" s="22" t="str">
        <f t="shared" si="31"/>
        <v>#DIV/0!</v>
      </c>
      <c r="H712" s="22" t="str">
        <f t="shared" si="32"/>
        <v>#DIV/0!</v>
      </c>
      <c r="I712" s="22" t="str">
        <f t="shared" si="3"/>
        <v>#DIV/0!</v>
      </c>
      <c r="J712" s="22" t="str">
        <f t="shared" si="33"/>
        <v>#DIV/0!</v>
      </c>
    </row>
    <row r="713" ht="15.75" customHeight="1">
      <c r="A713" s="25"/>
      <c r="B713" s="22"/>
      <c r="C713" s="22">
        <f t="shared" si="6"/>
        <v>0</v>
      </c>
      <c r="D713" s="25"/>
      <c r="E713" s="22"/>
      <c r="F713" s="22" t="str">
        <f t="shared" si="8"/>
        <v>#DIV/0!</v>
      </c>
      <c r="G713" s="22" t="str">
        <f t="shared" si="31"/>
        <v>#DIV/0!</v>
      </c>
      <c r="H713" s="22" t="str">
        <f t="shared" si="32"/>
        <v>#DIV/0!</v>
      </c>
      <c r="I713" s="22" t="str">
        <f t="shared" si="3"/>
        <v>#DIV/0!</v>
      </c>
      <c r="J713" s="22" t="str">
        <f t="shared" si="33"/>
        <v>#DIV/0!</v>
      </c>
    </row>
    <row r="714" ht="15.75" customHeight="1">
      <c r="A714" s="25"/>
      <c r="B714" s="22"/>
      <c r="C714" s="22">
        <f t="shared" si="6"/>
        <v>0</v>
      </c>
      <c r="D714" s="25"/>
      <c r="E714" s="22"/>
      <c r="F714" s="22" t="str">
        <f t="shared" si="8"/>
        <v>#DIV/0!</v>
      </c>
      <c r="G714" s="22" t="str">
        <f t="shared" si="31"/>
        <v>#DIV/0!</v>
      </c>
      <c r="H714" s="22" t="str">
        <f t="shared" si="32"/>
        <v>#DIV/0!</v>
      </c>
      <c r="I714" s="22" t="str">
        <f t="shared" si="3"/>
        <v>#DIV/0!</v>
      </c>
      <c r="J714" s="22" t="str">
        <f t="shared" si="33"/>
        <v>#DIV/0!</v>
      </c>
    </row>
    <row r="715" ht="15.75" customHeight="1">
      <c r="A715" s="25"/>
      <c r="B715" s="22"/>
      <c r="C715" s="22">
        <f t="shared" si="6"/>
        <v>0</v>
      </c>
      <c r="D715" s="25"/>
      <c r="E715" s="22"/>
      <c r="F715" s="22" t="str">
        <f t="shared" si="8"/>
        <v>#DIV/0!</v>
      </c>
      <c r="G715" s="22" t="str">
        <f t="shared" si="31"/>
        <v>#DIV/0!</v>
      </c>
      <c r="H715" s="22" t="str">
        <f t="shared" si="32"/>
        <v>#DIV/0!</v>
      </c>
      <c r="I715" s="22" t="str">
        <f t="shared" si="3"/>
        <v>#DIV/0!</v>
      </c>
      <c r="J715" s="22" t="str">
        <f t="shared" si="33"/>
        <v>#DIV/0!</v>
      </c>
    </row>
    <row r="716" ht="15.75" customHeight="1">
      <c r="A716" s="25"/>
      <c r="B716" s="22"/>
      <c r="C716" s="22">
        <f t="shared" si="6"/>
        <v>0</v>
      </c>
      <c r="D716" s="25"/>
      <c r="E716" s="22"/>
      <c r="F716" s="22" t="str">
        <f t="shared" si="8"/>
        <v>#DIV/0!</v>
      </c>
      <c r="G716" s="22" t="str">
        <f t="shared" si="31"/>
        <v>#DIV/0!</v>
      </c>
      <c r="H716" s="22" t="str">
        <f t="shared" si="32"/>
        <v>#DIV/0!</v>
      </c>
      <c r="I716" s="22" t="str">
        <f t="shared" si="3"/>
        <v>#DIV/0!</v>
      </c>
      <c r="J716" s="22" t="str">
        <f t="shared" si="33"/>
        <v>#DIV/0!</v>
      </c>
    </row>
    <row r="717" ht="15.75" customHeight="1">
      <c r="A717" s="25"/>
      <c r="B717" s="22"/>
      <c r="C717" s="22">
        <f t="shared" si="6"/>
        <v>0</v>
      </c>
      <c r="D717" s="25"/>
      <c r="E717" s="22"/>
      <c r="F717" s="22" t="str">
        <f t="shared" si="8"/>
        <v>#DIV/0!</v>
      </c>
      <c r="G717" s="22" t="str">
        <f t="shared" si="31"/>
        <v>#DIV/0!</v>
      </c>
      <c r="H717" s="22" t="str">
        <f t="shared" si="32"/>
        <v>#DIV/0!</v>
      </c>
      <c r="I717" s="22" t="str">
        <f t="shared" si="3"/>
        <v>#DIV/0!</v>
      </c>
      <c r="J717" s="22" t="str">
        <f t="shared" si="33"/>
        <v>#DIV/0!</v>
      </c>
    </row>
    <row r="718" ht="15.75" customHeight="1">
      <c r="A718" s="25"/>
      <c r="B718" s="22"/>
      <c r="C718" s="22">
        <f t="shared" si="6"/>
        <v>0</v>
      </c>
      <c r="D718" s="25"/>
      <c r="E718" s="22"/>
      <c r="F718" s="22" t="str">
        <f t="shared" si="8"/>
        <v>#DIV/0!</v>
      </c>
      <c r="G718" s="22" t="str">
        <f t="shared" si="31"/>
        <v>#DIV/0!</v>
      </c>
      <c r="H718" s="22" t="str">
        <f t="shared" si="32"/>
        <v>#DIV/0!</v>
      </c>
      <c r="I718" s="22" t="str">
        <f t="shared" si="3"/>
        <v>#DIV/0!</v>
      </c>
      <c r="J718" s="22" t="str">
        <f t="shared" si="33"/>
        <v>#DIV/0!</v>
      </c>
    </row>
    <row r="719" ht="15.75" customHeight="1">
      <c r="A719" s="25"/>
      <c r="B719" s="22"/>
      <c r="C719" s="22">
        <f t="shared" si="6"/>
        <v>0</v>
      </c>
      <c r="D719" s="25"/>
      <c r="E719" s="22"/>
      <c r="F719" s="22" t="str">
        <f t="shared" si="8"/>
        <v>#DIV/0!</v>
      </c>
      <c r="G719" s="22" t="str">
        <f t="shared" si="31"/>
        <v>#DIV/0!</v>
      </c>
      <c r="H719" s="22" t="str">
        <f t="shared" si="32"/>
        <v>#DIV/0!</v>
      </c>
      <c r="I719" s="22" t="str">
        <f t="shared" si="3"/>
        <v>#DIV/0!</v>
      </c>
      <c r="J719" s="22" t="str">
        <f t="shared" si="33"/>
        <v>#DIV/0!</v>
      </c>
    </row>
    <row r="720" ht="15.75" customHeight="1">
      <c r="A720" s="25"/>
      <c r="B720" s="22"/>
      <c r="C720" s="22">
        <f t="shared" si="6"/>
        <v>0</v>
      </c>
      <c r="D720" s="25"/>
      <c r="E720" s="22"/>
      <c r="F720" s="22" t="str">
        <f t="shared" si="8"/>
        <v>#DIV/0!</v>
      </c>
      <c r="G720" s="22" t="str">
        <f t="shared" si="31"/>
        <v>#DIV/0!</v>
      </c>
      <c r="H720" s="22" t="str">
        <f t="shared" si="32"/>
        <v>#DIV/0!</v>
      </c>
      <c r="I720" s="22" t="str">
        <f t="shared" si="3"/>
        <v>#DIV/0!</v>
      </c>
      <c r="J720" s="22" t="str">
        <f t="shared" si="33"/>
        <v>#DIV/0!</v>
      </c>
    </row>
    <row r="721" ht="15.75" customHeight="1">
      <c r="A721" s="25"/>
      <c r="B721" s="22"/>
      <c r="C721" s="22">
        <f t="shared" si="6"/>
        <v>0</v>
      </c>
      <c r="D721" s="25"/>
      <c r="E721" s="22"/>
      <c r="F721" s="22" t="str">
        <f t="shared" si="8"/>
        <v>#DIV/0!</v>
      </c>
      <c r="G721" s="22" t="str">
        <f t="shared" si="31"/>
        <v>#DIV/0!</v>
      </c>
      <c r="H721" s="22" t="str">
        <f t="shared" si="32"/>
        <v>#DIV/0!</v>
      </c>
      <c r="I721" s="22" t="str">
        <f t="shared" si="3"/>
        <v>#DIV/0!</v>
      </c>
      <c r="J721" s="22" t="str">
        <f t="shared" si="33"/>
        <v>#DIV/0!</v>
      </c>
    </row>
    <row r="722" ht="15.75" customHeight="1">
      <c r="A722" s="25"/>
      <c r="B722" s="22"/>
      <c r="C722" s="22">
        <f t="shared" si="6"/>
        <v>0</v>
      </c>
      <c r="D722" s="25"/>
      <c r="E722" s="22"/>
      <c r="F722" s="22" t="str">
        <f t="shared" si="8"/>
        <v>#DIV/0!</v>
      </c>
      <c r="G722" s="22" t="str">
        <f t="shared" si="31"/>
        <v>#DIV/0!</v>
      </c>
      <c r="H722" s="22" t="str">
        <f t="shared" si="32"/>
        <v>#DIV/0!</v>
      </c>
      <c r="I722" s="22" t="str">
        <f t="shared" si="3"/>
        <v>#DIV/0!</v>
      </c>
      <c r="J722" s="22" t="str">
        <f t="shared" si="33"/>
        <v>#DIV/0!</v>
      </c>
    </row>
    <row r="723" ht="15.75" customHeight="1">
      <c r="A723" s="25"/>
      <c r="B723" s="22"/>
      <c r="C723" s="22">
        <f t="shared" si="6"/>
        <v>0</v>
      </c>
      <c r="D723" s="25"/>
      <c r="E723" s="22"/>
      <c r="F723" s="22" t="str">
        <f t="shared" si="8"/>
        <v>#DIV/0!</v>
      </c>
      <c r="G723" s="22" t="str">
        <f t="shared" si="31"/>
        <v>#DIV/0!</v>
      </c>
      <c r="H723" s="22" t="str">
        <f t="shared" si="32"/>
        <v>#DIV/0!</v>
      </c>
      <c r="I723" s="22" t="str">
        <f t="shared" si="3"/>
        <v>#DIV/0!</v>
      </c>
      <c r="J723" s="22" t="str">
        <f t="shared" si="33"/>
        <v>#DIV/0!</v>
      </c>
    </row>
    <row r="724" ht="15.75" customHeight="1">
      <c r="A724" s="25"/>
      <c r="B724" s="22"/>
      <c r="C724" s="22">
        <f t="shared" si="6"/>
        <v>0</v>
      </c>
      <c r="D724" s="25"/>
      <c r="E724" s="22"/>
      <c r="F724" s="22" t="str">
        <f t="shared" si="8"/>
        <v>#DIV/0!</v>
      </c>
      <c r="G724" s="22" t="str">
        <f t="shared" si="31"/>
        <v>#DIV/0!</v>
      </c>
      <c r="H724" s="22" t="str">
        <f t="shared" si="32"/>
        <v>#DIV/0!</v>
      </c>
      <c r="I724" s="22" t="str">
        <f t="shared" si="3"/>
        <v>#DIV/0!</v>
      </c>
      <c r="J724" s="22" t="str">
        <f t="shared" si="33"/>
        <v>#DIV/0!</v>
      </c>
    </row>
    <row r="725" ht="15.75" customHeight="1">
      <c r="A725" s="25"/>
      <c r="B725" s="22"/>
      <c r="C725" s="22">
        <f t="shared" si="6"/>
        <v>0</v>
      </c>
      <c r="D725" s="25"/>
      <c r="E725" s="22"/>
      <c r="F725" s="22" t="str">
        <f t="shared" si="8"/>
        <v>#DIV/0!</v>
      </c>
      <c r="G725" s="22" t="str">
        <f t="shared" si="31"/>
        <v>#DIV/0!</v>
      </c>
      <c r="H725" s="22" t="str">
        <f t="shared" si="32"/>
        <v>#DIV/0!</v>
      </c>
      <c r="I725" s="22" t="str">
        <f t="shared" si="3"/>
        <v>#DIV/0!</v>
      </c>
      <c r="J725" s="22" t="str">
        <f t="shared" si="33"/>
        <v>#DIV/0!</v>
      </c>
    </row>
    <row r="726" ht="15.75" customHeight="1">
      <c r="A726" s="25"/>
      <c r="B726" s="22"/>
      <c r="C726" s="22">
        <f t="shared" si="6"/>
        <v>0</v>
      </c>
      <c r="D726" s="25"/>
      <c r="E726" s="22"/>
      <c r="F726" s="22" t="str">
        <f t="shared" si="8"/>
        <v>#DIV/0!</v>
      </c>
      <c r="G726" s="22" t="str">
        <f t="shared" si="31"/>
        <v>#DIV/0!</v>
      </c>
      <c r="H726" s="22" t="str">
        <f t="shared" si="32"/>
        <v>#DIV/0!</v>
      </c>
      <c r="I726" s="22" t="str">
        <f t="shared" si="3"/>
        <v>#DIV/0!</v>
      </c>
      <c r="J726" s="22" t="str">
        <f t="shared" si="33"/>
        <v>#DIV/0!</v>
      </c>
    </row>
    <row r="727" ht="15.75" customHeight="1">
      <c r="A727" s="25"/>
      <c r="B727" s="22"/>
      <c r="C727" s="22">
        <f t="shared" si="6"/>
        <v>0</v>
      </c>
      <c r="D727" s="25"/>
      <c r="E727" s="22"/>
      <c r="F727" s="22" t="str">
        <f t="shared" si="8"/>
        <v>#DIV/0!</v>
      </c>
      <c r="G727" s="22" t="str">
        <f t="shared" si="31"/>
        <v>#DIV/0!</v>
      </c>
      <c r="H727" s="22" t="str">
        <f t="shared" si="32"/>
        <v>#DIV/0!</v>
      </c>
      <c r="I727" s="22" t="str">
        <f t="shared" si="3"/>
        <v>#DIV/0!</v>
      </c>
      <c r="J727" s="22" t="str">
        <f t="shared" si="33"/>
        <v>#DIV/0!</v>
      </c>
    </row>
    <row r="728" ht="15.75" customHeight="1">
      <c r="A728" s="25"/>
      <c r="B728" s="22"/>
      <c r="C728" s="22">
        <f t="shared" si="6"/>
        <v>0</v>
      </c>
      <c r="D728" s="25"/>
      <c r="E728" s="22"/>
      <c r="F728" s="22" t="str">
        <f t="shared" si="8"/>
        <v>#DIV/0!</v>
      </c>
      <c r="G728" s="22" t="str">
        <f t="shared" si="31"/>
        <v>#DIV/0!</v>
      </c>
      <c r="H728" s="22" t="str">
        <f t="shared" si="32"/>
        <v>#DIV/0!</v>
      </c>
      <c r="I728" s="22" t="str">
        <f t="shared" si="3"/>
        <v>#DIV/0!</v>
      </c>
      <c r="J728" s="22" t="str">
        <f t="shared" si="33"/>
        <v>#DIV/0!</v>
      </c>
    </row>
    <row r="729" ht="15.75" customHeight="1">
      <c r="A729" s="25"/>
      <c r="B729" s="22"/>
      <c r="C729" s="22">
        <f t="shared" si="6"/>
        <v>0</v>
      </c>
      <c r="D729" s="25"/>
      <c r="E729" s="22"/>
      <c r="F729" s="22" t="str">
        <f t="shared" si="8"/>
        <v>#DIV/0!</v>
      </c>
      <c r="G729" s="22" t="str">
        <f t="shared" si="31"/>
        <v>#DIV/0!</v>
      </c>
      <c r="H729" s="22" t="str">
        <f t="shared" si="32"/>
        <v>#DIV/0!</v>
      </c>
      <c r="I729" s="22" t="str">
        <f t="shared" si="3"/>
        <v>#DIV/0!</v>
      </c>
      <c r="J729" s="22" t="str">
        <f t="shared" si="33"/>
        <v>#DIV/0!</v>
      </c>
    </row>
    <row r="730" ht="15.75" customHeight="1">
      <c r="A730" s="25"/>
      <c r="B730" s="22"/>
      <c r="C730" s="22">
        <f t="shared" si="6"/>
        <v>0</v>
      </c>
      <c r="D730" s="25"/>
      <c r="E730" s="22"/>
      <c r="F730" s="22" t="str">
        <f t="shared" si="8"/>
        <v>#DIV/0!</v>
      </c>
      <c r="G730" s="22" t="str">
        <f t="shared" si="31"/>
        <v>#DIV/0!</v>
      </c>
      <c r="H730" s="22" t="str">
        <f t="shared" si="32"/>
        <v>#DIV/0!</v>
      </c>
      <c r="I730" s="22" t="str">
        <f t="shared" si="3"/>
        <v>#DIV/0!</v>
      </c>
      <c r="J730" s="22" t="str">
        <f t="shared" si="33"/>
        <v>#DIV/0!</v>
      </c>
    </row>
    <row r="731" ht="15.75" customHeight="1">
      <c r="A731" s="25"/>
      <c r="B731" s="22"/>
      <c r="C731" s="22">
        <f t="shared" si="6"/>
        <v>0</v>
      </c>
      <c r="D731" s="25"/>
      <c r="E731" s="22"/>
      <c r="F731" s="22" t="str">
        <f t="shared" si="8"/>
        <v>#DIV/0!</v>
      </c>
      <c r="G731" s="22" t="str">
        <f t="shared" si="31"/>
        <v>#DIV/0!</v>
      </c>
      <c r="H731" s="22" t="str">
        <f t="shared" si="32"/>
        <v>#DIV/0!</v>
      </c>
      <c r="I731" s="22" t="str">
        <f t="shared" si="3"/>
        <v>#DIV/0!</v>
      </c>
      <c r="J731" s="22" t="str">
        <f t="shared" si="33"/>
        <v>#DIV/0!</v>
      </c>
    </row>
    <row r="732" ht="15.75" customHeight="1">
      <c r="A732" s="25"/>
      <c r="B732" s="22"/>
      <c r="C732" s="22">
        <f t="shared" si="6"/>
        <v>0</v>
      </c>
      <c r="D732" s="25"/>
      <c r="E732" s="22"/>
      <c r="F732" s="22" t="str">
        <f t="shared" si="8"/>
        <v>#DIV/0!</v>
      </c>
      <c r="G732" s="22" t="str">
        <f t="shared" si="31"/>
        <v>#DIV/0!</v>
      </c>
      <c r="H732" s="22" t="str">
        <f t="shared" si="32"/>
        <v>#DIV/0!</v>
      </c>
      <c r="I732" s="22" t="str">
        <f t="shared" si="3"/>
        <v>#DIV/0!</v>
      </c>
      <c r="J732" s="22" t="str">
        <f t="shared" si="33"/>
        <v>#DIV/0!</v>
      </c>
    </row>
    <row r="733" ht="15.75" customHeight="1">
      <c r="A733" s="25"/>
      <c r="B733" s="22"/>
      <c r="C733" s="22">
        <f t="shared" si="6"/>
        <v>0</v>
      </c>
      <c r="D733" s="25"/>
      <c r="E733" s="22"/>
      <c r="F733" s="22" t="str">
        <f t="shared" si="8"/>
        <v>#DIV/0!</v>
      </c>
      <c r="G733" s="22" t="str">
        <f t="shared" si="31"/>
        <v>#DIV/0!</v>
      </c>
      <c r="H733" s="22" t="str">
        <f t="shared" si="32"/>
        <v>#DIV/0!</v>
      </c>
      <c r="I733" s="22" t="str">
        <f t="shared" si="3"/>
        <v>#DIV/0!</v>
      </c>
      <c r="J733" s="22" t="str">
        <f t="shared" si="33"/>
        <v>#DIV/0!</v>
      </c>
    </row>
    <row r="734" ht="15.75" customHeight="1">
      <c r="A734" s="25"/>
      <c r="B734" s="22"/>
      <c r="C734" s="22">
        <f t="shared" si="6"/>
        <v>0</v>
      </c>
      <c r="D734" s="25"/>
      <c r="E734" s="22"/>
      <c r="F734" s="22" t="str">
        <f t="shared" si="8"/>
        <v>#DIV/0!</v>
      </c>
      <c r="G734" s="22" t="str">
        <f t="shared" si="31"/>
        <v>#DIV/0!</v>
      </c>
      <c r="H734" s="22" t="str">
        <f t="shared" si="32"/>
        <v>#DIV/0!</v>
      </c>
      <c r="I734" s="22" t="str">
        <f t="shared" si="3"/>
        <v>#DIV/0!</v>
      </c>
      <c r="J734" s="22" t="str">
        <f t="shared" si="33"/>
        <v>#DIV/0!</v>
      </c>
    </row>
    <row r="735" ht="15.75" customHeight="1">
      <c r="A735" s="25"/>
      <c r="B735" s="22"/>
      <c r="C735" s="22">
        <f t="shared" si="6"/>
        <v>0</v>
      </c>
      <c r="D735" s="25"/>
      <c r="E735" s="22"/>
      <c r="F735" s="22" t="str">
        <f t="shared" si="8"/>
        <v>#DIV/0!</v>
      </c>
      <c r="G735" s="22" t="str">
        <f t="shared" si="31"/>
        <v>#DIV/0!</v>
      </c>
      <c r="H735" s="22" t="str">
        <f t="shared" si="32"/>
        <v>#DIV/0!</v>
      </c>
      <c r="I735" s="22" t="str">
        <f t="shared" si="3"/>
        <v>#DIV/0!</v>
      </c>
      <c r="J735" s="22" t="str">
        <f t="shared" si="33"/>
        <v>#DIV/0!</v>
      </c>
    </row>
    <row r="736" ht="15.75" customHeight="1">
      <c r="A736" s="25"/>
      <c r="B736" s="22"/>
      <c r="C736" s="22">
        <f t="shared" si="6"/>
        <v>0</v>
      </c>
      <c r="D736" s="25"/>
      <c r="E736" s="22"/>
      <c r="F736" s="22" t="str">
        <f t="shared" si="8"/>
        <v>#DIV/0!</v>
      </c>
      <c r="G736" s="22" t="str">
        <f t="shared" si="31"/>
        <v>#DIV/0!</v>
      </c>
      <c r="H736" s="22" t="str">
        <f t="shared" si="32"/>
        <v>#DIV/0!</v>
      </c>
      <c r="I736" s="22" t="str">
        <f t="shared" si="3"/>
        <v>#DIV/0!</v>
      </c>
      <c r="J736" s="22" t="str">
        <f t="shared" si="33"/>
        <v>#DIV/0!</v>
      </c>
    </row>
    <row r="737" ht="15.75" customHeight="1">
      <c r="A737" s="25"/>
      <c r="B737" s="22"/>
      <c r="C737" s="22">
        <f t="shared" si="6"/>
        <v>0</v>
      </c>
      <c r="D737" s="25"/>
      <c r="E737" s="22"/>
      <c r="F737" s="22" t="str">
        <f t="shared" si="8"/>
        <v>#DIV/0!</v>
      </c>
      <c r="G737" s="22" t="str">
        <f t="shared" si="31"/>
        <v>#DIV/0!</v>
      </c>
      <c r="H737" s="22" t="str">
        <f t="shared" si="32"/>
        <v>#DIV/0!</v>
      </c>
      <c r="I737" s="22" t="str">
        <f t="shared" si="3"/>
        <v>#DIV/0!</v>
      </c>
      <c r="J737" s="22" t="str">
        <f t="shared" si="33"/>
        <v>#DIV/0!</v>
      </c>
    </row>
    <row r="738" ht="15.75" customHeight="1">
      <c r="A738" s="25"/>
      <c r="B738" s="22"/>
      <c r="C738" s="22">
        <f t="shared" si="6"/>
        <v>0</v>
      </c>
      <c r="D738" s="25"/>
      <c r="E738" s="22"/>
      <c r="F738" s="22" t="str">
        <f t="shared" si="8"/>
        <v>#DIV/0!</v>
      </c>
      <c r="G738" s="22" t="str">
        <f t="shared" si="31"/>
        <v>#DIV/0!</v>
      </c>
      <c r="H738" s="22" t="str">
        <f t="shared" si="32"/>
        <v>#DIV/0!</v>
      </c>
      <c r="I738" s="22" t="str">
        <f t="shared" si="3"/>
        <v>#DIV/0!</v>
      </c>
      <c r="J738" s="22" t="str">
        <f t="shared" si="33"/>
        <v>#DIV/0!</v>
      </c>
    </row>
    <row r="739" ht="15.75" customHeight="1">
      <c r="A739" s="25"/>
      <c r="B739" s="22"/>
      <c r="C739" s="22">
        <f t="shared" si="6"/>
        <v>0</v>
      </c>
      <c r="D739" s="25"/>
      <c r="E739" s="22"/>
      <c r="F739" s="22" t="str">
        <f t="shared" si="8"/>
        <v>#DIV/0!</v>
      </c>
      <c r="G739" s="22" t="str">
        <f t="shared" si="31"/>
        <v>#DIV/0!</v>
      </c>
      <c r="H739" s="22" t="str">
        <f t="shared" si="32"/>
        <v>#DIV/0!</v>
      </c>
      <c r="I739" s="22" t="str">
        <f t="shared" si="3"/>
        <v>#DIV/0!</v>
      </c>
      <c r="J739" s="22" t="str">
        <f t="shared" si="33"/>
        <v>#DIV/0!</v>
      </c>
    </row>
    <row r="740" ht="15.75" customHeight="1">
      <c r="A740" s="25"/>
      <c r="B740" s="22"/>
      <c r="C740" s="22">
        <f t="shared" si="6"/>
        <v>0</v>
      </c>
      <c r="D740" s="25"/>
      <c r="E740" s="22"/>
      <c r="F740" s="22" t="str">
        <f t="shared" si="8"/>
        <v>#DIV/0!</v>
      </c>
      <c r="G740" s="22" t="str">
        <f t="shared" si="31"/>
        <v>#DIV/0!</v>
      </c>
      <c r="H740" s="22" t="str">
        <f t="shared" si="32"/>
        <v>#DIV/0!</v>
      </c>
      <c r="I740" s="22" t="str">
        <f t="shared" si="3"/>
        <v>#DIV/0!</v>
      </c>
      <c r="J740" s="22" t="str">
        <f t="shared" si="33"/>
        <v>#DIV/0!</v>
      </c>
    </row>
    <row r="741" ht="15.75" customHeight="1">
      <c r="A741" s="25"/>
      <c r="B741" s="22"/>
      <c r="C741" s="22">
        <f t="shared" si="6"/>
        <v>0</v>
      </c>
      <c r="D741" s="25"/>
      <c r="E741" s="22"/>
      <c r="F741" s="22" t="str">
        <f t="shared" si="8"/>
        <v>#DIV/0!</v>
      </c>
      <c r="G741" s="22" t="str">
        <f t="shared" si="31"/>
        <v>#DIV/0!</v>
      </c>
      <c r="H741" s="22" t="str">
        <f t="shared" si="32"/>
        <v>#DIV/0!</v>
      </c>
      <c r="I741" s="22" t="str">
        <f t="shared" si="3"/>
        <v>#DIV/0!</v>
      </c>
      <c r="J741" s="22" t="str">
        <f t="shared" si="33"/>
        <v>#DIV/0!</v>
      </c>
    </row>
    <row r="742" ht="15.75" customHeight="1">
      <c r="A742" s="25"/>
      <c r="B742" s="22"/>
      <c r="C742" s="22">
        <f t="shared" si="6"/>
        <v>0</v>
      </c>
      <c r="D742" s="25"/>
      <c r="E742" s="22"/>
      <c r="F742" s="22" t="str">
        <f t="shared" si="8"/>
        <v>#DIV/0!</v>
      </c>
      <c r="G742" s="22" t="str">
        <f t="shared" si="31"/>
        <v>#DIV/0!</v>
      </c>
      <c r="H742" s="22" t="str">
        <f t="shared" si="32"/>
        <v>#DIV/0!</v>
      </c>
      <c r="I742" s="22" t="str">
        <f t="shared" si="3"/>
        <v>#DIV/0!</v>
      </c>
      <c r="J742" s="22" t="str">
        <f t="shared" si="33"/>
        <v>#DIV/0!</v>
      </c>
    </row>
    <row r="743" ht="15.75" customHeight="1">
      <c r="A743" s="25"/>
      <c r="B743" s="22"/>
      <c r="C743" s="22">
        <f t="shared" si="6"/>
        <v>0</v>
      </c>
      <c r="D743" s="25"/>
      <c r="E743" s="22"/>
      <c r="F743" s="22" t="str">
        <f t="shared" si="8"/>
        <v>#DIV/0!</v>
      </c>
      <c r="G743" s="22" t="str">
        <f t="shared" si="31"/>
        <v>#DIV/0!</v>
      </c>
      <c r="H743" s="22" t="str">
        <f t="shared" si="32"/>
        <v>#DIV/0!</v>
      </c>
      <c r="I743" s="22" t="str">
        <f t="shared" si="3"/>
        <v>#DIV/0!</v>
      </c>
      <c r="J743" s="22" t="str">
        <f t="shared" si="33"/>
        <v>#DIV/0!</v>
      </c>
    </row>
    <row r="744" ht="15.75" customHeight="1">
      <c r="A744" s="25"/>
      <c r="B744" s="22"/>
      <c r="C744" s="22">
        <f t="shared" si="6"/>
        <v>0</v>
      </c>
      <c r="D744" s="25"/>
      <c r="E744" s="22"/>
      <c r="F744" s="22" t="str">
        <f t="shared" si="8"/>
        <v>#DIV/0!</v>
      </c>
      <c r="G744" s="22" t="str">
        <f t="shared" si="31"/>
        <v>#DIV/0!</v>
      </c>
      <c r="H744" s="22" t="str">
        <f t="shared" si="32"/>
        <v>#DIV/0!</v>
      </c>
      <c r="I744" s="22" t="str">
        <f t="shared" si="3"/>
        <v>#DIV/0!</v>
      </c>
      <c r="J744" s="22" t="str">
        <f t="shared" si="33"/>
        <v>#DIV/0!</v>
      </c>
    </row>
    <row r="745" ht="15.75" customHeight="1">
      <c r="A745" s="25"/>
      <c r="B745" s="22"/>
      <c r="C745" s="22">
        <f t="shared" si="6"/>
        <v>0</v>
      </c>
      <c r="D745" s="25"/>
      <c r="E745" s="22"/>
      <c r="F745" s="22" t="str">
        <f t="shared" si="8"/>
        <v>#DIV/0!</v>
      </c>
      <c r="G745" s="22" t="str">
        <f t="shared" si="31"/>
        <v>#DIV/0!</v>
      </c>
      <c r="H745" s="22" t="str">
        <f t="shared" si="32"/>
        <v>#DIV/0!</v>
      </c>
      <c r="I745" s="22" t="str">
        <f t="shared" si="3"/>
        <v>#DIV/0!</v>
      </c>
      <c r="J745" s="22" t="str">
        <f t="shared" si="33"/>
        <v>#DIV/0!</v>
      </c>
    </row>
    <row r="746" ht="15.75" customHeight="1">
      <c r="A746" s="25"/>
      <c r="B746" s="22"/>
      <c r="C746" s="22">
        <f t="shared" si="6"/>
        <v>0</v>
      </c>
      <c r="D746" s="25"/>
      <c r="E746" s="22"/>
      <c r="F746" s="22" t="str">
        <f t="shared" si="8"/>
        <v>#DIV/0!</v>
      </c>
      <c r="G746" s="22" t="str">
        <f t="shared" si="31"/>
        <v>#DIV/0!</v>
      </c>
      <c r="H746" s="22" t="str">
        <f t="shared" si="32"/>
        <v>#DIV/0!</v>
      </c>
      <c r="I746" s="22" t="str">
        <f t="shared" si="3"/>
        <v>#DIV/0!</v>
      </c>
      <c r="J746" s="22" t="str">
        <f t="shared" si="33"/>
        <v>#DIV/0!</v>
      </c>
    </row>
    <row r="747" ht="15.75" customHeight="1">
      <c r="A747" s="25"/>
      <c r="B747" s="22"/>
      <c r="C747" s="22">
        <f t="shared" si="6"/>
        <v>0</v>
      </c>
      <c r="D747" s="25"/>
      <c r="E747" s="22"/>
      <c r="F747" s="22" t="str">
        <f t="shared" si="8"/>
        <v>#DIV/0!</v>
      </c>
      <c r="G747" s="22" t="str">
        <f t="shared" si="31"/>
        <v>#DIV/0!</v>
      </c>
      <c r="H747" s="22" t="str">
        <f t="shared" si="32"/>
        <v>#DIV/0!</v>
      </c>
      <c r="I747" s="22" t="str">
        <f t="shared" si="3"/>
        <v>#DIV/0!</v>
      </c>
      <c r="J747" s="22" t="str">
        <f t="shared" si="33"/>
        <v>#DIV/0!</v>
      </c>
    </row>
    <row r="748" ht="15.75" customHeight="1">
      <c r="A748" s="25"/>
      <c r="B748" s="22"/>
      <c r="C748" s="22">
        <f t="shared" si="6"/>
        <v>0</v>
      </c>
      <c r="D748" s="25"/>
      <c r="E748" s="22"/>
      <c r="F748" s="22" t="str">
        <f t="shared" si="8"/>
        <v>#DIV/0!</v>
      </c>
      <c r="G748" s="22" t="str">
        <f t="shared" si="31"/>
        <v>#DIV/0!</v>
      </c>
      <c r="H748" s="22" t="str">
        <f t="shared" si="32"/>
        <v>#DIV/0!</v>
      </c>
      <c r="I748" s="22" t="str">
        <f t="shared" si="3"/>
        <v>#DIV/0!</v>
      </c>
      <c r="J748" s="22" t="str">
        <f t="shared" si="33"/>
        <v>#DIV/0!</v>
      </c>
    </row>
    <row r="749" ht="15.75" customHeight="1">
      <c r="A749" s="25"/>
      <c r="B749" s="22"/>
      <c r="C749" s="22">
        <f t="shared" si="6"/>
        <v>0</v>
      </c>
      <c r="D749" s="25"/>
      <c r="E749" s="22"/>
      <c r="F749" s="22" t="str">
        <f t="shared" si="8"/>
        <v>#DIV/0!</v>
      </c>
      <c r="G749" s="22" t="str">
        <f t="shared" si="31"/>
        <v>#DIV/0!</v>
      </c>
      <c r="H749" s="22" t="str">
        <f t="shared" si="32"/>
        <v>#DIV/0!</v>
      </c>
      <c r="I749" s="22" t="str">
        <f t="shared" si="3"/>
        <v>#DIV/0!</v>
      </c>
      <c r="J749" s="22" t="str">
        <f t="shared" si="33"/>
        <v>#DIV/0!</v>
      </c>
    </row>
    <row r="750" ht="15.75" customHeight="1">
      <c r="A750" s="25"/>
      <c r="B750" s="22"/>
      <c r="C750" s="22">
        <f t="shared" si="6"/>
        <v>0</v>
      </c>
      <c r="D750" s="25"/>
      <c r="E750" s="22"/>
      <c r="F750" s="22" t="str">
        <f t="shared" si="8"/>
        <v>#DIV/0!</v>
      </c>
      <c r="G750" s="22" t="str">
        <f t="shared" si="31"/>
        <v>#DIV/0!</v>
      </c>
      <c r="H750" s="22" t="str">
        <f t="shared" si="32"/>
        <v>#DIV/0!</v>
      </c>
      <c r="I750" s="22" t="str">
        <f t="shared" si="3"/>
        <v>#DIV/0!</v>
      </c>
      <c r="J750" s="22" t="str">
        <f t="shared" si="33"/>
        <v>#DIV/0!</v>
      </c>
    </row>
    <row r="751" ht="15.75" customHeight="1">
      <c r="A751" s="25"/>
      <c r="B751" s="22"/>
      <c r="C751" s="22">
        <f t="shared" si="6"/>
        <v>0</v>
      </c>
      <c r="D751" s="25"/>
      <c r="E751" s="22"/>
      <c r="F751" s="22" t="str">
        <f t="shared" si="8"/>
        <v>#DIV/0!</v>
      </c>
      <c r="G751" s="22" t="str">
        <f t="shared" si="31"/>
        <v>#DIV/0!</v>
      </c>
      <c r="H751" s="22" t="str">
        <f t="shared" si="32"/>
        <v>#DIV/0!</v>
      </c>
      <c r="I751" s="22" t="str">
        <f t="shared" si="3"/>
        <v>#DIV/0!</v>
      </c>
      <c r="J751" s="22" t="str">
        <f t="shared" si="33"/>
        <v>#DIV/0!</v>
      </c>
    </row>
    <row r="752" ht="15.75" customHeight="1">
      <c r="A752" s="25"/>
      <c r="B752" s="22"/>
      <c r="C752" s="22">
        <f t="shared" si="6"/>
        <v>0</v>
      </c>
      <c r="D752" s="25"/>
      <c r="E752" s="22"/>
      <c r="F752" s="22" t="str">
        <f t="shared" si="8"/>
        <v>#DIV/0!</v>
      </c>
      <c r="G752" s="22" t="str">
        <f t="shared" si="31"/>
        <v>#DIV/0!</v>
      </c>
      <c r="H752" s="22" t="str">
        <f t="shared" si="32"/>
        <v>#DIV/0!</v>
      </c>
      <c r="I752" s="22" t="str">
        <f t="shared" si="3"/>
        <v>#DIV/0!</v>
      </c>
      <c r="J752" s="22" t="str">
        <f t="shared" si="33"/>
        <v>#DIV/0!</v>
      </c>
    </row>
    <row r="753" ht="15.75" customHeight="1">
      <c r="A753" s="25"/>
      <c r="B753" s="22"/>
      <c r="C753" s="22">
        <f t="shared" si="6"/>
        <v>0</v>
      </c>
      <c r="D753" s="25"/>
      <c r="E753" s="22"/>
      <c r="F753" s="22" t="str">
        <f t="shared" si="8"/>
        <v>#DIV/0!</v>
      </c>
      <c r="G753" s="22" t="str">
        <f t="shared" si="31"/>
        <v>#DIV/0!</v>
      </c>
      <c r="H753" s="22" t="str">
        <f t="shared" si="32"/>
        <v>#DIV/0!</v>
      </c>
      <c r="I753" s="22" t="str">
        <f t="shared" si="3"/>
        <v>#DIV/0!</v>
      </c>
      <c r="J753" s="22" t="str">
        <f t="shared" si="33"/>
        <v>#DIV/0!</v>
      </c>
    </row>
    <row r="754" ht="15.75" customHeight="1">
      <c r="A754" s="25"/>
      <c r="B754" s="22"/>
      <c r="C754" s="22">
        <f t="shared" si="6"/>
        <v>0</v>
      </c>
      <c r="D754" s="25"/>
      <c r="E754" s="22"/>
      <c r="F754" s="22" t="str">
        <f t="shared" si="8"/>
        <v>#DIV/0!</v>
      </c>
      <c r="G754" s="22" t="str">
        <f t="shared" si="31"/>
        <v>#DIV/0!</v>
      </c>
      <c r="H754" s="22" t="str">
        <f t="shared" si="32"/>
        <v>#DIV/0!</v>
      </c>
      <c r="I754" s="22" t="str">
        <f t="shared" si="3"/>
        <v>#DIV/0!</v>
      </c>
      <c r="J754" s="22" t="str">
        <f t="shared" si="33"/>
        <v>#DIV/0!</v>
      </c>
    </row>
    <row r="755" ht="15.75" customHeight="1">
      <c r="A755" s="25"/>
      <c r="B755" s="22"/>
      <c r="C755" s="22">
        <f t="shared" si="6"/>
        <v>0</v>
      </c>
      <c r="D755" s="25"/>
      <c r="E755" s="22"/>
      <c r="F755" s="22" t="str">
        <f t="shared" si="8"/>
        <v>#DIV/0!</v>
      </c>
      <c r="G755" s="22" t="str">
        <f t="shared" si="31"/>
        <v>#DIV/0!</v>
      </c>
      <c r="H755" s="22" t="str">
        <f t="shared" si="32"/>
        <v>#DIV/0!</v>
      </c>
      <c r="I755" s="22" t="str">
        <f t="shared" si="3"/>
        <v>#DIV/0!</v>
      </c>
      <c r="J755" s="22" t="str">
        <f t="shared" si="33"/>
        <v>#DIV/0!</v>
      </c>
    </row>
    <row r="756" ht="15.75" customHeight="1">
      <c r="A756" s="25"/>
      <c r="B756" s="22"/>
      <c r="C756" s="22">
        <f t="shared" si="6"/>
        <v>0</v>
      </c>
      <c r="D756" s="25"/>
      <c r="E756" s="22"/>
      <c r="F756" s="22" t="str">
        <f t="shared" si="8"/>
        <v>#DIV/0!</v>
      </c>
      <c r="G756" s="22" t="str">
        <f t="shared" si="31"/>
        <v>#DIV/0!</v>
      </c>
      <c r="H756" s="22" t="str">
        <f t="shared" si="32"/>
        <v>#DIV/0!</v>
      </c>
      <c r="I756" s="22" t="str">
        <f t="shared" si="3"/>
        <v>#DIV/0!</v>
      </c>
      <c r="J756" s="22" t="str">
        <f t="shared" si="33"/>
        <v>#DIV/0!</v>
      </c>
    </row>
    <row r="757" ht="15.75" customHeight="1">
      <c r="A757" s="25"/>
      <c r="B757" s="22"/>
      <c r="C757" s="22">
        <f t="shared" si="6"/>
        <v>0</v>
      </c>
      <c r="D757" s="25"/>
      <c r="E757" s="22"/>
      <c r="F757" s="22" t="str">
        <f t="shared" si="8"/>
        <v>#DIV/0!</v>
      </c>
      <c r="G757" s="22" t="str">
        <f t="shared" si="31"/>
        <v>#DIV/0!</v>
      </c>
      <c r="H757" s="22" t="str">
        <f t="shared" si="32"/>
        <v>#DIV/0!</v>
      </c>
      <c r="I757" s="22" t="str">
        <f t="shared" si="3"/>
        <v>#DIV/0!</v>
      </c>
      <c r="J757" s="22" t="str">
        <f t="shared" si="33"/>
        <v>#DIV/0!</v>
      </c>
    </row>
    <row r="758" ht="15.75" customHeight="1">
      <c r="A758" s="25"/>
      <c r="B758" s="22"/>
      <c r="C758" s="22">
        <f t="shared" si="6"/>
        <v>0</v>
      </c>
      <c r="D758" s="25"/>
      <c r="E758" s="22"/>
      <c r="F758" s="22" t="str">
        <f t="shared" si="8"/>
        <v>#DIV/0!</v>
      </c>
      <c r="G758" s="22" t="str">
        <f t="shared" si="31"/>
        <v>#DIV/0!</v>
      </c>
      <c r="H758" s="22" t="str">
        <f t="shared" si="32"/>
        <v>#DIV/0!</v>
      </c>
      <c r="I758" s="22" t="str">
        <f t="shared" si="3"/>
        <v>#DIV/0!</v>
      </c>
      <c r="J758" s="22" t="str">
        <f t="shared" si="33"/>
        <v>#DIV/0!</v>
      </c>
    </row>
    <row r="759" ht="15.75" customHeight="1">
      <c r="A759" s="25"/>
      <c r="B759" s="22"/>
      <c r="C759" s="22">
        <f t="shared" si="6"/>
        <v>0</v>
      </c>
      <c r="D759" s="25"/>
      <c r="E759" s="22"/>
      <c r="F759" s="22" t="str">
        <f t="shared" si="8"/>
        <v>#DIV/0!</v>
      </c>
      <c r="G759" s="22" t="str">
        <f t="shared" si="31"/>
        <v>#DIV/0!</v>
      </c>
      <c r="H759" s="22" t="str">
        <f t="shared" si="32"/>
        <v>#DIV/0!</v>
      </c>
      <c r="I759" s="22" t="str">
        <f t="shared" si="3"/>
        <v>#DIV/0!</v>
      </c>
      <c r="J759" s="22" t="str">
        <f t="shared" si="33"/>
        <v>#DIV/0!</v>
      </c>
    </row>
    <row r="760" ht="15.75" customHeight="1">
      <c r="A760" s="25"/>
      <c r="B760" s="22"/>
      <c r="C760" s="22">
        <f t="shared" si="6"/>
        <v>0</v>
      </c>
      <c r="D760" s="25"/>
      <c r="E760" s="22"/>
      <c r="F760" s="22" t="str">
        <f t="shared" si="8"/>
        <v>#DIV/0!</v>
      </c>
      <c r="G760" s="22" t="str">
        <f t="shared" si="31"/>
        <v>#DIV/0!</v>
      </c>
      <c r="H760" s="22" t="str">
        <f t="shared" si="32"/>
        <v>#DIV/0!</v>
      </c>
      <c r="I760" s="22" t="str">
        <f t="shared" si="3"/>
        <v>#DIV/0!</v>
      </c>
      <c r="J760" s="22" t="str">
        <f t="shared" si="33"/>
        <v>#DIV/0!</v>
      </c>
    </row>
    <row r="761" ht="15.75" customHeight="1">
      <c r="A761" s="25"/>
      <c r="B761" s="22"/>
      <c r="C761" s="22">
        <f t="shared" si="6"/>
        <v>0</v>
      </c>
      <c r="D761" s="25"/>
      <c r="E761" s="22"/>
      <c r="F761" s="22" t="str">
        <f t="shared" si="8"/>
        <v>#DIV/0!</v>
      </c>
      <c r="G761" s="22" t="str">
        <f t="shared" si="31"/>
        <v>#DIV/0!</v>
      </c>
      <c r="H761" s="22" t="str">
        <f t="shared" si="32"/>
        <v>#DIV/0!</v>
      </c>
      <c r="I761" s="22" t="str">
        <f t="shared" si="3"/>
        <v>#DIV/0!</v>
      </c>
      <c r="J761" s="22" t="str">
        <f t="shared" si="33"/>
        <v>#DIV/0!</v>
      </c>
    </row>
    <row r="762" ht="15.75" customHeight="1">
      <c r="A762" s="25"/>
      <c r="B762" s="22"/>
      <c r="C762" s="22">
        <f t="shared" si="6"/>
        <v>0</v>
      </c>
      <c r="D762" s="25"/>
      <c r="E762" s="22"/>
      <c r="F762" s="22" t="str">
        <f t="shared" si="8"/>
        <v>#DIV/0!</v>
      </c>
      <c r="G762" s="22" t="str">
        <f t="shared" si="31"/>
        <v>#DIV/0!</v>
      </c>
      <c r="H762" s="22" t="str">
        <f t="shared" si="32"/>
        <v>#DIV/0!</v>
      </c>
      <c r="I762" s="22" t="str">
        <f t="shared" si="3"/>
        <v>#DIV/0!</v>
      </c>
      <c r="J762" s="22" t="str">
        <f t="shared" si="33"/>
        <v>#DIV/0!</v>
      </c>
    </row>
    <row r="763" ht="15.75" customHeight="1">
      <c r="A763" s="25"/>
      <c r="B763" s="22"/>
      <c r="C763" s="22">
        <f t="shared" si="6"/>
        <v>0</v>
      </c>
      <c r="D763" s="25"/>
      <c r="E763" s="22"/>
      <c r="F763" s="22" t="str">
        <f t="shared" si="8"/>
        <v>#DIV/0!</v>
      </c>
      <c r="G763" s="22" t="str">
        <f t="shared" si="31"/>
        <v>#DIV/0!</v>
      </c>
      <c r="H763" s="22" t="str">
        <f t="shared" si="32"/>
        <v>#DIV/0!</v>
      </c>
      <c r="I763" s="22" t="str">
        <f t="shared" si="3"/>
        <v>#DIV/0!</v>
      </c>
      <c r="J763" s="22" t="str">
        <f t="shared" si="33"/>
        <v>#DIV/0!</v>
      </c>
    </row>
    <row r="764" ht="15.75" customHeight="1">
      <c r="A764" s="25"/>
      <c r="B764" s="22"/>
      <c r="C764" s="22">
        <f t="shared" si="6"/>
        <v>0</v>
      </c>
      <c r="D764" s="25"/>
      <c r="E764" s="22"/>
      <c r="F764" s="22" t="str">
        <f t="shared" si="8"/>
        <v>#DIV/0!</v>
      </c>
      <c r="G764" s="22" t="str">
        <f t="shared" si="31"/>
        <v>#DIV/0!</v>
      </c>
      <c r="H764" s="22" t="str">
        <f t="shared" si="32"/>
        <v>#DIV/0!</v>
      </c>
      <c r="I764" s="22" t="str">
        <f t="shared" si="3"/>
        <v>#DIV/0!</v>
      </c>
      <c r="J764" s="22" t="str">
        <f t="shared" si="33"/>
        <v>#DIV/0!</v>
      </c>
    </row>
    <row r="765" ht="15.75" customHeight="1">
      <c r="A765" s="25"/>
      <c r="B765" s="22"/>
      <c r="C765" s="22">
        <f t="shared" si="6"/>
        <v>0</v>
      </c>
      <c r="D765" s="25"/>
      <c r="E765" s="22"/>
      <c r="F765" s="22" t="str">
        <f t="shared" si="8"/>
        <v>#DIV/0!</v>
      </c>
      <c r="G765" s="22" t="str">
        <f t="shared" si="31"/>
        <v>#DIV/0!</v>
      </c>
      <c r="H765" s="22" t="str">
        <f t="shared" si="32"/>
        <v>#DIV/0!</v>
      </c>
      <c r="I765" s="22" t="str">
        <f t="shared" si="3"/>
        <v>#DIV/0!</v>
      </c>
      <c r="J765" s="22" t="str">
        <f t="shared" si="33"/>
        <v>#DIV/0!</v>
      </c>
    </row>
    <row r="766" ht="15.75" customHeight="1">
      <c r="A766" s="25"/>
      <c r="B766" s="22"/>
      <c r="C766" s="22">
        <f t="shared" si="6"/>
        <v>0</v>
      </c>
      <c r="D766" s="25"/>
      <c r="E766" s="22"/>
      <c r="F766" s="22" t="str">
        <f t="shared" si="8"/>
        <v>#DIV/0!</v>
      </c>
      <c r="G766" s="22" t="str">
        <f t="shared" si="31"/>
        <v>#DIV/0!</v>
      </c>
      <c r="H766" s="22" t="str">
        <f t="shared" si="32"/>
        <v>#DIV/0!</v>
      </c>
      <c r="I766" s="22" t="str">
        <f t="shared" si="3"/>
        <v>#DIV/0!</v>
      </c>
      <c r="J766" s="22" t="str">
        <f t="shared" si="33"/>
        <v>#DIV/0!</v>
      </c>
    </row>
    <row r="767" ht="15.75" customHeight="1">
      <c r="A767" s="25"/>
      <c r="B767" s="22"/>
      <c r="C767" s="22">
        <f t="shared" si="6"/>
        <v>0</v>
      </c>
      <c r="D767" s="25"/>
      <c r="E767" s="22"/>
      <c r="F767" s="22" t="str">
        <f t="shared" si="8"/>
        <v>#DIV/0!</v>
      </c>
      <c r="G767" s="22" t="str">
        <f t="shared" si="31"/>
        <v>#DIV/0!</v>
      </c>
      <c r="H767" s="22" t="str">
        <f t="shared" si="32"/>
        <v>#DIV/0!</v>
      </c>
      <c r="I767" s="22" t="str">
        <f t="shared" si="3"/>
        <v>#DIV/0!</v>
      </c>
      <c r="J767" s="22" t="str">
        <f t="shared" si="33"/>
        <v>#DIV/0!</v>
      </c>
    </row>
    <row r="768" ht="15.75" customHeight="1">
      <c r="A768" s="25"/>
      <c r="B768" s="22"/>
      <c r="C768" s="22">
        <f t="shared" si="6"/>
        <v>0</v>
      </c>
      <c r="D768" s="25"/>
      <c r="E768" s="22"/>
      <c r="F768" s="22" t="str">
        <f t="shared" si="8"/>
        <v>#DIV/0!</v>
      </c>
      <c r="G768" s="22" t="str">
        <f t="shared" si="31"/>
        <v>#DIV/0!</v>
      </c>
      <c r="H768" s="22" t="str">
        <f t="shared" si="32"/>
        <v>#DIV/0!</v>
      </c>
      <c r="I768" s="22" t="str">
        <f t="shared" si="3"/>
        <v>#DIV/0!</v>
      </c>
      <c r="J768" s="22" t="str">
        <f t="shared" si="33"/>
        <v>#DIV/0!</v>
      </c>
    </row>
    <row r="769" ht="15.75" customHeight="1">
      <c r="A769" s="25"/>
      <c r="B769" s="22"/>
      <c r="C769" s="22">
        <f t="shared" si="6"/>
        <v>0</v>
      </c>
      <c r="D769" s="25"/>
      <c r="E769" s="22"/>
      <c r="F769" s="22" t="str">
        <f t="shared" si="8"/>
        <v>#DIV/0!</v>
      </c>
      <c r="G769" s="22" t="str">
        <f t="shared" si="31"/>
        <v>#DIV/0!</v>
      </c>
      <c r="H769" s="22" t="str">
        <f t="shared" si="32"/>
        <v>#DIV/0!</v>
      </c>
      <c r="I769" s="22" t="str">
        <f t="shared" si="3"/>
        <v>#DIV/0!</v>
      </c>
      <c r="J769" s="22" t="str">
        <f t="shared" si="33"/>
        <v>#DIV/0!</v>
      </c>
    </row>
    <row r="770" ht="15.75" customHeight="1">
      <c r="A770" s="25"/>
      <c r="B770" s="22"/>
      <c r="C770" s="22">
        <f t="shared" si="6"/>
        <v>0</v>
      </c>
      <c r="D770" s="25"/>
      <c r="E770" s="22"/>
      <c r="F770" s="22" t="str">
        <f t="shared" si="8"/>
        <v>#DIV/0!</v>
      </c>
      <c r="G770" s="22" t="str">
        <f t="shared" si="31"/>
        <v>#DIV/0!</v>
      </c>
      <c r="H770" s="22" t="str">
        <f t="shared" si="32"/>
        <v>#DIV/0!</v>
      </c>
      <c r="I770" s="22" t="str">
        <f t="shared" si="3"/>
        <v>#DIV/0!</v>
      </c>
      <c r="J770" s="22" t="str">
        <f t="shared" si="33"/>
        <v>#DIV/0!</v>
      </c>
    </row>
    <row r="771" ht="15.75" customHeight="1">
      <c r="A771" s="25"/>
      <c r="B771" s="22"/>
      <c r="C771" s="22">
        <f t="shared" si="6"/>
        <v>0</v>
      </c>
      <c r="D771" s="25"/>
      <c r="E771" s="22"/>
      <c r="F771" s="22" t="str">
        <f t="shared" si="8"/>
        <v>#DIV/0!</v>
      </c>
      <c r="G771" s="22" t="str">
        <f t="shared" si="31"/>
        <v>#DIV/0!</v>
      </c>
      <c r="H771" s="22" t="str">
        <f t="shared" si="32"/>
        <v>#DIV/0!</v>
      </c>
      <c r="I771" s="22" t="str">
        <f t="shared" si="3"/>
        <v>#DIV/0!</v>
      </c>
      <c r="J771" s="22" t="str">
        <f t="shared" si="33"/>
        <v>#DIV/0!</v>
      </c>
    </row>
    <row r="772" ht="15.75" customHeight="1">
      <c r="A772" s="25"/>
      <c r="B772" s="22"/>
      <c r="C772" s="22">
        <f t="shared" si="6"/>
        <v>0</v>
      </c>
      <c r="D772" s="25"/>
      <c r="E772" s="22"/>
      <c r="F772" s="22" t="str">
        <f t="shared" si="8"/>
        <v>#DIV/0!</v>
      </c>
      <c r="G772" s="22" t="str">
        <f t="shared" si="31"/>
        <v>#DIV/0!</v>
      </c>
      <c r="H772" s="22" t="str">
        <f t="shared" si="32"/>
        <v>#DIV/0!</v>
      </c>
      <c r="I772" s="22" t="str">
        <f t="shared" si="3"/>
        <v>#DIV/0!</v>
      </c>
      <c r="J772" s="22" t="str">
        <f t="shared" si="33"/>
        <v>#DIV/0!</v>
      </c>
    </row>
    <row r="773" ht="15.75" customHeight="1">
      <c r="A773" s="25"/>
      <c r="B773" s="22"/>
      <c r="C773" s="22">
        <f t="shared" si="6"/>
        <v>0</v>
      </c>
      <c r="D773" s="25"/>
      <c r="E773" s="22"/>
      <c r="F773" s="22" t="str">
        <f t="shared" si="8"/>
        <v>#DIV/0!</v>
      </c>
      <c r="G773" s="22" t="str">
        <f t="shared" si="31"/>
        <v>#DIV/0!</v>
      </c>
      <c r="H773" s="22" t="str">
        <f t="shared" si="32"/>
        <v>#DIV/0!</v>
      </c>
      <c r="I773" s="22" t="str">
        <f t="shared" si="3"/>
        <v>#DIV/0!</v>
      </c>
      <c r="J773" s="22" t="str">
        <f t="shared" si="33"/>
        <v>#DIV/0!</v>
      </c>
    </row>
    <row r="774" ht="15.75" customHeight="1">
      <c r="A774" s="25"/>
      <c r="B774" s="22"/>
      <c r="C774" s="22">
        <f t="shared" si="6"/>
        <v>0</v>
      </c>
      <c r="D774" s="25"/>
      <c r="E774" s="22"/>
      <c r="F774" s="22" t="str">
        <f t="shared" si="8"/>
        <v>#DIV/0!</v>
      </c>
      <c r="G774" s="22" t="str">
        <f t="shared" si="31"/>
        <v>#DIV/0!</v>
      </c>
      <c r="H774" s="22" t="str">
        <f t="shared" si="32"/>
        <v>#DIV/0!</v>
      </c>
      <c r="I774" s="22" t="str">
        <f t="shared" si="3"/>
        <v>#DIV/0!</v>
      </c>
      <c r="J774" s="22" t="str">
        <f t="shared" si="33"/>
        <v>#DIV/0!</v>
      </c>
    </row>
    <row r="775" ht="15.75" customHeight="1">
      <c r="A775" s="25"/>
      <c r="B775" s="22"/>
      <c r="C775" s="22">
        <f t="shared" si="6"/>
        <v>0</v>
      </c>
      <c r="D775" s="25"/>
      <c r="E775" s="22"/>
      <c r="F775" s="22" t="str">
        <f t="shared" si="8"/>
        <v>#DIV/0!</v>
      </c>
      <c r="G775" s="22" t="str">
        <f t="shared" si="31"/>
        <v>#DIV/0!</v>
      </c>
      <c r="H775" s="22" t="str">
        <f t="shared" si="32"/>
        <v>#DIV/0!</v>
      </c>
      <c r="I775" s="22" t="str">
        <f t="shared" si="3"/>
        <v>#DIV/0!</v>
      </c>
      <c r="J775" s="22" t="str">
        <f t="shared" si="33"/>
        <v>#DIV/0!</v>
      </c>
    </row>
    <row r="776" ht="15.75" customHeight="1">
      <c r="A776" s="25"/>
      <c r="B776" s="22"/>
      <c r="C776" s="22">
        <f t="shared" si="6"/>
        <v>0</v>
      </c>
      <c r="D776" s="25"/>
      <c r="E776" s="22"/>
      <c r="F776" s="22" t="str">
        <f t="shared" si="8"/>
        <v>#DIV/0!</v>
      </c>
      <c r="G776" s="22" t="str">
        <f t="shared" si="31"/>
        <v>#DIV/0!</v>
      </c>
      <c r="H776" s="22" t="str">
        <f t="shared" si="32"/>
        <v>#DIV/0!</v>
      </c>
      <c r="I776" s="22" t="str">
        <f t="shared" si="3"/>
        <v>#DIV/0!</v>
      </c>
      <c r="J776" s="22" t="str">
        <f t="shared" si="33"/>
        <v>#DIV/0!</v>
      </c>
    </row>
    <row r="777" ht="15.75" customHeight="1">
      <c r="A777" s="25"/>
      <c r="B777" s="22"/>
      <c r="C777" s="22">
        <f t="shared" si="6"/>
        <v>0</v>
      </c>
      <c r="D777" s="25"/>
      <c r="E777" s="22"/>
      <c r="F777" s="22" t="str">
        <f t="shared" si="8"/>
        <v>#DIV/0!</v>
      </c>
      <c r="G777" s="22" t="str">
        <f t="shared" si="31"/>
        <v>#DIV/0!</v>
      </c>
      <c r="H777" s="22" t="str">
        <f t="shared" si="32"/>
        <v>#DIV/0!</v>
      </c>
      <c r="I777" s="22" t="str">
        <f t="shared" si="3"/>
        <v>#DIV/0!</v>
      </c>
      <c r="J777" s="22" t="str">
        <f t="shared" si="33"/>
        <v>#DIV/0!</v>
      </c>
    </row>
    <row r="778" ht="15.75" customHeight="1">
      <c r="A778" s="25"/>
      <c r="B778" s="22"/>
      <c r="C778" s="22">
        <f t="shared" si="6"/>
        <v>0</v>
      </c>
      <c r="D778" s="25"/>
      <c r="E778" s="22"/>
      <c r="F778" s="22" t="str">
        <f t="shared" si="8"/>
        <v>#DIV/0!</v>
      </c>
      <c r="G778" s="22" t="str">
        <f t="shared" si="31"/>
        <v>#DIV/0!</v>
      </c>
      <c r="H778" s="22" t="str">
        <f t="shared" si="32"/>
        <v>#DIV/0!</v>
      </c>
      <c r="I778" s="22" t="str">
        <f t="shared" si="3"/>
        <v>#DIV/0!</v>
      </c>
      <c r="J778" s="22" t="str">
        <f t="shared" si="33"/>
        <v>#DIV/0!</v>
      </c>
    </row>
    <row r="779" ht="15.75" customHeight="1">
      <c r="A779" s="25"/>
      <c r="B779" s="22"/>
      <c r="C779" s="22">
        <f t="shared" si="6"/>
        <v>0</v>
      </c>
      <c r="D779" s="25"/>
      <c r="E779" s="22"/>
      <c r="F779" s="22" t="str">
        <f t="shared" si="8"/>
        <v>#DIV/0!</v>
      </c>
      <c r="G779" s="22" t="str">
        <f t="shared" si="31"/>
        <v>#DIV/0!</v>
      </c>
      <c r="H779" s="22" t="str">
        <f t="shared" si="32"/>
        <v>#DIV/0!</v>
      </c>
      <c r="I779" s="22" t="str">
        <f t="shared" si="3"/>
        <v>#DIV/0!</v>
      </c>
      <c r="J779" s="22" t="str">
        <f t="shared" si="33"/>
        <v>#DIV/0!</v>
      </c>
    </row>
    <row r="780" ht="15.75" customHeight="1">
      <c r="A780" s="25"/>
      <c r="B780" s="22"/>
      <c r="C780" s="22">
        <f t="shared" si="6"/>
        <v>0</v>
      </c>
      <c r="D780" s="25"/>
      <c r="E780" s="22"/>
      <c r="F780" s="22" t="str">
        <f t="shared" si="8"/>
        <v>#DIV/0!</v>
      </c>
      <c r="G780" s="22" t="str">
        <f t="shared" si="31"/>
        <v>#DIV/0!</v>
      </c>
      <c r="H780" s="22" t="str">
        <f t="shared" si="32"/>
        <v>#DIV/0!</v>
      </c>
      <c r="I780" s="22" t="str">
        <f t="shared" si="3"/>
        <v>#DIV/0!</v>
      </c>
      <c r="J780" s="22" t="str">
        <f t="shared" si="33"/>
        <v>#DIV/0!</v>
      </c>
    </row>
    <row r="781" ht="15.75" customHeight="1">
      <c r="A781" s="25"/>
      <c r="B781" s="22"/>
      <c r="C781" s="22">
        <f t="shared" si="6"/>
        <v>0</v>
      </c>
      <c r="D781" s="25"/>
      <c r="E781" s="22"/>
      <c r="F781" s="22" t="str">
        <f t="shared" si="8"/>
        <v>#DIV/0!</v>
      </c>
      <c r="G781" s="22" t="str">
        <f t="shared" si="31"/>
        <v>#DIV/0!</v>
      </c>
      <c r="H781" s="22" t="str">
        <f t="shared" si="32"/>
        <v>#DIV/0!</v>
      </c>
      <c r="I781" s="22" t="str">
        <f t="shared" si="3"/>
        <v>#DIV/0!</v>
      </c>
      <c r="J781" s="22" t="str">
        <f t="shared" si="33"/>
        <v>#DIV/0!</v>
      </c>
    </row>
    <row r="782" ht="15.75" customHeight="1">
      <c r="A782" s="25"/>
      <c r="B782" s="22"/>
      <c r="C782" s="22">
        <f t="shared" si="6"/>
        <v>0</v>
      </c>
      <c r="D782" s="25"/>
      <c r="E782" s="22"/>
      <c r="F782" s="22" t="str">
        <f t="shared" si="8"/>
        <v>#DIV/0!</v>
      </c>
      <c r="G782" s="22" t="str">
        <f t="shared" si="31"/>
        <v>#DIV/0!</v>
      </c>
      <c r="H782" s="22" t="str">
        <f t="shared" si="32"/>
        <v>#DIV/0!</v>
      </c>
      <c r="I782" s="22" t="str">
        <f t="shared" si="3"/>
        <v>#DIV/0!</v>
      </c>
      <c r="J782" s="22" t="str">
        <f t="shared" si="33"/>
        <v>#DIV/0!</v>
      </c>
    </row>
    <row r="783" ht="15.75" customHeight="1">
      <c r="A783" s="25"/>
      <c r="B783" s="22"/>
      <c r="C783" s="22">
        <f t="shared" si="6"/>
        <v>0</v>
      </c>
      <c r="D783" s="25"/>
      <c r="E783" s="22"/>
      <c r="F783" s="22" t="str">
        <f t="shared" si="8"/>
        <v>#DIV/0!</v>
      </c>
      <c r="G783" s="22" t="str">
        <f t="shared" si="31"/>
        <v>#DIV/0!</v>
      </c>
      <c r="H783" s="22" t="str">
        <f t="shared" si="32"/>
        <v>#DIV/0!</v>
      </c>
      <c r="I783" s="22" t="str">
        <f t="shared" si="3"/>
        <v>#DIV/0!</v>
      </c>
      <c r="J783" s="22" t="str">
        <f t="shared" si="33"/>
        <v>#DIV/0!</v>
      </c>
    </row>
    <row r="784" ht="15.75" customHeight="1">
      <c r="A784" s="25"/>
      <c r="B784" s="22"/>
      <c r="C784" s="22">
        <f t="shared" si="6"/>
        <v>0</v>
      </c>
      <c r="D784" s="25"/>
      <c r="E784" s="22"/>
      <c r="F784" s="22" t="str">
        <f t="shared" si="8"/>
        <v>#DIV/0!</v>
      </c>
      <c r="G784" s="22" t="str">
        <f t="shared" si="31"/>
        <v>#DIV/0!</v>
      </c>
      <c r="H784" s="22" t="str">
        <f t="shared" si="32"/>
        <v>#DIV/0!</v>
      </c>
      <c r="I784" s="22" t="str">
        <f t="shared" si="3"/>
        <v>#DIV/0!</v>
      </c>
      <c r="J784" s="22" t="str">
        <f t="shared" si="33"/>
        <v>#DIV/0!</v>
      </c>
    </row>
    <row r="785" ht="15.75" customHeight="1">
      <c r="A785" s="25"/>
      <c r="B785" s="22"/>
      <c r="C785" s="22">
        <f t="shared" si="6"/>
        <v>0</v>
      </c>
      <c r="D785" s="25"/>
      <c r="E785" s="22"/>
      <c r="F785" s="22" t="str">
        <f t="shared" si="8"/>
        <v>#DIV/0!</v>
      </c>
      <c r="G785" s="22" t="str">
        <f t="shared" si="31"/>
        <v>#DIV/0!</v>
      </c>
      <c r="H785" s="22" t="str">
        <f t="shared" si="32"/>
        <v>#DIV/0!</v>
      </c>
      <c r="I785" s="22" t="str">
        <f t="shared" si="3"/>
        <v>#DIV/0!</v>
      </c>
      <c r="J785" s="22" t="str">
        <f t="shared" si="33"/>
        <v>#DIV/0!</v>
      </c>
    </row>
    <row r="786" ht="15.75" customHeight="1">
      <c r="A786" s="25"/>
      <c r="B786" s="22"/>
      <c r="C786" s="22">
        <f t="shared" si="6"/>
        <v>0</v>
      </c>
      <c r="D786" s="25"/>
      <c r="E786" s="22"/>
      <c r="F786" s="22" t="str">
        <f t="shared" si="8"/>
        <v>#DIV/0!</v>
      </c>
      <c r="G786" s="22" t="str">
        <f t="shared" si="31"/>
        <v>#DIV/0!</v>
      </c>
      <c r="H786" s="22" t="str">
        <f t="shared" si="32"/>
        <v>#DIV/0!</v>
      </c>
      <c r="I786" s="22" t="str">
        <f t="shared" si="3"/>
        <v>#DIV/0!</v>
      </c>
      <c r="J786" s="22" t="str">
        <f t="shared" si="33"/>
        <v>#DIV/0!</v>
      </c>
    </row>
    <row r="787" ht="15.75" customHeight="1">
      <c r="A787" s="25"/>
      <c r="B787" s="22"/>
      <c r="C787" s="22">
        <f t="shared" si="6"/>
        <v>0</v>
      </c>
      <c r="D787" s="25"/>
      <c r="E787" s="22"/>
      <c r="F787" s="22" t="str">
        <f t="shared" si="8"/>
        <v>#DIV/0!</v>
      </c>
      <c r="G787" s="22" t="str">
        <f t="shared" si="31"/>
        <v>#DIV/0!</v>
      </c>
      <c r="H787" s="22" t="str">
        <f t="shared" si="32"/>
        <v>#DIV/0!</v>
      </c>
      <c r="I787" s="22" t="str">
        <f t="shared" si="3"/>
        <v>#DIV/0!</v>
      </c>
      <c r="J787" s="22" t="str">
        <f t="shared" si="33"/>
        <v>#DIV/0!</v>
      </c>
    </row>
    <row r="788" ht="15.75" customHeight="1">
      <c r="A788" s="25"/>
      <c r="B788" s="22"/>
      <c r="C788" s="22">
        <f t="shared" si="6"/>
        <v>0</v>
      </c>
      <c r="D788" s="25"/>
      <c r="E788" s="22"/>
      <c r="F788" s="22" t="str">
        <f t="shared" si="8"/>
        <v>#DIV/0!</v>
      </c>
      <c r="G788" s="22" t="str">
        <f t="shared" si="31"/>
        <v>#DIV/0!</v>
      </c>
      <c r="H788" s="22" t="str">
        <f t="shared" si="32"/>
        <v>#DIV/0!</v>
      </c>
      <c r="I788" s="22" t="str">
        <f t="shared" si="3"/>
        <v>#DIV/0!</v>
      </c>
      <c r="J788" s="22" t="str">
        <f t="shared" si="33"/>
        <v>#DIV/0!</v>
      </c>
    </row>
    <row r="789" ht="15.75" customHeight="1">
      <c r="A789" s="25"/>
      <c r="B789" s="22"/>
      <c r="C789" s="22">
        <f t="shared" si="6"/>
        <v>0</v>
      </c>
      <c r="D789" s="25"/>
      <c r="E789" s="22"/>
      <c r="F789" s="22" t="str">
        <f t="shared" si="8"/>
        <v>#DIV/0!</v>
      </c>
      <c r="G789" s="22" t="str">
        <f t="shared" si="31"/>
        <v>#DIV/0!</v>
      </c>
      <c r="H789" s="22" t="str">
        <f t="shared" si="32"/>
        <v>#DIV/0!</v>
      </c>
      <c r="I789" s="22" t="str">
        <f t="shared" si="3"/>
        <v>#DIV/0!</v>
      </c>
      <c r="J789" s="22" t="str">
        <f t="shared" si="33"/>
        <v>#DIV/0!</v>
      </c>
    </row>
    <row r="790" ht="15.75" customHeight="1">
      <c r="A790" s="25"/>
      <c r="B790" s="22"/>
      <c r="C790" s="22">
        <f t="shared" si="6"/>
        <v>0</v>
      </c>
      <c r="D790" s="25"/>
      <c r="E790" s="22"/>
      <c r="F790" s="22" t="str">
        <f t="shared" si="8"/>
        <v>#DIV/0!</v>
      </c>
      <c r="G790" s="22" t="str">
        <f t="shared" si="31"/>
        <v>#DIV/0!</v>
      </c>
      <c r="H790" s="22" t="str">
        <f t="shared" si="32"/>
        <v>#DIV/0!</v>
      </c>
      <c r="I790" s="22" t="str">
        <f t="shared" si="3"/>
        <v>#DIV/0!</v>
      </c>
      <c r="J790" s="22" t="str">
        <f t="shared" si="33"/>
        <v>#DIV/0!</v>
      </c>
    </row>
    <row r="791" ht="15.75" customHeight="1">
      <c r="A791" s="25"/>
      <c r="B791" s="22"/>
      <c r="C791" s="22">
        <f t="shared" si="6"/>
        <v>0</v>
      </c>
      <c r="D791" s="25"/>
      <c r="E791" s="22"/>
      <c r="F791" s="22" t="str">
        <f t="shared" si="8"/>
        <v>#DIV/0!</v>
      </c>
      <c r="G791" s="22" t="str">
        <f t="shared" si="31"/>
        <v>#DIV/0!</v>
      </c>
      <c r="H791" s="22" t="str">
        <f t="shared" si="32"/>
        <v>#DIV/0!</v>
      </c>
      <c r="I791" s="22" t="str">
        <f t="shared" si="3"/>
        <v>#DIV/0!</v>
      </c>
      <c r="J791" s="22" t="str">
        <f t="shared" si="33"/>
        <v>#DIV/0!</v>
      </c>
    </row>
    <row r="792" ht="15.75" customHeight="1">
      <c r="A792" s="25"/>
      <c r="B792" s="22"/>
      <c r="C792" s="22">
        <f t="shared" si="6"/>
        <v>0</v>
      </c>
      <c r="D792" s="25"/>
      <c r="E792" s="22"/>
      <c r="F792" s="22" t="str">
        <f t="shared" si="8"/>
        <v>#DIV/0!</v>
      </c>
      <c r="G792" s="22" t="str">
        <f t="shared" si="31"/>
        <v>#DIV/0!</v>
      </c>
      <c r="H792" s="22" t="str">
        <f t="shared" si="32"/>
        <v>#DIV/0!</v>
      </c>
      <c r="I792" s="22" t="str">
        <f t="shared" si="3"/>
        <v>#DIV/0!</v>
      </c>
      <c r="J792" s="22" t="str">
        <f t="shared" si="33"/>
        <v>#DIV/0!</v>
      </c>
    </row>
    <row r="793" ht="15.75" customHeight="1">
      <c r="A793" s="25"/>
      <c r="B793" s="22"/>
      <c r="C793" s="22">
        <f t="shared" si="6"/>
        <v>0</v>
      </c>
      <c r="D793" s="25"/>
      <c r="E793" s="22"/>
      <c r="F793" s="22" t="str">
        <f t="shared" si="8"/>
        <v>#DIV/0!</v>
      </c>
      <c r="G793" s="22" t="str">
        <f t="shared" si="31"/>
        <v>#DIV/0!</v>
      </c>
      <c r="H793" s="22" t="str">
        <f t="shared" si="32"/>
        <v>#DIV/0!</v>
      </c>
      <c r="I793" s="22" t="str">
        <f t="shared" si="3"/>
        <v>#DIV/0!</v>
      </c>
      <c r="J793" s="22" t="str">
        <f t="shared" si="33"/>
        <v>#DIV/0!</v>
      </c>
    </row>
    <row r="794" ht="15.75" customHeight="1">
      <c r="A794" s="25"/>
      <c r="B794" s="22"/>
      <c r="C794" s="22">
        <f t="shared" si="6"/>
        <v>0</v>
      </c>
      <c r="D794" s="25"/>
      <c r="E794" s="22"/>
      <c r="F794" s="22" t="str">
        <f t="shared" si="8"/>
        <v>#DIV/0!</v>
      </c>
      <c r="G794" s="22" t="str">
        <f t="shared" si="31"/>
        <v>#DIV/0!</v>
      </c>
      <c r="H794" s="22" t="str">
        <f t="shared" si="32"/>
        <v>#DIV/0!</v>
      </c>
      <c r="I794" s="22" t="str">
        <f t="shared" si="3"/>
        <v>#DIV/0!</v>
      </c>
      <c r="J794" s="22" t="str">
        <f t="shared" si="33"/>
        <v>#DIV/0!</v>
      </c>
    </row>
    <row r="795" ht="15.75" customHeight="1">
      <c r="A795" s="25"/>
      <c r="B795" s="22"/>
      <c r="C795" s="22">
        <f t="shared" si="6"/>
        <v>0</v>
      </c>
      <c r="D795" s="25"/>
      <c r="E795" s="22"/>
      <c r="F795" s="22" t="str">
        <f t="shared" si="8"/>
        <v>#DIV/0!</v>
      </c>
      <c r="G795" s="22" t="str">
        <f t="shared" si="31"/>
        <v>#DIV/0!</v>
      </c>
      <c r="H795" s="22" t="str">
        <f t="shared" si="32"/>
        <v>#DIV/0!</v>
      </c>
      <c r="I795" s="22" t="str">
        <f t="shared" si="3"/>
        <v>#DIV/0!</v>
      </c>
      <c r="J795" s="22" t="str">
        <f t="shared" si="33"/>
        <v>#DIV/0!</v>
      </c>
    </row>
    <row r="796" ht="15.75" customHeight="1">
      <c r="A796" s="25"/>
      <c r="B796" s="22"/>
      <c r="C796" s="22">
        <f t="shared" si="6"/>
        <v>0</v>
      </c>
      <c r="D796" s="25"/>
      <c r="E796" s="22"/>
      <c r="F796" s="22" t="str">
        <f t="shared" si="8"/>
        <v>#DIV/0!</v>
      </c>
      <c r="G796" s="22" t="str">
        <f t="shared" si="31"/>
        <v>#DIV/0!</v>
      </c>
      <c r="H796" s="22" t="str">
        <f t="shared" si="32"/>
        <v>#DIV/0!</v>
      </c>
      <c r="I796" s="22" t="str">
        <f t="shared" si="3"/>
        <v>#DIV/0!</v>
      </c>
      <c r="J796" s="22" t="str">
        <f t="shared" si="33"/>
        <v>#DIV/0!</v>
      </c>
    </row>
    <row r="797" ht="15.75" customHeight="1">
      <c r="A797" s="25"/>
      <c r="B797" s="22"/>
      <c r="C797" s="22">
        <f t="shared" si="6"/>
        <v>0</v>
      </c>
      <c r="D797" s="25"/>
      <c r="E797" s="22"/>
      <c r="F797" s="22" t="str">
        <f t="shared" si="8"/>
        <v>#DIV/0!</v>
      </c>
      <c r="G797" s="22" t="str">
        <f t="shared" si="31"/>
        <v>#DIV/0!</v>
      </c>
      <c r="H797" s="22" t="str">
        <f t="shared" si="32"/>
        <v>#DIV/0!</v>
      </c>
      <c r="I797" s="22" t="str">
        <f t="shared" si="3"/>
        <v>#DIV/0!</v>
      </c>
      <c r="J797" s="22" t="str">
        <f t="shared" si="33"/>
        <v>#DIV/0!</v>
      </c>
    </row>
    <row r="798" ht="15.75" customHeight="1">
      <c r="A798" s="25"/>
      <c r="B798" s="22"/>
      <c r="C798" s="22">
        <f t="shared" si="6"/>
        <v>0</v>
      </c>
      <c r="D798" s="25"/>
      <c r="E798" s="22"/>
      <c r="F798" s="22" t="str">
        <f t="shared" si="8"/>
        <v>#DIV/0!</v>
      </c>
      <c r="G798" s="22" t="str">
        <f t="shared" si="31"/>
        <v>#DIV/0!</v>
      </c>
      <c r="H798" s="22" t="str">
        <f t="shared" si="32"/>
        <v>#DIV/0!</v>
      </c>
      <c r="I798" s="22" t="str">
        <f t="shared" si="3"/>
        <v>#DIV/0!</v>
      </c>
      <c r="J798" s="22" t="str">
        <f t="shared" si="33"/>
        <v>#DIV/0!</v>
      </c>
    </row>
    <row r="799" ht="15.75" customHeight="1">
      <c r="A799" s="25"/>
      <c r="B799" s="22"/>
      <c r="C799" s="22">
        <f t="shared" si="6"/>
        <v>0</v>
      </c>
      <c r="D799" s="25"/>
      <c r="E799" s="22"/>
      <c r="F799" s="22" t="str">
        <f t="shared" si="8"/>
        <v>#DIV/0!</v>
      </c>
      <c r="G799" s="22" t="str">
        <f t="shared" si="31"/>
        <v>#DIV/0!</v>
      </c>
      <c r="H799" s="22" t="str">
        <f t="shared" si="32"/>
        <v>#DIV/0!</v>
      </c>
      <c r="I799" s="22" t="str">
        <f t="shared" si="3"/>
        <v>#DIV/0!</v>
      </c>
      <c r="J799" s="22" t="str">
        <f t="shared" si="33"/>
        <v>#DIV/0!</v>
      </c>
    </row>
    <row r="800" ht="15.75" customHeight="1">
      <c r="A800" s="25"/>
      <c r="B800" s="22"/>
      <c r="C800" s="22">
        <f t="shared" si="6"/>
        <v>0</v>
      </c>
      <c r="D800" s="25"/>
      <c r="E800" s="22"/>
      <c r="F800" s="22" t="str">
        <f t="shared" si="8"/>
        <v>#DIV/0!</v>
      </c>
      <c r="G800" s="22" t="str">
        <f t="shared" si="31"/>
        <v>#DIV/0!</v>
      </c>
      <c r="H800" s="22" t="str">
        <f t="shared" si="32"/>
        <v>#DIV/0!</v>
      </c>
      <c r="I800" s="22" t="str">
        <f t="shared" si="3"/>
        <v>#DIV/0!</v>
      </c>
      <c r="J800" s="22" t="str">
        <f t="shared" si="33"/>
        <v>#DIV/0!</v>
      </c>
    </row>
    <row r="801" ht="15.75" customHeight="1">
      <c r="A801" s="25"/>
      <c r="B801" s="22"/>
      <c r="C801" s="22">
        <f t="shared" si="6"/>
        <v>0</v>
      </c>
      <c r="D801" s="25"/>
      <c r="E801" s="22"/>
      <c r="F801" s="22" t="str">
        <f t="shared" si="8"/>
        <v>#DIV/0!</v>
      </c>
      <c r="G801" s="22" t="str">
        <f t="shared" si="31"/>
        <v>#DIV/0!</v>
      </c>
      <c r="H801" s="22" t="str">
        <f t="shared" si="32"/>
        <v>#DIV/0!</v>
      </c>
      <c r="I801" s="22" t="str">
        <f t="shared" si="3"/>
        <v>#DIV/0!</v>
      </c>
      <c r="J801" s="22" t="str">
        <f t="shared" si="33"/>
        <v>#DIV/0!</v>
      </c>
    </row>
    <row r="802" ht="15.75" customHeight="1">
      <c r="A802" s="25"/>
      <c r="B802" s="22"/>
      <c r="C802" s="22">
        <f t="shared" si="6"/>
        <v>0</v>
      </c>
      <c r="D802" s="25"/>
      <c r="E802" s="22"/>
      <c r="F802" s="22" t="str">
        <f t="shared" si="8"/>
        <v>#DIV/0!</v>
      </c>
      <c r="G802" s="22" t="str">
        <f t="shared" si="31"/>
        <v>#DIV/0!</v>
      </c>
      <c r="H802" s="22" t="str">
        <f t="shared" si="32"/>
        <v>#DIV/0!</v>
      </c>
      <c r="I802" s="22" t="str">
        <f t="shared" si="3"/>
        <v>#DIV/0!</v>
      </c>
      <c r="J802" s="22" t="str">
        <f t="shared" si="33"/>
        <v>#DIV/0!</v>
      </c>
    </row>
    <row r="803" ht="15.75" customHeight="1">
      <c r="A803" s="25"/>
      <c r="B803" s="22"/>
      <c r="C803" s="22">
        <f t="shared" si="6"/>
        <v>0</v>
      </c>
      <c r="D803" s="25"/>
      <c r="E803" s="22"/>
      <c r="F803" s="22" t="str">
        <f t="shared" si="8"/>
        <v>#DIV/0!</v>
      </c>
      <c r="G803" s="22" t="str">
        <f t="shared" si="31"/>
        <v>#DIV/0!</v>
      </c>
      <c r="H803" s="22" t="str">
        <f t="shared" si="32"/>
        <v>#DIV/0!</v>
      </c>
      <c r="I803" s="22" t="str">
        <f t="shared" si="3"/>
        <v>#DIV/0!</v>
      </c>
      <c r="J803" s="22" t="str">
        <f t="shared" si="33"/>
        <v>#DIV/0!</v>
      </c>
    </row>
    <row r="804" ht="15.75" customHeight="1">
      <c r="A804" s="25"/>
      <c r="B804" s="22"/>
      <c r="C804" s="22">
        <f t="shared" si="6"/>
        <v>0</v>
      </c>
      <c r="D804" s="25"/>
      <c r="E804" s="22"/>
      <c r="F804" s="22" t="str">
        <f t="shared" si="8"/>
        <v>#DIV/0!</v>
      </c>
      <c r="G804" s="22" t="str">
        <f t="shared" si="31"/>
        <v>#DIV/0!</v>
      </c>
      <c r="H804" s="22" t="str">
        <f t="shared" si="32"/>
        <v>#DIV/0!</v>
      </c>
      <c r="I804" s="22" t="str">
        <f t="shared" si="3"/>
        <v>#DIV/0!</v>
      </c>
      <c r="J804" s="22" t="str">
        <f t="shared" si="33"/>
        <v>#DIV/0!</v>
      </c>
    </row>
    <row r="805" ht="15.75" customHeight="1">
      <c r="A805" s="25"/>
      <c r="B805" s="22"/>
      <c r="C805" s="22">
        <f t="shared" si="6"/>
        <v>0</v>
      </c>
      <c r="D805" s="25"/>
      <c r="E805" s="22"/>
      <c r="F805" s="22" t="str">
        <f t="shared" si="8"/>
        <v>#DIV/0!</v>
      </c>
      <c r="G805" s="22" t="str">
        <f t="shared" si="31"/>
        <v>#DIV/0!</v>
      </c>
      <c r="H805" s="22" t="str">
        <f t="shared" si="32"/>
        <v>#DIV/0!</v>
      </c>
      <c r="I805" s="22" t="str">
        <f t="shared" si="3"/>
        <v>#DIV/0!</v>
      </c>
      <c r="J805" s="22" t="str">
        <f t="shared" si="33"/>
        <v>#DIV/0!</v>
      </c>
    </row>
    <row r="806" ht="15.75" customHeight="1">
      <c r="A806" s="25"/>
      <c r="B806" s="22"/>
      <c r="C806" s="22">
        <f t="shared" si="6"/>
        <v>0</v>
      </c>
      <c r="D806" s="25"/>
      <c r="E806" s="22"/>
      <c r="F806" s="22" t="str">
        <f t="shared" si="8"/>
        <v>#DIV/0!</v>
      </c>
      <c r="G806" s="22" t="str">
        <f t="shared" si="31"/>
        <v>#DIV/0!</v>
      </c>
      <c r="H806" s="22" t="str">
        <f t="shared" si="32"/>
        <v>#DIV/0!</v>
      </c>
      <c r="I806" s="22" t="str">
        <f t="shared" si="3"/>
        <v>#DIV/0!</v>
      </c>
      <c r="J806" s="22" t="str">
        <f t="shared" si="33"/>
        <v>#DIV/0!</v>
      </c>
    </row>
    <row r="807" ht="15.75" customHeight="1">
      <c r="A807" s="25"/>
      <c r="B807" s="22"/>
      <c r="C807" s="22">
        <f t="shared" si="6"/>
        <v>0</v>
      </c>
      <c r="D807" s="25"/>
      <c r="E807" s="22"/>
      <c r="F807" s="22" t="str">
        <f t="shared" si="8"/>
        <v>#DIV/0!</v>
      </c>
      <c r="G807" s="22" t="str">
        <f t="shared" si="31"/>
        <v>#DIV/0!</v>
      </c>
      <c r="H807" s="22" t="str">
        <f t="shared" si="32"/>
        <v>#DIV/0!</v>
      </c>
      <c r="I807" s="22" t="str">
        <f t="shared" si="3"/>
        <v>#DIV/0!</v>
      </c>
      <c r="J807" s="22" t="str">
        <f t="shared" si="33"/>
        <v>#DIV/0!</v>
      </c>
    </row>
    <row r="808" ht="15.75" customHeight="1">
      <c r="A808" s="25"/>
      <c r="B808" s="22"/>
      <c r="C808" s="22">
        <f t="shared" si="6"/>
        <v>0</v>
      </c>
      <c r="D808" s="25"/>
      <c r="E808" s="22"/>
      <c r="F808" s="22" t="str">
        <f t="shared" si="8"/>
        <v>#DIV/0!</v>
      </c>
      <c r="G808" s="22" t="str">
        <f t="shared" si="31"/>
        <v>#DIV/0!</v>
      </c>
      <c r="H808" s="22" t="str">
        <f t="shared" si="32"/>
        <v>#DIV/0!</v>
      </c>
      <c r="I808" s="22" t="str">
        <f t="shared" si="3"/>
        <v>#DIV/0!</v>
      </c>
      <c r="J808" s="22" t="str">
        <f t="shared" si="33"/>
        <v>#DIV/0!</v>
      </c>
    </row>
    <row r="809" ht="15.75" customHeight="1">
      <c r="A809" s="25"/>
      <c r="B809" s="22"/>
      <c r="C809" s="22">
        <f t="shared" si="6"/>
        <v>0</v>
      </c>
      <c r="D809" s="25"/>
      <c r="E809" s="22"/>
      <c r="F809" s="22" t="str">
        <f t="shared" si="8"/>
        <v>#DIV/0!</v>
      </c>
      <c r="G809" s="22" t="str">
        <f t="shared" si="31"/>
        <v>#DIV/0!</v>
      </c>
      <c r="H809" s="22" t="str">
        <f t="shared" si="32"/>
        <v>#DIV/0!</v>
      </c>
      <c r="I809" s="22" t="str">
        <f t="shared" si="3"/>
        <v>#DIV/0!</v>
      </c>
      <c r="J809" s="22" t="str">
        <f t="shared" si="33"/>
        <v>#DIV/0!</v>
      </c>
    </row>
    <row r="810" ht="15.75" customHeight="1">
      <c r="A810" s="25"/>
      <c r="B810" s="22"/>
      <c r="C810" s="22">
        <f t="shared" si="6"/>
        <v>0</v>
      </c>
      <c r="D810" s="25"/>
      <c r="E810" s="22"/>
      <c r="F810" s="22" t="str">
        <f t="shared" si="8"/>
        <v>#DIV/0!</v>
      </c>
      <c r="G810" s="22" t="str">
        <f t="shared" si="31"/>
        <v>#DIV/0!</v>
      </c>
      <c r="H810" s="22" t="str">
        <f t="shared" si="32"/>
        <v>#DIV/0!</v>
      </c>
      <c r="I810" s="22" t="str">
        <f t="shared" si="3"/>
        <v>#DIV/0!</v>
      </c>
      <c r="J810" s="22" t="str">
        <f t="shared" si="33"/>
        <v>#DIV/0!</v>
      </c>
    </row>
    <row r="811" ht="15.75" customHeight="1">
      <c r="A811" s="25"/>
      <c r="B811" s="22"/>
      <c r="C811" s="22">
        <f t="shared" si="6"/>
        <v>0</v>
      </c>
      <c r="D811" s="25"/>
      <c r="E811" s="22"/>
      <c r="F811" s="22" t="str">
        <f t="shared" si="8"/>
        <v>#DIV/0!</v>
      </c>
      <c r="G811" s="22" t="str">
        <f t="shared" si="31"/>
        <v>#DIV/0!</v>
      </c>
      <c r="H811" s="22" t="str">
        <f t="shared" si="32"/>
        <v>#DIV/0!</v>
      </c>
      <c r="I811" s="22" t="str">
        <f t="shared" si="3"/>
        <v>#DIV/0!</v>
      </c>
      <c r="J811" s="22" t="str">
        <f t="shared" si="33"/>
        <v>#DIV/0!</v>
      </c>
    </row>
    <row r="812" ht="15.75" customHeight="1">
      <c r="A812" s="25"/>
      <c r="B812" s="22"/>
      <c r="C812" s="22">
        <f t="shared" si="6"/>
        <v>0</v>
      </c>
      <c r="D812" s="25"/>
      <c r="E812" s="22"/>
      <c r="F812" s="22" t="str">
        <f t="shared" si="8"/>
        <v>#DIV/0!</v>
      </c>
      <c r="G812" s="22" t="str">
        <f t="shared" si="31"/>
        <v>#DIV/0!</v>
      </c>
      <c r="H812" s="22" t="str">
        <f t="shared" si="32"/>
        <v>#DIV/0!</v>
      </c>
      <c r="I812" s="22" t="str">
        <f t="shared" si="3"/>
        <v>#DIV/0!</v>
      </c>
      <c r="J812" s="22" t="str">
        <f t="shared" si="33"/>
        <v>#DIV/0!</v>
      </c>
    </row>
    <row r="813" ht="15.75" customHeight="1">
      <c r="A813" s="25"/>
      <c r="B813" s="22"/>
      <c r="C813" s="22">
        <f t="shared" si="6"/>
        <v>0</v>
      </c>
      <c r="D813" s="25"/>
      <c r="E813" s="22"/>
      <c r="F813" s="22" t="str">
        <f t="shared" si="8"/>
        <v>#DIV/0!</v>
      </c>
      <c r="G813" s="22" t="str">
        <f t="shared" si="31"/>
        <v>#DIV/0!</v>
      </c>
      <c r="H813" s="22" t="str">
        <f t="shared" si="32"/>
        <v>#DIV/0!</v>
      </c>
      <c r="I813" s="22" t="str">
        <f t="shared" si="3"/>
        <v>#DIV/0!</v>
      </c>
      <c r="J813" s="22" t="str">
        <f t="shared" si="33"/>
        <v>#DIV/0!</v>
      </c>
    </row>
    <row r="814" ht="15.75" customHeight="1">
      <c r="A814" s="25"/>
      <c r="B814" s="22"/>
      <c r="C814" s="22">
        <f t="shared" si="6"/>
        <v>0</v>
      </c>
      <c r="D814" s="25"/>
      <c r="E814" s="22"/>
      <c r="F814" s="22" t="str">
        <f t="shared" si="8"/>
        <v>#DIV/0!</v>
      </c>
      <c r="G814" s="22" t="str">
        <f t="shared" si="31"/>
        <v>#DIV/0!</v>
      </c>
      <c r="H814" s="22" t="str">
        <f t="shared" si="32"/>
        <v>#DIV/0!</v>
      </c>
      <c r="I814" s="22" t="str">
        <f t="shared" si="3"/>
        <v>#DIV/0!</v>
      </c>
      <c r="J814" s="22" t="str">
        <f t="shared" si="33"/>
        <v>#DIV/0!</v>
      </c>
    </row>
    <row r="815" ht="15.75" customHeight="1">
      <c r="A815" s="25"/>
      <c r="B815" s="22"/>
      <c r="C815" s="22">
        <f t="shared" si="6"/>
        <v>0</v>
      </c>
      <c r="D815" s="25"/>
      <c r="E815" s="22"/>
      <c r="F815" s="22" t="str">
        <f t="shared" si="8"/>
        <v>#DIV/0!</v>
      </c>
      <c r="G815" s="22" t="str">
        <f t="shared" si="31"/>
        <v>#DIV/0!</v>
      </c>
      <c r="H815" s="22" t="str">
        <f t="shared" si="32"/>
        <v>#DIV/0!</v>
      </c>
      <c r="I815" s="22" t="str">
        <f t="shared" si="3"/>
        <v>#DIV/0!</v>
      </c>
      <c r="J815" s="22" t="str">
        <f t="shared" si="33"/>
        <v>#DIV/0!</v>
      </c>
    </row>
    <row r="816" ht="15.75" customHeight="1">
      <c r="A816" s="25"/>
      <c r="B816" s="22"/>
      <c r="C816" s="22">
        <f t="shared" si="6"/>
        <v>0</v>
      </c>
      <c r="D816" s="25"/>
      <c r="E816" s="22"/>
      <c r="F816" s="22" t="str">
        <f t="shared" si="8"/>
        <v>#DIV/0!</v>
      </c>
      <c r="G816" s="22" t="str">
        <f t="shared" si="31"/>
        <v>#DIV/0!</v>
      </c>
      <c r="H816" s="22" t="str">
        <f t="shared" si="32"/>
        <v>#DIV/0!</v>
      </c>
      <c r="I816" s="22" t="str">
        <f t="shared" si="3"/>
        <v>#DIV/0!</v>
      </c>
      <c r="J816" s="22" t="str">
        <f t="shared" si="33"/>
        <v>#DIV/0!</v>
      </c>
    </row>
    <row r="817" ht="15.75" customHeight="1">
      <c r="A817" s="25"/>
      <c r="B817" s="22"/>
      <c r="C817" s="22">
        <f t="shared" si="6"/>
        <v>0</v>
      </c>
      <c r="D817" s="25"/>
      <c r="E817" s="22"/>
      <c r="F817" s="22" t="str">
        <f t="shared" si="8"/>
        <v>#DIV/0!</v>
      </c>
      <c r="G817" s="22" t="str">
        <f t="shared" si="31"/>
        <v>#DIV/0!</v>
      </c>
      <c r="H817" s="22" t="str">
        <f t="shared" si="32"/>
        <v>#DIV/0!</v>
      </c>
      <c r="I817" s="22" t="str">
        <f t="shared" si="3"/>
        <v>#DIV/0!</v>
      </c>
      <c r="J817" s="22" t="str">
        <f t="shared" si="33"/>
        <v>#DIV/0!</v>
      </c>
    </row>
    <row r="818" ht="15.75" customHeight="1">
      <c r="A818" s="25"/>
      <c r="B818" s="22"/>
      <c r="C818" s="22">
        <f t="shared" si="6"/>
        <v>0</v>
      </c>
      <c r="D818" s="25"/>
      <c r="E818" s="22"/>
      <c r="F818" s="22" t="str">
        <f t="shared" si="8"/>
        <v>#DIV/0!</v>
      </c>
      <c r="G818" s="22" t="str">
        <f t="shared" si="31"/>
        <v>#DIV/0!</v>
      </c>
      <c r="H818" s="22" t="str">
        <f t="shared" si="32"/>
        <v>#DIV/0!</v>
      </c>
      <c r="I818" s="22" t="str">
        <f t="shared" si="3"/>
        <v>#DIV/0!</v>
      </c>
      <c r="J818" s="22" t="str">
        <f t="shared" si="33"/>
        <v>#DIV/0!</v>
      </c>
    </row>
    <row r="819" ht="15.75" customHeight="1">
      <c r="A819" s="25"/>
      <c r="B819" s="22"/>
      <c r="C819" s="22">
        <f t="shared" si="6"/>
        <v>0</v>
      </c>
      <c r="D819" s="25"/>
      <c r="E819" s="22"/>
      <c r="F819" s="22" t="str">
        <f t="shared" si="8"/>
        <v>#DIV/0!</v>
      </c>
      <c r="G819" s="22" t="str">
        <f t="shared" si="31"/>
        <v>#DIV/0!</v>
      </c>
      <c r="H819" s="22" t="str">
        <f t="shared" si="32"/>
        <v>#DIV/0!</v>
      </c>
      <c r="I819" s="22" t="str">
        <f t="shared" si="3"/>
        <v>#DIV/0!</v>
      </c>
      <c r="J819" s="22" t="str">
        <f t="shared" si="33"/>
        <v>#DIV/0!</v>
      </c>
    </row>
    <row r="820" ht="15.75" customHeight="1">
      <c r="A820" s="25"/>
      <c r="B820" s="22"/>
      <c r="C820" s="22">
        <f t="shared" si="6"/>
        <v>0</v>
      </c>
      <c r="D820" s="25"/>
      <c r="E820" s="22"/>
      <c r="F820" s="22" t="str">
        <f t="shared" si="8"/>
        <v>#DIV/0!</v>
      </c>
      <c r="G820" s="22" t="str">
        <f t="shared" si="31"/>
        <v>#DIV/0!</v>
      </c>
      <c r="H820" s="22" t="str">
        <f t="shared" si="32"/>
        <v>#DIV/0!</v>
      </c>
      <c r="I820" s="22" t="str">
        <f t="shared" si="3"/>
        <v>#DIV/0!</v>
      </c>
      <c r="J820" s="22" t="str">
        <f t="shared" si="33"/>
        <v>#DIV/0!</v>
      </c>
    </row>
    <row r="821" ht="15.75" customHeight="1">
      <c r="A821" s="25"/>
      <c r="B821" s="22"/>
      <c r="C821" s="22">
        <f t="shared" si="6"/>
        <v>0</v>
      </c>
      <c r="D821" s="25"/>
      <c r="E821" s="22"/>
      <c r="F821" s="22" t="str">
        <f t="shared" si="8"/>
        <v>#DIV/0!</v>
      </c>
      <c r="G821" s="22" t="str">
        <f t="shared" si="31"/>
        <v>#DIV/0!</v>
      </c>
      <c r="H821" s="22" t="str">
        <f t="shared" si="32"/>
        <v>#DIV/0!</v>
      </c>
      <c r="I821" s="22" t="str">
        <f t="shared" si="3"/>
        <v>#DIV/0!</v>
      </c>
      <c r="J821" s="22" t="str">
        <f t="shared" si="33"/>
        <v>#DIV/0!</v>
      </c>
    </row>
    <row r="822" ht="15.75" customHeight="1">
      <c r="A822" s="25"/>
      <c r="B822" s="22"/>
      <c r="C822" s="22">
        <f t="shared" si="6"/>
        <v>0</v>
      </c>
      <c r="D822" s="25"/>
      <c r="E822" s="22"/>
      <c r="F822" s="22" t="str">
        <f t="shared" si="8"/>
        <v>#DIV/0!</v>
      </c>
      <c r="G822" s="22" t="str">
        <f t="shared" si="31"/>
        <v>#DIV/0!</v>
      </c>
      <c r="H822" s="22" t="str">
        <f t="shared" si="32"/>
        <v>#DIV/0!</v>
      </c>
      <c r="I822" s="22" t="str">
        <f t="shared" si="3"/>
        <v>#DIV/0!</v>
      </c>
      <c r="J822" s="22" t="str">
        <f t="shared" si="33"/>
        <v>#DIV/0!</v>
      </c>
    </row>
    <row r="823" ht="15.75" customHeight="1">
      <c r="A823" s="25"/>
      <c r="B823" s="22"/>
      <c r="C823" s="22">
        <f t="shared" si="6"/>
        <v>0</v>
      </c>
      <c r="D823" s="25"/>
      <c r="E823" s="22"/>
      <c r="F823" s="22" t="str">
        <f t="shared" si="8"/>
        <v>#DIV/0!</v>
      </c>
      <c r="G823" s="22" t="str">
        <f t="shared" si="31"/>
        <v>#DIV/0!</v>
      </c>
      <c r="H823" s="22" t="str">
        <f t="shared" si="32"/>
        <v>#DIV/0!</v>
      </c>
      <c r="I823" s="22" t="str">
        <f t="shared" si="3"/>
        <v>#DIV/0!</v>
      </c>
      <c r="J823" s="22" t="str">
        <f t="shared" si="33"/>
        <v>#DIV/0!</v>
      </c>
    </row>
    <row r="824" ht="15.75" customHeight="1">
      <c r="A824" s="25"/>
      <c r="B824" s="22"/>
      <c r="C824" s="22">
        <f t="shared" si="6"/>
        <v>0</v>
      </c>
      <c r="D824" s="25"/>
      <c r="E824" s="22"/>
      <c r="F824" s="22" t="str">
        <f t="shared" si="8"/>
        <v>#DIV/0!</v>
      </c>
      <c r="G824" s="22" t="str">
        <f t="shared" si="31"/>
        <v>#DIV/0!</v>
      </c>
      <c r="H824" s="22" t="str">
        <f t="shared" si="32"/>
        <v>#DIV/0!</v>
      </c>
      <c r="I824" s="22" t="str">
        <f t="shared" si="3"/>
        <v>#DIV/0!</v>
      </c>
      <c r="J824" s="22" t="str">
        <f t="shared" si="33"/>
        <v>#DIV/0!</v>
      </c>
    </row>
    <row r="825" ht="15.75" customHeight="1">
      <c r="A825" s="25"/>
      <c r="B825" s="22"/>
      <c r="C825" s="22">
        <f t="shared" si="6"/>
        <v>0</v>
      </c>
      <c r="D825" s="25"/>
      <c r="E825" s="22"/>
      <c r="F825" s="22" t="str">
        <f t="shared" si="8"/>
        <v>#DIV/0!</v>
      </c>
      <c r="G825" s="22" t="str">
        <f t="shared" si="31"/>
        <v>#DIV/0!</v>
      </c>
      <c r="H825" s="22" t="str">
        <f t="shared" si="32"/>
        <v>#DIV/0!</v>
      </c>
      <c r="I825" s="22" t="str">
        <f t="shared" si="3"/>
        <v>#DIV/0!</v>
      </c>
      <c r="J825" s="22" t="str">
        <f t="shared" si="33"/>
        <v>#DIV/0!</v>
      </c>
    </row>
    <row r="826" ht="15.75" customHeight="1">
      <c r="A826" s="25"/>
      <c r="B826" s="22"/>
      <c r="C826" s="22">
        <f t="shared" si="6"/>
        <v>0</v>
      </c>
      <c r="D826" s="25"/>
      <c r="E826" s="22"/>
      <c r="F826" s="22" t="str">
        <f t="shared" si="8"/>
        <v>#DIV/0!</v>
      </c>
      <c r="G826" s="22" t="str">
        <f t="shared" si="31"/>
        <v>#DIV/0!</v>
      </c>
      <c r="H826" s="22" t="str">
        <f t="shared" si="32"/>
        <v>#DIV/0!</v>
      </c>
      <c r="I826" s="22" t="str">
        <f t="shared" si="3"/>
        <v>#DIV/0!</v>
      </c>
      <c r="J826" s="22" t="str">
        <f t="shared" si="33"/>
        <v>#DIV/0!</v>
      </c>
    </row>
    <row r="827" ht="15.75" customHeight="1">
      <c r="A827" s="25"/>
      <c r="B827" s="22"/>
      <c r="C827" s="22">
        <f t="shared" si="6"/>
        <v>0</v>
      </c>
      <c r="D827" s="25"/>
      <c r="E827" s="22"/>
      <c r="F827" s="22" t="str">
        <f t="shared" si="8"/>
        <v>#DIV/0!</v>
      </c>
      <c r="G827" s="22" t="str">
        <f t="shared" si="31"/>
        <v>#DIV/0!</v>
      </c>
      <c r="H827" s="22" t="str">
        <f t="shared" si="32"/>
        <v>#DIV/0!</v>
      </c>
      <c r="I827" s="22" t="str">
        <f t="shared" si="3"/>
        <v>#DIV/0!</v>
      </c>
      <c r="J827" s="22" t="str">
        <f t="shared" si="33"/>
        <v>#DIV/0!</v>
      </c>
    </row>
    <row r="828" ht="15.75" customHeight="1">
      <c r="A828" s="25"/>
      <c r="B828" s="22"/>
      <c r="C828" s="22">
        <f t="shared" si="6"/>
        <v>0</v>
      </c>
      <c r="D828" s="25"/>
      <c r="E828" s="22"/>
      <c r="F828" s="22" t="str">
        <f t="shared" si="8"/>
        <v>#DIV/0!</v>
      </c>
      <c r="G828" s="22" t="str">
        <f t="shared" si="31"/>
        <v>#DIV/0!</v>
      </c>
      <c r="H828" s="22" t="str">
        <f t="shared" si="32"/>
        <v>#DIV/0!</v>
      </c>
      <c r="I828" s="22" t="str">
        <f t="shared" si="3"/>
        <v>#DIV/0!</v>
      </c>
      <c r="J828" s="22" t="str">
        <f t="shared" si="33"/>
        <v>#DIV/0!</v>
      </c>
    </row>
    <row r="829" ht="15.75" customHeight="1">
      <c r="A829" s="25"/>
      <c r="B829" s="22"/>
      <c r="C829" s="22">
        <f t="shared" si="6"/>
        <v>0</v>
      </c>
      <c r="D829" s="25"/>
      <c r="E829" s="22"/>
      <c r="F829" s="22" t="str">
        <f t="shared" si="8"/>
        <v>#DIV/0!</v>
      </c>
      <c r="G829" s="22" t="str">
        <f t="shared" si="31"/>
        <v>#DIV/0!</v>
      </c>
      <c r="H829" s="22" t="str">
        <f t="shared" si="32"/>
        <v>#DIV/0!</v>
      </c>
      <c r="I829" s="22" t="str">
        <f t="shared" si="3"/>
        <v>#DIV/0!</v>
      </c>
      <c r="J829" s="22" t="str">
        <f t="shared" si="33"/>
        <v>#DIV/0!</v>
      </c>
    </row>
    <row r="830" ht="15.75" customHeight="1">
      <c r="A830" s="25"/>
      <c r="B830" s="22"/>
      <c r="C830" s="22">
        <f t="shared" si="6"/>
        <v>0</v>
      </c>
      <c r="D830" s="25"/>
      <c r="E830" s="22"/>
      <c r="F830" s="22" t="str">
        <f t="shared" si="8"/>
        <v>#DIV/0!</v>
      </c>
      <c r="G830" s="22" t="str">
        <f t="shared" si="31"/>
        <v>#DIV/0!</v>
      </c>
      <c r="H830" s="22" t="str">
        <f t="shared" si="32"/>
        <v>#DIV/0!</v>
      </c>
      <c r="I830" s="22" t="str">
        <f t="shared" si="3"/>
        <v>#DIV/0!</v>
      </c>
      <c r="J830" s="22" t="str">
        <f t="shared" si="33"/>
        <v>#DIV/0!</v>
      </c>
    </row>
    <row r="831" ht="15.75" customHeight="1">
      <c r="A831" s="25"/>
      <c r="B831" s="22"/>
      <c r="C831" s="22">
        <f t="shared" si="6"/>
        <v>0</v>
      </c>
      <c r="D831" s="25"/>
      <c r="E831" s="22"/>
      <c r="F831" s="22" t="str">
        <f t="shared" si="8"/>
        <v>#DIV/0!</v>
      </c>
      <c r="G831" s="22" t="str">
        <f t="shared" si="31"/>
        <v>#DIV/0!</v>
      </c>
      <c r="H831" s="22" t="str">
        <f t="shared" si="32"/>
        <v>#DIV/0!</v>
      </c>
      <c r="I831" s="22" t="str">
        <f t="shared" si="3"/>
        <v>#DIV/0!</v>
      </c>
      <c r="J831" s="22" t="str">
        <f t="shared" si="33"/>
        <v>#DIV/0!</v>
      </c>
    </row>
    <row r="832" ht="15.75" customHeight="1">
      <c r="A832" s="25"/>
      <c r="B832" s="22"/>
      <c r="C832" s="22">
        <f t="shared" si="6"/>
        <v>0</v>
      </c>
      <c r="D832" s="25"/>
      <c r="E832" s="22"/>
      <c r="F832" s="22" t="str">
        <f t="shared" si="8"/>
        <v>#DIV/0!</v>
      </c>
      <c r="G832" s="22" t="str">
        <f t="shared" si="31"/>
        <v>#DIV/0!</v>
      </c>
      <c r="H832" s="22" t="str">
        <f t="shared" si="32"/>
        <v>#DIV/0!</v>
      </c>
      <c r="I832" s="22" t="str">
        <f t="shared" si="3"/>
        <v>#DIV/0!</v>
      </c>
      <c r="J832" s="22" t="str">
        <f t="shared" si="33"/>
        <v>#DIV/0!</v>
      </c>
    </row>
    <row r="833" ht="15.75" customHeight="1">
      <c r="A833" s="25"/>
      <c r="B833" s="22"/>
      <c r="C833" s="22">
        <f t="shared" si="6"/>
        <v>0</v>
      </c>
      <c r="D833" s="25"/>
      <c r="E833" s="22"/>
      <c r="F833" s="22" t="str">
        <f t="shared" si="8"/>
        <v>#DIV/0!</v>
      </c>
      <c r="G833" s="22" t="str">
        <f t="shared" si="31"/>
        <v>#DIV/0!</v>
      </c>
      <c r="H833" s="22" t="str">
        <f t="shared" si="32"/>
        <v>#DIV/0!</v>
      </c>
      <c r="I833" s="22" t="str">
        <f t="shared" si="3"/>
        <v>#DIV/0!</v>
      </c>
      <c r="J833" s="22" t="str">
        <f t="shared" si="33"/>
        <v>#DIV/0!</v>
      </c>
    </row>
    <row r="834" ht="15.75" customHeight="1">
      <c r="A834" s="25"/>
      <c r="B834" s="22"/>
      <c r="C834" s="22">
        <f t="shared" si="6"/>
        <v>0</v>
      </c>
      <c r="D834" s="25"/>
      <c r="E834" s="22"/>
      <c r="F834" s="22" t="str">
        <f t="shared" si="8"/>
        <v>#DIV/0!</v>
      </c>
      <c r="G834" s="22" t="str">
        <f t="shared" si="31"/>
        <v>#DIV/0!</v>
      </c>
      <c r="H834" s="22" t="str">
        <f t="shared" si="32"/>
        <v>#DIV/0!</v>
      </c>
      <c r="I834" s="22" t="str">
        <f t="shared" si="3"/>
        <v>#DIV/0!</v>
      </c>
      <c r="J834" s="22" t="str">
        <f t="shared" si="33"/>
        <v>#DIV/0!</v>
      </c>
    </row>
    <row r="835" ht="15.75" customHeight="1">
      <c r="A835" s="25"/>
      <c r="B835" s="22"/>
      <c r="C835" s="22">
        <f t="shared" si="6"/>
        <v>0</v>
      </c>
      <c r="D835" s="25"/>
      <c r="E835" s="22"/>
      <c r="F835" s="22" t="str">
        <f t="shared" si="8"/>
        <v>#DIV/0!</v>
      </c>
      <c r="G835" s="22" t="str">
        <f t="shared" si="31"/>
        <v>#DIV/0!</v>
      </c>
      <c r="H835" s="22" t="str">
        <f t="shared" si="32"/>
        <v>#DIV/0!</v>
      </c>
      <c r="I835" s="22" t="str">
        <f t="shared" si="3"/>
        <v>#DIV/0!</v>
      </c>
      <c r="J835" s="22" t="str">
        <f t="shared" si="33"/>
        <v>#DIV/0!</v>
      </c>
    </row>
    <row r="836" ht="15.75" customHeight="1">
      <c r="A836" s="25"/>
      <c r="B836" s="22"/>
      <c r="C836" s="22">
        <f t="shared" si="6"/>
        <v>0</v>
      </c>
      <c r="D836" s="25"/>
      <c r="E836" s="22"/>
      <c r="F836" s="22" t="str">
        <f t="shared" si="8"/>
        <v>#DIV/0!</v>
      </c>
      <c r="G836" s="22" t="str">
        <f t="shared" si="31"/>
        <v>#DIV/0!</v>
      </c>
      <c r="H836" s="22" t="str">
        <f t="shared" si="32"/>
        <v>#DIV/0!</v>
      </c>
      <c r="I836" s="22" t="str">
        <f t="shared" si="3"/>
        <v>#DIV/0!</v>
      </c>
      <c r="J836" s="22" t="str">
        <f t="shared" si="33"/>
        <v>#DIV/0!</v>
      </c>
    </row>
    <row r="837" ht="15.75" customHeight="1">
      <c r="A837" s="25"/>
      <c r="B837" s="22"/>
      <c r="C837" s="22">
        <f t="shared" si="6"/>
        <v>0</v>
      </c>
      <c r="D837" s="25"/>
      <c r="E837" s="22"/>
      <c r="F837" s="22" t="str">
        <f t="shared" si="8"/>
        <v>#DIV/0!</v>
      </c>
      <c r="G837" s="22" t="str">
        <f t="shared" si="31"/>
        <v>#DIV/0!</v>
      </c>
      <c r="H837" s="22" t="str">
        <f t="shared" si="32"/>
        <v>#DIV/0!</v>
      </c>
      <c r="I837" s="22" t="str">
        <f t="shared" si="3"/>
        <v>#DIV/0!</v>
      </c>
      <c r="J837" s="22" t="str">
        <f t="shared" si="33"/>
        <v>#DIV/0!</v>
      </c>
    </row>
    <row r="838" ht="15.75" customHeight="1">
      <c r="A838" s="25"/>
      <c r="B838" s="22"/>
      <c r="C838" s="22">
        <f t="shared" si="6"/>
        <v>0</v>
      </c>
      <c r="D838" s="25"/>
      <c r="E838" s="22"/>
      <c r="F838" s="22" t="str">
        <f t="shared" si="8"/>
        <v>#DIV/0!</v>
      </c>
      <c r="G838" s="22" t="str">
        <f t="shared" si="31"/>
        <v>#DIV/0!</v>
      </c>
      <c r="H838" s="22" t="str">
        <f t="shared" si="32"/>
        <v>#DIV/0!</v>
      </c>
      <c r="I838" s="22" t="str">
        <f t="shared" si="3"/>
        <v>#DIV/0!</v>
      </c>
      <c r="J838" s="22" t="str">
        <f t="shared" si="33"/>
        <v>#DIV/0!</v>
      </c>
    </row>
    <row r="839" ht="15.75" customHeight="1">
      <c r="A839" s="25"/>
      <c r="B839" s="22"/>
      <c r="C839" s="22">
        <f t="shared" si="6"/>
        <v>0</v>
      </c>
      <c r="D839" s="25"/>
      <c r="E839" s="22"/>
      <c r="F839" s="22" t="str">
        <f t="shared" si="8"/>
        <v>#DIV/0!</v>
      </c>
      <c r="G839" s="22" t="str">
        <f t="shared" si="31"/>
        <v>#DIV/0!</v>
      </c>
      <c r="H839" s="22" t="str">
        <f t="shared" si="32"/>
        <v>#DIV/0!</v>
      </c>
      <c r="I839" s="22" t="str">
        <f t="shared" si="3"/>
        <v>#DIV/0!</v>
      </c>
      <c r="J839" s="22" t="str">
        <f t="shared" si="33"/>
        <v>#DIV/0!</v>
      </c>
    </row>
    <row r="840" ht="15.75" customHeight="1">
      <c r="A840" s="25"/>
      <c r="B840" s="22"/>
      <c r="C840" s="22">
        <f t="shared" si="6"/>
        <v>0</v>
      </c>
      <c r="D840" s="25"/>
      <c r="E840" s="22"/>
      <c r="F840" s="22" t="str">
        <f t="shared" si="8"/>
        <v>#DIV/0!</v>
      </c>
      <c r="G840" s="22" t="str">
        <f t="shared" si="31"/>
        <v>#DIV/0!</v>
      </c>
      <c r="H840" s="22" t="str">
        <f t="shared" si="32"/>
        <v>#DIV/0!</v>
      </c>
      <c r="I840" s="22" t="str">
        <f t="shared" si="3"/>
        <v>#DIV/0!</v>
      </c>
      <c r="J840" s="22" t="str">
        <f t="shared" si="33"/>
        <v>#DIV/0!</v>
      </c>
    </row>
    <row r="841" ht="15.75" customHeight="1">
      <c r="A841" s="25"/>
      <c r="B841" s="22"/>
      <c r="C841" s="22">
        <f t="shared" si="6"/>
        <v>0</v>
      </c>
      <c r="D841" s="25"/>
      <c r="E841" s="22"/>
      <c r="F841" s="22" t="str">
        <f t="shared" si="8"/>
        <v>#DIV/0!</v>
      </c>
      <c r="G841" s="22" t="str">
        <f t="shared" si="31"/>
        <v>#DIV/0!</v>
      </c>
      <c r="H841" s="22" t="str">
        <f t="shared" si="32"/>
        <v>#DIV/0!</v>
      </c>
      <c r="I841" s="22" t="str">
        <f t="shared" si="3"/>
        <v>#DIV/0!</v>
      </c>
      <c r="J841" s="22" t="str">
        <f t="shared" si="33"/>
        <v>#DIV/0!</v>
      </c>
    </row>
    <row r="842" ht="15.75" customHeight="1">
      <c r="A842" s="25"/>
      <c r="B842" s="22"/>
      <c r="C842" s="22">
        <f t="shared" si="6"/>
        <v>0</v>
      </c>
      <c r="D842" s="25"/>
      <c r="E842" s="22"/>
      <c r="F842" s="22" t="str">
        <f t="shared" si="8"/>
        <v>#DIV/0!</v>
      </c>
      <c r="G842" s="22" t="str">
        <f t="shared" si="31"/>
        <v>#DIV/0!</v>
      </c>
      <c r="H842" s="22" t="str">
        <f t="shared" si="32"/>
        <v>#DIV/0!</v>
      </c>
      <c r="I842" s="22" t="str">
        <f t="shared" si="3"/>
        <v>#DIV/0!</v>
      </c>
      <c r="J842" s="22" t="str">
        <f t="shared" si="33"/>
        <v>#DIV/0!</v>
      </c>
    </row>
    <row r="843" ht="15.75" customHeight="1">
      <c r="A843" s="25"/>
      <c r="B843" s="22"/>
      <c r="C843" s="22">
        <f t="shared" si="6"/>
        <v>0</v>
      </c>
      <c r="D843" s="25"/>
      <c r="E843" s="22"/>
      <c r="F843" s="22" t="str">
        <f t="shared" si="8"/>
        <v>#DIV/0!</v>
      </c>
      <c r="G843" s="22" t="str">
        <f t="shared" si="31"/>
        <v>#DIV/0!</v>
      </c>
      <c r="H843" s="22" t="str">
        <f t="shared" si="32"/>
        <v>#DIV/0!</v>
      </c>
      <c r="I843" s="22" t="str">
        <f t="shared" si="3"/>
        <v>#DIV/0!</v>
      </c>
      <c r="J843" s="22" t="str">
        <f t="shared" si="33"/>
        <v>#DIV/0!</v>
      </c>
    </row>
    <row r="844" ht="15.75" customHeight="1">
      <c r="A844" s="25"/>
      <c r="B844" s="22"/>
      <c r="C844" s="22">
        <f t="shared" si="6"/>
        <v>0</v>
      </c>
      <c r="D844" s="25"/>
      <c r="E844" s="22"/>
      <c r="F844" s="22" t="str">
        <f t="shared" si="8"/>
        <v>#DIV/0!</v>
      </c>
      <c r="G844" s="22" t="str">
        <f t="shared" si="31"/>
        <v>#DIV/0!</v>
      </c>
      <c r="H844" s="22" t="str">
        <f t="shared" si="32"/>
        <v>#DIV/0!</v>
      </c>
      <c r="I844" s="22" t="str">
        <f t="shared" si="3"/>
        <v>#DIV/0!</v>
      </c>
      <c r="J844" s="22" t="str">
        <f t="shared" si="33"/>
        <v>#DIV/0!</v>
      </c>
    </row>
    <row r="845" ht="15.75" customHeight="1">
      <c r="A845" s="25"/>
      <c r="B845" s="22"/>
      <c r="C845" s="22">
        <f t="shared" si="6"/>
        <v>0</v>
      </c>
      <c r="D845" s="25"/>
      <c r="E845" s="22"/>
      <c r="F845" s="22" t="str">
        <f t="shared" si="8"/>
        <v>#DIV/0!</v>
      </c>
      <c r="G845" s="22" t="str">
        <f t="shared" si="31"/>
        <v>#DIV/0!</v>
      </c>
      <c r="H845" s="22" t="str">
        <f t="shared" si="32"/>
        <v>#DIV/0!</v>
      </c>
      <c r="I845" s="22" t="str">
        <f t="shared" si="3"/>
        <v>#DIV/0!</v>
      </c>
      <c r="J845" s="22" t="str">
        <f t="shared" si="33"/>
        <v>#DIV/0!</v>
      </c>
    </row>
    <row r="846" ht="15.75" customHeight="1">
      <c r="A846" s="25"/>
      <c r="B846" s="22"/>
      <c r="C846" s="22">
        <f t="shared" si="6"/>
        <v>0</v>
      </c>
      <c r="D846" s="25"/>
      <c r="E846" s="22"/>
      <c r="F846" s="22" t="str">
        <f t="shared" si="8"/>
        <v>#DIV/0!</v>
      </c>
      <c r="G846" s="22" t="str">
        <f t="shared" si="31"/>
        <v>#DIV/0!</v>
      </c>
      <c r="H846" s="22" t="str">
        <f t="shared" si="32"/>
        <v>#DIV/0!</v>
      </c>
      <c r="I846" s="22" t="str">
        <f t="shared" si="3"/>
        <v>#DIV/0!</v>
      </c>
      <c r="J846" s="22" t="str">
        <f t="shared" si="33"/>
        <v>#DIV/0!</v>
      </c>
    </row>
    <row r="847" ht="15.75" customHeight="1">
      <c r="A847" s="25"/>
      <c r="B847" s="22"/>
      <c r="C847" s="22">
        <f t="shared" si="6"/>
        <v>0</v>
      </c>
      <c r="D847" s="25"/>
      <c r="E847" s="22"/>
      <c r="F847" s="22" t="str">
        <f t="shared" si="8"/>
        <v>#DIV/0!</v>
      </c>
      <c r="G847" s="22" t="str">
        <f t="shared" si="31"/>
        <v>#DIV/0!</v>
      </c>
      <c r="H847" s="22" t="str">
        <f t="shared" si="32"/>
        <v>#DIV/0!</v>
      </c>
      <c r="I847" s="22" t="str">
        <f t="shared" si="3"/>
        <v>#DIV/0!</v>
      </c>
      <c r="J847" s="22" t="str">
        <f t="shared" si="33"/>
        <v>#DIV/0!</v>
      </c>
    </row>
    <row r="848" ht="15.75" customHeight="1">
      <c r="A848" s="25"/>
      <c r="B848" s="22"/>
      <c r="C848" s="22">
        <f t="shared" si="6"/>
        <v>0</v>
      </c>
      <c r="D848" s="25"/>
      <c r="E848" s="22"/>
      <c r="F848" s="22" t="str">
        <f t="shared" si="8"/>
        <v>#DIV/0!</v>
      </c>
      <c r="G848" s="22" t="str">
        <f t="shared" si="31"/>
        <v>#DIV/0!</v>
      </c>
      <c r="H848" s="22" t="str">
        <f t="shared" si="32"/>
        <v>#DIV/0!</v>
      </c>
      <c r="I848" s="22" t="str">
        <f t="shared" si="3"/>
        <v>#DIV/0!</v>
      </c>
      <c r="J848" s="22" t="str">
        <f t="shared" si="33"/>
        <v>#DIV/0!</v>
      </c>
    </row>
    <row r="849" ht="15.75" customHeight="1">
      <c r="A849" s="25"/>
      <c r="B849" s="22"/>
      <c r="C849" s="22">
        <f t="shared" si="6"/>
        <v>0</v>
      </c>
      <c r="D849" s="25"/>
      <c r="E849" s="22"/>
      <c r="F849" s="22" t="str">
        <f t="shared" si="8"/>
        <v>#DIV/0!</v>
      </c>
      <c r="G849" s="22" t="str">
        <f t="shared" si="31"/>
        <v>#DIV/0!</v>
      </c>
      <c r="H849" s="22" t="str">
        <f t="shared" si="32"/>
        <v>#DIV/0!</v>
      </c>
      <c r="I849" s="22" t="str">
        <f t="shared" si="3"/>
        <v>#DIV/0!</v>
      </c>
      <c r="J849" s="22" t="str">
        <f t="shared" si="33"/>
        <v>#DIV/0!</v>
      </c>
    </row>
    <row r="850" ht="15.75" customHeight="1">
      <c r="A850" s="25"/>
      <c r="B850" s="22"/>
      <c r="C850" s="22">
        <f t="shared" si="6"/>
        <v>0</v>
      </c>
      <c r="D850" s="25"/>
      <c r="E850" s="22"/>
      <c r="F850" s="22" t="str">
        <f t="shared" si="8"/>
        <v>#DIV/0!</v>
      </c>
      <c r="G850" s="22" t="str">
        <f t="shared" si="31"/>
        <v>#DIV/0!</v>
      </c>
      <c r="H850" s="22" t="str">
        <f t="shared" si="32"/>
        <v>#DIV/0!</v>
      </c>
      <c r="I850" s="22" t="str">
        <f t="shared" si="3"/>
        <v>#DIV/0!</v>
      </c>
      <c r="J850" s="22" t="str">
        <f t="shared" si="33"/>
        <v>#DIV/0!</v>
      </c>
    </row>
    <row r="851" ht="15.75" customHeight="1">
      <c r="A851" s="25"/>
      <c r="B851" s="22"/>
      <c r="C851" s="22">
        <f t="shared" si="6"/>
        <v>0</v>
      </c>
      <c r="D851" s="25"/>
      <c r="E851" s="22"/>
      <c r="F851" s="22" t="str">
        <f t="shared" si="8"/>
        <v>#DIV/0!</v>
      </c>
      <c r="G851" s="22" t="str">
        <f t="shared" si="31"/>
        <v>#DIV/0!</v>
      </c>
      <c r="H851" s="22" t="str">
        <f t="shared" si="32"/>
        <v>#DIV/0!</v>
      </c>
      <c r="I851" s="22" t="str">
        <f t="shared" si="3"/>
        <v>#DIV/0!</v>
      </c>
      <c r="J851" s="22" t="str">
        <f t="shared" si="33"/>
        <v>#DIV/0!</v>
      </c>
    </row>
    <row r="852" ht="15.75" customHeight="1">
      <c r="A852" s="25"/>
      <c r="B852" s="22"/>
      <c r="C852" s="22">
        <f t="shared" si="6"/>
        <v>0</v>
      </c>
      <c r="D852" s="25"/>
      <c r="E852" s="22"/>
      <c r="F852" s="22" t="str">
        <f t="shared" si="8"/>
        <v>#DIV/0!</v>
      </c>
      <c r="G852" s="22" t="str">
        <f t="shared" si="31"/>
        <v>#DIV/0!</v>
      </c>
      <c r="H852" s="22" t="str">
        <f t="shared" si="32"/>
        <v>#DIV/0!</v>
      </c>
      <c r="I852" s="22" t="str">
        <f t="shared" si="3"/>
        <v>#DIV/0!</v>
      </c>
      <c r="J852" s="22" t="str">
        <f t="shared" si="33"/>
        <v>#DIV/0!</v>
      </c>
    </row>
    <row r="853" ht="15.75" customHeight="1">
      <c r="A853" s="25"/>
      <c r="B853" s="22"/>
      <c r="C853" s="22">
        <f t="shared" si="6"/>
        <v>0</v>
      </c>
      <c r="D853" s="25"/>
      <c r="E853" s="22"/>
      <c r="F853" s="22" t="str">
        <f t="shared" si="8"/>
        <v>#DIV/0!</v>
      </c>
      <c r="G853" s="22" t="str">
        <f t="shared" si="31"/>
        <v>#DIV/0!</v>
      </c>
      <c r="H853" s="22" t="str">
        <f t="shared" si="32"/>
        <v>#DIV/0!</v>
      </c>
      <c r="I853" s="22" t="str">
        <f t="shared" si="3"/>
        <v>#DIV/0!</v>
      </c>
      <c r="J853" s="22" t="str">
        <f t="shared" si="33"/>
        <v>#DIV/0!</v>
      </c>
    </row>
    <row r="854" ht="15.75" customHeight="1">
      <c r="A854" s="25"/>
      <c r="B854" s="22"/>
      <c r="C854" s="22">
        <f t="shared" si="6"/>
        <v>0</v>
      </c>
      <c r="D854" s="25"/>
      <c r="E854" s="22"/>
      <c r="F854" s="22" t="str">
        <f t="shared" si="8"/>
        <v>#DIV/0!</v>
      </c>
      <c r="G854" s="22" t="str">
        <f t="shared" si="31"/>
        <v>#DIV/0!</v>
      </c>
      <c r="H854" s="22" t="str">
        <f t="shared" si="32"/>
        <v>#DIV/0!</v>
      </c>
      <c r="I854" s="22" t="str">
        <f t="shared" si="3"/>
        <v>#DIV/0!</v>
      </c>
      <c r="J854" s="22" t="str">
        <f t="shared" si="33"/>
        <v>#DIV/0!</v>
      </c>
    </row>
    <row r="855" ht="15.75" customHeight="1">
      <c r="A855" s="25"/>
      <c r="B855" s="22"/>
      <c r="C855" s="22">
        <f t="shared" si="6"/>
        <v>0</v>
      </c>
      <c r="D855" s="25"/>
      <c r="E855" s="22"/>
      <c r="F855" s="22" t="str">
        <f t="shared" si="8"/>
        <v>#DIV/0!</v>
      </c>
      <c r="G855" s="22" t="str">
        <f t="shared" si="31"/>
        <v>#DIV/0!</v>
      </c>
      <c r="H855" s="22" t="str">
        <f t="shared" si="32"/>
        <v>#DIV/0!</v>
      </c>
      <c r="I855" s="22" t="str">
        <f t="shared" si="3"/>
        <v>#DIV/0!</v>
      </c>
      <c r="J855" s="22" t="str">
        <f t="shared" si="33"/>
        <v>#DIV/0!</v>
      </c>
    </row>
    <row r="856" ht="15.75" customHeight="1">
      <c r="A856" s="25"/>
      <c r="B856" s="22"/>
      <c r="C856" s="22">
        <f t="shared" si="6"/>
        <v>0</v>
      </c>
      <c r="D856" s="25"/>
      <c r="E856" s="22"/>
      <c r="F856" s="22" t="str">
        <f t="shared" si="8"/>
        <v>#DIV/0!</v>
      </c>
      <c r="G856" s="22" t="str">
        <f t="shared" si="31"/>
        <v>#DIV/0!</v>
      </c>
      <c r="H856" s="22" t="str">
        <f t="shared" si="32"/>
        <v>#DIV/0!</v>
      </c>
      <c r="I856" s="22" t="str">
        <f t="shared" si="3"/>
        <v>#DIV/0!</v>
      </c>
      <c r="J856" s="22" t="str">
        <f t="shared" si="33"/>
        <v>#DIV/0!</v>
      </c>
    </row>
    <row r="857" ht="15.75" customHeight="1">
      <c r="A857" s="25"/>
      <c r="B857" s="22"/>
      <c r="C857" s="22">
        <f t="shared" si="6"/>
        <v>0</v>
      </c>
      <c r="D857" s="25"/>
      <c r="E857" s="22"/>
      <c r="F857" s="22" t="str">
        <f t="shared" si="8"/>
        <v>#DIV/0!</v>
      </c>
      <c r="G857" s="22" t="str">
        <f t="shared" si="31"/>
        <v>#DIV/0!</v>
      </c>
      <c r="H857" s="22" t="str">
        <f t="shared" si="32"/>
        <v>#DIV/0!</v>
      </c>
      <c r="I857" s="22" t="str">
        <f t="shared" si="3"/>
        <v>#DIV/0!</v>
      </c>
      <c r="J857" s="22" t="str">
        <f t="shared" si="33"/>
        <v>#DIV/0!</v>
      </c>
    </row>
    <row r="858" ht="15.75" customHeight="1">
      <c r="A858" s="25"/>
      <c r="B858" s="22"/>
      <c r="C858" s="22">
        <f t="shared" si="6"/>
        <v>0</v>
      </c>
      <c r="D858" s="25"/>
      <c r="E858" s="22"/>
      <c r="F858" s="22" t="str">
        <f t="shared" si="8"/>
        <v>#DIV/0!</v>
      </c>
      <c r="G858" s="22" t="str">
        <f t="shared" si="31"/>
        <v>#DIV/0!</v>
      </c>
      <c r="H858" s="22" t="str">
        <f t="shared" si="32"/>
        <v>#DIV/0!</v>
      </c>
      <c r="I858" s="22" t="str">
        <f t="shared" si="3"/>
        <v>#DIV/0!</v>
      </c>
      <c r="J858" s="22" t="str">
        <f t="shared" si="33"/>
        <v>#DIV/0!</v>
      </c>
    </row>
    <row r="859" ht="15.75" customHeight="1">
      <c r="A859" s="25"/>
      <c r="B859" s="22"/>
      <c r="C859" s="22">
        <f t="shared" si="6"/>
        <v>0</v>
      </c>
      <c r="D859" s="25"/>
      <c r="E859" s="22"/>
      <c r="F859" s="22" t="str">
        <f t="shared" si="8"/>
        <v>#DIV/0!</v>
      </c>
      <c r="G859" s="22" t="str">
        <f t="shared" si="31"/>
        <v>#DIV/0!</v>
      </c>
      <c r="H859" s="22" t="str">
        <f t="shared" si="32"/>
        <v>#DIV/0!</v>
      </c>
      <c r="I859" s="22" t="str">
        <f t="shared" si="3"/>
        <v>#DIV/0!</v>
      </c>
      <c r="J859" s="22" t="str">
        <f t="shared" si="33"/>
        <v>#DIV/0!</v>
      </c>
    </row>
    <row r="860" ht="15.75" customHeight="1">
      <c r="A860" s="25"/>
      <c r="B860" s="22"/>
      <c r="C860" s="22">
        <f t="shared" si="6"/>
        <v>0</v>
      </c>
      <c r="D860" s="25"/>
      <c r="E860" s="22"/>
      <c r="F860" s="22" t="str">
        <f t="shared" si="8"/>
        <v>#DIV/0!</v>
      </c>
      <c r="G860" s="22" t="str">
        <f t="shared" si="31"/>
        <v>#DIV/0!</v>
      </c>
      <c r="H860" s="22" t="str">
        <f t="shared" si="32"/>
        <v>#DIV/0!</v>
      </c>
      <c r="I860" s="22" t="str">
        <f t="shared" si="3"/>
        <v>#DIV/0!</v>
      </c>
      <c r="J860" s="22" t="str">
        <f t="shared" si="33"/>
        <v>#DIV/0!</v>
      </c>
    </row>
    <row r="861" ht="15.75" customHeight="1">
      <c r="A861" s="25"/>
      <c r="B861" s="22"/>
      <c r="C861" s="22">
        <f t="shared" si="6"/>
        <v>0</v>
      </c>
      <c r="D861" s="25"/>
      <c r="E861" s="22"/>
      <c r="F861" s="22" t="str">
        <f t="shared" si="8"/>
        <v>#DIV/0!</v>
      </c>
      <c r="G861" s="22" t="str">
        <f t="shared" si="31"/>
        <v>#DIV/0!</v>
      </c>
      <c r="H861" s="22" t="str">
        <f t="shared" si="32"/>
        <v>#DIV/0!</v>
      </c>
      <c r="I861" s="22" t="str">
        <f t="shared" si="3"/>
        <v>#DIV/0!</v>
      </c>
      <c r="J861" s="22" t="str">
        <f t="shared" si="33"/>
        <v>#DIV/0!</v>
      </c>
    </row>
    <row r="862" ht="15.75" customHeight="1">
      <c r="A862" s="25"/>
      <c r="B862" s="22"/>
      <c r="C862" s="22">
        <f t="shared" si="6"/>
        <v>0</v>
      </c>
      <c r="D862" s="25"/>
      <c r="E862" s="22"/>
      <c r="F862" s="22" t="str">
        <f t="shared" si="8"/>
        <v>#DIV/0!</v>
      </c>
      <c r="G862" s="22" t="str">
        <f t="shared" si="31"/>
        <v>#DIV/0!</v>
      </c>
      <c r="H862" s="22" t="str">
        <f t="shared" si="32"/>
        <v>#DIV/0!</v>
      </c>
      <c r="I862" s="22" t="str">
        <f t="shared" si="3"/>
        <v>#DIV/0!</v>
      </c>
      <c r="J862" s="22" t="str">
        <f t="shared" si="33"/>
        <v>#DIV/0!</v>
      </c>
    </row>
    <row r="863" ht="15.75" customHeight="1">
      <c r="A863" s="25"/>
      <c r="B863" s="22"/>
      <c r="C863" s="22">
        <f t="shared" si="6"/>
        <v>0</v>
      </c>
      <c r="D863" s="25"/>
      <c r="E863" s="22"/>
      <c r="F863" s="22" t="str">
        <f t="shared" si="8"/>
        <v>#DIV/0!</v>
      </c>
      <c r="G863" s="22" t="str">
        <f t="shared" si="31"/>
        <v>#DIV/0!</v>
      </c>
      <c r="H863" s="22" t="str">
        <f t="shared" si="32"/>
        <v>#DIV/0!</v>
      </c>
      <c r="I863" s="22" t="str">
        <f t="shared" si="3"/>
        <v>#DIV/0!</v>
      </c>
      <c r="J863" s="22" t="str">
        <f t="shared" si="33"/>
        <v>#DIV/0!</v>
      </c>
    </row>
    <row r="864" ht="15.75" customHeight="1">
      <c r="A864" s="25"/>
      <c r="B864" s="22"/>
      <c r="C864" s="22">
        <f t="shared" si="6"/>
        <v>0</v>
      </c>
      <c r="D864" s="25"/>
      <c r="E864" s="22"/>
      <c r="F864" s="22" t="str">
        <f t="shared" si="8"/>
        <v>#DIV/0!</v>
      </c>
      <c r="G864" s="22" t="str">
        <f t="shared" si="31"/>
        <v>#DIV/0!</v>
      </c>
      <c r="H864" s="22" t="str">
        <f t="shared" si="32"/>
        <v>#DIV/0!</v>
      </c>
      <c r="I864" s="22" t="str">
        <f t="shared" si="3"/>
        <v>#DIV/0!</v>
      </c>
      <c r="J864" s="22" t="str">
        <f t="shared" si="33"/>
        <v>#DIV/0!</v>
      </c>
    </row>
    <row r="865" ht="15.75" customHeight="1">
      <c r="A865" s="25"/>
      <c r="B865" s="22"/>
      <c r="C865" s="22">
        <f t="shared" si="6"/>
        <v>0</v>
      </c>
      <c r="D865" s="25"/>
      <c r="E865" s="22"/>
      <c r="F865" s="22" t="str">
        <f t="shared" si="8"/>
        <v>#DIV/0!</v>
      </c>
      <c r="G865" s="22" t="str">
        <f t="shared" si="31"/>
        <v>#DIV/0!</v>
      </c>
      <c r="H865" s="22" t="str">
        <f t="shared" si="32"/>
        <v>#DIV/0!</v>
      </c>
      <c r="I865" s="22" t="str">
        <f t="shared" si="3"/>
        <v>#DIV/0!</v>
      </c>
      <c r="J865" s="22" t="str">
        <f t="shared" si="33"/>
        <v>#DIV/0!</v>
      </c>
    </row>
    <row r="866" ht="15.75" customHeight="1">
      <c r="A866" s="25"/>
      <c r="B866" s="22"/>
      <c r="C866" s="22">
        <f t="shared" si="6"/>
        <v>0</v>
      </c>
      <c r="D866" s="25"/>
      <c r="E866" s="22"/>
      <c r="F866" s="22" t="str">
        <f t="shared" si="8"/>
        <v>#DIV/0!</v>
      </c>
      <c r="G866" s="22" t="str">
        <f t="shared" si="31"/>
        <v>#DIV/0!</v>
      </c>
      <c r="H866" s="22" t="str">
        <f t="shared" si="32"/>
        <v>#DIV/0!</v>
      </c>
      <c r="I866" s="22" t="str">
        <f t="shared" si="3"/>
        <v>#DIV/0!</v>
      </c>
      <c r="J866" s="22" t="str">
        <f t="shared" si="33"/>
        <v>#DIV/0!</v>
      </c>
    </row>
    <row r="867" ht="15.75" customHeight="1">
      <c r="A867" s="25"/>
      <c r="B867" s="22"/>
      <c r="C867" s="22">
        <f t="shared" si="6"/>
        <v>0</v>
      </c>
      <c r="D867" s="25"/>
      <c r="E867" s="22"/>
      <c r="F867" s="22" t="str">
        <f t="shared" si="8"/>
        <v>#DIV/0!</v>
      </c>
      <c r="G867" s="22" t="str">
        <f t="shared" si="31"/>
        <v>#DIV/0!</v>
      </c>
      <c r="H867" s="22" t="str">
        <f t="shared" si="32"/>
        <v>#DIV/0!</v>
      </c>
      <c r="I867" s="22" t="str">
        <f t="shared" si="3"/>
        <v>#DIV/0!</v>
      </c>
      <c r="J867" s="22" t="str">
        <f t="shared" si="33"/>
        <v>#DIV/0!</v>
      </c>
    </row>
    <row r="868" ht="15.75" customHeight="1">
      <c r="A868" s="25"/>
      <c r="B868" s="22"/>
      <c r="C868" s="22">
        <f t="shared" si="6"/>
        <v>0</v>
      </c>
      <c r="D868" s="25"/>
      <c r="E868" s="22"/>
      <c r="F868" s="22" t="str">
        <f t="shared" si="8"/>
        <v>#DIV/0!</v>
      </c>
      <c r="G868" s="22" t="str">
        <f t="shared" si="31"/>
        <v>#DIV/0!</v>
      </c>
      <c r="H868" s="22" t="str">
        <f t="shared" si="32"/>
        <v>#DIV/0!</v>
      </c>
      <c r="I868" s="22" t="str">
        <f t="shared" si="3"/>
        <v>#DIV/0!</v>
      </c>
      <c r="J868" s="22" t="str">
        <f t="shared" si="33"/>
        <v>#DIV/0!</v>
      </c>
    </row>
    <row r="869" ht="15.75" customHeight="1">
      <c r="A869" s="25"/>
      <c r="B869" s="22"/>
      <c r="C869" s="22">
        <f t="shared" si="6"/>
        <v>0</v>
      </c>
      <c r="D869" s="25"/>
      <c r="E869" s="22"/>
      <c r="F869" s="22" t="str">
        <f t="shared" si="8"/>
        <v>#DIV/0!</v>
      </c>
      <c r="G869" s="22" t="str">
        <f t="shared" si="31"/>
        <v>#DIV/0!</v>
      </c>
      <c r="H869" s="22" t="str">
        <f t="shared" si="32"/>
        <v>#DIV/0!</v>
      </c>
      <c r="I869" s="22" t="str">
        <f t="shared" si="3"/>
        <v>#DIV/0!</v>
      </c>
      <c r="J869" s="22" t="str">
        <f t="shared" si="33"/>
        <v>#DIV/0!</v>
      </c>
    </row>
    <row r="870" ht="15.75" customHeight="1">
      <c r="A870" s="25"/>
      <c r="B870" s="22"/>
      <c r="C870" s="22">
        <f t="shared" si="6"/>
        <v>0</v>
      </c>
      <c r="D870" s="25"/>
      <c r="E870" s="22"/>
      <c r="F870" s="22" t="str">
        <f t="shared" si="8"/>
        <v>#DIV/0!</v>
      </c>
      <c r="G870" s="22" t="str">
        <f t="shared" si="31"/>
        <v>#DIV/0!</v>
      </c>
      <c r="H870" s="22" t="str">
        <f t="shared" si="32"/>
        <v>#DIV/0!</v>
      </c>
      <c r="I870" s="22" t="str">
        <f t="shared" si="3"/>
        <v>#DIV/0!</v>
      </c>
      <c r="J870" s="22" t="str">
        <f t="shared" si="33"/>
        <v>#DIV/0!</v>
      </c>
    </row>
    <row r="871" ht="15.75" customHeight="1">
      <c r="A871" s="25"/>
      <c r="B871" s="22"/>
      <c r="C871" s="22">
        <f t="shared" si="6"/>
        <v>0</v>
      </c>
      <c r="D871" s="25"/>
      <c r="E871" s="22"/>
      <c r="F871" s="22" t="str">
        <f t="shared" si="8"/>
        <v>#DIV/0!</v>
      </c>
      <c r="G871" s="22" t="str">
        <f t="shared" si="31"/>
        <v>#DIV/0!</v>
      </c>
      <c r="H871" s="22" t="str">
        <f t="shared" si="32"/>
        <v>#DIV/0!</v>
      </c>
      <c r="I871" s="22" t="str">
        <f t="shared" si="3"/>
        <v>#DIV/0!</v>
      </c>
      <c r="J871" s="22" t="str">
        <f t="shared" si="33"/>
        <v>#DIV/0!</v>
      </c>
    </row>
    <row r="872" ht="15.75" customHeight="1">
      <c r="A872" s="25"/>
      <c r="B872" s="22"/>
      <c r="C872" s="22">
        <f t="shared" si="6"/>
        <v>0</v>
      </c>
      <c r="D872" s="25"/>
      <c r="E872" s="22"/>
      <c r="F872" s="22" t="str">
        <f t="shared" si="8"/>
        <v>#DIV/0!</v>
      </c>
      <c r="G872" s="22" t="str">
        <f t="shared" si="31"/>
        <v>#DIV/0!</v>
      </c>
      <c r="H872" s="22" t="str">
        <f t="shared" si="32"/>
        <v>#DIV/0!</v>
      </c>
      <c r="I872" s="22" t="str">
        <f t="shared" si="3"/>
        <v>#DIV/0!</v>
      </c>
      <c r="J872" s="22" t="str">
        <f t="shared" si="33"/>
        <v>#DIV/0!</v>
      </c>
    </row>
    <row r="873" ht="15.75" customHeight="1">
      <c r="A873" s="25"/>
      <c r="B873" s="22"/>
      <c r="C873" s="22">
        <f t="shared" si="6"/>
        <v>0</v>
      </c>
      <c r="D873" s="25"/>
      <c r="E873" s="22"/>
      <c r="F873" s="22" t="str">
        <f t="shared" si="8"/>
        <v>#DIV/0!</v>
      </c>
      <c r="G873" s="22" t="str">
        <f t="shared" si="31"/>
        <v>#DIV/0!</v>
      </c>
      <c r="H873" s="22" t="str">
        <f t="shared" si="32"/>
        <v>#DIV/0!</v>
      </c>
      <c r="I873" s="22" t="str">
        <f t="shared" si="3"/>
        <v>#DIV/0!</v>
      </c>
      <c r="J873" s="22" t="str">
        <f t="shared" si="33"/>
        <v>#DIV/0!</v>
      </c>
    </row>
    <row r="874" ht="15.75" customHeight="1">
      <c r="A874" s="25"/>
      <c r="B874" s="22"/>
      <c r="C874" s="22">
        <f t="shared" si="6"/>
        <v>0</v>
      </c>
      <c r="D874" s="25"/>
      <c r="E874" s="22"/>
      <c r="F874" s="22" t="str">
        <f t="shared" si="8"/>
        <v>#DIV/0!</v>
      </c>
      <c r="G874" s="22" t="str">
        <f t="shared" si="31"/>
        <v>#DIV/0!</v>
      </c>
      <c r="H874" s="22" t="str">
        <f t="shared" si="32"/>
        <v>#DIV/0!</v>
      </c>
      <c r="I874" s="22" t="str">
        <f t="shared" si="3"/>
        <v>#DIV/0!</v>
      </c>
      <c r="J874" s="22" t="str">
        <f t="shared" si="33"/>
        <v>#DIV/0!</v>
      </c>
    </row>
    <row r="875" ht="15.75" customHeight="1">
      <c r="A875" s="25"/>
      <c r="B875" s="22"/>
      <c r="C875" s="22">
        <f t="shared" si="6"/>
        <v>0</v>
      </c>
      <c r="D875" s="25"/>
      <c r="E875" s="22"/>
      <c r="F875" s="22" t="str">
        <f t="shared" si="8"/>
        <v>#DIV/0!</v>
      </c>
      <c r="G875" s="22" t="str">
        <f t="shared" si="31"/>
        <v>#DIV/0!</v>
      </c>
      <c r="H875" s="22" t="str">
        <f t="shared" si="32"/>
        <v>#DIV/0!</v>
      </c>
      <c r="I875" s="22" t="str">
        <f t="shared" si="3"/>
        <v>#DIV/0!</v>
      </c>
      <c r="J875" s="22" t="str">
        <f t="shared" si="33"/>
        <v>#DIV/0!</v>
      </c>
    </row>
    <row r="876" ht="15.75" customHeight="1">
      <c r="A876" s="25"/>
      <c r="B876" s="22"/>
      <c r="C876" s="22">
        <f t="shared" si="6"/>
        <v>0</v>
      </c>
      <c r="D876" s="25"/>
      <c r="E876" s="22"/>
      <c r="F876" s="22" t="str">
        <f t="shared" si="8"/>
        <v>#DIV/0!</v>
      </c>
      <c r="G876" s="22" t="str">
        <f t="shared" si="31"/>
        <v>#DIV/0!</v>
      </c>
      <c r="H876" s="22" t="str">
        <f t="shared" si="32"/>
        <v>#DIV/0!</v>
      </c>
      <c r="I876" s="22" t="str">
        <f t="shared" si="3"/>
        <v>#DIV/0!</v>
      </c>
      <c r="J876" s="22" t="str">
        <f t="shared" si="33"/>
        <v>#DIV/0!</v>
      </c>
    </row>
    <row r="877" ht="15.75" customHeight="1">
      <c r="A877" s="25"/>
      <c r="B877" s="22"/>
      <c r="C877" s="22">
        <f t="shared" si="6"/>
        <v>0</v>
      </c>
      <c r="D877" s="25"/>
      <c r="E877" s="22"/>
      <c r="F877" s="22" t="str">
        <f t="shared" si="8"/>
        <v>#DIV/0!</v>
      </c>
      <c r="G877" s="22" t="str">
        <f t="shared" si="31"/>
        <v>#DIV/0!</v>
      </c>
      <c r="H877" s="22" t="str">
        <f t="shared" si="32"/>
        <v>#DIV/0!</v>
      </c>
      <c r="I877" s="22" t="str">
        <f t="shared" si="3"/>
        <v>#DIV/0!</v>
      </c>
      <c r="J877" s="22" t="str">
        <f t="shared" si="33"/>
        <v>#DIV/0!</v>
      </c>
    </row>
    <row r="878" ht="15.75" customHeight="1">
      <c r="A878" s="25"/>
      <c r="B878" s="22"/>
      <c r="C878" s="22">
        <f t="shared" si="6"/>
        <v>0</v>
      </c>
      <c r="D878" s="25"/>
      <c r="E878" s="22"/>
      <c r="F878" s="22" t="str">
        <f t="shared" si="8"/>
        <v>#DIV/0!</v>
      </c>
      <c r="G878" s="22" t="str">
        <f t="shared" si="31"/>
        <v>#DIV/0!</v>
      </c>
      <c r="H878" s="22" t="str">
        <f t="shared" si="32"/>
        <v>#DIV/0!</v>
      </c>
      <c r="I878" s="22" t="str">
        <f t="shared" si="3"/>
        <v>#DIV/0!</v>
      </c>
      <c r="J878" s="22" t="str">
        <f t="shared" si="33"/>
        <v>#DIV/0!</v>
      </c>
    </row>
    <row r="879" ht="15.75" customHeight="1">
      <c r="A879" s="25"/>
      <c r="B879" s="22"/>
      <c r="C879" s="22">
        <f t="shared" si="6"/>
        <v>0</v>
      </c>
      <c r="D879" s="25"/>
      <c r="E879" s="22"/>
      <c r="F879" s="22" t="str">
        <f t="shared" si="8"/>
        <v>#DIV/0!</v>
      </c>
      <c r="G879" s="22" t="str">
        <f t="shared" si="31"/>
        <v>#DIV/0!</v>
      </c>
      <c r="H879" s="22" t="str">
        <f t="shared" si="32"/>
        <v>#DIV/0!</v>
      </c>
      <c r="I879" s="22" t="str">
        <f t="shared" si="3"/>
        <v>#DIV/0!</v>
      </c>
      <c r="J879" s="22" t="str">
        <f t="shared" si="33"/>
        <v>#DIV/0!</v>
      </c>
    </row>
    <row r="880" ht="15.75" customHeight="1">
      <c r="A880" s="25"/>
      <c r="B880" s="22"/>
      <c r="C880" s="22">
        <f t="shared" si="6"/>
        <v>0</v>
      </c>
      <c r="D880" s="25"/>
      <c r="E880" s="22"/>
      <c r="F880" s="22" t="str">
        <f t="shared" si="8"/>
        <v>#DIV/0!</v>
      </c>
      <c r="G880" s="22" t="str">
        <f t="shared" si="31"/>
        <v>#DIV/0!</v>
      </c>
      <c r="H880" s="22" t="str">
        <f t="shared" si="32"/>
        <v>#DIV/0!</v>
      </c>
      <c r="I880" s="22" t="str">
        <f t="shared" si="3"/>
        <v>#DIV/0!</v>
      </c>
      <c r="J880" s="22" t="str">
        <f t="shared" si="33"/>
        <v>#DIV/0!</v>
      </c>
    </row>
    <row r="881" ht="15.75" customHeight="1">
      <c r="A881" s="25"/>
      <c r="B881" s="22"/>
      <c r="C881" s="22">
        <f t="shared" si="6"/>
        <v>0</v>
      </c>
      <c r="D881" s="25"/>
      <c r="E881" s="22"/>
      <c r="F881" s="22" t="str">
        <f t="shared" si="8"/>
        <v>#DIV/0!</v>
      </c>
      <c r="G881" s="22" t="str">
        <f t="shared" si="31"/>
        <v>#DIV/0!</v>
      </c>
      <c r="H881" s="22" t="str">
        <f t="shared" si="32"/>
        <v>#DIV/0!</v>
      </c>
      <c r="I881" s="22" t="str">
        <f t="shared" si="3"/>
        <v>#DIV/0!</v>
      </c>
      <c r="J881" s="22" t="str">
        <f t="shared" si="33"/>
        <v>#DIV/0!</v>
      </c>
    </row>
    <row r="882" ht="15.75" customHeight="1">
      <c r="A882" s="25"/>
      <c r="B882" s="22"/>
      <c r="C882" s="22">
        <f t="shared" si="6"/>
        <v>0</v>
      </c>
      <c r="D882" s="25"/>
      <c r="E882" s="22"/>
      <c r="F882" s="22" t="str">
        <f t="shared" si="8"/>
        <v>#DIV/0!</v>
      </c>
      <c r="G882" s="22" t="str">
        <f t="shared" si="31"/>
        <v>#DIV/0!</v>
      </c>
      <c r="H882" s="22" t="str">
        <f t="shared" si="32"/>
        <v>#DIV/0!</v>
      </c>
      <c r="I882" s="22" t="str">
        <f t="shared" si="3"/>
        <v>#DIV/0!</v>
      </c>
      <c r="J882" s="22" t="str">
        <f t="shared" si="33"/>
        <v>#DIV/0!</v>
      </c>
    </row>
    <row r="883" ht="15.75" customHeight="1">
      <c r="A883" s="25"/>
      <c r="B883" s="22"/>
      <c r="C883" s="22">
        <f t="shared" si="6"/>
        <v>0</v>
      </c>
      <c r="D883" s="25"/>
      <c r="E883" s="22"/>
      <c r="F883" s="22" t="str">
        <f t="shared" si="8"/>
        <v>#DIV/0!</v>
      </c>
      <c r="G883" s="22" t="str">
        <f t="shared" si="31"/>
        <v>#DIV/0!</v>
      </c>
      <c r="H883" s="22" t="str">
        <f t="shared" si="32"/>
        <v>#DIV/0!</v>
      </c>
      <c r="I883" s="22" t="str">
        <f t="shared" si="3"/>
        <v>#DIV/0!</v>
      </c>
      <c r="J883" s="22" t="str">
        <f t="shared" si="33"/>
        <v>#DIV/0!</v>
      </c>
    </row>
    <row r="884" ht="15.75" customHeight="1">
      <c r="A884" s="25"/>
      <c r="B884" s="22"/>
      <c r="C884" s="22">
        <f t="shared" si="6"/>
        <v>0</v>
      </c>
      <c r="D884" s="25"/>
      <c r="E884" s="22"/>
      <c r="F884" s="22" t="str">
        <f t="shared" si="8"/>
        <v>#DIV/0!</v>
      </c>
      <c r="G884" s="22" t="str">
        <f t="shared" si="31"/>
        <v>#DIV/0!</v>
      </c>
      <c r="H884" s="22" t="str">
        <f t="shared" si="32"/>
        <v>#DIV/0!</v>
      </c>
      <c r="I884" s="22" t="str">
        <f t="shared" si="3"/>
        <v>#DIV/0!</v>
      </c>
      <c r="J884" s="22" t="str">
        <f t="shared" si="33"/>
        <v>#DIV/0!</v>
      </c>
    </row>
    <row r="885" ht="15.75" customHeight="1">
      <c r="A885" s="25"/>
      <c r="B885" s="22"/>
      <c r="C885" s="22">
        <f t="shared" si="6"/>
        <v>0</v>
      </c>
      <c r="D885" s="25"/>
      <c r="E885" s="22"/>
      <c r="F885" s="22" t="str">
        <f t="shared" si="8"/>
        <v>#DIV/0!</v>
      </c>
      <c r="G885" s="22" t="str">
        <f t="shared" si="31"/>
        <v>#DIV/0!</v>
      </c>
      <c r="H885" s="22" t="str">
        <f t="shared" si="32"/>
        <v>#DIV/0!</v>
      </c>
      <c r="I885" s="22" t="str">
        <f t="shared" si="3"/>
        <v>#DIV/0!</v>
      </c>
      <c r="J885" s="22" t="str">
        <f t="shared" si="33"/>
        <v>#DIV/0!</v>
      </c>
    </row>
    <row r="886" ht="15.75" customHeight="1">
      <c r="A886" s="25"/>
      <c r="B886" s="22"/>
      <c r="C886" s="22">
        <f t="shared" si="6"/>
        <v>0</v>
      </c>
      <c r="D886" s="25"/>
      <c r="E886" s="22"/>
      <c r="F886" s="22" t="str">
        <f t="shared" si="8"/>
        <v>#DIV/0!</v>
      </c>
      <c r="G886" s="22" t="str">
        <f t="shared" si="31"/>
        <v>#DIV/0!</v>
      </c>
      <c r="H886" s="22" t="str">
        <f t="shared" si="32"/>
        <v>#DIV/0!</v>
      </c>
      <c r="I886" s="22" t="str">
        <f t="shared" si="3"/>
        <v>#DIV/0!</v>
      </c>
      <c r="J886" s="22" t="str">
        <f t="shared" si="33"/>
        <v>#DIV/0!</v>
      </c>
    </row>
    <row r="887" ht="15.75" customHeight="1">
      <c r="A887" s="25"/>
      <c r="B887" s="22"/>
      <c r="C887" s="22">
        <f t="shared" si="6"/>
        <v>0</v>
      </c>
      <c r="D887" s="25"/>
      <c r="E887" s="22"/>
      <c r="F887" s="22" t="str">
        <f t="shared" si="8"/>
        <v>#DIV/0!</v>
      </c>
      <c r="G887" s="22" t="str">
        <f t="shared" si="31"/>
        <v>#DIV/0!</v>
      </c>
      <c r="H887" s="22" t="str">
        <f t="shared" si="32"/>
        <v>#DIV/0!</v>
      </c>
      <c r="I887" s="22" t="str">
        <f t="shared" si="3"/>
        <v>#DIV/0!</v>
      </c>
      <c r="J887" s="22" t="str">
        <f t="shared" si="33"/>
        <v>#DIV/0!</v>
      </c>
    </row>
    <row r="888" ht="15.75" customHeight="1">
      <c r="A888" s="25"/>
      <c r="B888" s="22"/>
      <c r="C888" s="22">
        <f t="shared" si="6"/>
        <v>0</v>
      </c>
      <c r="D888" s="25"/>
      <c r="E888" s="22"/>
      <c r="F888" s="22" t="str">
        <f t="shared" si="8"/>
        <v>#DIV/0!</v>
      </c>
      <c r="G888" s="22" t="str">
        <f t="shared" si="31"/>
        <v>#DIV/0!</v>
      </c>
      <c r="H888" s="22" t="str">
        <f t="shared" si="32"/>
        <v>#DIV/0!</v>
      </c>
      <c r="I888" s="22" t="str">
        <f t="shared" si="3"/>
        <v>#DIV/0!</v>
      </c>
      <c r="J888" s="22" t="str">
        <f t="shared" si="33"/>
        <v>#DIV/0!</v>
      </c>
    </row>
    <row r="889" ht="15.75" customHeight="1">
      <c r="A889" s="25"/>
      <c r="B889" s="22"/>
      <c r="C889" s="22">
        <f t="shared" si="6"/>
        <v>0</v>
      </c>
      <c r="D889" s="25"/>
      <c r="E889" s="22"/>
      <c r="F889" s="22" t="str">
        <f t="shared" si="8"/>
        <v>#DIV/0!</v>
      </c>
      <c r="G889" s="22" t="str">
        <f t="shared" si="31"/>
        <v>#DIV/0!</v>
      </c>
      <c r="H889" s="22" t="str">
        <f t="shared" si="32"/>
        <v>#DIV/0!</v>
      </c>
      <c r="I889" s="22" t="str">
        <f t="shared" si="3"/>
        <v>#DIV/0!</v>
      </c>
      <c r="J889" s="22" t="str">
        <f t="shared" si="33"/>
        <v>#DIV/0!</v>
      </c>
    </row>
    <row r="890" ht="15.75" customHeight="1">
      <c r="A890" s="25"/>
      <c r="B890" s="22"/>
      <c r="C890" s="22">
        <f t="shared" si="6"/>
        <v>0</v>
      </c>
      <c r="D890" s="25"/>
      <c r="E890" s="22"/>
      <c r="F890" s="22" t="str">
        <f t="shared" si="8"/>
        <v>#DIV/0!</v>
      </c>
      <c r="G890" s="22" t="str">
        <f t="shared" si="31"/>
        <v>#DIV/0!</v>
      </c>
      <c r="H890" s="22" t="str">
        <f t="shared" si="32"/>
        <v>#DIV/0!</v>
      </c>
      <c r="I890" s="22" t="str">
        <f t="shared" si="3"/>
        <v>#DIV/0!</v>
      </c>
      <c r="J890" s="22" t="str">
        <f t="shared" si="33"/>
        <v>#DIV/0!</v>
      </c>
    </row>
    <row r="891" ht="15.75" customHeight="1">
      <c r="A891" s="25"/>
      <c r="B891" s="22"/>
      <c r="C891" s="22">
        <f t="shared" si="6"/>
        <v>0</v>
      </c>
      <c r="D891" s="25"/>
      <c r="E891" s="22"/>
      <c r="F891" s="22" t="str">
        <f t="shared" si="8"/>
        <v>#DIV/0!</v>
      </c>
      <c r="G891" s="22" t="str">
        <f t="shared" si="31"/>
        <v>#DIV/0!</v>
      </c>
      <c r="H891" s="22" t="str">
        <f t="shared" si="32"/>
        <v>#DIV/0!</v>
      </c>
      <c r="I891" s="22" t="str">
        <f t="shared" si="3"/>
        <v>#DIV/0!</v>
      </c>
      <c r="J891" s="22" t="str">
        <f t="shared" si="33"/>
        <v>#DIV/0!</v>
      </c>
    </row>
    <row r="892" ht="15.75" customHeight="1">
      <c r="A892" s="25"/>
      <c r="B892" s="22"/>
      <c r="C892" s="22">
        <f t="shared" si="6"/>
        <v>0</v>
      </c>
      <c r="D892" s="25"/>
      <c r="E892" s="22"/>
      <c r="F892" s="22" t="str">
        <f t="shared" si="8"/>
        <v>#DIV/0!</v>
      </c>
      <c r="G892" s="22" t="str">
        <f t="shared" si="31"/>
        <v>#DIV/0!</v>
      </c>
      <c r="H892" s="22" t="str">
        <f t="shared" si="32"/>
        <v>#DIV/0!</v>
      </c>
      <c r="I892" s="22" t="str">
        <f t="shared" si="3"/>
        <v>#DIV/0!</v>
      </c>
      <c r="J892" s="22" t="str">
        <f t="shared" si="33"/>
        <v>#DIV/0!</v>
      </c>
    </row>
    <row r="893" ht="15.75" customHeight="1">
      <c r="A893" s="25"/>
      <c r="B893" s="22"/>
      <c r="C893" s="22">
        <f t="shared" si="6"/>
        <v>0</v>
      </c>
      <c r="D893" s="25"/>
      <c r="E893" s="22"/>
      <c r="F893" s="22" t="str">
        <f t="shared" si="8"/>
        <v>#DIV/0!</v>
      </c>
      <c r="G893" s="22" t="str">
        <f t="shared" si="31"/>
        <v>#DIV/0!</v>
      </c>
      <c r="H893" s="22" t="str">
        <f t="shared" si="32"/>
        <v>#DIV/0!</v>
      </c>
      <c r="I893" s="22" t="str">
        <f t="shared" si="3"/>
        <v>#DIV/0!</v>
      </c>
      <c r="J893" s="22" t="str">
        <f t="shared" si="33"/>
        <v>#DIV/0!</v>
      </c>
    </row>
    <row r="894" ht="15.75" customHeight="1">
      <c r="A894" s="25"/>
      <c r="B894" s="22"/>
      <c r="C894" s="22">
        <f t="shared" si="6"/>
        <v>0</v>
      </c>
      <c r="D894" s="25"/>
      <c r="E894" s="22"/>
      <c r="F894" s="22" t="str">
        <f t="shared" si="8"/>
        <v>#DIV/0!</v>
      </c>
      <c r="G894" s="22" t="str">
        <f t="shared" si="31"/>
        <v>#DIV/0!</v>
      </c>
      <c r="H894" s="22" t="str">
        <f t="shared" si="32"/>
        <v>#DIV/0!</v>
      </c>
      <c r="I894" s="22" t="str">
        <f t="shared" si="3"/>
        <v>#DIV/0!</v>
      </c>
      <c r="J894" s="22" t="str">
        <f t="shared" si="33"/>
        <v>#DIV/0!</v>
      </c>
    </row>
    <row r="895" ht="15.75" customHeight="1">
      <c r="A895" s="25"/>
      <c r="B895" s="22"/>
      <c r="C895" s="22">
        <f t="shared" si="6"/>
        <v>0</v>
      </c>
      <c r="D895" s="25"/>
      <c r="E895" s="22"/>
      <c r="F895" s="22" t="str">
        <f t="shared" si="8"/>
        <v>#DIV/0!</v>
      </c>
      <c r="G895" s="22" t="str">
        <f t="shared" si="31"/>
        <v>#DIV/0!</v>
      </c>
      <c r="H895" s="22" t="str">
        <f t="shared" si="32"/>
        <v>#DIV/0!</v>
      </c>
      <c r="I895" s="22" t="str">
        <f t="shared" si="3"/>
        <v>#DIV/0!</v>
      </c>
      <c r="J895" s="22" t="str">
        <f t="shared" si="33"/>
        <v>#DIV/0!</v>
      </c>
    </row>
    <row r="896" ht="15.75" customHeight="1">
      <c r="A896" s="25"/>
      <c r="B896" s="22"/>
      <c r="C896" s="22">
        <f t="shared" si="6"/>
        <v>0</v>
      </c>
      <c r="D896" s="25"/>
      <c r="E896" s="22"/>
      <c r="F896" s="22" t="str">
        <f t="shared" si="8"/>
        <v>#DIV/0!</v>
      </c>
      <c r="G896" s="22" t="str">
        <f t="shared" si="31"/>
        <v>#DIV/0!</v>
      </c>
      <c r="H896" s="22" t="str">
        <f t="shared" si="32"/>
        <v>#DIV/0!</v>
      </c>
      <c r="I896" s="22" t="str">
        <f t="shared" si="3"/>
        <v>#DIV/0!</v>
      </c>
      <c r="J896" s="22" t="str">
        <f t="shared" si="33"/>
        <v>#DIV/0!</v>
      </c>
    </row>
    <row r="897" ht="15.75" customHeight="1">
      <c r="A897" s="25"/>
      <c r="B897" s="22"/>
      <c r="C897" s="22">
        <f t="shared" si="6"/>
        <v>0</v>
      </c>
      <c r="D897" s="25"/>
      <c r="E897" s="22"/>
      <c r="F897" s="22" t="str">
        <f t="shared" si="8"/>
        <v>#DIV/0!</v>
      </c>
      <c r="G897" s="22" t="str">
        <f t="shared" si="31"/>
        <v>#DIV/0!</v>
      </c>
      <c r="H897" s="22" t="str">
        <f t="shared" si="32"/>
        <v>#DIV/0!</v>
      </c>
      <c r="I897" s="22" t="str">
        <f t="shared" si="3"/>
        <v>#DIV/0!</v>
      </c>
      <c r="J897" s="22" t="str">
        <f t="shared" si="33"/>
        <v>#DIV/0!</v>
      </c>
    </row>
    <row r="898" ht="15.75" customHeight="1">
      <c r="A898" s="25"/>
      <c r="B898" s="22"/>
      <c r="C898" s="22">
        <f t="shared" si="6"/>
        <v>0</v>
      </c>
      <c r="D898" s="25"/>
      <c r="E898" s="22"/>
      <c r="F898" s="22" t="str">
        <f t="shared" si="8"/>
        <v>#DIV/0!</v>
      </c>
      <c r="G898" s="22" t="str">
        <f t="shared" si="31"/>
        <v>#DIV/0!</v>
      </c>
      <c r="H898" s="22" t="str">
        <f t="shared" si="32"/>
        <v>#DIV/0!</v>
      </c>
      <c r="I898" s="22" t="str">
        <f t="shared" si="3"/>
        <v>#DIV/0!</v>
      </c>
      <c r="J898" s="22" t="str">
        <f t="shared" si="33"/>
        <v>#DIV/0!</v>
      </c>
    </row>
    <row r="899" ht="15.75" customHeight="1">
      <c r="A899" s="25"/>
      <c r="B899" s="22"/>
      <c r="C899" s="22">
        <f t="shared" si="6"/>
        <v>0</v>
      </c>
      <c r="D899" s="25"/>
      <c r="E899" s="22"/>
      <c r="F899" s="22" t="str">
        <f t="shared" si="8"/>
        <v>#DIV/0!</v>
      </c>
      <c r="G899" s="22" t="str">
        <f t="shared" si="31"/>
        <v>#DIV/0!</v>
      </c>
      <c r="H899" s="22" t="str">
        <f t="shared" si="32"/>
        <v>#DIV/0!</v>
      </c>
      <c r="I899" s="22" t="str">
        <f t="shared" si="3"/>
        <v>#DIV/0!</v>
      </c>
      <c r="J899" s="22" t="str">
        <f t="shared" si="33"/>
        <v>#DIV/0!</v>
      </c>
    </row>
    <row r="900" ht="15.75" customHeight="1">
      <c r="A900" s="25"/>
      <c r="B900" s="22"/>
      <c r="C900" s="22">
        <f t="shared" si="6"/>
        <v>0</v>
      </c>
      <c r="D900" s="25"/>
      <c r="E900" s="22"/>
      <c r="F900" s="22" t="str">
        <f t="shared" si="8"/>
        <v>#DIV/0!</v>
      </c>
      <c r="G900" s="22" t="str">
        <f t="shared" si="31"/>
        <v>#DIV/0!</v>
      </c>
      <c r="H900" s="22" t="str">
        <f t="shared" si="32"/>
        <v>#DIV/0!</v>
      </c>
      <c r="I900" s="22" t="str">
        <f t="shared" si="3"/>
        <v>#DIV/0!</v>
      </c>
      <c r="J900" s="22" t="str">
        <f t="shared" si="33"/>
        <v>#DIV/0!</v>
      </c>
    </row>
    <row r="901" ht="15.75" customHeight="1">
      <c r="A901" s="25"/>
      <c r="B901" s="22"/>
      <c r="C901" s="22">
        <f t="shared" si="6"/>
        <v>0</v>
      </c>
      <c r="D901" s="25"/>
      <c r="E901" s="22"/>
      <c r="F901" s="22" t="str">
        <f t="shared" si="8"/>
        <v>#DIV/0!</v>
      </c>
      <c r="G901" s="22" t="str">
        <f t="shared" si="31"/>
        <v>#DIV/0!</v>
      </c>
      <c r="H901" s="22" t="str">
        <f t="shared" si="32"/>
        <v>#DIV/0!</v>
      </c>
      <c r="I901" s="22" t="str">
        <f t="shared" si="3"/>
        <v>#DIV/0!</v>
      </c>
      <c r="J901" s="22" t="str">
        <f t="shared" si="33"/>
        <v>#DIV/0!</v>
      </c>
    </row>
    <row r="902" ht="15.75" customHeight="1">
      <c r="A902" s="25"/>
      <c r="B902" s="22"/>
      <c r="C902" s="22">
        <f t="shared" si="6"/>
        <v>0</v>
      </c>
      <c r="D902" s="25"/>
      <c r="E902" s="22"/>
      <c r="F902" s="22" t="str">
        <f t="shared" si="8"/>
        <v>#DIV/0!</v>
      </c>
      <c r="G902" s="22" t="str">
        <f t="shared" si="31"/>
        <v>#DIV/0!</v>
      </c>
      <c r="H902" s="22" t="str">
        <f t="shared" si="32"/>
        <v>#DIV/0!</v>
      </c>
      <c r="I902" s="22" t="str">
        <f t="shared" si="3"/>
        <v>#DIV/0!</v>
      </c>
      <c r="J902" s="22" t="str">
        <f t="shared" si="33"/>
        <v>#DIV/0!</v>
      </c>
    </row>
    <row r="903" ht="15.75" customHeight="1">
      <c r="A903" s="25"/>
      <c r="B903" s="22"/>
      <c r="C903" s="22">
        <f t="shared" si="6"/>
        <v>0</v>
      </c>
      <c r="D903" s="25"/>
      <c r="E903" s="22"/>
      <c r="F903" s="22" t="str">
        <f t="shared" si="8"/>
        <v>#DIV/0!</v>
      </c>
      <c r="G903" s="22" t="str">
        <f t="shared" si="31"/>
        <v>#DIV/0!</v>
      </c>
      <c r="H903" s="22" t="str">
        <f t="shared" si="32"/>
        <v>#DIV/0!</v>
      </c>
      <c r="I903" s="22" t="str">
        <f t="shared" si="3"/>
        <v>#DIV/0!</v>
      </c>
      <c r="J903" s="22" t="str">
        <f t="shared" si="33"/>
        <v>#DIV/0!</v>
      </c>
    </row>
    <row r="904" ht="15.75" customHeight="1">
      <c r="A904" s="25"/>
      <c r="B904" s="22"/>
      <c r="C904" s="22">
        <f t="shared" si="6"/>
        <v>0</v>
      </c>
      <c r="D904" s="25"/>
      <c r="E904" s="22"/>
      <c r="F904" s="22" t="str">
        <f t="shared" si="8"/>
        <v>#DIV/0!</v>
      </c>
      <c r="G904" s="22" t="str">
        <f t="shared" si="31"/>
        <v>#DIV/0!</v>
      </c>
      <c r="H904" s="22" t="str">
        <f t="shared" si="32"/>
        <v>#DIV/0!</v>
      </c>
      <c r="I904" s="22" t="str">
        <f t="shared" si="3"/>
        <v>#DIV/0!</v>
      </c>
      <c r="J904" s="22" t="str">
        <f t="shared" si="33"/>
        <v>#DIV/0!</v>
      </c>
    </row>
    <row r="905" ht="15.75" customHeight="1">
      <c r="A905" s="25"/>
      <c r="B905" s="22"/>
      <c r="C905" s="22">
        <f t="shared" si="6"/>
        <v>0</v>
      </c>
      <c r="D905" s="25"/>
      <c r="E905" s="22"/>
      <c r="F905" s="22" t="str">
        <f t="shared" si="8"/>
        <v>#DIV/0!</v>
      </c>
      <c r="G905" s="22" t="str">
        <f t="shared" si="31"/>
        <v>#DIV/0!</v>
      </c>
      <c r="H905" s="22" t="str">
        <f t="shared" si="32"/>
        <v>#DIV/0!</v>
      </c>
      <c r="I905" s="22" t="str">
        <f t="shared" si="3"/>
        <v>#DIV/0!</v>
      </c>
      <c r="J905" s="22" t="str">
        <f t="shared" si="33"/>
        <v>#DIV/0!</v>
      </c>
    </row>
    <row r="906" ht="15.75" customHeight="1">
      <c r="A906" s="25"/>
      <c r="B906" s="22"/>
      <c r="C906" s="22">
        <f t="shared" si="6"/>
        <v>0</v>
      </c>
      <c r="D906" s="25"/>
      <c r="E906" s="22"/>
      <c r="F906" s="22" t="str">
        <f t="shared" si="8"/>
        <v>#DIV/0!</v>
      </c>
      <c r="G906" s="22" t="str">
        <f t="shared" si="31"/>
        <v>#DIV/0!</v>
      </c>
      <c r="H906" s="22" t="str">
        <f t="shared" si="32"/>
        <v>#DIV/0!</v>
      </c>
      <c r="I906" s="22" t="str">
        <f t="shared" si="3"/>
        <v>#DIV/0!</v>
      </c>
      <c r="J906" s="22" t="str">
        <f t="shared" si="33"/>
        <v>#DIV/0!</v>
      </c>
    </row>
    <row r="907" ht="15.75" customHeight="1">
      <c r="A907" s="25"/>
      <c r="B907" s="22"/>
      <c r="C907" s="22">
        <f t="shared" si="6"/>
        <v>0</v>
      </c>
      <c r="D907" s="25"/>
      <c r="E907" s="22"/>
      <c r="F907" s="22" t="str">
        <f t="shared" si="8"/>
        <v>#DIV/0!</v>
      </c>
      <c r="G907" s="22" t="str">
        <f t="shared" si="31"/>
        <v>#DIV/0!</v>
      </c>
      <c r="H907" s="22" t="str">
        <f t="shared" si="32"/>
        <v>#DIV/0!</v>
      </c>
      <c r="I907" s="22" t="str">
        <f t="shared" si="3"/>
        <v>#DIV/0!</v>
      </c>
      <c r="J907" s="22" t="str">
        <f t="shared" si="33"/>
        <v>#DIV/0!</v>
      </c>
    </row>
    <row r="908" ht="15.75" customHeight="1">
      <c r="A908" s="25"/>
      <c r="B908" s="22"/>
      <c r="C908" s="22">
        <f t="shared" si="6"/>
        <v>0</v>
      </c>
      <c r="D908" s="25"/>
      <c r="E908" s="22"/>
      <c r="F908" s="22" t="str">
        <f t="shared" si="8"/>
        <v>#DIV/0!</v>
      </c>
      <c r="G908" s="22" t="str">
        <f t="shared" si="31"/>
        <v>#DIV/0!</v>
      </c>
      <c r="H908" s="22" t="str">
        <f t="shared" si="32"/>
        <v>#DIV/0!</v>
      </c>
      <c r="I908" s="22" t="str">
        <f t="shared" si="3"/>
        <v>#DIV/0!</v>
      </c>
      <c r="J908" s="22" t="str">
        <f t="shared" si="33"/>
        <v>#DIV/0!</v>
      </c>
    </row>
    <row r="909" ht="15.75" customHeight="1">
      <c r="A909" s="25"/>
      <c r="B909" s="22"/>
      <c r="C909" s="22">
        <f t="shared" si="6"/>
        <v>0</v>
      </c>
      <c r="D909" s="25"/>
      <c r="E909" s="22"/>
      <c r="F909" s="22" t="str">
        <f t="shared" si="8"/>
        <v>#DIV/0!</v>
      </c>
      <c r="G909" s="22" t="str">
        <f t="shared" si="31"/>
        <v>#DIV/0!</v>
      </c>
      <c r="H909" s="22" t="str">
        <f t="shared" si="32"/>
        <v>#DIV/0!</v>
      </c>
      <c r="I909" s="22" t="str">
        <f t="shared" si="3"/>
        <v>#DIV/0!</v>
      </c>
      <c r="J909" s="22" t="str">
        <f t="shared" si="33"/>
        <v>#DIV/0!</v>
      </c>
    </row>
    <row r="910" ht="15.75" customHeight="1">
      <c r="A910" s="25"/>
      <c r="B910" s="22"/>
      <c r="C910" s="22">
        <f t="shared" si="6"/>
        <v>0</v>
      </c>
      <c r="D910" s="25"/>
      <c r="E910" s="22"/>
      <c r="F910" s="22" t="str">
        <f t="shared" si="8"/>
        <v>#DIV/0!</v>
      </c>
      <c r="G910" s="22" t="str">
        <f t="shared" si="31"/>
        <v>#DIV/0!</v>
      </c>
      <c r="H910" s="22" t="str">
        <f t="shared" si="32"/>
        <v>#DIV/0!</v>
      </c>
      <c r="I910" s="22" t="str">
        <f t="shared" si="3"/>
        <v>#DIV/0!</v>
      </c>
      <c r="J910" s="22" t="str">
        <f t="shared" si="33"/>
        <v>#DIV/0!</v>
      </c>
    </row>
    <row r="911" ht="15.75" customHeight="1">
      <c r="A911" s="25"/>
      <c r="B911" s="22"/>
      <c r="C911" s="22">
        <f t="shared" si="6"/>
        <v>0</v>
      </c>
      <c r="D911" s="25"/>
      <c r="E911" s="22"/>
      <c r="F911" s="22" t="str">
        <f t="shared" si="8"/>
        <v>#DIV/0!</v>
      </c>
      <c r="G911" s="22" t="str">
        <f t="shared" si="31"/>
        <v>#DIV/0!</v>
      </c>
      <c r="H911" s="22" t="str">
        <f t="shared" si="32"/>
        <v>#DIV/0!</v>
      </c>
      <c r="I911" s="22" t="str">
        <f t="shared" si="3"/>
        <v>#DIV/0!</v>
      </c>
      <c r="J911" s="22" t="str">
        <f t="shared" si="33"/>
        <v>#DIV/0!</v>
      </c>
    </row>
    <row r="912" ht="15.75" customHeight="1">
      <c r="A912" s="25"/>
      <c r="B912" s="22"/>
      <c r="C912" s="22">
        <f t="shared" si="6"/>
        <v>0</v>
      </c>
      <c r="D912" s="25"/>
      <c r="E912" s="22"/>
      <c r="F912" s="22" t="str">
        <f t="shared" si="8"/>
        <v>#DIV/0!</v>
      </c>
      <c r="G912" s="22" t="str">
        <f t="shared" si="31"/>
        <v>#DIV/0!</v>
      </c>
      <c r="H912" s="22" t="str">
        <f t="shared" si="32"/>
        <v>#DIV/0!</v>
      </c>
      <c r="I912" s="22" t="str">
        <f t="shared" si="3"/>
        <v>#DIV/0!</v>
      </c>
      <c r="J912" s="22" t="str">
        <f t="shared" si="33"/>
        <v>#DIV/0!</v>
      </c>
    </row>
    <row r="913" ht="15.75" customHeight="1">
      <c r="A913" s="25"/>
      <c r="B913" s="22"/>
      <c r="C913" s="22">
        <f t="shared" si="6"/>
        <v>0</v>
      </c>
      <c r="D913" s="25"/>
      <c r="E913" s="22"/>
      <c r="F913" s="22" t="str">
        <f t="shared" si="8"/>
        <v>#DIV/0!</v>
      </c>
      <c r="G913" s="22" t="str">
        <f t="shared" si="31"/>
        <v>#DIV/0!</v>
      </c>
      <c r="H913" s="22" t="str">
        <f t="shared" si="32"/>
        <v>#DIV/0!</v>
      </c>
      <c r="I913" s="22" t="str">
        <f t="shared" si="3"/>
        <v>#DIV/0!</v>
      </c>
      <c r="J913" s="22" t="str">
        <f t="shared" si="33"/>
        <v>#DIV/0!</v>
      </c>
    </row>
    <row r="914" ht="15.75" customHeight="1">
      <c r="A914" s="25"/>
      <c r="B914" s="22"/>
      <c r="C914" s="22">
        <f t="shared" si="6"/>
        <v>0</v>
      </c>
      <c r="D914" s="25"/>
      <c r="E914" s="22"/>
      <c r="F914" s="22" t="str">
        <f t="shared" si="8"/>
        <v>#DIV/0!</v>
      </c>
      <c r="G914" s="22" t="str">
        <f t="shared" si="31"/>
        <v>#DIV/0!</v>
      </c>
      <c r="H914" s="22" t="str">
        <f t="shared" si="32"/>
        <v>#DIV/0!</v>
      </c>
      <c r="I914" s="22" t="str">
        <f t="shared" si="3"/>
        <v>#DIV/0!</v>
      </c>
      <c r="J914" s="22" t="str">
        <f t="shared" si="33"/>
        <v>#DIV/0!</v>
      </c>
    </row>
    <row r="915" ht="15.75" customHeight="1">
      <c r="A915" s="25"/>
      <c r="B915" s="22"/>
      <c r="C915" s="22">
        <f t="shared" si="6"/>
        <v>0</v>
      </c>
      <c r="D915" s="25"/>
      <c r="E915" s="22"/>
      <c r="F915" s="22" t="str">
        <f t="shared" si="8"/>
        <v>#DIV/0!</v>
      </c>
      <c r="G915" s="22" t="str">
        <f t="shared" si="31"/>
        <v>#DIV/0!</v>
      </c>
      <c r="H915" s="22" t="str">
        <f t="shared" si="32"/>
        <v>#DIV/0!</v>
      </c>
      <c r="I915" s="22" t="str">
        <f t="shared" si="3"/>
        <v>#DIV/0!</v>
      </c>
      <c r="J915" s="22" t="str">
        <f t="shared" si="33"/>
        <v>#DIV/0!</v>
      </c>
    </row>
    <row r="916" ht="15.75" customHeight="1">
      <c r="A916" s="25"/>
      <c r="B916" s="22"/>
      <c r="C916" s="22">
        <f t="shared" si="6"/>
        <v>0</v>
      </c>
      <c r="D916" s="25"/>
      <c r="E916" s="22"/>
      <c r="F916" s="22" t="str">
        <f t="shared" si="8"/>
        <v>#DIV/0!</v>
      </c>
      <c r="G916" s="22" t="str">
        <f t="shared" si="31"/>
        <v>#DIV/0!</v>
      </c>
      <c r="H916" s="22" t="str">
        <f t="shared" si="32"/>
        <v>#DIV/0!</v>
      </c>
      <c r="I916" s="22" t="str">
        <f t="shared" si="3"/>
        <v>#DIV/0!</v>
      </c>
      <c r="J916" s="22" t="str">
        <f t="shared" si="33"/>
        <v>#DIV/0!</v>
      </c>
    </row>
    <row r="917" ht="15.75" customHeight="1">
      <c r="A917" s="25"/>
      <c r="B917" s="22"/>
      <c r="C917" s="22">
        <f t="shared" si="6"/>
        <v>0</v>
      </c>
      <c r="D917" s="25"/>
      <c r="E917" s="22"/>
      <c r="F917" s="22" t="str">
        <f t="shared" si="8"/>
        <v>#DIV/0!</v>
      </c>
      <c r="G917" s="22" t="str">
        <f t="shared" si="31"/>
        <v>#DIV/0!</v>
      </c>
      <c r="H917" s="22" t="str">
        <f t="shared" si="32"/>
        <v>#DIV/0!</v>
      </c>
      <c r="I917" s="22" t="str">
        <f t="shared" si="3"/>
        <v>#DIV/0!</v>
      </c>
      <c r="J917" s="22" t="str">
        <f t="shared" si="33"/>
        <v>#DIV/0!</v>
      </c>
    </row>
    <row r="918" ht="15.75" customHeight="1">
      <c r="A918" s="25"/>
      <c r="B918" s="22"/>
      <c r="C918" s="22">
        <f t="shared" si="6"/>
        <v>0</v>
      </c>
      <c r="D918" s="25"/>
      <c r="E918" s="22"/>
      <c r="F918" s="22" t="str">
        <f t="shared" si="8"/>
        <v>#DIV/0!</v>
      </c>
      <c r="G918" s="22" t="str">
        <f t="shared" si="31"/>
        <v>#DIV/0!</v>
      </c>
      <c r="H918" s="22" t="str">
        <f t="shared" si="32"/>
        <v>#DIV/0!</v>
      </c>
      <c r="I918" s="22" t="str">
        <f t="shared" si="3"/>
        <v>#DIV/0!</v>
      </c>
      <c r="J918" s="22" t="str">
        <f t="shared" si="33"/>
        <v>#DIV/0!</v>
      </c>
    </row>
    <row r="919" ht="15.75" customHeight="1">
      <c r="A919" s="25"/>
      <c r="B919" s="22"/>
      <c r="C919" s="22">
        <f t="shared" si="6"/>
        <v>0</v>
      </c>
      <c r="D919" s="25"/>
      <c r="E919" s="22"/>
      <c r="F919" s="22" t="str">
        <f t="shared" si="8"/>
        <v>#DIV/0!</v>
      </c>
      <c r="G919" s="22" t="str">
        <f t="shared" si="31"/>
        <v>#DIV/0!</v>
      </c>
      <c r="H919" s="22" t="str">
        <f t="shared" si="32"/>
        <v>#DIV/0!</v>
      </c>
      <c r="I919" s="22" t="str">
        <f t="shared" si="3"/>
        <v>#DIV/0!</v>
      </c>
      <c r="J919" s="22" t="str">
        <f t="shared" si="33"/>
        <v>#DIV/0!</v>
      </c>
    </row>
    <row r="920" ht="15.75" customHeight="1">
      <c r="A920" s="25"/>
      <c r="B920" s="22"/>
      <c r="C920" s="22">
        <f t="shared" si="6"/>
        <v>0</v>
      </c>
      <c r="D920" s="25"/>
      <c r="E920" s="22"/>
      <c r="F920" s="22" t="str">
        <f t="shared" si="8"/>
        <v>#DIV/0!</v>
      </c>
      <c r="G920" s="22" t="str">
        <f t="shared" si="31"/>
        <v>#DIV/0!</v>
      </c>
      <c r="H920" s="22" t="str">
        <f t="shared" si="32"/>
        <v>#DIV/0!</v>
      </c>
      <c r="I920" s="22" t="str">
        <f t="shared" si="3"/>
        <v>#DIV/0!</v>
      </c>
      <c r="J920" s="22" t="str">
        <f t="shared" si="33"/>
        <v>#DIV/0!</v>
      </c>
    </row>
    <row r="921" ht="15.75" customHeight="1">
      <c r="A921" s="25"/>
      <c r="B921" s="22"/>
      <c r="C921" s="22">
        <f t="shared" si="6"/>
        <v>0</v>
      </c>
      <c r="D921" s="25"/>
      <c r="E921" s="22"/>
      <c r="F921" s="22" t="str">
        <f t="shared" si="8"/>
        <v>#DIV/0!</v>
      </c>
      <c r="G921" s="22" t="str">
        <f t="shared" si="31"/>
        <v>#DIV/0!</v>
      </c>
      <c r="H921" s="22" t="str">
        <f t="shared" si="32"/>
        <v>#DIV/0!</v>
      </c>
      <c r="I921" s="22" t="str">
        <f t="shared" si="3"/>
        <v>#DIV/0!</v>
      </c>
      <c r="J921" s="22" t="str">
        <f t="shared" si="33"/>
        <v>#DIV/0!</v>
      </c>
    </row>
    <row r="922" ht="15.75" customHeight="1">
      <c r="A922" s="25"/>
      <c r="B922" s="22"/>
      <c r="C922" s="22">
        <f t="shared" si="6"/>
        <v>0</v>
      </c>
      <c r="D922" s="25"/>
      <c r="E922" s="22"/>
      <c r="F922" s="22" t="str">
        <f t="shared" si="8"/>
        <v>#DIV/0!</v>
      </c>
      <c r="G922" s="22" t="str">
        <f t="shared" si="31"/>
        <v>#DIV/0!</v>
      </c>
      <c r="H922" s="22" t="str">
        <f t="shared" si="32"/>
        <v>#DIV/0!</v>
      </c>
      <c r="I922" s="22" t="str">
        <f t="shared" si="3"/>
        <v>#DIV/0!</v>
      </c>
      <c r="J922" s="22" t="str">
        <f t="shared" si="33"/>
        <v>#DIV/0!</v>
      </c>
    </row>
    <row r="923" ht="15.75" customHeight="1">
      <c r="A923" s="25"/>
      <c r="B923" s="22"/>
      <c r="C923" s="22">
        <f t="shared" si="6"/>
        <v>0</v>
      </c>
      <c r="D923" s="25"/>
      <c r="E923" s="22"/>
      <c r="F923" s="22" t="str">
        <f t="shared" si="8"/>
        <v>#DIV/0!</v>
      </c>
      <c r="G923" s="22" t="str">
        <f t="shared" si="31"/>
        <v>#DIV/0!</v>
      </c>
      <c r="H923" s="22" t="str">
        <f t="shared" si="32"/>
        <v>#DIV/0!</v>
      </c>
      <c r="I923" s="22" t="str">
        <f t="shared" si="3"/>
        <v>#DIV/0!</v>
      </c>
      <c r="J923" s="22" t="str">
        <f t="shared" si="33"/>
        <v>#DIV/0!</v>
      </c>
    </row>
    <row r="924" ht="15.75" customHeight="1">
      <c r="A924" s="25"/>
      <c r="B924" s="22"/>
      <c r="C924" s="22">
        <f t="shared" si="6"/>
        <v>0</v>
      </c>
      <c r="D924" s="25"/>
      <c r="E924" s="22"/>
      <c r="F924" s="22" t="str">
        <f t="shared" si="8"/>
        <v>#DIV/0!</v>
      </c>
      <c r="G924" s="22" t="str">
        <f t="shared" si="31"/>
        <v>#DIV/0!</v>
      </c>
      <c r="H924" s="22" t="str">
        <f t="shared" si="32"/>
        <v>#DIV/0!</v>
      </c>
      <c r="I924" s="22" t="str">
        <f t="shared" si="3"/>
        <v>#DIV/0!</v>
      </c>
      <c r="J924" s="22" t="str">
        <f t="shared" si="33"/>
        <v>#DIV/0!</v>
      </c>
    </row>
    <row r="925" ht="15.75" customHeight="1">
      <c r="A925" s="25"/>
      <c r="B925" s="22"/>
      <c r="C925" s="22">
        <f t="shared" si="6"/>
        <v>0</v>
      </c>
      <c r="D925" s="25"/>
      <c r="E925" s="22"/>
      <c r="F925" s="22" t="str">
        <f t="shared" si="8"/>
        <v>#DIV/0!</v>
      </c>
      <c r="G925" s="22" t="str">
        <f t="shared" si="31"/>
        <v>#DIV/0!</v>
      </c>
      <c r="H925" s="22" t="str">
        <f t="shared" si="32"/>
        <v>#DIV/0!</v>
      </c>
      <c r="I925" s="22" t="str">
        <f t="shared" si="3"/>
        <v>#DIV/0!</v>
      </c>
      <c r="J925" s="22" t="str">
        <f t="shared" si="33"/>
        <v>#DIV/0!</v>
      </c>
    </row>
    <row r="926" ht="15.75" customHeight="1">
      <c r="A926" s="25"/>
      <c r="B926" s="22"/>
      <c r="C926" s="22">
        <f t="shared" si="6"/>
        <v>0</v>
      </c>
      <c r="D926" s="25"/>
      <c r="E926" s="22"/>
      <c r="F926" s="22" t="str">
        <f t="shared" si="8"/>
        <v>#DIV/0!</v>
      </c>
      <c r="G926" s="22" t="str">
        <f t="shared" si="31"/>
        <v>#DIV/0!</v>
      </c>
      <c r="H926" s="22" t="str">
        <f t="shared" si="32"/>
        <v>#DIV/0!</v>
      </c>
      <c r="I926" s="22" t="str">
        <f t="shared" si="3"/>
        <v>#DIV/0!</v>
      </c>
      <c r="J926" s="22" t="str">
        <f t="shared" si="33"/>
        <v>#DIV/0!</v>
      </c>
    </row>
    <row r="927" ht="15.75" customHeight="1">
      <c r="A927" s="25"/>
      <c r="B927" s="22"/>
      <c r="C927" s="22">
        <f t="shared" si="6"/>
        <v>0</v>
      </c>
      <c r="D927" s="25"/>
      <c r="E927" s="22"/>
      <c r="F927" s="22" t="str">
        <f t="shared" si="8"/>
        <v>#DIV/0!</v>
      </c>
      <c r="G927" s="22" t="str">
        <f t="shared" si="31"/>
        <v>#DIV/0!</v>
      </c>
      <c r="H927" s="22" t="str">
        <f t="shared" si="32"/>
        <v>#DIV/0!</v>
      </c>
      <c r="I927" s="22" t="str">
        <f t="shared" si="3"/>
        <v>#DIV/0!</v>
      </c>
      <c r="J927" s="22" t="str">
        <f t="shared" si="33"/>
        <v>#DIV/0!</v>
      </c>
    </row>
    <row r="928" ht="15.75" customHeight="1">
      <c r="A928" s="25"/>
      <c r="B928" s="22"/>
      <c r="C928" s="22">
        <f t="shared" si="6"/>
        <v>0</v>
      </c>
      <c r="D928" s="25"/>
      <c r="E928" s="22"/>
      <c r="F928" s="22" t="str">
        <f t="shared" si="8"/>
        <v>#DIV/0!</v>
      </c>
      <c r="G928" s="22" t="str">
        <f t="shared" si="31"/>
        <v>#DIV/0!</v>
      </c>
      <c r="H928" s="22" t="str">
        <f t="shared" si="32"/>
        <v>#DIV/0!</v>
      </c>
      <c r="I928" s="22" t="str">
        <f t="shared" si="3"/>
        <v>#DIV/0!</v>
      </c>
      <c r="J928" s="22" t="str">
        <f t="shared" si="33"/>
        <v>#DIV/0!</v>
      </c>
    </row>
    <row r="929" ht="15.75" customHeight="1">
      <c r="A929" s="25"/>
      <c r="B929" s="22"/>
      <c r="C929" s="22">
        <f t="shared" si="6"/>
        <v>0</v>
      </c>
      <c r="D929" s="25"/>
      <c r="E929" s="22"/>
      <c r="F929" s="22" t="str">
        <f t="shared" si="8"/>
        <v>#DIV/0!</v>
      </c>
      <c r="G929" s="22" t="str">
        <f t="shared" si="31"/>
        <v>#DIV/0!</v>
      </c>
      <c r="H929" s="22" t="str">
        <f t="shared" si="32"/>
        <v>#DIV/0!</v>
      </c>
      <c r="I929" s="22" t="str">
        <f t="shared" si="3"/>
        <v>#DIV/0!</v>
      </c>
      <c r="J929" s="22" t="str">
        <f t="shared" si="33"/>
        <v>#DIV/0!</v>
      </c>
    </row>
    <row r="930" ht="15.75" customHeight="1">
      <c r="A930" s="25"/>
      <c r="B930" s="22"/>
      <c r="C930" s="22">
        <f t="shared" si="6"/>
        <v>0</v>
      </c>
      <c r="D930" s="25"/>
      <c r="E930" s="22"/>
      <c r="F930" s="22" t="str">
        <f t="shared" si="8"/>
        <v>#DIV/0!</v>
      </c>
      <c r="G930" s="22" t="str">
        <f t="shared" si="31"/>
        <v>#DIV/0!</v>
      </c>
      <c r="H930" s="22" t="str">
        <f t="shared" si="32"/>
        <v>#DIV/0!</v>
      </c>
      <c r="I930" s="22" t="str">
        <f t="shared" si="3"/>
        <v>#DIV/0!</v>
      </c>
      <c r="J930" s="22" t="str">
        <f t="shared" si="33"/>
        <v>#DIV/0!</v>
      </c>
    </row>
    <row r="931" ht="15.75" customHeight="1">
      <c r="A931" s="25"/>
      <c r="B931" s="22"/>
      <c r="C931" s="22">
        <f t="shared" si="6"/>
        <v>0</v>
      </c>
      <c r="D931" s="25"/>
      <c r="E931" s="22"/>
      <c r="F931" s="22" t="str">
        <f t="shared" si="8"/>
        <v>#DIV/0!</v>
      </c>
      <c r="G931" s="22" t="str">
        <f t="shared" si="31"/>
        <v>#DIV/0!</v>
      </c>
      <c r="H931" s="22" t="str">
        <f t="shared" si="32"/>
        <v>#DIV/0!</v>
      </c>
      <c r="I931" s="22" t="str">
        <f t="shared" si="3"/>
        <v>#DIV/0!</v>
      </c>
      <c r="J931" s="22" t="str">
        <f t="shared" si="33"/>
        <v>#DIV/0!</v>
      </c>
    </row>
    <row r="932" ht="15.75" customHeight="1">
      <c r="A932" s="25"/>
      <c r="B932" s="22"/>
      <c r="C932" s="22">
        <f t="shared" si="6"/>
        <v>0</v>
      </c>
      <c r="D932" s="25"/>
      <c r="E932" s="22"/>
      <c r="F932" s="22" t="str">
        <f t="shared" si="8"/>
        <v>#DIV/0!</v>
      </c>
      <c r="G932" s="22" t="str">
        <f t="shared" si="31"/>
        <v>#DIV/0!</v>
      </c>
      <c r="H932" s="22" t="str">
        <f t="shared" si="32"/>
        <v>#DIV/0!</v>
      </c>
      <c r="I932" s="22" t="str">
        <f t="shared" si="3"/>
        <v>#DIV/0!</v>
      </c>
      <c r="J932" s="22" t="str">
        <f t="shared" si="33"/>
        <v>#DIV/0!</v>
      </c>
    </row>
    <row r="933" ht="15.75" customHeight="1">
      <c r="A933" s="25"/>
      <c r="B933" s="22"/>
      <c r="C933" s="22">
        <f t="shared" si="6"/>
        <v>0</v>
      </c>
      <c r="D933" s="25"/>
      <c r="E933" s="22"/>
      <c r="F933" s="22" t="str">
        <f t="shared" si="8"/>
        <v>#DIV/0!</v>
      </c>
      <c r="G933" s="22" t="str">
        <f t="shared" si="31"/>
        <v>#DIV/0!</v>
      </c>
      <c r="H933" s="22" t="str">
        <f t="shared" si="32"/>
        <v>#DIV/0!</v>
      </c>
      <c r="I933" s="22" t="str">
        <f t="shared" si="3"/>
        <v>#DIV/0!</v>
      </c>
      <c r="J933" s="22" t="str">
        <f t="shared" si="33"/>
        <v>#DIV/0!</v>
      </c>
    </row>
    <row r="934" ht="15.75" customHeight="1">
      <c r="A934" s="25"/>
      <c r="B934" s="22"/>
      <c r="C934" s="22">
        <f t="shared" si="6"/>
        <v>0</v>
      </c>
      <c r="D934" s="25"/>
      <c r="E934" s="22"/>
      <c r="F934" s="22" t="str">
        <f t="shared" si="8"/>
        <v>#DIV/0!</v>
      </c>
      <c r="G934" s="22" t="str">
        <f t="shared" si="31"/>
        <v>#DIV/0!</v>
      </c>
      <c r="H934" s="22" t="str">
        <f t="shared" si="32"/>
        <v>#DIV/0!</v>
      </c>
      <c r="I934" s="22" t="str">
        <f t="shared" si="3"/>
        <v>#DIV/0!</v>
      </c>
      <c r="J934" s="22" t="str">
        <f t="shared" si="33"/>
        <v>#DIV/0!</v>
      </c>
    </row>
    <row r="935" ht="15.75" customHeight="1">
      <c r="A935" s="25"/>
      <c r="B935" s="22"/>
      <c r="C935" s="22">
        <f t="shared" si="6"/>
        <v>0</v>
      </c>
      <c r="D935" s="25"/>
      <c r="E935" s="22"/>
      <c r="F935" s="22" t="str">
        <f t="shared" si="8"/>
        <v>#DIV/0!</v>
      </c>
      <c r="G935" s="22" t="str">
        <f t="shared" si="31"/>
        <v>#DIV/0!</v>
      </c>
      <c r="H935" s="22" t="str">
        <f t="shared" si="32"/>
        <v>#DIV/0!</v>
      </c>
      <c r="I935" s="22" t="str">
        <f t="shared" si="3"/>
        <v>#DIV/0!</v>
      </c>
      <c r="J935" s="22" t="str">
        <f t="shared" si="33"/>
        <v>#DIV/0!</v>
      </c>
    </row>
    <row r="936" ht="15.75" customHeight="1">
      <c r="A936" s="25"/>
      <c r="B936" s="22"/>
      <c r="C936" s="22">
        <f t="shared" si="6"/>
        <v>0</v>
      </c>
      <c r="D936" s="25"/>
      <c r="E936" s="22"/>
      <c r="F936" s="22" t="str">
        <f t="shared" si="8"/>
        <v>#DIV/0!</v>
      </c>
      <c r="G936" s="22" t="str">
        <f t="shared" si="31"/>
        <v>#DIV/0!</v>
      </c>
      <c r="H936" s="22" t="str">
        <f t="shared" si="32"/>
        <v>#DIV/0!</v>
      </c>
      <c r="I936" s="22" t="str">
        <f t="shared" si="3"/>
        <v>#DIV/0!</v>
      </c>
      <c r="J936" s="22" t="str">
        <f t="shared" si="33"/>
        <v>#DIV/0!</v>
      </c>
    </row>
    <row r="937" ht="15.75" customHeight="1">
      <c r="A937" s="25"/>
      <c r="B937" s="22"/>
      <c r="C937" s="22">
        <f t="shared" si="6"/>
        <v>0</v>
      </c>
      <c r="D937" s="25"/>
      <c r="E937" s="22"/>
      <c r="F937" s="22" t="str">
        <f t="shared" si="8"/>
        <v>#DIV/0!</v>
      </c>
      <c r="G937" s="22" t="str">
        <f t="shared" si="31"/>
        <v>#DIV/0!</v>
      </c>
      <c r="H937" s="22" t="str">
        <f t="shared" si="32"/>
        <v>#DIV/0!</v>
      </c>
      <c r="I937" s="22" t="str">
        <f t="shared" si="3"/>
        <v>#DIV/0!</v>
      </c>
      <c r="J937" s="22" t="str">
        <f t="shared" si="33"/>
        <v>#DIV/0!</v>
      </c>
    </row>
    <row r="938" ht="15.75" customHeight="1">
      <c r="A938" s="25"/>
      <c r="B938" s="22"/>
      <c r="C938" s="22">
        <f t="shared" si="6"/>
        <v>0</v>
      </c>
      <c r="D938" s="25"/>
      <c r="E938" s="22"/>
      <c r="F938" s="22" t="str">
        <f t="shared" si="8"/>
        <v>#DIV/0!</v>
      </c>
      <c r="G938" s="22" t="str">
        <f t="shared" si="31"/>
        <v>#DIV/0!</v>
      </c>
      <c r="H938" s="22" t="str">
        <f t="shared" si="32"/>
        <v>#DIV/0!</v>
      </c>
      <c r="I938" s="22" t="str">
        <f t="shared" si="3"/>
        <v>#DIV/0!</v>
      </c>
      <c r="J938" s="22" t="str">
        <f t="shared" si="33"/>
        <v>#DIV/0!</v>
      </c>
    </row>
    <row r="939" ht="15.75" customHeight="1">
      <c r="A939" s="25"/>
      <c r="B939" s="22"/>
      <c r="C939" s="22">
        <f t="shared" si="6"/>
        <v>0</v>
      </c>
      <c r="D939" s="25"/>
      <c r="E939" s="22"/>
      <c r="F939" s="22" t="str">
        <f t="shared" si="8"/>
        <v>#DIV/0!</v>
      </c>
      <c r="G939" s="22" t="str">
        <f t="shared" si="31"/>
        <v>#DIV/0!</v>
      </c>
      <c r="H939" s="22" t="str">
        <f t="shared" si="32"/>
        <v>#DIV/0!</v>
      </c>
      <c r="I939" s="22" t="str">
        <f t="shared" si="3"/>
        <v>#DIV/0!</v>
      </c>
      <c r="J939" s="22" t="str">
        <f t="shared" si="33"/>
        <v>#DIV/0!</v>
      </c>
    </row>
    <row r="940" ht="15.75" customHeight="1">
      <c r="A940" s="25"/>
      <c r="B940" s="22"/>
      <c r="C940" s="22">
        <f t="shared" si="6"/>
        <v>0</v>
      </c>
      <c r="D940" s="25"/>
      <c r="E940" s="22"/>
      <c r="F940" s="22" t="str">
        <f t="shared" si="8"/>
        <v>#DIV/0!</v>
      </c>
      <c r="G940" s="22" t="str">
        <f t="shared" si="31"/>
        <v>#DIV/0!</v>
      </c>
      <c r="H940" s="22" t="str">
        <f t="shared" si="32"/>
        <v>#DIV/0!</v>
      </c>
      <c r="I940" s="22" t="str">
        <f t="shared" si="3"/>
        <v>#DIV/0!</v>
      </c>
      <c r="J940" s="22" t="str">
        <f t="shared" si="33"/>
        <v>#DIV/0!</v>
      </c>
    </row>
    <row r="941" ht="15.75" customHeight="1">
      <c r="A941" s="25"/>
      <c r="B941" s="22"/>
      <c r="C941" s="22">
        <f t="shared" si="6"/>
        <v>0</v>
      </c>
      <c r="D941" s="25"/>
      <c r="E941" s="22"/>
      <c r="F941" s="22" t="str">
        <f t="shared" si="8"/>
        <v>#DIV/0!</v>
      </c>
      <c r="G941" s="22" t="str">
        <f t="shared" si="31"/>
        <v>#DIV/0!</v>
      </c>
      <c r="H941" s="22" t="str">
        <f t="shared" si="32"/>
        <v>#DIV/0!</v>
      </c>
      <c r="I941" s="22" t="str">
        <f t="shared" si="3"/>
        <v>#DIV/0!</v>
      </c>
      <c r="J941" s="22" t="str">
        <f t="shared" si="33"/>
        <v>#DIV/0!</v>
      </c>
    </row>
    <row r="942" ht="15.75" customHeight="1">
      <c r="A942" s="25"/>
      <c r="B942" s="22"/>
      <c r="C942" s="22">
        <f t="shared" si="6"/>
        <v>0</v>
      </c>
      <c r="D942" s="25"/>
      <c r="E942" s="22"/>
      <c r="F942" s="22" t="str">
        <f t="shared" si="8"/>
        <v>#DIV/0!</v>
      </c>
      <c r="G942" s="22" t="str">
        <f t="shared" si="31"/>
        <v>#DIV/0!</v>
      </c>
      <c r="H942" s="22" t="str">
        <f t="shared" si="32"/>
        <v>#DIV/0!</v>
      </c>
      <c r="I942" s="22" t="str">
        <f t="shared" si="3"/>
        <v>#DIV/0!</v>
      </c>
      <c r="J942" s="22" t="str">
        <f t="shared" si="33"/>
        <v>#DIV/0!</v>
      </c>
    </row>
    <row r="943" ht="15.75" customHeight="1">
      <c r="A943" s="25"/>
      <c r="B943" s="22"/>
      <c r="C943" s="22">
        <f t="shared" si="6"/>
        <v>0</v>
      </c>
      <c r="D943" s="25"/>
      <c r="E943" s="22"/>
      <c r="F943" s="22" t="str">
        <f t="shared" si="8"/>
        <v>#DIV/0!</v>
      </c>
      <c r="G943" s="22" t="str">
        <f t="shared" si="31"/>
        <v>#DIV/0!</v>
      </c>
      <c r="H943" s="22" t="str">
        <f t="shared" si="32"/>
        <v>#DIV/0!</v>
      </c>
      <c r="I943" s="22" t="str">
        <f t="shared" si="3"/>
        <v>#DIV/0!</v>
      </c>
      <c r="J943" s="22" t="str">
        <f t="shared" si="33"/>
        <v>#DIV/0!</v>
      </c>
    </row>
    <row r="944" ht="15.75" customHeight="1">
      <c r="A944" s="25"/>
      <c r="B944" s="22"/>
      <c r="C944" s="22">
        <f t="shared" si="6"/>
        <v>0</v>
      </c>
      <c r="D944" s="25"/>
      <c r="E944" s="22"/>
      <c r="F944" s="22" t="str">
        <f t="shared" si="8"/>
        <v>#DIV/0!</v>
      </c>
      <c r="G944" s="22" t="str">
        <f t="shared" si="31"/>
        <v>#DIV/0!</v>
      </c>
      <c r="H944" s="22" t="str">
        <f t="shared" si="32"/>
        <v>#DIV/0!</v>
      </c>
      <c r="I944" s="22" t="str">
        <f t="shared" si="3"/>
        <v>#DIV/0!</v>
      </c>
      <c r="J944" s="22" t="str">
        <f t="shared" si="33"/>
        <v>#DIV/0!</v>
      </c>
    </row>
    <row r="945" ht="15.75" customHeight="1">
      <c r="A945" s="25"/>
      <c r="B945" s="22"/>
      <c r="C945" s="22">
        <f t="shared" si="6"/>
        <v>0</v>
      </c>
      <c r="D945" s="25"/>
      <c r="E945" s="22"/>
      <c r="F945" s="22" t="str">
        <f t="shared" si="8"/>
        <v>#DIV/0!</v>
      </c>
      <c r="G945" s="22" t="str">
        <f t="shared" si="31"/>
        <v>#DIV/0!</v>
      </c>
      <c r="H945" s="22" t="str">
        <f t="shared" si="32"/>
        <v>#DIV/0!</v>
      </c>
      <c r="I945" s="22" t="str">
        <f t="shared" si="3"/>
        <v>#DIV/0!</v>
      </c>
      <c r="J945" s="22" t="str">
        <f t="shared" si="33"/>
        <v>#DIV/0!</v>
      </c>
    </row>
    <row r="946" ht="15.75" customHeight="1">
      <c r="A946" s="25"/>
      <c r="B946" s="22"/>
      <c r="C946" s="22">
        <f t="shared" si="6"/>
        <v>0</v>
      </c>
      <c r="D946" s="25"/>
      <c r="E946" s="22"/>
      <c r="F946" s="22" t="str">
        <f t="shared" si="8"/>
        <v>#DIV/0!</v>
      </c>
      <c r="G946" s="22" t="str">
        <f t="shared" si="31"/>
        <v>#DIV/0!</v>
      </c>
      <c r="H946" s="22" t="str">
        <f t="shared" si="32"/>
        <v>#DIV/0!</v>
      </c>
      <c r="I946" s="22" t="str">
        <f t="shared" si="3"/>
        <v>#DIV/0!</v>
      </c>
      <c r="J946" s="22" t="str">
        <f t="shared" si="33"/>
        <v>#DIV/0!</v>
      </c>
    </row>
    <row r="947" ht="15.75" customHeight="1">
      <c r="A947" s="25"/>
      <c r="B947" s="22"/>
      <c r="C947" s="22">
        <f t="shared" si="6"/>
        <v>0</v>
      </c>
      <c r="D947" s="25"/>
      <c r="E947" s="22"/>
      <c r="F947" s="22" t="str">
        <f t="shared" si="8"/>
        <v>#DIV/0!</v>
      </c>
      <c r="G947" s="22" t="str">
        <f t="shared" si="31"/>
        <v>#DIV/0!</v>
      </c>
      <c r="H947" s="22" t="str">
        <f t="shared" si="32"/>
        <v>#DIV/0!</v>
      </c>
      <c r="I947" s="22" t="str">
        <f t="shared" si="3"/>
        <v>#DIV/0!</v>
      </c>
      <c r="J947" s="22" t="str">
        <f t="shared" si="33"/>
        <v>#DIV/0!</v>
      </c>
    </row>
    <row r="948" ht="15.75" customHeight="1">
      <c r="A948" s="25"/>
      <c r="B948" s="22"/>
      <c r="C948" s="22">
        <f t="shared" si="6"/>
        <v>0</v>
      </c>
      <c r="D948" s="25"/>
      <c r="E948" s="22"/>
      <c r="F948" s="22" t="str">
        <f t="shared" si="8"/>
        <v>#DIV/0!</v>
      </c>
      <c r="G948" s="22" t="str">
        <f t="shared" si="31"/>
        <v>#DIV/0!</v>
      </c>
      <c r="H948" s="22" t="str">
        <f t="shared" si="32"/>
        <v>#DIV/0!</v>
      </c>
      <c r="I948" s="22" t="str">
        <f t="shared" si="3"/>
        <v>#DIV/0!</v>
      </c>
      <c r="J948" s="22" t="str">
        <f t="shared" si="33"/>
        <v>#DIV/0!</v>
      </c>
    </row>
    <row r="949" ht="15.75" customHeight="1">
      <c r="A949" s="25"/>
      <c r="B949" s="22"/>
      <c r="C949" s="22">
        <f t="shared" si="6"/>
        <v>0</v>
      </c>
      <c r="D949" s="25"/>
      <c r="E949" s="22"/>
      <c r="F949" s="22" t="str">
        <f t="shared" si="8"/>
        <v>#DIV/0!</v>
      </c>
      <c r="G949" s="22" t="str">
        <f t="shared" si="31"/>
        <v>#DIV/0!</v>
      </c>
      <c r="H949" s="22" t="str">
        <f t="shared" si="32"/>
        <v>#DIV/0!</v>
      </c>
      <c r="I949" s="22" t="str">
        <f t="shared" si="3"/>
        <v>#DIV/0!</v>
      </c>
      <c r="J949" s="22" t="str">
        <f t="shared" si="33"/>
        <v>#DIV/0!</v>
      </c>
    </row>
    <row r="950" ht="15.75" customHeight="1">
      <c r="A950" s="25"/>
      <c r="B950" s="22"/>
      <c r="C950" s="22">
        <f t="shared" si="6"/>
        <v>0</v>
      </c>
      <c r="D950" s="25"/>
      <c r="E950" s="22"/>
      <c r="F950" s="22" t="str">
        <f t="shared" si="8"/>
        <v>#DIV/0!</v>
      </c>
      <c r="G950" s="22" t="str">
        <f t="shared" si="31"/>
        <v>#DIV/0!</v>
      </c>
      <c r="H950" s="22" t="str">
        <f t="shared" si="32"/>
        <v>#DIV/0!</v>
      </c>
      <c r="I950" s="22" t="str">
        <f t="shared" si="3"/>
        <v>#DIV/0!</v>
      </c>
      <c r="J950" s="22" t="str">
        <f t="shared" si="33"/>
        <v>#DIV/0!</v>
      </c>
    </row>
    <row r="951" ht="15.75" customHeight="1">
      <c r="A951" s="25"/>
      <c r="B951" s="22"/>
      <c r="C951" s="22">
        <f t="shared" si="6"/>
        <v>0</v>
      </c>
      <c r="D951" s="25"/>
      <c r="E951" s="22"/>
      <c r="F951" s="22" t="str">
        <f t="shared" si="8"/>
        <v>#DIV/0!</v>
      </c>
      <c r="G951" s="22" t="str">
        <f t="shared" si="31"/>
        <v>#DIV/0!</v>
      </c>
      <c r="H951" s="22" t="str">
        <f t="shared" si="32"/>
        <v>#DIV/0!</v>
      </c>
      <c r="I951" s="22" t="str">
        <f t="shared" si="3"/>
        <v>#DIV/0!</v>
      </c>
      <c r="J951" s="22" t="str">
        <f t="shared" si="33"/>
        <v>#DIV/0!</v>
      </c>
    </row>
    <row r="952" ht="15.75" customHeight="1">
      <c r="A952" s="25"/>
      <c r="B952" s="22"/>
      <c r="C952" s="22">
        <f t="shared" si="6"/>
        <v>0</v>
      </c>
      <c r="D952" s="25"/>
      <c r="E952" s="22"/>
      <c r="F952" s="22" t="str">
        <f t="shared" si="8"/>
        <v>#DIV/0!</v>
      </c>
      <c r="G952" s="22" t="str">
        <f t="shared" si="31"/>
        <v>#DIV/0!</v>
      </c>
      <c r="H952" s="22" t="str">
        <f t="shared" si="32"/>
        <v>#DIV/0!</v>
      </c>
      <c r="I952" s="22" t="str">
        <f t="shared" si="3"/>
        <v>#DIV/0!</v>
      </c>
      <c r="J952" s="22" t="str">
        <f t="shared" si="33"/>
        <v>#DIV/0!</v>
      </c>
    </row>
    <row r="953" ht="15.75" customHeight="1">
      <c r="A953" s="25"/>
      <c r="B953" s="22"/>
      <c r="C953" s="22">
        <f t="shared" si="6"/>
        <v>0</v>
      </c>
      <c r="D953" s="25"/>
      <c r="E953" s="22"/>
      <c r="F953" s="22" t="str">
        <f t="shared" si="8"/>
        <v>#DIV/0!</v>
      </c>
      <c r="G953" s="22" t="str">
        <f t="shared" si="31"/>
        <v>#DIV/0!</v>
      </c>
      <c r="H953" s="22" t="str">
        <f t="shared" si="32"/>
        <v>#DIV/0!</v>
      </c>
      <c r="I953" s="22" t="str">
        <f t="shared" si="3"/>
        <v>#DIV/0!</v>
      </c>
      <c r="J953" s="22" t="str">
        <f t="shared" si="33"/>
        <v>#DIV/0!</v>
      </c>
    </row>
    <row r="954" ht="15.75" customHeight="1">
      <c r="A954" s="25"/>
      <c r="B954" s="22"/>
      <c r="C954" s="22">
        <f t="shared" si="6"/>
        <v>0</v>
      </c>
      <c r="D954" s="25"/>
      <c r="E954" s="22"/>
      <c r="F954" s="22" t="str">
        <f t="shared" si="8"/>
        <v>#DIV/0!</v>
      </c>
      <c r="G954" s="22" t="str">
        <f t="shared" si="31"/>
        <v>#DIV/0!</v>
      </c>
      <c r="H954" s="22" t="str">
        <f t="shared" si="32"/>
        <v>#DIV/0!</v>
      </c>
      <c r="I954" s="22" t="str">
        <f t="shared" si="3"/>
        <v>#DIV/0!</v>
      </c>
      <c r="J954" s="22" t="str">
        <f t="shared" si="33"/>
        <v>#DIV/0!</v>
      </c>
    </row>
    <row r="955" ht="15.75" customHeight="1">
      <c r="A955" s="25"/>
      <c r="B955" s="22"/>
      <c r="C955" s="22">
        <f t="shared" si="6"/>
        <v>0</v>
      </c>
      <c r="D955" s="25"/>
      <c r="E955" s="22"/>
      <c r="F955" s="22" t="str">
        <f t="shared" si="8"/>
        <v>#DIV/0!</v>
      </c>
      <c r="G955" s="22" t="str">
        <f t="shared" si="31"/>
        <v>#DIV/0!</v>
      </c>
      <c r="H955" s="22" t="str">
        <f t="shared" si="32"/>
        <v>#DIV/0!</v>
      </c>
      <c r="I955" s="22" t="str">
        <f t="shared" si="3"/>
        <v>#DIV/0!</v>
      </c>
      <c r="J955" s="22" t="str">
        <f t="shared" si="33"/>
        <v>#DIV/0!</v>
      </c>
    </row>
    <row r="956" ht="15.75" customHeight="1">
      <c r="A956" s="25"/>
      <c r="B956" s="22"/>
      <c r="C956" s="22">
        <f t="shared" si="6"/>
        <v>0</v>
      </c>
      <c r="D956" s="25"/>
      <c r="E956" s="22"/>
      <c r="F956" s="22" t="str">
        <f t="shared" si="8"/>
        <v>#DIV/0!</v>
      </c>
      <c r="G956" s="22" t="str">
        <f t="shared" si="31"/>
        <v>#DIV/0!</v>
      </c>
      <c r="H956" s="22" t="str">
        <f t="shared" si="32"/>
        <v>#DIV/0!</v>
      </c>
      <c r="I956" s="22" t="str">
        <f t="shared" si="3"/>
        <v>#DIV/0!</v>
      </c>
      <c r="J956" s="22" t="str">
        <f t="shared" si="33"/>
        <v>#DIV/0!</v>
      </c>
    </row>
    <row r="957" ht="15.75" customHeight="1">
      <c r="A957" s="25"/>
      <c r="B957" s="22"/>
      <c r="C957" s="22">
        <f t="shared" si="6"/>
        <v>0</v>
      </c>
      <c r="D957" s="25"/>
      <c r="E957" s="22"/>
      <c r="F957" s="22" t="str">
        <f t="shared" si="8"/>
        <v>#DIV/0!</v>
      </c>
      <c r="G957" s="22" t="str">
        <f t="shared" si="31"/>
        <v>#DIV/0!</v>
      </c>
      <c r="H957" s="22" t="str">
        <f t="shared" si="32"/>
        <v>#DIV/0!</v>
      </c>
      <c r="I957" s="22" t="str">
        <f t="shared" si="3"/>
        <v>#DIV/0!</v>
      </c>
      <c r="J957" s="22" t="str">
        <f t="shared" si="33"/>
        <v>#DIV/0!</v>
      </c>
    </row>
    <row r="958" ht="15.75" customHeight="1">
      <c r="A958" s="25"/>
      <c r="B958" s="22"/>
      <c r="C958" s="22">
        <f t="shared" si="6"/>
        <v>0</v>
      </c>
      <c r="D958" s="25"/>
      <c r="E958" s="22"/>
      <c r="F958" s="22" t="str">
        <f t="shared" si="8"/>
        <v>#DIV/0!</v>
      </c>
      <c r="G958" s="22" t="str">
        <f t="shared" si="31"/>
        <v>#DIV/0!</v>
      </c>
      <c r="H958" s="22" t="str">
        <f t="shared" si="32"/>
        <v>#DIV/0!</v>
      </c>
      <c r="I958" s="22" t="str">
        <f t="shared" si="3"/>
        <v>#DIV/0!</v>
      </c>
      <c r="J958" s="22" t="str">
        <f t="shared" si="33"/>
        <v>#DIV/0!</v>
      </c>
    </row>
    <row r="959" ht="15.75" customHeight="1">
      <c r="A959" s="25"/>
      <c r="B959" s="22"/>
      <c r="C959" s="22">
        <f t="shared" si="6"/>
        <v>0</v>
      </c>
      <c r="D959" s="25"/>
      <c r="E959" s="22"/>
      <c r="F959" s="22" t="str">
        <f t="shared" si="8"/>
        <v>#DIV/0!</v>
      </c>
      <c r="G959" s="22" t="str">
        <f t="shared" si="31"/>
        <v>#DIV/0!</v>
      </c>
      <c r="H959" s="22" t="str">
        <f t="shared" si="32"/>
        <v>#DIV/0!</v>
      </c>
      <c r="I959" s="22" t="str">
        <f t="shared" si="3"/>
        <v>#DIV/0!</v>
      </c>
      <c r="J959" s="22" t="str">
        <f t="shared" si="33"/>
        <v>#DIV/0!</v>
      </c>
    </row>
    <row r="960" ht="15.75" customHeight="1">
      <c r="A960" s="25"/>
      <c r="B960" s="22"/>
      <c r="C960" s="22">
        <f t="shared" si="6"/>
        <v>0</v>
      </c>
      <c r="D960" s="25"/>
      <c r="E960" s="22"/>
      <c r="F960" s="22" t="str">
        <f t="shared" si="8"/>
        <v>#DIV/0!</v>
      </c>
      <c r="G960" s="22" t="str">
        <f t="shared" si="31"/>
        <v>#DIV/0!</v>
      </c>
      <c r="H960" s="22" t="str">
        <f t="shared" si="32"/>
        <v>#DIV/0!</v>
      </c>
      <c r="I960" s="22" t="str">
        <f t="shared" si="3"/>
        <v>#DIV/0!</v>
      </c>
      <c r="J960" s="22" t="str">
        <f t="shared" si="33"/>
        <v>#DIV/0!</v>
      </c>
    </row>
    <row r="961" ht="15.75" customHeight="1">
      <c r="A961" s="25"/>
      <c r="B961" s="22"/>
      <c r="C961" s="22">
        <f t="shared" si="6"/>
        <v>0</v>
      </c>
      <c r="D961" s="25"/>
      <c r="E961" s="22"/>
      <c r="F961" s="22" t="str">
        <f t="shared" si="8"/>
        <v>#DIV/0!</v>
      </c>
      <c r="G961" s="22" t="str">
        <f t="shared" si="31"/>
        <v>#DIV/0!</v>
      </c>
      <c r="H961" s="22" t="str">
        <f t="shared" si="32"/>
        <v>#DIV/0!</v>
      </c>
      <c r="I961" s="22" t="str">
        <f t="shared" si="3"/>
        <v>#DIV/0!</v>
      </c>
      <c r="J961" s="22" t="str">
        <f t="shared" si="33"/>
        <v>#DIV/0!</v>
      </c>
    </row>
    <row r="962" ht="15.75" customHeight="1">
      <c r="A962" s="25"/>
      <c r="B962" s="22"/>
      <c r="C962" s="22">
        <f t="shared" si="6"/>
        <v>0</v>
      </c>
      <c r="D962" s="25"/>
      <c r="E962" s="22"/>
      <c r="F962" s="22" t="str">
        <f t="shared" si="8"/>
        <v>#DIV/0!</v>
      </c>
      <c r="G962" s="22" t="str">
        <f t="shared" si="31"/>
        <v>#DIV/0!</v>
      </c>
      <c r="H962" s="22" t="str">
        <f t="shared" si="32"/>
        <v>#DIV/0!</v>
      </c>
      <c r="I962" s="22" t="str">
        <f t="shared" si="3"/>
        <v>#DIV/0!</v>
      </c>
      <c r="J962" s="22" t="str">
        <f t="shared" si="33"/>
        <v>#DIV/0!</v>
      </c>
    </row>
    <row r="963" ht="15.75" customHeight="1">
      <c r="A963" s="25"/>
      <c r="B963" s="22"/>
      <c r="C963" s="22">
        <f t="shared" si="6"/>
        <v>0</v>
      </c>
      <c r="D963" s="25"/>
      <c r="E963" s="22"/>
      <c r="F963" s="22" t="str">
        <f t="shared" si="8"/>
        <v>#DIV/0!</v>
      </c>
      <c r="G963" s="22" t="str">
        <f t="shared" si="31"/>
        <v>#DIV/0!</v>
      </c>
      <c r="H963" s="22" t="str">
        <f t="shared" si="32"/>
        <v>#DIV/0!</v>
      </c>
      <c r="I963" s="22" t="str">
        <f t="shared" si="3"/>
        <v>#DIV/0!</v>
      </c>
      <c r="J963" s="22" t="str">
        <f t="shared" si="33"/>
        <v>#DIV/0!</v>
      </c>
    </row>
    <row r="964" ht="15.75" customHeight="1">
      <c r="A964" s="25"/>
      <c r="B964" s="22"/>
      <c r="C964" s="22">
        <f t="shared" si="6"/>
        <v>0</v>
      </c>
      <c r="D964" s="25"/>
      <c r="E964" s="22"/>
      <c r="F964" s="22" t="str">
        <f t="shared" si="8"/>
        <v>#DIV/0!</v>
      </c>
      <c r="G964" s="22" t="str">
        <f t="shared" si="31"/>
        <v>#DIV/0!</v>
      </c>
      <c r="H964" s="22" t="str">
        <f t="shared" si="32"/>
        <v>#DIV/0!</v>
      </c>
      <c r="I964" s="22" t="str">
        <f t="shared" si="3"/>
        <v>#DIV/0!</v>
      </c>
      <c r="J964" s="22" t="str">
        <f t="shared" si="33"/>
        <v>#DIV/0!</v>
      </c>
    </row>
    <row r="965" ht="15.75" customHeight="1">
      <c r="A965" s="25"/>
      <c r="B965" s="22"/>
      <c r="C965" s="22">
        <f t="shared" si="6"/>
        <v>0</v>
      </c>
      <c r="D965" s="25"/>
      <c r="E965" s="22"/>
      <c r="F965" s="22" t="str">
        <f t="shared" si="8"/>
        <v>#DIV/0!</v>
      </c>
      <c r="G965" s="22" t="str">
        <f t="shared" si="31"/>
        <v>#DIV/0!</v>
      </c>
      <c r="H965" s="22" t="str">
        <f t="shared" si="32"/>
        <v>#DIV/0!</v>
      </c>
      <c r="I965" s="22" t="str">
        <f t="shared" si="3"/>
        <v>#DIV/0!</v>
      </c>
      <c r="J965" s="22" t="str">
        <f t="shared" si="33"/>
        <v>#DIV/0!</v>
      </c>
    </row>
    <row r="966" ht="15.75" customHeight="1">
      <c r="A966" s="25"/>
      <c r="B966" s="22"/>
      <c r="C966" s="22">
        <f t="shared" si="6"/>
        <v>0</v>
      </c>
      <c r="D966" s="25"/>
      <c r="E966" s="22"/>
      <c r="F966" s="22" t="str">
        <f t="shared" si="8"/>
        <v>#DIV/0!</v>
      </c>
      <c r="G966" s="22" t="str">
        <f t="shared" si="31"/>
        <v>#DIV/0!</v>
      </c>
      <c r="H966" s="22" t="str">
        <f t="shared" si="32"/>
        <v>#DIV/0!</v>
      </c>
      <c r="I966" s="22" t="str">
        <f t="shared" si="3"/>
        <v>#DIV/0!</v>
      </c>
      <c r="J966" s="22" t="str">
        <f t="shared" si="33"/>
        <v>#DIV/0!</v>
      </c>
    </row>
    <row r="967" ht="15.75" customHeight="1">
      <c r="A967" s="25"/>
      <c r="B967" s="22"/>
      <c r="C967" s="22">
        <f t="shared" si="6"/>
        <v>0</v>
      </c>
      <c r="D967" s="25"/>
      <c r="E967" s="22"/>
      <c r="F967" s="22" t="str">
        <f t="shared" si="8"/>
        <v>#DIV/0!</v>
      </c>
      <c r="G967" s="22" t="str">
        <f t="shared" si="31"/>
        <v>#DIV/0!</v>
      </c>
      <c r="H967" s="22" t="str">
        <f t="shared" si="32"/>
        <v>#DIV/0!</v>
      </c>
      <c r="I967" s="22" t="str">
        <f t="shared" si="3"/>
        <v>#DIV/0!</v>
      </c>
      <c r="J967" s="22" t="str">
        <f t="shared" si="33"/>
        <v>#DIV/0!</v>
      </c>
    </row>
    <row r="968" ht="15.75" customHeight="1">
      <c r="A968" s="25"/>
      <c r="B968" s="22"/>
      <c r="C968" s="22">
        <f t="shared" si="6"/>
        <v>0</v>
      </c>
      <c r="D968" s="25"/>
      <c r="E968" s="22"/>
      <c r="F968" s="22" t="str">
        <f t="shared" si="8"/>
        <v>#DIV/0!</v>
      </c>
      <c r="G968" s="22" t="str">
        <f t="shared" si="31"/>
        <v>#DIV/0!</v>
      </c>
      <c r="H968" s="22" t="str">
        <f t="shared" si="32"/>
        <v>#DIV/0!</v>
      </c>
      <c r="I968" s="22" t="str">
        <f t="shared" si="3"/>
        <v>#DIV/0!</v>
      </c>
      <c r="J968" s="22" t="str">
        <f t="shared" si="33"/>
        <v>#DIV/0!</v>
      </c>
    </row>
    <row r="969" ht="15.75" customHeight="1">
      <c r="A969" s="25"/>
      <c r="B969" s="22"/>
      <c r="C969" s="22">
        <f t="shared" si="6"/>
        <v>0</v>
      </c>
      <c r="D969" s="25"/>
      <c r="E969" s="22"/>
      <c r="F969" s="22" t="str">
        <f t="shared" si="8"/>
        <v>#DIV/0!</v>
      </c>
      <c r="G969" s="22" t="str">
        <f t="shared" si="31"/>
        <v>#DIV/0!</v>
      </c>
      <c r="H969" s="22" t="str">
        <f t="shared" si="32"/>
        <v>#DIV/0!</v>
      </c>
      <c r="I969" s="22" t="str">
        <f t="shared" si="3"/>
        <v>#DIV/0!</v>
      </c>
      <c r="J969" s="22" t="str">
        <f t="shared" si="33"/>
        <v>#DIV/0!</v>
      </c>
    </row>
    <row r="970" ht="15.75" customHeight="1">
      <c r="A970" s="25"/>
      <c r="B970" s="22"/>
      <c r="C970" s="22">
        <f t="shared" si="6"/>
        <v>0</v>
      </c>
      <c r="D970" s="25"/>
      <c r="E970" s="22"/>
      <c r="F970" s="22" t="str">
        <f t="shared" si="8"/>
        <v>#DIV/0!</v>
      </c>
      <c r="G970" s="22" t="str">
        <f t="shared" si="31"/>
        <v>#DIV/0!</v>
      </c>
      <c r="H970" s="22" t="str">
        <f t="shared" si="32"/>
        <v>#DIV/0!</v>
      </c>
      <c r="I970" s="22" t="str">
        <f t="shared" si="3"/>
        <v>#DIV/0!</v>
      </c>
      <c r="J970" s="22" t="str">
        <f t="shared" si="33"/>
        <v>#DIV/0!</v>
      </c>
    </row>
    <row r="971" ht="15.75" customHeight="1">
      <c r="A971" s="25"/>
      <c r="B971" s="22"/>
      <c r="C971" s="22">
        <f t="shared" si="6"/>
        <v>0</v>
      </c>
      <c r="D971" s="25"/>
      <c r="E971" s="22"/>
      <c r="F971" s="22" t="str">
        <f t="shared" si="8"/>
        <v>#DIV/0!</v>
      </c>
      <c r="G971" s="22" t="str">
        <f t="shared" si="31"/>
        <v>#DIV/0!</v>
      </c>
      <c r="H971" s="22" t="str">
        <f t="shared" si="32"/>
        <v>#DIV/0!</v>
      </c>
      <c r="I971" s="22" t="str">
        <f t="shared" si="3"/>
        <v>#DIV/0!</v>
      </c>
      <c r="J971" s="22" t="str">
        <f t="shared" si="33"/>
        <v>#DIV/0!</v>
      </c>
    </row>
    <row r="972" ht="15.75" customHeight="1">
      <c r="A972" s="25"/>
      <c r="B972" s="22"/>
      <c r="C972" s="22">
        <f t="shared" si="6"/>
        <v>0</v>
      </c>
      <c r="D972" s="25"/>
      <c r="E972" s="22"/>
      <c r="F972" s="22" t="str">
        <f t="shared" si="8"/>
        <v>#DIV/0!</v>
      </c>
      <c r="G972" s="22" t="str">
        <f t="shared" si="31"/>
        <v>#DIV/0!</v>
      </c>
      <c r="H972" s="22" t="str">
        <f t="shared" si="32"/>
        <v>#DIV/0!</v>
      </c>
      <c r="I972" s="22" t="str">
        <f t="shared" si="3"/>
        <v>#DIV/0!</v>
      </c>
      <c r="J972" s="22" t="str">
        <f t="shared" si="33"/>
        <v>#DIV/0!</v>
      </c>
    </row>
    <row r="973" ht="15.75" customHeight="1">
      <c r="A973" s="25"/>
      <c r="B973" s="22"/>
      <c r="C973" s="22">
        <f t="shared" si="6"/>
        <v>0</v>
      </c>
      <c r="D973" s="25"/>
      <c r="E973" s="22"/>
      <c r="F973" s="22" t="str">
        <f t="shared" si="8"/>
        <v>#DIV/0!</v>
      </c>
      <c r="G973" s="22" t="str">
        <f t="shared" si="31"/>
        <v>#DIV/0!</v>
      </c>
      <c r="H973" s="22" t="str">
        <f t="shared" si="32"/>
        <v>#DIV/0!</v>
      </c>
      <c r="I973" s="22" t="str">
        <f t="shared" si="3"/>
        <v>#DIV/0!</v>
      </c>
      <c r="J973" s="22" t="str">
        <f t="shared" si="33"/>
        <v>#DIV/0!</v>
      </c>
    </row>
    <row r="974" ht="15.75" customHeight="1">
      <c r="A974" s="25"/>
      <c r="B974" s="22"/>
      <c r="C974" s="22">
        <f t="shared" si="6"/>
        <v>0</v>
      </c>
      <c r="D974" s="25"/>
      <c r="E974" s="22"/>
      <c r="F974" s="22" t="str">
        <f t="shared" si="8"/>
        <v>#DIV/0!</v>
      </c>
      <c r="G974" s="22" t="str">
        <f t="shared" si="31"/>
        <v>#DIV/0!</v>
      </c>
      <c r="H974" s="22" t="str">
        <f t="shared" si="32"/>
        <v>#DIV/0!</v>
      </c>
      <c r="I974" s="22" t="str">
        <f t="shared" si="3"/>
        <v>#DIV/0!</v>
      </c>
      <c r="J974" s="22" t="str">
        <f t="shared" si="33"/>
        <v>#DIV/0!</v>
      </c>
    </row>
    <row r="975" ht="15.75" customHeight="1">
      <c r="A975" s="25"/>
      <c r="B975" s="22"/>
      <c r="C975" s="22">
        <f t="shared" si="6"/>
        <v>0</v>
      </c>
      <c r="D975" s="25"/>
      <c r="E975" s="22"/>
      <c r="F975" s="22" t="str">
        <f t="shared" si="8"/>
        <v>#DIV/0!</v>
      </c>
      <c r="G975" s="22" t="str">
        <f t="shared" si="31"/>
        <v>#DIV/0!</v>
      </c>
      <c r="H975" s="22" t="str">
        <f t="shared" si="32"/>
        <v>#DIV/0!</v>
      </c>
      <c r="I975" s="22" t="str">
        <f t="shared" si="3"/>
        <v>#DIV/0!</v>
      </c>
      <c r="J975" s="22" t="str">
        <f t="shared" si="33"/>
        <v>#DIV/0!</v>
      </c>
    </row>
    <row r="976" ht="15.75" customHeight="1">
      <c r="A976" s="25"/>
      <c r="B976" s="22"/>
      <c r="C976" s="22">
        <f t="shared" si="6"/>
        <v>0</v>
      </c>
      <c r="D976" s="25"/>
      <c r="E976" s="22"/>
      <c r="F976" s="22" t="str">
        <f t="shared" si="8"/>
        <v>#DIV/0!</v>
      </c>
      <c r="G976" s="22" t="str">
        <f t="shared" si="31"/>
        <v>#DIV/0!</v>
      </c>
      <c r="H976" s="22" t="str">
        <f t="shared" si="32"/>
        <v>#DIV/0!</v>
      </c>
      <c r="I976" s="22" t="str">
        <f t="shared" si="3"/>
        <v>#DIV/0!</v>
      </c>
      <c r="J976" s="22" t="str">
        <f t="shared" si="33"/>
        <v>#DIV/0!</v>
      </c>
    </row>
    <row r="977" ht="15.75" customHeight="1">
      <c r="A977" s="25"/>
      <c r="B977" s="22"/>
      <c r="C977" s="22">
        <f t="shared" si="6"/>
        <v>0</v>
      </c>
      <c r="D977" s="25"/>
      <c r="E977" s="22"/>
      <c r="F977" s="22" t="str">
        <f t="shared" si="8"/>
        <v>#DIV/0!</v>
      </c>
      <c r="G977" s="22" t="str">
        <f t="shared" si="31"/>
        <v>#DIV/0!</v>
      </c>
      <c r="H977" s="22" t="str">
        <f t="shared" si="32"/>
        <v>#DIV/0!</v>
      </c>
      <c r="I977" s="22" t="str">
        <f t="shared" si="3"/>
        <v>#DIV/0!</v>
      </c>
      <c r="J977" s="22" t="str">
        <f t="shared" si="33"/>
        <v>#DIV/0!</v>
      </c>
    </row>
    <row r="978" ht="15.75" customHeight="1">
      <c r="A978" s="25"/>
      <c r="B978" s="22"/>
      <c r="C978" s="22">
        <f t="shared" si="6"/>
        <v>0</v>
      </c>
      <c r="D978" s="25"/>
      <c r="E978" s="22"/>
      <c r="F978" s="22" t="str">
        <f t="shared" si="8"/>
        <v>#DIV/0!</v>
      </c>
      <c r="G978" s="22" t="str">
        <f t="shared" si="31"/>
        <v>#DIV/0!</v>
      </c>
      <c r="H978" s="22" t="str">
        <f t="shared" si="32"/>
        <v>#DIV/0!</v>
      </c>
      <c r="I978" s="22" t="str">
        <f t="shared" si="3"/>
        <v>#DIV/0!</v>
      </c>
      <c r="J978" s="22" t="str">
        <f t="shared" si="33"/>
        <v>#DIV/0!</v>
      </c>
    </row>
    <row r="979" ht="15.75" customHeight="1">
      <c r="A979" s="25"/>
      <c r="B979" s="22"/>
      <c r="C979" s="22">
        <f t="shared" si="6"/>
        <v>0</v>
      </c>
      <c r="D979" s="25"/>
      <c r="E979" s="22"/>
      <c r="F979" s="22" t="str">
        <f t="shared" si="8"/>
        <v>#DIV/0!</v>
      </c>
      <c r="G979" s="22" t="str">
        <f t="shared" si="31"/>
        <v>#DIV/0!</v>
      </c>
      <c r="H979" s="22" t="str">
        <f t="shared" si="32"/>
        <v>#DIV/0!</v>
      </c>
      <c r="I979" s="22" t="str">
        <f t="shared" si="3"/>
        <v>#DIV/0!</v>
      </c>
      <c r="J979" s="22" t="str">
        <f t="shared" si="33"/>
        <v>#DIV/0!</v>
      </c>
    </row>
    <row r="980" ht="15.75" customHeight="1">
      <c r="A980" s="25"/>
      <c r="B980" s="22"/>
      <c r="C980" s="22">
        <f t="shared" si="6"/>
        <v>0</v>
      </c>
      <c r="D980" s="25"/>
      <c r="E980" s="22"/>
      <c r="F980" s="22" t="str">
        <f t="shared" si="8"/>
        <v>#DIV/0!</v>
      </c>
      <c r="G980" s="22" t="str">
        <f t="shared" si="31"/>
        <v>#DIV/0!</v>
      </c>
      <c r="H980" s="22" t="str">
        <f t="shared" si="32"/>
        <v>#DIV/0!</v>
      </c>
      <c r="I980" s="22" t="str">
        <f t="shared" si="3"/>
        <v>#DIV/0!</v>
      </c>
      <c r="J980" s="22" t="str">
        <f t="shared" si="33"/>
        <v>#DIV/0!</v>
      </c>
    </row>
    <row r="981" ht="15.75" customHeight="1">
      <c r="A981" s="25"/>
      <c r="B981" s="22"/>
      <c r="C981" s="22">
        <f t="shared" si="6"/>
        <v>0</v>
      </c>
      <c r="D981" s="25"/>
      <c r="E981" s="22"/>
      <c r="F981" s="22" t="str">
        <f t="shared" si="8"/>
        <v>#DIV/0!</v>
      </c>
      <c r="G981" s="22" t="str">
        <f t="shared" si="31"/>
        <v>#DIV/0!</v>
      </c>
      <c r="H981" s="22" t="str">
        <f t="shared" si="32"/>
        <v>#DIV/0!</v>
      </c>
      <c r="I981" s="22" t="str">
        <f t="shared" si="3"/>
        <v>#DIV/0!</v>
      </c>
      <c r="J981" s="22" t="str">
        <f t="shared" si="33"/>
        <v>#DIV/0!</v>
      </c>
    </row>
    <row r="982" ht="15.75" customHeight="1">
      <c r="A982" s="25"/>
      <c r="B982" s="22"/>
      <c r="C982" s="22">
        <f t="shared" si="6"/>
        <v>0</v>
      </c>
      <c r="D982" s="25"/>
      <c r="E982" s="22"/>
      <c r="F982" s="22" t="str">
        <f t="shared" si="8"/>
        <v>#DIV/0!</v>
      </c>
      <c r="G982" s="22" t="str">
        <f t="shared" si="31"/>
        <v>#DIV/0!</v>
      </c>
      <c r="H982" s="22" t="str">
        <f t="shared" si="32"/>
        <v>#DIV/0!</v>
      </c>
      <c r="I982" s="22" t="str">
        <f t="shared" si="3"/>
        <v>#DIV/0!</v>
      </c>
      <c r="J982" s="22" t="str">
        <f t="shared" si="33"/>
        <v>#DIV/0!</v>
      </c>
    </row>
    <row r="983" ht="15.75" customHeight="1">
      <c r="A983" s="25"/>
      <c r="B983" s="22"/>
      <c r="C983" s="22">
        <f t="shared" si="6"/>
        <v>0</v>
      </c>
      <c r="D983" s="25"/>
      <c r="E983" s="22"/>
      <c r="F983" s="22" t="str">
        <f t="shared" si="8"/>
        <v>#DIV/0!</v>
      </c>
      <c r="G983" s="22" t="str">
        <f t="shared" si="31"/>
        <v>#DIV/0!</v>
      </c>
      <c r="H983" s="22" t="str">
        <f t="shared" si="32"/>
        <v>#DIV/0!</v>
      </c>
      <c r="I983" s="22" t="str">
        <f t="shared" si="3"/>
        <v>#DIV/0!</v>
      </c>
      <c r="J983" s="22" t="str">
        <f t="shared" si="33"/>
        <v>#DIV/0!</v>
      </c>
    </row>
    <row r="984" ht="15.75" customHeight="1">
      <c r="A984" s="25"/>
      <c r="B984" s="22"/>
      <c r="C984" s="22">
        <f t="shared" si="6"/>
        <v>0</v>
      </c>
      <c r="D984" s="25"/>
      <c r="E984" s="22"/>
      <c r="F984" s="22" t="str">
        <f t="shared" si="8"/>
        <v>#DIV/0!</v>
      </c>
      <c r="G984" s="22" t="str">
        <f t="shared" si="31"/>
        <v>#DIV/0!</v>
      </c>
      <c r="H984" s="22" t="str">
        <f t="shared" si="32"/>
        <v>#DIV/0!</v>
      </c>
      <c r="I984" s="22" t="str">
        <f t="shared" si="3"/>
        <v>#DIV/0!</v>
      </c>
      <c r="J984" s="22" t="str">
        <f t="shared" si="33"/>
        <v>#DIV/0!</v>
      </c>
    </row>
    <row r="985" ht="15.75" customHeight="1">
      <c r="A985" s="25"/>
      <c r="B985" s="22"/>
      <c r="C985" s="22">
        <f t="shared" si="6"/>
        <v>0</v>
      </c>
      <c r="D985" s="25"/>
      <c r="E985" s="22"/>
      <c r="F985" s="22" t="str">
        <f t="shared" si="8"/>
        <v>#DIV/0!</v>
      </c>
      <c r="G985" s="22" t="str">
        <f t="shared" si="31"/>
        <v>#DIV/0!</v>
      </c>
      <c r="H985" s="22" t="str">
        <f t="shared" si="32"/>
        <v>#DIV/0!</v>
      </c>
      <c r="I985" s="22" t="str">
        <f t="shared" si="3"/>
        <v>#DIV/0!</v>
      </c>
      <c r="J985" s="22" t="str">
        <f t="shared" si="33"/>
        <v>#DIV/0!</v>
      </c>
    </row>
    <row r="986" ht="15.75" customHeight="1">
      <c r="A986" s="25"/>
      <c r="B986" s="22"/>
      <c r="C986" s="22">
        <f t="shared" si="6"/>
        <v>0</v>
      </c>
      <c r="D986" s="25"/>
      <c r="E986" s="22"/>
      <c r="F986" s="22" t="str">
        <f t="shared" si="8"/>
        <v>#DIV/0!</v>
      </c>
      <c r="G986" s="22" t="str">
        <f t="shared" si="31"/>
        <v>#DIV/0!</v>
      </c>
      <c r="H986" s="22" t="str">
        <f t="shared" si="32"/>
        <v>#DIV/0!</v>
      </c>
      <c r="I986" s="22" t="str">
        <f t="shared" si="3"/>
        <v>#DIV/0!</v>
      </c>
      <c r="J986" s="22" t="str">
        <f t="shared" si="33"/>
        <v>#DIV/0!</v>
      </c>
    </row>
    <row r="987" ht="15.75" customHeight="1">
      <c r="A987" s="25"/>
      <c r="B987" s="22"/>
      <c r="C987" s="22">
        <f t="shared" si="6"/>
        <v>0</v>
      </c>
      <c r="D987" s="25"/>
      <c r="E987" s="22"/>
      <c r="F987" s="22" t="str">
        <f t="shared" si="8"/>
        <v>#DIV/0!</v>
      </c>
      <c r="G987" s="22" t="str">
        <f t="shared" si="31"/>
        <v>#DIV/0!</v>
      </c>
      <c r="H987" s="22" t="str">
        <f t="shared" si="32"/>
        <v>#DIV/0!</v>
      </c>
      <c r="I987" s="22" t="str">
        <f t="shared" si="3"/>
        <v>#DIV/0!</v>
      </c>
      <c r="J987" s="22" t="str">
        <f t="shared" si="33"/>
        <v>#DIV/0!</v>
      </c>
    </row>
    <row r="988" ht="15.75" customHeight="1">
      <c r="A988" s="25"/>
      <c r="B988" s="22"/>
      <c r="C988" s="22">
        <f t="shared" si="6"/>
        <v>0</v>
      </c>
      <c r="D988" s="25"/>
      <c r="E988" s="22"/>
      <c r="F988" s="22" t="str">
        <f t="shared" si="8"/>
        <v>#DIV/0!</v>
      </c>
      <c r="G988" s="22" t="str">
        <f t="shared" si="31"/>
        <v>#DIV/0!</v>
      </c>
      <c r="H988" s="22" t="str">
        <f t="shared" si="32"/>
        <v>#DIV/0!</v>
      </c>
      <c r="I988" s="22" t="str">
        <f t="shared" si="3"/>
        <v>#DIV/0!</v>
      </c>
      <c r="J988" s="22" t="str">
        <f t="shared" si="33"/>
        <v>#DIV/0!</v>
      </c>
    </row>
    <row r="989" ht="15.75" customHeight="1">
      <c r="A989" s="25"/>
      <c r="B989" s="22"/>
      <c r="C989" s="22">
        <f t="shared" si="6"/>
        <v>0</v>
      </c>
      <c r="D989" s="25"/>
      <c r="E989" s="22"/>
      <c r="F989" s="22" t="str">
        <f t="shared" si="8"/>
        <v>#DIV/0!</v>
      </c>
      <c r="G989" s="22" t="str">
        <f t="shared" si="31"/>
        <v>#DIV/0!</v>
      </c>
      <c r="H989" s="22" t="str">
        <f t="shared" si="32"/>
        <v>#DIV/0!</v>
      </c>
      <c r="I989" s="22" t="str">
        <f t="shared" si="3"/>
        <v>#DIV/0!</v>
      </c>
      <c r="J989" s="22" t="str">
        <f t="shared" si="33"/>
        <v>#DIV/0!</v>
      </c>
    </row>
    <row r="990" ht="15.75" customHeight="1">
      <c r="A990" s="25"/>
      <c r="B990" s="22"/>
      <c r="C990" s="22">
        <f t="shared" si="6"/>
        <v>0</v>
      </c>
      <c r="D990" s="25"/>
      <c r="E990" s="22"/>
      <c r="F990" s="22" t="str">
        <f t="shared" si="8"/>
        <v>#DIV/0!</v>
      </c>
      <c r="G990" s="22" t="str">
        <f t="shared" si="31"/>
        <v>#DIV/0!</v>
      </c>
      <c r="H990" s="22" t="str">
        <f t="shared" si="32"/>
        <v>#DIV/0!</v>
      </c>
      <c r="I990" s="22" t="str">
        <f t="shared" si="3"/>
        <v>#DIV/0!</v>
      </c>
      <c r="J990" s="22" t="str">
        <f t="shared" si="33"/>
        <v>#DIV/0!</v>
      </c>
    </row>
    <row r="991" ht="15.75" customHeight="1">
      <c r="A991" s="25"/>
      <c r="B991" s="22"/>
      <c r="C991" s="22">
        <f t="shared" si="6"/>
        <v>0</v>
      </c>
      <c r="D991" s="25"/>
      <c r="E991" s="22"/>
      <c r="F991" s="22" t="str">
        <f t="shared" si="8"/>
        <v>#DIV/0!</v>
      </c>
      <c r="G991" s="22" t="str">
        <f t="shared" si="31"/>
        <v>#DIV/0!</v>
      </c>
      <c r="H991" s="22" t="str">
        <f t="shared" si="32"/>
        <v>#DIV/0!</v>
      </c>
      <c r="I991" s="22" t="str">
        <f t="shared" si="3"/>
        <v>#DIV/0!</v>
      </c>
      <c r="J991" s="22" t="str">
        <f t="shared" si="33"/>
        <v>#DIV/0!</v>
      </c>
    </row>
    <row r="992" ht="15.75" customHeight="1">
      <c r="A992" s="25"/>
      <c r="B992" s="22"/>
      <c r="C992" s="22">
        <f t="shared" si="6"/>
        <v>0</v>
      </c>
      <c r="D992" s="25"/>
      <c r="E992" s="22"/>
      <c r="F992" s="22" t="str">
        <f t="shared" si="8"/>
        <v>#DIV/0!</v>
      </c>
      <c r="G992" s="22" t="str">
        <f t="shared" si="31"/>
        <v>#DIV/0!</v>
      </c>
      <c r="H992" s="22" t="str">
        <f t="shared" si="32"/>
        <v>#DIV/0!</v>
      </c>
      <c r="I992" s="22" t="str">
        <f t="shared" si="3"/>
        <v>#DIV/0!</v>
      </c>
      <c r="J992" s="22" t="str">
        <f t="shared" si="33"/>
        <v>#DIV/0!</v>
      </c>
    </row>
    <row r="993" ht="15.75" customHeight="1">
      <c r="A993" s="25"/>
      <c r="B993" s="22"/>
      <c r="C993" s="22">
        <f t="shared" si="6"/>
        <v>0</v>
      </c>
      <c r="D993" s="25"/>
      <c r="E993" s="22"/>
      <c r="F993" s="22" t="str">
        <f t="shared" si="8"/>
        <v>#DIV/0!</v>
      </c>
      <c r="G993" s="22" t="str">
        <f t="shared" si="31"/>
        <v>#DIV/0!</v>
      </c>
      <c r="H993" s="22" t="str">
        <f t="shared" si="32"/>
        <v>#DIV/0!</v>
      </c>
      <c r="I993" s="22" t="str">
        <f t="shared" si="3"/>
        <v>#DIV/0!</v>
      </c>
      <c r="J993" s="22" t="str">
        <f t="shared" si="33"/>
        <v>#DIV/0!</v>
      </c>
    </row>
    <row r="994" ht="15.75" customHeight="1">
      <c r="A994" s="25"/>
      <c r="B994" s="22"/>
      <c r="C994" s="22">
        <f t="shared" si="6"/>
        <v>0</v>
      </c>
      <c r="D994" s="25"/>
      <c r="E994" s="22"/>
      <c r="F994" s="22" t="str">
        <f t="shared" si="8"/>
        <v>#DIV/0!</v>
      </c>
      <c r="G994" s="22" t="str">
        <f t="shared" si="31"/>
        <v>#DIV/0!</v>
      </c>
      <c r="H994" s="22" t="str">
        <f t="shared" si="32"/>
        <v>#DIV/0!</v>
      </c>
      <c r="I994" s="22" t="str">
        <f t="shared" si="3"/>
        <v>#DIV/0!</v>
      </c>
      <c r="J994" s="22" t="str">
        <f t="shared" si="33"/>
        <v>#DIV/0!</v>
      </c>
    </row>
    <row r="995" ht="15.75" customHeight="1">
      <c r="A995" s="25"/>
      <c r="B995" s="22"/>
      <c r="C995" s="22">
        <f t="shared" si="6"/>
        <v>0</v>
      </c>
      <c r="D995" s="25"/>
      <c r="E995" s="22"/>
      <c r="F995" s="22" t="str">
        <f t="shared" si="8"/>
        <v>#DIV/0!</v>
      </c>
      <c r="G995" s="22" t="str">
        <f t="shared" si="31"/>
        <v>#DIV/0!</v>
      </c>
      <c r="H995" s="22" t="str">
        <f t="shared" si="32"/>
        <v>#DIV/0!</v>
      </c>
      <c r="I995" s="22" t="str">
        <f t="shared" si="3"/>
        <v>#DIV/0!</v>
      </c>
      <c r="J995" s="22" t="str">
        <f t="shared" si="33"/>
        <v>#DIV/0!</v>
      </c>
    </row>
    <row r="996" ht="15.75" customHeight="1">
      <c r="A996" s="25"/>
      <c r="B996" s="22"/>
      <c r="C996" s="22">
        <f t="shared" si="6"/>
        <v>0</v>
      </c>
      <c r="D996" s="25"/>
      <c r="E996" s="22"/>
      <c r="F996" s="22" t="str">
        <f t="shared" si="8"/>
        <v>#DIV/0!</v>
      </c>
      <c r="G996" s="22" t="str">
        <f t="shared" si="31"/>
        <v>#DIV/0!</v>
      </c>
      <c r="H996" s="22" t="str">
        <f t="shared" si="32"/>
        <v>#DIV/0!</v>
      </c>
      <c r="I996" s="22" t="str">
        <f t="shared" si="3"/>
        <v>#DIV/0!</v>
      </c>
      <c r="J996" s="22" t="str">
        <f t="shared" si="33"/>
        <v>#DIV/0!</v>
      </c>
    </row>
    <row r="997" ht="15.75" customHeight="1">
      <c r="A997" s="25"/>
      <c r="B997" s="22"/>
      <c r="C997" s="22">
        <f t="shared" si="6"/>
        <v>0</v>
      </c>
      <c r="D997" s="25"/>
      <c r="E997" s="22"/>
      <c r="F997" s="22" t="str">
        <f t="shared" si="8"/>
        <v>#DIV/0!</v>
      </c>
      <c r="G997" s="22" t="str">
        <f t="shared" si="31"/>
        <v>#DIV/0!</v>
      </c>
      <c r="H997" s="22" t="str">
        <f t="shared" si="32"/>
        <v>#DIV/0!</v>
      </c>
      <c r="I997" s="22" t="str">
        <f t="shared" si="3"/>
        <v>#DIV/0!</v>
      </c>
      <c r="J997" s="22" t="str">
        <f t="shared" si="33"/>
        <v>#DIV/0!</v>
      </c>
    </row>
    <row r="998" ht="15.75" customHeight="1">
      <c r="A998" s="25"/>
      <c r="B998" s="22"/>
      <c r="C998" s="22">
        <f t="shared" si="6"/>
        <v>0</v>
      </c>
      <c r="D998" s="25"/>
      <c r="E998" s="22"/>
      <c r="F998" s="22" t="str">
        <f t="shared" si="8"/>
        <v>#DIV/0!</v>
      </c>
      <c r="G998" s="22" t="str">
        <f t="shared" si="31"/>
        <v>#DIV/0!</v>
      </c>
      <c r="H998" s="22" t="str">
        <f t="shared" si="32"/>
        <v>#DIV/0!</v>
      </c>
      <c r="I998" s="22" t="str">
        <f t="shared" si="3"/>
        <v>#DIV/0!</v>
      </c>
      <c r="J998" s="22" t="str">
        <f t="shared" si="33"/>
        <v>#DIV/0!</v>
      </c>
    </row>
    <row r="999" ht="15.75" customHeight="1">
      <c r="A999" s="25"/>
      <c r="B999" s="22"/>
      <c r="C999" s="22">
        <f t="shared" si="6"/>
        <v>0</v>
      </c>
      <c r="D999" s="25"/>
      <c r="E999" s="22"/>
      <c r="F999" s="22" t="str">
        <f t="shared" si="8"/>
        <v>#DIV/0!</v>
      </c>
      <c r="G999" s="22" t="str">
        <f t="shared" si="31"/>
        <v>#DIV/0!</v>
      </c>
      <c r="H999" s="22" t="str">
        <f t="shared" si="32"/>
        <v>#DIV/0!</v>
      </c>
      <c r="I999" s="22" t="str">
        <f t="shared" si="3"/>
        <v>#DIV/0!</v>
      </c>
      <c r="J999" s="22" t="str">
        <f t="shared" si="33"/>
        <v>#DIV/0!</v>
      </c>
    </row>
    <row r="1000" ht="15.75" customHeight="1">
      <c r="A1000" s="25"/>
      <c r="B1000" s="22"/>
      <c r="C1000" s="22">
        <f t="shared" si="6"/>
        <v>0</v>
      </c>
      <c r="D1000" s="25"/>
      <c r="E1000" s="22"/>
      <c r="F1000" s="22" t="str">
        <f t="shared" si="8"/>
        <v>#DIV/0!</v>
      </c>
      <c r="G1000" s="22" t="str">
        <f t="shared" si="31"/>
        <v>#DIV/0!</v>
      </c>
      <c r="H1000" s="22" t="str">
        <f t="shared" si="32"/>
        <v>#DIV/0!</v>
      </c>
      <c r="I1000" s="22" t="str">
        <f t="shared" si="3"/>
        <v>#DIV/0!</v>
      </c>
      <c r="J1000" s="22" t="str">
        <f t="shared" si="33"/>
        <v>#DIV/0!</v>
      </c>
    </row>
    <row r="1001" ht="15.75" customHeight="1">
      <c r="A1001" s="25"/>
      <c r="B1001" s="22"/>
      <c r="C1001" s="22">
        <f t="shared" si="6"/>
        <v>0</v>
      </c>
      <c r="D1001" s="25"/>
      <c r="E1001" s="22"/>
      <c r="F1001" s="22" t="str">
        <f t="shared" si="8"/>
        <v>#DIV/0!</v>
      </c>
      <c r="G1001" s="22" t="str">
        <f t="shared" si="31"/>
        <v>#DIV/0!</v>
      </c>
      <c r="H1001" s="22" t="str">
        <f t="shared" si="32"/>
        <v>#DIV/0!</v>
      </c>
      <c r="I1001" s="22" t="str">
        <f t="shared" si="3"/>
        <v>#DIV/0!</v>
      </c>
      <c r="J1001" s="22" t="str">
        <f t="shared" si="33"/>
        <v>#DIV/0!</v>
      </c>
    </row>
    <row r="1002" ht="15.75" customHeight="1">
      <c r="A1002" s="25"/>
      <c r="B1002" s="22"/>
      <c r="C1002" s="22">
        <f t="shared" si="6"/>
        <v>0</v>
      </c>
      <c r="D1002" s="25"/>
      <c r="E1002" s="22"/>
      <c r="F1002" s="22" t="str">
        <f t="shared" si="8"/>
        <v>#DIV/0!</v>
      </c>
      <c r="G1002" s="22" t="str">
        <f t="shared" si="31"/>
        <v>#DIV/0!</v>
      </c>
      <c r="H1002" s="22" t="str">
        <f t="shared" si="32"/>
        <v>#DIV/0!</v>
      </c>
      <c r="I1002" s="22" t="str">
        <f t="shared" si="3"/>
        <v>#DIV/0!</v>
      </c>
      <c r="J1002" s="22" t="str">
        <f t="shared" si="33"/>
        <v>#DIV/0!</v>
      </c>
    </row>
    <row r="1003" ht="15.75" customHeight="1">
      <c r="A1003" s="25"/>
      <c r="B1003" s="22"/>
      <c r="C1003" s="22">
        <f t="shared" si="6"/>
        <v>0</v>
      </c>
      <c r="D1003" s="25"/>
      <c r="E1003" s="22"/>
      <c r="F1003" s="22" t="str">
        <f t="shared" si="8"/>
        <v>#DIV/0!</v>
      </c>
      <c r="G1003" s="22" t="str">
        <f t="shared" si="31"/>
        <v>#DIV/0!</v>
      </c>
      <c r="H1003" s="22" t="str">
        <f t="shared" si="32"/>
        <v>#DIV/0!</v>
      </c>
      <c r="I1003" s="22" t="str">
        <f t="shared" si="3"/>
        <v>#DIV/0!</v>
      </c>
      <c r="J1003" s="22" t="str">
        <f t="shared" si="33"/>
        <v>#DIV/0!</v>
      </c>
    </row>
    <row r="1004" ht="15.75" customHeight="1">
      <c r="A1004" s="25"/>
      <c r="B1004" s="22"/>
      <c r="C1004" s="22">
        <f t="shared" si="6"/>
        <v>0</v>
      </c>
      <c r="D1004" s="25"/>
      <c r="E1004" s="22"/>
      <c r="F1004" s="22" t="str">
        <f t="shared" si="8"/>
        <v>#DIV/0!</v>
      </c>
      <c r="G1004" s="22" t="str">
        <f t="shared" si="31"/>
        <v>#DIV/0!</v>
      </c>
      <c r="H1004" s="22" t="str">
        <f t="shared" si="32"/>
        <v>#DIV/0!</v>
      </c>
      <c r="I1004" s="22" t="str">
        <f t="shared" si="3"/>
        <v>#DIV/0!</v>
      </c>
      <c r="J1004" s="22" t="str">
        <f t="shared" si="33"/>
        <v>#DIV/0!</v>
      </c>
    </row>
    <row r="1005" ht="15.75" customHeight="1">
      <c r="A1005" s="25"/>
      <c r="B1005" s="22"/>
      <c r="C1005" s="22">
        <f t="shared" si="6"/>
        <v>0</v>
      </c>
      <c r="D1005" s="25"/>
      <c r="E1005" s="22"/>
      <c r="F1005" s="22" t="str">
        <f t="shared" si="8"/>
        <v>#DIV/0!</v>
      </c>
      <c r="G1005" s="22" t="str">
        <f t="shared" si="31"/>
        <v>#DIV/0!</v>
      </c>
      <c r="H1005" s="22" t="str">
        <f t="shared" si="32"/>
        <v>#DIV/0!</v>
      </c>
      <c r="I1005" s="22" t="str">
        <f t="shared" si="3"/>
        <v>#DIV/0!</v>
      </c>
      <c r="J1005" s="22" t="str">
        <f t="shared" si="33"/>
        <v>#DIV/0!</v>
      </c>
    </row>
    <row r="1006" ht="15.75" customHeight="1">
      <c r="A1006" s="25"/>
      <c r="B1006" s="22"/>
      <c r="C1006" s="22">
        <f t="shared" si="6"/>
        <v>0</v>
      </c>
      <c r="D1006" s="25"/>
      <c r="E1006" s="22"/>
      <c r="F1006" s="22" t="str">
        <f t="shared" si="8"/>
        <v>#DIV/0!</v>
      </c>
      <c r="G1006" s="22" t="str">
        <f t="shared" si="31"/>
        <v>#DIV/0!</v>
      </c>
      <c r="H1006" s="22" t="str">
        <f t="shared" si="32"/>
        <v>#DIV/0!</v>
      </c>
      <c r="I1006" s="22" t="str">
        <f t="shared" si="3"/>
        <v>#DIV/0!</v>
      </c>
      <c r="J1006" s="22" t="str">
        <f t="shared" si="33"/>
        <v>#DIV/0!</v>
      </c>
    </row>
    <row r="1007" ht="15.75" customHeight="1">
      <c r="A1007" s="25"/>
      <c r="B1007" s="22"/>
      <c r="C1007" s="22">
        <f t="shared" si="6"/>
        <v>0</v>
      </c>
      <c r="D1007" s="25"/>
      <c r="E1007" s="22"/>
      <c r="F1007" s="22" t="str">
        <f t="shared" si="8"/>
        <v>#DIV/0!</v>
      </c>
      <c r="G1007" s="22" t="str">
        <f t="shared" si="31"/>
        <v>#DIV/0!</v>
      </c>
      <c r="H1007" s="22" t="str">
        <f t="shared" si="32"/>
        <v>#DIV/0!</v>
      </c>
      <c r="I1007" s="22" t="str">
        <f t="shared" si="3"/>
        <v>#DIV/0!</v>
      </c>
      <c r="J1007" s="22" t="str">
        <f t="shared" si="33"/>
        <v>#DIV/0!</v>
      </c>
    </row>
    <row r="1008" ht="15.75" customHeight="1">
      <c r="A1008" s="25"/>
      <c r="B1008" s="22"/>
      <c r="C1008" s="22">
        <f t="shared" si="6"/>
        <v>0</v>
      </c>
      <c r="D1008" s="25"/>
      <c r="E1008" s="22"/>
      <c r="F1008" s="22" t="str">
        <f t="shared" si="8"/>
        <v>#DIV/0!</v>
      </c>
      <c r="G1008" s="22" t="str">
        <f t="shared" si="31"/>
        <v>#DIV/0!</v>
      </c>
      <c r="H1008" s="22" t="str">
        <f t="shared" si="32"/>
        <v>#DIV/0!</v>
      </c>
      <c r="I1008" s="22" t="str">
        <f t="shared" si="3"/>
        <v>#DIV/0!</v>
      </c>
      <c r="J1008" s="22" t="str">
        <f t="shared" si="33"/>
        <v>#DIV/0!</v>
      </c>
    </row>
    <row r="1009" ht="15.75" customHeight="1">
      <c r="A1009" s="25"/>
      <c r="B1009" s="22"/>
      <c r="C1009" s="22">
        <f t="shared" si="6"/>
        <v>0</v>
      </c>
      <c r="D1009" s="25"/>
      <c r="E1009" s="22"/>
      <c r="F1009" s="22" t="str">
        <f t="shared" si="8"/>
        <v>#DIV/0!</v>
      </c>
      <c r="G1009" s="22" t="str">
        <f t="shared" si="31"/>
        <v>#DIV/0!</v>
      </c>
      <c r="H1009" s="22" t="str">
        <f t="shared" si="32"/>
        <v>#DIV/0!</v>
      </c>
      <c r="I1009" s="22" t="str">
        <f t="shared" si="3"/>
        <v>#DIV/0!</v>
      </c>
      <c r="J1009" s="22" t="str">
        <f t="shared" si="33"/>
        <v>#DIV/0!</v>
      </c>
    </row>
    <row r="1010" ht="15.75" customHeight="1">
      <c r="A1010" s="25"/>
      <c r="B1010" s="22"/>
      <c r="C1010" s="22">
        <f t="shared" si="6"/>
        <v>0</v>
      </c>
      <c r="D1010" s="25"/>
      <c r="E1010" s="22"/>
      <c r="F1010" s="22" t="str">
        <f t="shared" si="8"/>
        <v>#DIV/0!</v>
      </c>
      <c r="G1010" s="22" t="str">
        <f t="shared" si="31"/>
        <v>#DIV/0!</v>
      </c>
      <c r="H1010" s="22" t="str">
        <f t="shared" si="32"/>
        <v>#DIV/0!</v>
      </c>
      <c r="I1010" s="22" t="str">
        <f t="shared" si="3"/>
        <v>#DIV/0!</v>
      </c>
      <c r="J1010" s="22" t="str">
        <f t="shared" si="33"/>
        <v>#DIV/0!</v>
      </c>
    </row>
    <row r="1011" ht="15.75" customHeight="1">
      <c r="A1011" s="25"/>
      <c r="B1011" s="22"/>
      <c r="C1011" s="22">
        <f t="shared" si="6"/>
        <v>0</v>
      </c>
      <c r="D1011" s="25"/>
      <c r="E1011" s="22"/>
      <c r="F1011" s="22" t="str">
        <f t="shared" si="8"/>
        <v>#DIV/0!</v>
      </c>
      <c r="G1011" s="22" t="str">
        <f t="shared" si="31"/>
        <v>#DIV/0!</v>
      </c>
      <c r="H1011" s="22" t="str">
        <f t="shared" si="32"/>
        <v>#DIV/0!</v>
      </c>
      <c r="I1011" s="22" t="str">
        <f t="shared" si="3"/>
        <v>#DIV/0!</v>
      </c>
      <c r="J1011" s="22" t="str">
        <f t="shared" si="33"/>
        <v>#DIV/0!</v>
      </c>
    </row>
    <row r="1012" ht="15.75" customHeight="1">
      <c r="A1012" s="25"/>
      <c r="B1012" s="22"/>
      <c r="C1012" s="22">
        <f t="shared" si="6"/>
        <v>0</v>
      </c>
      <c r="D1012" s="25"/>
      <c r="E1012" s="22"/>
      <c r="F1012" s="22" t="str">
        <f t="shared" si="8"/>
        <v>#DIV/0!</v>
      </c>
      <c r="G1012" s="22" t="str">
        <f t="shared" si="31"/>
        <v>#DIV/0!</v>
      </c>
      <c r="H1012" s="22" t="str">
        <f t="shared" si="32"/>
        <v>#DIV/0!</v>
      </c>
      <c r="I1012" s="22" t="str">
        <f t="shared" si="3"/>
        <v>#DIV/0!</v>
      </c>
      <c r="J1012" s="22" t="str">
        <f t="shared" si="33"/>
        <v>#DIV/0!</v>
      </c>
    </row>
    <row r="1013" ht="15.75" customHeight="1">
      <c r="A1013" s="25"/>
      <c r="B1013" s="22"/>
      <c r="C1013" s="22">
        <f t="shared" si="6"/>
        <v>0</v>
      </c>
      <c r="D1013" s="25"/>
      <c r="E1013" s="22"/>
      <c r="F1013" s="22" t="str">
        <f t="shared" si="8"/>
        <v>#DIV/0!</v>
      </c>
      <c r="G1013" s="22" t="str">
        <f t="shared" si="31"/>
        <v>#DIV/0!</v>
      </c>
      <c r="H1013" s="22" t="str">
        <f t="shared" si="32"/>
        <v>#DIV/0!</v>
      </c>
      <c r="I1013" s="22" t="str">
        <f t="shared" si="3"/>
        <v>#DIV/0!</v>
      </c>
      <c r="J1013" s="22" t="str">
        <f t="shared" si="33"/>
        <v>#DIV/0!</v>
      </c>
    </row>
    <row r="1014" ht="15.75" customHeight="1">
      <c r="A1014" s="25"/>
      <c r="B1014" s="22"/>
      <c r="C1014" s="22">
        <f t="shared" si="6"/>
        <v>0</v>
      </c>
      <c r="D1014" s="25"/>
      <c r="E1014" s="22"/>
      <c r="F1014" s="22" t="str">
        <f t="shared" si="8"/>
        <v>#DIV/0!</v>
      </c>
      <c r="G1014" s="22" t="str">
        <f t="shared" si="31"/>
        <v>#DIV/0!</v>
      </c>
      <c r="H1014" s="22" t="str">
        <f t="shared" si="32"/>
        <v>#DIV/0!</v>
      </c>
      <c r="I1014" s="22" t="str">
        <f t="shared" si="3"/>
        <v>#DIV/0!</v>
      </c>
      <c r="J1014" s="22" t="str">
        <f t="shared" si="33"/>
        <v>#DIV/0!</v>
      </c>
    </row>
    <row r="1015" ht="15.75" customHeight="1">
      <c r="A1015" s="25"/>
      <c r="B1015" s="22"/>
      <c r="C1015" s="22">
        <f t="shared" si="6"/>
        <v>0</v>
      </c>
      <c r="D1015" s="25"/>
      <c r="E1015" s="22"/>
      <c r="F1015" s="22" t="str">
        <f t="shared" si="8"/>
        <v>#DIV/0!</v>
      </c>
      <c r="G1015" s="22" t="str">
        <f t="shared" si="31"/>
        <v>#DIV/0!</v>
      </c>
      <c r="H1015" s="22" t="str">
        <f t="shared" si="32"/>
        <v>#DIV/0!</v>
      </c>
      <c r="I1015" s="22" t="str">
        <f t="shared" si="3"/>
        <v>#DIV/0!</v>
      </c>
      <c r="J1015" s="22" t="str">
        <f t="shared" si="33"/>
        <v>#DIV/0!</v>
      </c>
    </row>
    <row r="1016" ht="15.75" customHeight="1">
      <c r="A1016" s="25"/>
      <c r="B1016" s="22"/>
      <c r="C1016" s="22">
        <f t="shared" si="6"/>
        <v>0</v>
      </c>
      <c r="D1016" s="25"/>
      <c r="E1016" s="22"/>
      <c r="F1016" s="22" t="str">
        <f t="shared" si="8"/>
        <v>#DIV/0!</v>
      </c>
      <c r="G1016" s="22" t="str">
        <f t="shared" si="31"/>
        <v>#DIV/0!</v>
      </c>
      <c r="H1016" s="22" t="str">
        <f t="shared" si="32"/>
        <v>#DIV/0!</v>
      </c>
      <c r="I1016" s="22" t="str">
        <f t="shared" si="3"/>
        <v>#DIV/0!</v>
      </c>
      <c r="J1016" s="22" t="str">
        <f t="shared" si="33"/>
        <v>#DIV/0!</v>
      </c>
    </row>
    <row r="1017" ht="15.75" customHeight="1">
      <c r="A1017" s="25"/>
      <c r="B1017" s="22"/>
      <c r="C1017" s="22">
        <f t="shared" si="6"/>
        <v>0</v>
      </c>
      <c r="D1017" s="25"/>
      <c r="E1017" s="22"/>
      <c r="F1017" s="22" t="str">
        <f t="shared" si="8"/>
        <v>#DIV/0!</v>
      </c>
      <c r="G1017" s="22" t="str">
        <f t="shared" si="31"/>
        <v>#DIV/0!</v>
      </c>
      <c r="H1017" s="22" t="str">
        <f t="shared" si="32"/>
        <v>#DIV/0!</v>
      </c>
      <c r="I1017" s="22" t="str">
        <f t="shared" si="3"/>
        <v>#DIV/0!</v>
      </c>
      <c r="J1017" s="22" t="str">
        <f t="shared" si="33"/>
        <v>#DIV/0!</v>
      </c>
    </row>
    <row r="1018" ht="15.75" customHeight="1">
      <c r="A1018" s="25"/>
      <c r="B1018" s="22"/>
      <c r="C1018" s="22">
        <f t="shared" si="6"/>
        <v>0</v>
      </c>
      <c r="D1018" s="25"/>
      <c r="E1018" s="22"/>
      <c r="F1018" s="22" t="str">
        <f t="shared" si="8"/>
        <v>#DIV/0!</v>
      </c>
      <c r="G1018" s="22" t="str">
        <f t="shared" si="31"/>
        <v>#DIV/0!</v>
      </c>
      <c r="H1018" s="22" t="str">
        <f t="shared" si="32"/>
        <v>#DIV/0!</v>
      </c>
      <c r="I1018" s="22" t="str">
        <f t="shared" si="3"/>
        <v>#DIV/0!</v>
      </c>
      <c r="J1018" s="22" t="str">
        <f t="shared" si="33"/>
        <v>#DIV/0!</v>
      </c>
    </row>
    <row r="1019" ht="15.75" customHeight="1">
      <c r="A1019" s="25"/>
      <c r="B1019" s="22"/>
      <c r="C1019" s="22">
        <f t="shared" si="6"/>
        <v>0</v>
      </c>
      <c r="D1019" s="25"/>
      <c r="E1019" s="22"/>
      <c r="F1019" s="22" t="str">
        <f t="shared" si="8"/>
        <v>#DIV/0!</v>
      </c>
      <c r="G1019" s="22" t="str">
        <f t="shared" si="31"/>
        <v>#DIV/0!</v>
      </c>
      <c r="H1019" s="22" t="str">
        <f t="shared" si="32"/>
        <v>#DIV/0!</v>
      </c>
      <c r="I1019" s="22" t="str">
        <f t="shared" si="3"/>
        <v>#DIV/0!</v>
      </c>
      <c r="J1019" s="22" t="str">
        <f t="shared" si="33"/>
        <v>#DIV/0!</v>
      </c>
    </row>
    <row r="1020" ht="15.75" customHeight="1">
      <c r="A1020" s="25"/>
      <c r="B1020" s="22"/>
      <c r="C1020" s="22">
        <f t="shared" si="6"/>
        <v>0</v>
      </c>
      <c r="D1020" s="25"/>
      <c r="E1020" s="22"/>
      <c r="F1020" s="22" t="str">
        <f t="shared" si="8"/>
        <v>#DIV/0!</v>
      </c>
      <c r="G1020" s="22" t="str">
        <f t="shared" si="31"/>
        <v>#DIV/0!</v>
      </c>
      <c r="H1020" s="22" t="str">
        <f t="shared" si="32"/>
        <v>#DIV/0!</v>
      </c>
      <c r="I1020" s="22" t="str">
        <f t="shared" si="3"/>
        <v>#DIV/0!</v>
      </c>
      <c r="J1020" s="22" t="str">
        <f t="shared" si="33"/>
        <v>#DIV/0!</v>
      </c>
    </row>
    <row r="1021" ht="15.75" customHeight="1">
      <c r="A1021" s="25"/>
      <c r="B1021" s="22"/>
      <c r="C1021" s="22">
        <f t="shared" si="6"/>
        <v>0</v>
      </c>
      <c r="D1021" s="25"/>
      <c r="E1021" s="22"/>
      <c r="F1021" s="22" t="str">
        <f t="shared" si="8"/>
        <v>#DIV/0!</v>
      </c>
      <c r="G1021" s="22" t="str">
        <f t="shared" si="31"/>
        <v>#DIV/0!</v>
      </c>
      <c r="H1021" s="22" t="str">
        <f t="shared" si="32"/>
        <v>#DIV/0!</v>
      </c>
      <c r="I1021" s="22" t="str">
        <f t="shared" si="3"/>
        <v>#DIV/0!</v>
      </c>
      <c r="J1021" s="22" t="str">
        <f t="shared" si="33"/>
        <v>#DIV/0!</v>
      </c>
    </row>
    <row r="1022" ht="15.75" customHeight="1">
      <c r="A1022" s="25"/>
      <c r="B1022" s="22"/>
      <c r="C1022" s="22">
        <f t="shared" si="6"/>
        <v>0</v>
      </c>
      <c r="D1022" s="25"/>
      <c r="E1022" s="22"/>
      <c r="F1022" s="22" t="str">
        <f t="shared" si="8"/>
        <v>#DIV/0!</v>
      </c>
      <c r="G1022" s="22" t="str">
        <f t="shared" si="31"/>
        <v>#DIV/0!</v>
      </c>
      <c r="H1022" s="22" t="str">
        <f t="shared" si="32"/>
        <v>#DIV/0!</v>
      </c>
      <c r="I1022" s="22" t="str">
        <f t="shared" si="3"/>
        <v>#DIV/0!</v>
      </c>
      <c r="J1022" s="22" t="str">
        <f t="shared" si="33"/>
        <v>#DIV/0!</v>
      </c>
    </row>
    <row r="1023" ht="15.75" customHeight="1">
      <c r="A1023" s="25"/>
      <c r="B1023" s="22"/>
      <c r="C1023" s="22">
        <f t="shared" si="6"/>
        <v>0</v>
      </c>
      <c r="D1023" s="25"/>
      <c r="E1023" s="22"/>
      <c r="F1023" s="22" t="str">
        <f t="shared" si="8"/>
        <v>#DIV/0!</v>
      </c>
      <c r="G1023" s="22" t="str">
        <f t="shared" si="31"/>
        <v>#DIV/0!</v>
      </c>
      <c r="H1023" s="22" t="str">
        <f t="shared" si="32"/>
        <v>#DIV/0!</v>
      </c>
      <c r="I1023" s="22" t="str">
        <f t="shared" si="3"/>
        <v>#DIV/0!</v>
      </c>
      <c r="J1023" s="22" t="str">
        <f t="shared" si="33"/>
        <v>#DIV/0!</v>
      </c>
    </row>
    <row r="1024" ht="15.75" customHeight="1">
      <c r="A1024" s="25"/>
      <c r="B1024" s="22"/>
      <c r="C1024" s="22">
        <f t="shared" si="6"/>
        <v>0</v>
      </c>
      <c r="D1024" s="25"/>
      <c r="E1024" s="22"/>
      <c r="F1024" s="22" t="str">
        <f t="shared" si="8"/>
        <v>#DIV/0!</v>
      </c>
      <c r="G1024" s="22" t="str">
        <f t="shared" si="31"/>
        <v>#DIV/0!</v>
      </c>
      <c r="H1024" s="22" t="str">
        <f t="shared" si="32"/>
        <v>#DIV/0!</v>
      </c>
      <c r="I1024" s="22" t="str">
        <f t="shared" si="3"/>
        <v>#DIV/0!</v>
      </c>
      <c r="J1024" s="22" t="str">
        <f t="shared" si="33"/>
        <v>#DIV/0!</v>
      </c>
    </row>
    <row r="1025" ht="15.75" customHeight="1">
      <c r="A1025" s="25"/>
      <c r="B1025" s="22"/>
      <c r="C1025" s="22">
        <f t="shared" si="6"/>
        <v>0</v>
      </c>
      <c r="D1025" s="25"/>
      <c r="E1025" s="22"/>
      <c r="F1025" s="22" t="str">
        <f t="shared" si="8"/>
        <v>#DIV/0!</v>
      </c>
      <c r="G1025" s="22" t="str">
        <f t="shared" si="31"/>
        <v>#DIV/0!</v>
      </c>
      <c r="H1025" s="22" t="str">
        <f t="shared" si="32"/>
        <v>#DIV/0!</v>
      </c>
      <c r="I1025" s="22" t="str">
        <f t="shared" si="3"/>
        <v>#DIV/0!</v>
      </c>
      <c r="J1025" s="22" t="str">
        <f t="shared" si="33"/>
        <v>#DIV/0!</v>
      </c>
    </row>
    <row r="1026" ht="15.75" customHeight="1">
      <c r="A1026" s="25"/>
      <c r="B1026" s="22"/>
      <c r="C1026" s="22">
        <f t="shared" si="6"/>
        <v>0</v>
      </c>
      <c r="D1026" s="25"/>
      <c r="E1026" s="22"/>
      <c r="F1026" s="22" t="str">
        <f t="shared" si="8"/>
        <v>#DIV/0!</v>
      </c>
      <c r="G1026" s="22" t="str">
        <f t="shared" si="31"/>
        <v>#DIV/0!</v>
      </c>
      <c r="H1026" s="22" t="str">
        <f t="shared" si="32"/>
        <v>#DIV/0!</v>
      </c>
      <c r="I1026" s="22" t="str">
        <f t="shared" si="3"/>
        <v>#DIV/0!</v>
      </c>
      <c r="J1026" s="22" t="str">
        <f t="shared" si="33"/>
        <v>#DIV/0!</v>
      </c>
    </row>
    <row r="1027" ht="15.75" customHeight="1">
      <c r="A1027" s="25"/>
      <c r="B1027" s="22"/>
      <c r="C1027" s="22">
        <f t="shared" si="6"/>
        <v>0</v>
      </c>
      <c r="D1027" s="25"/>
      <c r="E1027" s="22"/>
      <c r="F1027" s="22" t="str">
        <f t="shared" si="8"/>
        <v>#DIV/0!</v>
      </c>
      <c r="G1027" s="22" t="str">
        <f t="shared" si="31"/>
        <v>#DIV/0!</v>
      </c>
      <c r="H1027" s="22" t="str">
        <f t="shared" si="32"/>
        <v>#DIV/0!</v>
      </c>
      <c r="I1027" s="22" t="str">
        <f t="shared" si="3"/>
        <v>#DIV/0!</v>
      </c>
      <c r="J1027" s="22" t="str">
        <f t="shared" si="33"/>
        <v>#DIV/0!</v>
      </c>
    </row>
    <row r="1028" ht="15.75" customHeight="1">
      <c r="A1028" s="25"/>
      <c r="B1028" s="22"/>
      <c r="C1028" s="22">
        <f t="shared" si="6"/>
        <v>0</v>
      </c>
      <c r="D1028" s="25"/>
      <c r="E1028" s="22"/>
      <c r="F1028" s="22" t="str">
        <f t="shared" si="8"/>
        <v>#DIV/0!</v>
      </c>
      <c r="G1028" s="22" t="str">
        <f t="shared" si="31"/>
        <v>#DIV/0!</v>
      </c>
      <c r="H1028" s="22" t="str">
        <f t="shared" si="32"/>
        <v>#DIV/0!</v>
      </c>
      <c r="I1028" s="22" t="str">
        <f t="shared" si="3"/>
        <v>#DIV/0!</v>
      </c>
      <c r="J1028" s="22" t="str">
        <f t="shared" si="33"/>
        <v>#DIV/0!</v>
      </c>
    </row>
    <row r="1029" ht="15.75" customHeight="1">
      <c r="A1029" s="25"/>
      <c r="B1029" s="22"/>
      <c r="C1029" s="22">
        <f t="shared" si="6"/>
        <v>0</v>
      </c>
      <c r="D1029" s="25"/>
      <c r="E1029" s="22"/>
      <c r="F1029" s="22" t="str">
        <f t="shared" si="8"/>
        <v>#DIV/0!</v>
      </c>
      <c r="G1029" s="22" t="str">
        <f t="shared" si="31"/>
        <v>#DIV/0!</v>
      </c>
      <c r="H1029" s="22" t="str">
        <f t="shared" si="32"/>
        <v>#DIV/0!</v>
      </c>
      <c r="I1029" s="22" t="str">
        <f t="shared" si="3"/>
        <v>#DIV/0!</v>
      </c>
      <c r="J1029" s="22" t="str">
        <f t="shared" si="33"/>
        <v>#DIV/0!</v>
      </c>
    </row>
    <row r="1030" ht="15.75" customHeight="1">
      <c r="A1030" s="25"/>
      <c r="B1030" s="22"/>
      <c r="C1030" s="22">
        <f t="shared" si="6"/>
        <v>0</v>
      </c>
      <c r="D1030" s="25"/>
      <c r="E1030" s="22"/>
      <c r="F1030" s="22" t="str">
        <f t="shared" si="8"/>
        <v>#DIV/0!</v>
      </c>
      <c r="G1030" s="22" t="str">
        <f t="shared" si="31"/>
        <v>#DIV/0!</v>
      </c>
      <c r="H1030" s="22" t="str">
        <f t="shared" si="32"/>
        <v>#DIV/0!</v>
      </c>
      <c r="I1030" s="22" t="str">
        <f t="shared" si="3"/>
        <v>#DIV/0!</v>
      </c>
      <c r="J1030" s="22" t="str">
        <f t="shared" si="33"/>
        <v>#DIV/0!</v>
      </c>
    </row>
    <row r="1031" ht="15.75" customHeight="1">
      <c r="A1031" s="25"/>
      <c r="B1031" s="22"/>
      <c r="C1031" s="22">
        <f t="shared" si="6"/>
        <v>0</v>
      </c>
      <c r="D1031" s="25"/>
      <c r="E1031" s="22"/>
      <c r="F1031" s="22" t="str">
        <f t="shared" si="8"/>
        <v>#DIV/0!</v>
      </c>
      <c r="G1031" s="22" t="str">
        <f t="shared" si="31"/>
        <v>#DIV/0!</v>
      </c>
      <c r="H1031" s="22" t="str">
        <f t="shared" si="32"/>
        <v>#DIV/0!</v>
      </c>
      <c r="I1031" s="22" t="str">
        <f t="shared" si="3"/>
        <v>#DIV/0!</v>
      </c>
      <c r="J1031" s="22" t="str">
        <f t="shared" si="33"/>
        <v>#DIV/0!</v>
      </c>
    </row>
    <row r="1032" ht="15.75" customHeight="1">
      <c r="A1032" s="25"/>
      <c r="B1032" s="22"/>
      <c r="C1032" s="22">
        <f t="shared" si="6"/>
        <v>0</v>
      </c>
      <c r="D1032" s="25"/>
      <c r="E1032" s="22"/>
      <c r="F1032" s="22" t="str">
        <f t="shared" si="8"/>
        <v>#DIV/0!</v>
      </c>
      <c r="G1032" s="22" t="str">
        <f t="shared" si="31"/>
        <v>#DIV/0!</v>
      </c>
      <c r="H1032" s="22" t="str">
        <f t="shared" si="32"/>
        <v>#DIV/0!</v>
      </c>
      <c r="I1032" s="22" t="str">
        <f t="shared" si="3"/>
        <v>#DIV/0!</v>
      </c>
      <c r="J1032" s="22" t="str">
        <f t="shared" si="33"/>
        <v>#DIV/0!</v>
      </c>
    </row>
    <row r="1033" ht="15.75" customHeight="1">
      <c r="A1033" s="25"/>
      <c r="B1033" s="22"/>
      <c r="C1033" s="22">
        <f t="shared" si="6"/>
        <v>0</v>
      </c>
      <c r="D1033" s="25"/>
      <c r="E1033" s="22"/>
      <c r="F1033" s="22" t="str">
        <f t="shared" si="8"/>
        <v>#DIV/0!</v>
      </c>
      <c r="G1033" s="22" t="str">
        <f t="shared" si="31"/>
        <v>#DIV/0!</v>
      </c>
      <c r="H1033" s="22" t="str">
        <f t="shared" si="32"/>
        <v>#DIV/0!</v>
      </c>
      <c r="I1033" s="22" t="str">
        <f t="shared" si="3"/>
        <v>#DIV/0!</v>
      </c>
      <c r="J1033" s="22" t="str">
        <f t="shared" si="33"/>
        <v>#DIV/0!</v>
      </c>
    </row>
    <row r="1034" ht="15.75" customHeight="1">
      <c r="A1034" s="25"/>
      <c r="B1034" s="22"/>
      <c r="C1034" s="22">
        <f t="shared" si="6"/>
        <v>0</v>
      </c>
      <c r="D1034" s="25"/>
      <c r="E1034" s="22"/>
      <c r="F1034" s="22" t="str">
        <f t="shared" si="8"/>
        <v>#DIV/0!</v>
      </c>
      <c r="G1034" s="22" t="str">
        <f t="shared" si="31"/>
        <v>#DIV/0!</v>
      </c>
      <c r="H1034" s="22" t="str">
        <f t="shared" si="32"/>
        <v>#DIV/0!</v>
      </c>
      <c r="I1034" s="22" t="str">
        <f t="shared" si="3"/>
        <v>#DIV/0!</v>
      </c>
      <c r="J1034" s="22" t="str">
        <f t="shared" si="33"/>
        <v>#DIV/0!</v>
      </c>
    </row>
    <row r="1035" ht="15.75" customHeight="1">
      <c r="A1035" s="25"/>
      <c r="B1035" s="22"/>
      <c r="C1035" s="22">
        <f t="shared" si="6"/>
        <v>0</v>
      </c>
      <c r="D1035" s="25"/>
      <c r="E1035" s="22"/>
      <c r="F1035" s="22" t="str">
        <f t="shared" si="8"/>
        <v>#DIV/0!</v>
      </c>
      <c r="G1035" s="22" t="str">
        <f t="shared" si="31"/>
        <v>#DIV/0!</v>
      </c>
      <c r="H1035" s="22" t="str">
        <f t="shared" si="32"/>
        <v>#DIV/0!</v>
      </c>
      <c r="I1035" s="22" t="str">
        <f t="shared" si="3"/>
        <v>#DIV/0!</v>
      </c>
      <c r="J1035" s="22" t="str">
        <f t="shared" si="33"/>
        <v>#DIV/0!</v>
      </c>
    </row>
    <row r="1036" ht="15.75" customHeight="1">
      <c r="A1036" s="25"/>
      <c r="B1036" s="22"/>
      <c r="C1036" s="22">
        <f t="shared" si="6"/>
        <v>0</v>
      </c>
      <c r="D1036" s="25"/>
      <c r="E1036" s="22"/>
      <c r="F1036" s="22" t="str">
        <f t="shared" si="8"/>
        <v>#DIV/0!</v>
      </c>
      <c r="G1036" s="22" t="str">
        <f t="shared" si="31"/>
        <v>#DIV/0!</v>
      </c>
      <c r="H1036" s="22" t="str">
        <f t="shared" si="32"/>
        <v>#DIV/0!</v>
      </c>
      <c r="I1036" s="22" t="str">
        <f t="shared" si="3"/>
        <v>#DIV/0!</v>
      </c>
      <c r="J1036" s="22" t="str">
        <f t="shared" si="33"/>
        <v>#DIV/0!</v>
      </c>
    </row>
    <row r="1037" ht="15.75" customHeight="1">
      <c r="A1037" s="25"/>
      <c r="B1037" s="22"/>
      <c r="C1037" s="22">
        <f t="shared" si="6"/>
        <v>0</v>
      </c>
      <c r="D1037" s="25"/>
      <c r="E1037" s="22"/>
      <c r="F1037" s="22" t="str">
        <f t="shared" si="8"/>
        <v>#DIV/0!</v>
      </c>
      <c r="G1037" s="22" t="str">
        <f t="shared" si="31"/>
        <v>#DIV/0!</v>
      </c>
      <c r="H1037" s="22" t="str">
        <f t="shared" si="32"/>
        <v>#DIV/0!</v>
      </c>
      <c r="I1037" s="22" t="str">
        <f t="shared" si="3"/>
        <v>#DIV/0!</v>
      </c>
      <c r="J1037" s="22" t="str">
        <f t="shared" si="33"/>
        <v>#DIV/0!</v>
      </c>
    </row>
    <row r="1038" ht="15.75" customHeight="1">
      <c r="A1038" s="25"/>
      <c r="B1038" s="22"/>
      <c r="C1038" s="22">
        <f t="shared" si="6"/>
        <v>0</v>
      </c>
      <c r="D1038" s="25"/>
      <c r="E1038" s="22"/>
      <c r="F1038" s="22" t="str">
        <f t="shared" si="8"/>
        <v>#DIV/0!</v>
      </c>
      <c r="G1038" s="22" t="str">
        <f t="shared" si="31"/>
        <v>#DIV/0!</v>
      </c>
      <c r="H1038" s="22" t="str">
        <f t="shared" si="32"/>
        <v>#DIV/0!</v>
      </c>
      <c r="I1038" s="22" t="str">
        <f t="shared" si="3"/>
        <v>#DIV/0!</v>
      </c>
      <c r="J1038" s="22" t="str">
        <f t="shared" si="33"/>
        <v>#DIV/0!</v>
      </c>
    </row>
    <row r="1039" ht="15.75" customHeight="1">
      <c r="A1039" s="25"/>
      <c r="B1039" s="22"/>
      <c r="C1039" s="22">
        <f t="shared" si="6"/>
        <v>0</v>
      </c>
      <c r="D1039" s="25"/>
      <c r="E1039" s="22"/>
      <c r="F1039" s="22" t="str">
        <f t="shared" si="8"/>
        <v>#DIV/0!</v>
      </c>
      <c r="G1039" s="22" t="str">
        <f t="shared" si="31"/>
        <v>#DIV/0!</v>
      </c>
      <c r="H1039" s="22" t="str">
        <f t="shared" si="32"/>
        <v>#DIV/0!</v>
      </c>
      <c r="I1039" s="22" t="str">
        <f t="shared" si="3"/>
        <v>#DIV/0!</v>
      </c>
      <c r="J1039" s="22" t="str">
        <f t="shared" si="33"/>
        <v>#DIV/0!</v>
      </c>
    </row>
    <row r="1040" ht="15.75" customHeight="1">
      <c r="A1040" s="25"/>
      <c r="B1040" s="22"/>
      <c r="C1040" s="22">
        <f t="shared" si="6"/>
        <v>0</v>
      </c>
      <c r="D1040" s="25"/>
      <c r="E1040" s="22"/>
      <c r="F1040" s="22" t="str">
        <f t="shared" si="8"/>
        <v>#DIV/0!</v>
      </c>
      <c r="G1040" s="22" t="str">
        <f t="shared" si="31"/>
        <v>#DIV/0!</v>
      </c>
      <c r="H1040" s="22" t="str">
        <f t="shared" si="32"/>
        <v>#DIV/0!</v>
      </c>
      <c r="I1040" s="22" t="str">
        <f t="shared" si="3"/>
        <v>#DIV/0!</v>
      </c>
      <c r="J1040" s="22" t="str">
        <f t="shared" si="33"/>
        <v>#DIV/0!</v>
      </c>
    </row>
    <row r="1041" ht="15.75" customHeight="1">
      <c r="A1041" s="25"/>
      <c r="B1041" s="22"/>
      <c r="C1041" s="22">
        <f t="shared" si="6"/>
        <v>0</v>
      </c>
      <c r="D1041" s="25"/>
      <c r="E1041" s="22"/>
      <c r="F1041" s="22" t="str">
        <f t="shared" si="8"/>
        <v>#DIV/0!</v>
      </c>
      <c r="G1041" s="22" t="str">
        <f t="shared" si="31"/>
        <v>#DIV/0!</v>
      </c>
      <c r="H1041" s="22" t="str">
        <f t="shared" si="32"/>
        <v>#DIV/0!</v>
      </c>
      <c r="I1041" s="22" t="str">
        <f t="shared" si="3"/>
        <v>#DIV/0!</v>
      </c>
      <c r="J1041" s="22" t="str">
        <f t="shared" si="33"/>
        <v>#DIV/0!</v>
      </c>
    </row>
    <row r="1042" ht="15.75" customHeight="1">
      <c r="A1042" s="25"/>
      <c r="B1042" s="22"/>
      <c r="C1042" s="22">
        <f t="shared" si="6"/>
        <v>0</v>
      </c>
      <c r="D1042" s="25"/>
      <c r="E1042" s="22"/>
      <c r="F1042" s="22" t="str">
        <f t="shared" si="8"/>
        <v>#DIV/0!</v>
      </c>
      <c r="G1042" s="22" t="str">
        <f t="shared" si="31"/>
        <v>#DIV/0!</v>
      </c>
      <c r="H1042" s="22" t="str">
        <f t="shared" si="32"/>
        <v>#DIV/0!</v>
      </c>
      <c r="I1042" s="22" t="str">
        <f t="shared" si="3"/>
        <v>#DIV/0!</v>
      </c>
      <c r="J1042" s="22" t="str">
        <f t="shared" si="33"/>
        <v>#DIV/0!</v>
      </c>
    </row>
    <row r="1043" ht="15.75" customHeight="1">
      <c r="A1043" s="25"/>
      <c r="B1043" s="22"/>
      <c r="C1043" s="22">
        <f t="shared" si="6"/>
        <v>0</v>
      </c>
      <c r="D1043" s="25"/>
      <c r="E1043" s="22"/>
      <c r="F1043" s="22" t="str">
        <f t="shared" si="8"/>
        <v>#DIV/0!</v>
      </c>
      <c r="G1043" s="22" t="str">
        <f t="shared" si="31"/>
        <v>#DIV/0!</v>
      </c>
      <c r="H1043" s="22" t="str">
        <f t="shared" si="32"/>
        <v>#DIV/0!</v>
      </c>
      <c r="I1043" s="22" t="str">
        <f t="shared" si="3"/>
        <v>#DIV/0!</v>
      </c>
      <c r="J1043" s="22" t="str">
        <f t="shared" si="33"/>
        <v>#DIV/0!</v>
      </c>
    </row>
    <row r="1044" ht="15.75" customHeight="1">
      <c r="A1044" s="25"/>
      <c r="B1044" s="22"/>
      <c r="C1044" s="22">
        <f t="shared" si="6"/>
        <v>0</v>
      </c>
      <c r="D1044" s="25"/>
      <c r="E1044" s="22"/>
      <c r="F1044" s="22" t="str">
        <f t="shared" si="8"/>
        <v>#DIV/0!</v>
      </c>
      <c r="G1044" s="22" t="str">
        <f t="shared" si="31"/>
        <v>#DIV/0!</v>
      </c>
      <c r="H1044" s="22" t="str">
        <f t="shared" si="32"/>
        <v>#DIV/0!</v>
      </c>
      <c r="I1044" s="22" t="str">
        <f t="shared" si="3"/>
        <v>#DIV/0!</v>
      </c>
      <c r="J1044" s="22" t="str">
        <f t="shared" si="33"/>
        <v>#DIV/0!</v>
      </c>
    </row>
    <row r="1045" ht="15.75" customHeight="1">
      <c r="A1045" s="25"/>
      <c r="B1045" s="22"/>
      <c r="C1045" s="22">
        <f t="shared" si="6"/>
        <v>0</v>
      </c>
      <c r="D1045" s="25"/>
      <c r="E1045" s="22"/>
      <c r="F1045" s="22" t="str">
        <f t="shared" si="8"/>
        <v>#DIV/0!</v>
      </c>
      <c r="G1045" s="22" t="str">
        <f t="shared" si="31"/>
        <v>#DIV/0!</v>
      </c>
      <c r="H1045" s="22" t="str">
        <f t="shared" si="32"/>
        <v>#DIV/0!</v>
      </c>
      <c r="I1045" s="22" t="str">
        <f t="shared" si="3"/>
        <v>#DIV/0!</v>
      </c>
      <c r="J1045" s="22" t="str">
        <f t="shared" si="33"/>
        <v>#DIV/0!</v>
      </c>
    </row>
    <row r="1046" ht="15.75" customHeight="1">
      <c r="A1046" s="25"/>
      <c r="B1046" s="22"/>
      <c r="C1046" s="22">
        <f t="shared" si="6"/>
        <v>0</v>
      </c>
      <c r="D1046" s="25"/>
      <c r="E1046" s="22"/>
      <c r="F1046" s="22" t="str">
        <f t="shared" si="8"/>
        <v>#DIV/0!</v>
      </c>
      <c r="G1046" s="22" t="str">
        <f t="shared" si="31"/>
        <v>#DIV/0!</v>
      </c>
      <c r="H1046" s="22" t="str">
        <f t="shared" si="32"/>
        <v>#DIV/0!</v>
      </c>
      <c r="I1046" s="22" t="str">
        <f t="shared" si="3"/>
        <v>#DIV/0!</v>
      </c>
      <c r="J1046" s="22" t="str">
        <f t="shared" si="33"/>
        <v>#DIV/0!</v>
      </c>
    </row>
    <row r="1047" ht="15.75" customHeight="1">
      <c r="A1047" s="25"/>
      <c r="B1047" s="22"/>
      <c r="C1047" s="22">
        <f t="shared" si="6"/>
        <v>0</v>
      </c>
      <c r="D1047" s="25"/>
      <c r="E1047" s="22"/>
      <c r="F1047" s="22" t="str">
        <f t="shared" si="8"/>
        <v>#DIV/0!</v>
      </c>
      <c r="G1047" s="22" t="str">
        <f t="shared" si="31"/>
        <v>#DIV/0!</v>
      </c>
      <c r="H1047" s="22" t="str">
        <f t="shared" si="32"/>
        <v>#DIV/0!</v>
      </c>
      <c r="I1047" s="22" t="str">
        <f t="shared" si="3"/>
        <v>#DIV/0!</v>
      </c>
      <c r="J1047" s="22" t="str">
        <f t="shared" si="33"/>
        <v>#DIV/0!</v>
      </c>
    </row>
    <row r="1048" ht="15.75" customHeight="1">
      <c r="A1048" s="25"/>
      <c r="B1048" s="22"/>
      <c r="C1048" s="22">
        <f t="shared" si="6"/>
        <v>0</v>
      </c>
      <c r="D1048" s="25"/>
      <c r="E1048" s="22"/>
      <c r="F1048" s="22" t="str">
        <f t="shared" si="8"/>
        <v>#DIV/0!</v>
      </c>
      <c r="G1048" s="22" t="str">
        <f t="shared" si="31"/>
        <v>#DIV/0!</v>
      </c>
      <c r="H1048" s="22" t="str">
        <f t="shared" si="32"/>
        <v>#DIV/0!</v>
      </c>
      <c r="I1048" s="22" t="str">
        <f t="shared" si="3"/>
        <v>#DIV/0!</v>
      </c>
      <c r="J1048" s="22" t="str">
        <f t="shared" si="33"/>
        <v>#DIV/0!</v>
      </c>
    </row>
    <row r="1049" ht="15.75" customHeight="1">
      <c r="A1049" s="25"/>
      <c r="B1049" s="22"/>
      <c r="C1049" s="22">
        <f t="shared" si="6"/>
        <v>0</v>
      </c>
      <c r="D1049" s="25"/>
      <c r="E1049" s="22"/>
      <c r="F1049" s="22" t="str">
        <f t="shared" si="8"/>
        <v>#DIV/0!</v>
      </c>
      <c r="G1049" s="22" t="str">
        <f t="shared" si="31"/>
        <v>#DIV/0!</v>
      </c>
      <c r="H1049" s="22" t="str">
        <f t="shared" si="32"/>
        <v>#DIV/0!</v>
      </c>
      <c r="I1049" s="22" t="str">
        <f t="shared" si="3"/>
        <v>#DIV/0!</v>
      </c>
      <c r="J1049" s="22" t="str">
        <f t="shared" si="33"/>
        <v>#DIV/0!</v>
      </c>
    </row>
    <row r="1050" ht="15.75" customHeight="1">
      <c r="A1050" s="25"/>
      <c r="B1050" s="22"/>
      <c r="C1050" s="22">
        <f t="shared" si="6"/>
        <v>0</v>
      </c>
      <c r="D1050" s="25"/>
      <c r="E1050" s="22"/>
      <c r="F1050" s="22" t="str">
        <f t="shared" si="8"/>
        <v>#DIV/0!</v>
      </c>
      <c r="G1050" s="22" t="str">
        <f t="shared" si="31"/>
        <v>#DIV/0!</v>
      </c>
      <c r="H1050" s="22" t="str">
        <f t="shared" si="32"/>
        <v>#DIV/0!</v>
      </c>
      <c r="I1050" s="22" t="str">
        <f t="shared" si="3"/>
        <v>#DIV/0!</v>
      </c>
      <c r="J1050" s="22" t="str">
        <f t="shared" si="33"/>
        <v>#DIV/0!</v>
      </c>
    </row>
    <row r="1051" ht="15.75" customHeight="1">
      <c r="A1051" s="25"/>
      <c r="B1051" s="22"/>
      <c r="C1051" s="22">
        <f t="shared" si="6"/>
        <v>0</v>
      </c>
      <c r="D1051" s="25"/>
      <c r="E1051" s="22"/>
      <c r="F1051" s="22" t="str">
        <f t="shared" si="8"/>
        <v>#DIV/0!</v>
      </c>
      <c r="G1051" s="22" t="str">
        <f t="shared" si="31"/>
        <v>#DIV/0!</v>
      </c>
      <c r="H1051" s="22" t="str">
        <f t="shared" si="32"/>
        <v>#DIV/0!</v>
      </c>
      <c r="I1051" s="22" t="str">
        <f t="shared" si="3"/>
        <v>#DIV/0!</v>
      </c>
      <c r="J1051" s="22" t="str">
        <f t="shared" si="33"/>
        <v>#DIV/0!</v>
      </c>
    </row>
    <row r="1052" ht="15.75" customHeight="1">
      <c r="A1052" s="25"/>
      <c r="B1052" s="22"/>
      <c r="C1052" s="22">
        <f t="shared" si="6"/>
        <v>0</v>
      </c>
      <c r="D1052" s="25"/>
      <c r="E1052" s="22"/>
      <c r="F1052" s="22" t="str">
        <f t="shared" si="8"/>
        <v>#DIV/0!</v>
      </c>
      <c r="G1052" s="22" t="str">
        <f t="shared" si="31"/>
        <v>#DIV/0!</v>
      </c>
      <c r="H1052" s="22" t="str">
        <f t="shared" si="32"/>
        <v>#DIV/0!</v>
      </c>
      <c r="I1052" s="22" t="str">
        <f t="shared" si="3"/>
        <v>#DIV/0!</v>
      </c>
      <c r="J1052" s="22" t="str">
        <f t="shared" si="33"/>
        <v>#DIV/0!</v>
      </c>
    </row>
    <row r="1053" ht="15.75" customHeight="1">
      <c r="A1053" s="25"/>
      <c r="B1053" s="22"/>
      <c r="C1053" s="22">
        <f t="shared" si="6"/>
        <v>0</v>
      </c>
      <c r="D1053" s="25"/>
      <c r="E1053" s="22"/>
      <c r="F1053" s="22" t="str">
        <f t="shared" si="8"/>
        <v>#DIV/0!</v>
      </c>
      <c r="G1053" s="22" t="str">
        <f t="shared" si="31"/>
        <v>#DIV/0!</v>
      </c>
      <c r="H1053" s="22" t="str">
        <f t="shared" si="32"/>
        <v>#DIV/0!</v>
      </c>
      <c r="I1053" s="22" t="str">
        <f t="shared" si="3"/>
        <v>#DIV/0!</v>
      </c>
      <c r="J1053" s="22" t="str">
        <f t="shared" si="33"/>
        <v>#DIV/0!</v>
      </c>
    </row>
    <row r="1054" ht="15.75" customHeight="1">
      <c r="A1054" s="25"/>
      <c r="B1054" s="22"/>
      <c r="C1054" s="22">
        <f t="shared" si="6"/>
        <v>0</v>
      </c>
      <c r="D1054" s="25"/>
      <c r="E1054" s="22"/>
      <c r="F1054" s="22" t="str">
        <f t="shared" si="8"/>
        <v>#DIV/0!</v>
      </c>
      <c r="G1054" s="22" t="str">
        <f t="shared" si="31"/>
        <v>#DIV/0!</v>
      </c>
      <c r="H1054" s="22" t="str">
        <f t="shared" si="32"/>
        <v>#DIV/0!</v>
      </c>
      <c r="I1054" s="22" t="str">
        <f t="shared" si="3"/>
        <v>#DIV/0!</v>
      </c>
      <c r="J1054" s="22" t="str">
        <f t="shared" si="33"/>
        <v>#DIV/0!</v>
      </c>
    </row>
    <row r="1055" ht="15.75" customHeight="1">
      <c r="A1055" s="25"/>
      <c r="B1055" s="22"/>
      <c r="C1055" s="22">
        <f t="shared" si="6"/>
        <v>0</v>
      </c>
      <c r="D1055" s="25"/>
      <c r="E1055" s="22"/>
      <c r="F1055" s="22" t="str">
        <f t="shared" si="8"/>
        <v>#DIV/0!</v>
      </c>
      <c r="G1055" s="22" t="str">
        <f t="shared" si="31"/>
        <v>#DIV/0!</v>
      </c>
      <c r="H1055" s="22" t="str">
        <f t="shared" si="32"/>
        <v>#DIV/0!</v>
      </c>
      <c r="I1055" s="22" t="str">
        <f t="shared" si="3"/>
        <v>#DIV/0!</v>
      </c>
      <c r="J1055" s="22" t="str">
        <f t="shared" si="33"/>
        <v>#DIV/0!</v>
      </c>
    </row>
    <row r="1056" ht="15.75" customHeight="1">
      <c r="A1056" s="25"/>
      <c r="B1056" s="22"/>
      <c r="C1056" s="22">
        <f t="shared" si="6"/>
        <v>0</v>
      </c>
      <c r="D1056" s="25"/>
      <c r="E1056" s="22"/>
      <c r="F1056" s="22" t="str">
        <f t="shared" si="8"/>
        <v>#DIV/0!</v>
      </c>
      <c r="G1056" s="22" t="str">
        <f t="shared" si="31"/>
        <v>#DIV/0!</v>
      </c>
      <c r="H1056" s="22" t="str">
        <f t="shared" si="32"/>
        <v>#DIV/0!</v>
      </c>
      <c r="I1056" s="22" t="str">
        <f t="shared" si="3"/>
        <v>#DIV/0!</v>
      </c>
      <c r="J1056" s="22" t="str">
        <f t="shared" si="33"/>
        <v>#DIV/0!</v>
      </c>
    </row>
    <row r="1057" ht="15.75" customHeight="1">
      <c r="A1057" s="25"/>
      <c r="B1057" s="22"/>
      <c r="C1057" s="22">
        <f t="shared" si="6"/>
        <v>0</v>
      </c>
      <c r="D1057" s="25"/>
      <c r="E1057" s="22"/>
      <c r="F1057" s="22" t="str">
        <f t="shared" si="8"/>
        <v>#DIV/0!</v>
      </c>
      <c r="G1057" s="22" t="str">
        <f t="shared" si="31"/>
        <v>#DIV/0!</v>
      </c>
      <c r="H1057" s="22" t="str">
        <f t="shared" si="32"/>
        <v>#DIV/0!</v>
      </c>
      <c r="I1057" s="22" t="str">
        <f t="shared" si="3"/>
        <v>#DIV/0!</v>
      </c>
      <c r="J1057" s="22" t="str">
        <f t="shared" si="33"/>
        <v>#DIV/0!</v>
      </c>
    </row>
    <row r="1058" ht="15.75" customHeight="1">
      <c r="A1058" s="25"/>
      <c r="B1058" s="22"/>
      <c r="C1058" s="22">
        <f t="shared" si="6"/>
        <v>0</v>
      </c>
      <c r="D1058" s="25"/>
      <c r="E1058" s="22"/>
      <c r="F1058" s="22" t="str">
        <f t="shared" si="8"/>
        <v>#DIV/0!</v>
      </c>
      <c r="G1058" s="22" t="str">
        <f t="shared" si="31"/>
        <v>#DIV/0!</v>
      </c>
      <c r="H1058" s="22" t="str">
        <f t="shared" si="32"/>
        <v>#DIV/0!</v>
      </c>
      <c r="I1058" s="22" t="str">
        <f t="shared" si="3"/>
        <v>#DIV/0!</v>
      </c>
      <c r="J1058" s="22" t="str">
        <f t="shared" si="33"/>
        <v>#DIV/0!</v>
      </c>
    </row>
    <row r="1059" ht="15.75" customHeight="1">
      <c r="A1059" s="25"/>
      <c r="B1059" s="22"/>
      <c r="C1059" s="22">
        <f t="shared" si="6"/>
        <v>0</v>
      </c>
      <c r="D1059" s="25"/>
      <c r="E1059" s="22"/>
      <c r="F1059" s="22" t="str">
        <f t="shared" si="8"/>
        <v>#DIV/0!</v>
      </c>
      <c r="G1059" s="22" t="str">
        <f t="shared" si="31"/>
        <v>#DIV/0!</v>
      </c>
      <c r="H1059" s="22" t="str">
        <f t="shared" si="32"/>
        <v>#DIV/0!</v>
      </c>
      <c r="I1059" s="22" t="str">
        <f t="shared" si="3"/>
        <v>#DIV/0!</v>
      </c>
      <c r="J1059" s="22" t="str">
        <f t="shared" si="33"/>
        <v>#DIV/0!</v>
      </c>
    </row>
    <row r="1060" ht="15.75" customHeight="1">
      <c r="A1060" s="25"/>
      <c r="B1060" s="22"/>
      <c r="C1060" s="22">
        <f t="shared" si="6"/>
        <v>0</v>
      </c>
      <c r="D1060" s="25"/>
      <c r="E1060" s="22"/>
      <c r="F1060" s="22" t="str">
        <f t="shared" si="8"/>
        <v>#DIV/0!</v>
      </c>
      <c r="G1060" s="22" t="str">
        <f t="shared" si="31"/>
        <v>#DIV/0!</v>
      </c>
      <c r="H1060" s="22" t="str">
        <f t="shared" si="32"/>
        <v>#DIV/0!</v>
      </c>
      <c r="I1060" s="22" t="str">
        <f t="shared" si="3"/>
        <v>#DIV/0!</v>
      </c>
      <c r="J1060" s="22" t="str">
        <f t="shared" si="33"/>
        <v>#DIV/0!</v>
      </c>
    </row>
    <row r="1061" ht="15.75" customHeight="1">
      <c r="A1061" s="25"/>
      <c r="B1061" s="22"/>
      <c r="C1061" s="22">
        <f t="shared" si="6"/>
        <v>0</v>
      </c>
      <c r="D1061" s="25"/>
      <c r="E1061" s="22"/>
      <c r="F1061" s="22" t="str">
        <f t="shared" si="8"/>
        <v>#DIV/0!</v>
      </c>
      <c r="G1061" s="22" t="str">
        <f t="shared" si="31"/>
        <v>#DIV/0!</v>
      </c>
      <c r="H1061" s="22" t="str">
        <f t="shared" si="32"/>
        <v>#DIV/0!</v>
      </c>
      <c r="I1061" s="22" t="str">
        <f t="shared" si="3"/>
        <v>#DIV/0!</v>
      </c>
      <c r="J1061" s="22" t="str">
        <f t="shared" si="33"/>
        <v>#DIV/0!</v>
      </c>
    </row>
    <row r="1062" ht="15.75" customHeight="1">
      <c r="A1062" s="25"/>
      <c r="B1062" s="22"/>
      <c r="C1062" s="22">
        <f t="shared" si="6"/>
        <v>0</v>
      </c>
      <c r="D1062" s="25"/>
      <c r="E1062" s="22"/>
      <c r="F1062" s="22" t="str">
        <f t="shared" si="8"/>
        <v>#DIV/0!</v>
      </c>
      <c r="G1062" s="22" t="str">
        <f t="shared" si="31"/>
        <v>#DIV/0!</v>
      </c>
      <c r="H1062" s="22" t="str">
        <f t="shared" si="32"/>
        <v>#DIV/0!</v>
      </c>
      <c r="I1062" s="22" t="str">
        <f t="shared" si="3"/>
        <v>#DIV/0!</v>
      </c>
      <c r="J1062" s="22" t="str">
        <f t="shared" si="33"/>
        <v>#DIV/0!</v>
      </c>
    </row>
    <row r="1063" ht="15.75" customHeight="1">
      <c r="A1063" s="25"/>
      <c r="B1063" s="22"/>
      <c r="C1063" s="22">
        <f t="shared" si="6"/>
        <v>0</v>
      </c>
      <c r="D1063" s="25"/>
      <c r="E1063" s="22"/>
      <c r="F1063" s="22" t="str">
        <f t="shared" si="8"/>
        <v>#DIV/0!</v>
      </c>
      <c r="G1063" s="22" t="str">
        <f t="shared" si="31"/>
        <v>#DIV/0!</v>
      </c>
      <c r="H1063" s="22" t="str">
        <f t="shared" si="32"/>
        <v>#DIV/0!</v>
      </c>
      <c r="I1063" s="22" t="str">
        <f t="shared" si="3"/>
        <v>#DIV/0!</v>
      </c>
      <c r="J1063" s="22" t="str">
        <f t="shared" si="33"/>
        <v>#DIV/0!</v>
      </c>
    </row>
    <row r="1064" ht="15.75" customHeight="1">
      <c r="A1064" s="25"/>
      <c r="B1064" s="22"/>
      <c r="C1064" s="22">
        <f t="shared" si="6"/>
        <v>0</v>
      </c>
      <c r="D1064" s="25"/>
      <c r="E1064" s="22"/>
      <c r="F1064" s="22" t="str">
        <f t="shared" si="8"/>
        <v>#DIV/0!</v>
      </c>
      <c r="G1064" s="22" t="str">
        <f t="shared" si="31"/>
        <v>#DIV/0!</v>
      </c>
      <c r="H1064" s="22" t="str">
        <f t="shared" si="32"/>
        <v>#DIV/0!</v>
      </c>
      <c r="I1064" s="22" t="str">
        <f t="shared" si="3"/>
        <v>#DIV/0!</v>
      </c>
      <c r="J1064" s="22" t="str">
        <f t="shared" si="33"/>
        <v>#DIV/0!</v>
      </c>
    </row>
    <row r="1065" ht="15.75" customHeight="1">
      <c r="A1065" s="25"/>
      <c r="B1065" s="22"/>
      <c r="C1065" s="22">
        <f t="shared" si="6"/>
        <v>0</v>
      </c>
      <c r="D1065" s="25"/>
      <c r="E1065" s="22"/>
      <c r="F1065" s="22" t="str">
        <f t="shared" si="8"/>
        <v>#DIV/0!</v>
      </c>
      <c r="G1065" s="22" t="str">
        <f t="shared" si="31"/>
        <v>#DIV/0!</v>
      </c>
      <c r="H1065" s="22" t="str">
        <f t="shared" si="32"/>
        <v>#DIV/0!</v>
      </c>
      <c r="I1065" s="22" t="str">
        <f t="shared" si="3"/>
        <v>#DIV/0!</v>
      </c>
      <c r="J1065" s="22" t="str">
        <f t="shared" si="33"/>
        <v>#DIV/0!</v>
      </c>
    </row>
    <row r="1066" ht="15.75" customHeight="1">
      <c r="A1066" s="25"/>
      <c r="B1066" s="22"/>
      <c r="C1066" s="22">
        <f t="shared" si="6"/>
        <v>0</v>
      </c>
      <c r="D1066" s="25"/>
      <c r="E1066" s="22"/>
      <c r="F1066" s="22" t="str">
        <f t="shared" si="8"/>
        <v>#DIV/0!</v>
      </c>
      <c r="G1066" s="22" t="str">
        <f t="shared" si="31"/>
        <v>#DIV/0!</v>
      </c>
      <c r="H1066" s="22" t="str">
        <f t="shared" si="32"/>
        <v>#DIV/0!</v>
      </c>
      <c r="I1066" s="22" t="str">
        <f t="shared" si="3"/>
        <v>#DIV/0!</v>
      </c>
      <c r="J1066" s="22" t="str">
        <f t="shared" si="33"/>
        <v>#DIV/0!</v>
      </c>
    </row>
    <row r="1067" ht="15.75" customHeight="1">
      <c r="A1067" s="25"/>
      <c r="B1067" s="22"/>
      <c r="C1067" s="22">
        <f t="shared" si="6"/>
        <v>0</v>
      </c>
      <c r="D1067" s="25"/>
      <c r="E1067" s="22"/>
      <c r="F1067" s="22" t="str">
        <f t="shared" si="8"/>
        <v>#DIV/0!</v>
      </c>
      <c r="G1067" s="22" t="str">
        <f t="shared" si="31"/>
        <v>#DIV/0!</v>
      </c>
      <c r="H1067" s="22" t="str">
        <f t="shared" si="32"/>
        <v>#DIV/0!</v>
      </c>
      <c r="I1067" s="22" t="str">
        <f t="shared" si="3"/>
        <v>#DIV/0!</v>
      </c>
      <c r="J1067" s="22" t="str">
        <f t="shared" si="33"/>
        <v>#DIV/0!</v>
      </c>
    </row>
    <row r="1068" ht="15.75" customHeight="1">
      <c r="A1068" s="25"/>
      <c r="B1068" s="22"/>
      <c r="C1068" s="22">
        <f t="shared" si="6"/>
        <v>0</v>
      </c>
      <c r="D1068" s="25"/>
      <c r="E1068" s="22"/>
      <c r="F1068" s="22" t="str">
        <f t="shared" si="8"/>
        <v>#DIV/0!</v>
      </c>
      <c r="G1068" s="22" t="str">
        <f t="shared" si="31"/>
        <v>#DIV/0!</v>
      </c>
      <c r="H1068" s="22" t="str">
        <f t="shared" si="32"/>
        <v>#DIV/0!</v>
      </c>
      <c r="I1068" s="22" t="str">
        <f t="shared" si="3"/>
        <v>#DIV/0!</v>
      </c>
      <c r="J1068" s="22" t="str">
        <f t="shared" si="33"/>
        <v>#DIV/0!</v>
      </c>
    </row>
    <row r="1069" ht="15.75" customHeight="1">
      <c r="A1069" s="25"/>
      <c r="B1069" s="22"/>
      <c r="C1069" s="22">
        <f t="shared" si="6"/>
        <v>0</v>
      </c>
      <c r="D1069" s="25"/>
      <c r="E1069" s="22"/>
      <c r="F1069" s="22" t="str">
        <f t="shared" si="8"/>
        <v>#DIV/0!</v>
      </c>
      <c r="G1069" s="22" t="str">
        <f t="shared" si="31"/>
        <v>#DIV/0!</v>
      </c>
      <c r="H1069" s="22" t="str">
        <f t="shared" si="32"/>
        <v>#DIV/0!</v>
      </c>
      <c r="I1069" s="22" t="str">
        <f t="shared" si="3"/>
        <v>#DIV/0!</v>
      </c>
      <c r="J1069" s="22" t="str">
        <f t="shared" si="33"/>
        <v>#DIV/0!</v>
      </c>
    </row>
    <row r="1070" ht="15.75" customHeight="1">
      <c r="A1070" s="25"/>
      <c r="B1070" s="22"/>
      <c r="C1070" s="22">
        <f t="shared" si="6"/>
        <v>0</v>
      </c>
      <c r="D1070" s="25"/>
      <c r="E1070" s="22"/>
      <c r="F1070" s="22" t="str">
        <f t="shared" si="8"/>
        <v>#DIV/0!</v>
      </c>
      <c r="G1070" s="22" t="str">
        <f t="shared" si="31"/>
        <v>#DIV/0!</v>
      </c>
      <c r="H1070" s="22" t="str">
        <f t="shared" si="32"/>
        <v>#DIV/0!</v>
      </c>
      <c r="I1070" s="22" t="str">
        <f t="shared" si="3"/>
        <v>#DIV/0!</v>
      </c>
      <c r="J1070" s="22" t="str">
        <f t="shared" si="33"/>
        <v>#DIV/0!</v>
      </c>
    </row>
    <row r="1071" ht="15.75" customHeight="1">
      <c r="A1071" s="25"/>
      <c r="B1071" s="22"/>
      <c r="C1071" s="22">
        <f t="shared" si="6"/>
        <v>0</v>
      </c>
      <c r="D1071" s="25"/>
      <c r="E1071" s="22"/>
      <c r="F1071" s="22" t="str">
        <f t="shared" si="8"/>
        <v>#DIV/0!</v>
      </c>
      <c r="G1071" s="22" t="str">
        <f t="shared" si="31"/>
        <v>#DIV/0!</v>
      </c>
      <c r="H1071" s="22" t="str">
        <f t="shared" si="32"/>
        <v>#DIV/0!</v>
      </c>
      <c r="I1071" s="22" t="str">
        <f t="shared" si="3"/>
        <v>#DIV/0!</v>
      </c>
      <c r="J1071" s="22" t="str">
        <f t="shared" si="33"/>
        <v>#DIV/0!</v>
      </c>
    </row>
    <row r="1072" ht="15.75" customHeight="1">
      <c r="A1072" s="25"/>
      <c r="B1072" s="22"/>
      <c r="C1072" s="22">
        <f t="shared" si="6"/>
        <v>0</v>
      </c>
      <c r="D1072" s="25"/>
      <c r="E1072" s="22"/>
      <c r="F1072" s="22" t="str">
        <f t="shared" si="8"/>
        <v>#DIV/0!</v>
      </c>
      <c r="G1072" s="22" t="str">
        <f t="shared" si="31"/>
        <v>#DIV/0!</v>
      </c>
      <c r="H1072" s="22" t="str">
        <f t="shared" si="32"/>
        <v>#DIV/0!</v>
      </c>
      <c r="I1072" s="22" t="str">
        <f t="shared" si="3"/>
        <v>#DIV/0!</v>
      </c>
      <c r="J1072" s="22" t="str">
        <f t="shared" si="33"/>
        <v>#DIV/0!</v>
      </c>
    </row>
    <row r="1073" ht="15.75" customHeight="1">
      <c r="A1073" s="25"/>
      <c r="B1073" s="22"/>
      <c r="C1073" s="22">
        <f t="shared" si="6"/>
        <v>0</v>
      </c>
      <c r="D1073" s="25"/>
      <c r="E1073" s="22"/>
      <c r="F1073" s="22" t="str">
        <f t="shared" si="8"/>
        <v>#DIV/0!</v>
      </c>
      <c r="G1073" s="22" t="str">
        <f t="shared" si="31"/>
        <v>#DIV/0!</v>
      </c>
      <c r="H1073" s="22" t="str">
        <f t="shared" si="32"/>
        <v>#DIV/0!</v>
      </c>
      <c r="I1073" s="22" t="str">
        <f t="shared" si="3"/>
        <v>#DIV/0!</v>
      </c>
      <c r="J1073" s="22" t="str">
        <f t="shared" si="33"/>
        <v>#DIV/0!</v>
      </c>
    </row>
    <row r="1074" ht="15.75" customHeight="1">
      <c r="A1074" s="25"/>
      <c r="B1074" s="22"/>
      <c r="C1074" s="22">
        <f t="shared" si="6"/>
        <v>0</v>
      </c>
      <c r="D1074" s="25"/>
      <c r="E1074" s="22"/>
      <c r="F1074" s="22" t="str">
        <f t="shared" si="8"/>
        <v>#DIV/0!</v>
      </c>
      <c r="G1074" s="22" t="str">
        <f t="shared" si="31"/>
        <v>#DIV/0!</v>
      </c>
      <c r="H1074" s="22" t="str">
        <f t="shared" si="32"/>
        <v>#DIV/0!</v>
      </c>
      <c r="I1074" s="22" t="str">
        <f t="shared" si="3"/>
        <v>#DIV/0!</v>
      </c>
      <c r="J1074" s="22" t="str">
        <f t="shared" si="33"/>
        <v>#DIV/0!</v>
      </c>
    </row>
    <row r="1075" ht="15.75" customHeight="1">
      <c r="A1075" s="25"/>
      <c r="B1075" s="22"/>
      <c r="C1075" s="22">
        <f t="shared" si="6"/>
        <v>0</v>
      </c>
      <c r="D1075" s="25"/>
      <c r="E1075" s="22"/>
      <c r="F1075" s="22" t="str">
        <f t="shared" si="8"/>
        <v>#DIV/0!</v>
      </c>
      <c r="G1075" s="22" t="str">
        <f t="shared" si="31"/>
        <v>#DIV/0!</v>
      </c>
      <c r="H1075" s="22" t="str">
        <f t="shared" si="32"/>
        <v>#DIV/0!</v>
      </c>
      <c r="I1075" s="22" t="str">
        <f t="shared" si="3"/>
        <v>#DIV/0!</v>
      </c>
      <c r="J1075" s="22" t="str">
        <f t="shared" si="33"/>
        <v>#DIV/0!</v>
      </c>
    </row>
    <row r="1076" ht="15.75" customHeight="1">
      <c r="A1076" s="25"/>
      <c r="B1076" s="22"/>
      <c r="C1076" s="22">
        <f t="shared" si="6"/>
        <v>0</v>
      </c>
      <c r="D1076" s="25"/>
      <c r="E1076" s="22"/>
      <c r="F1076" s="22" t="str">
        <f t="shared" si="8"/>
        <v>#DIV/0!</v>
      </c>
      <c r="G1076" s="22" t="str">
        <f t="shared" si="31"/>
        <v>#DIV/0!</v>
      </c>
      <c r="H1076" s="22" t="str">
        <f t="shared" si="32"/>
        <v>#DIV/0!</v>
      </c>
      <c r="I1076" s="22" t="str">
        <f t="shared" si="3"/>
        <v>#DIV/0!</v>
      </c>
      <c r="J1076" s="22" t="str">
        <f t="shared" si="33"/>
        <v>#DIV/0!</v>
      </c>
    </row>
    <row r="1077" ht="15.75" customHeight="1">
      <c r="A1077" s="25"/>
      <c r="B1077" s="22"/>
      <c r="C1077" s="22">
        <f t="shared" si="6"/>
        <v>0</v>
      </c>
      <c r="D1077" s="25"/>
      <c r="E1077" s="22"/>
      <c r="F1077" s="22" t="str">
        <f t="shared" si="8"/>
        <v>#DIV/0!</v>
      </c>
      <c r="G1077" s="22" t="str">
        <f t="shared" si="31"/>
        <v>#DIV/0!</v>
      </c>
      <c r="H1077" s="22" t="str">
        <f t="shared" si="32"/>
        <v>#DIV/0!</v>
      </c>
      <c r="I1077" s="22" t="str">
        <f t="shared" si="3"/>
        <v>#DIV/0!</v>
      </c>
      <c r="J1077" s="22" t="str">
        <f t="shared" si="33"/>
        <v>#DIV/0!</v>
      </c>
    </row>
    <row r="1078" ht="15.75" customHeight="1">
      <c r="A1078" s="25"/>
      <c r="B1078" s="22"/>
      <c r="C1078" s="22">
        <f t="shared" si="6"/>
        <v>0</v>
      </c>
      <c r="D1078" s="25"/>
      <c r="E1078" s="22"/>
      <c r="F1078" s="22" t="str">
        <f t="shared" si="8"/>
        <v>#DIV/0!</v>
      </c>
      <c r="G1078" s="22" t="str">
        <f t="shared" si="31"/>
        <v>#DIV/0!</v>
      </c>
      <c r="H1078" s="22" t="str">
        <f t="shared" si="32"/>
        <v>#DIV/0!</v>
      </c>
      <c r="I1078" s="22" t="str">
        <f t="shared" si="3"/>
        <v>#DIV/0!</v>
      </c>
      <c r="J1078" s="22" t="str">
        <f t="shared" si="33"/>
        <v>#DIV/0!</v>
      </c>
    </row>
    <row r="1079" ht="15.75" customHeight="1">
      <c r="A1079" s="25"/>
      <c r="B1079" s="22"/>
      <c r="C1079" s="22">
        <f t="shared" si="6"/>
        <v>0</v>
      </c>
      <c r="D1079" s="25"/>
      <c r="E1079" s="22"/>
      <c r="F1079" s="22" t="str">
        <f t="shared" si="8"/>
        <v>#DIV/0!</v>
      </c>
      <c r="G1079" s="22" t="str">
        <f t="shared" si="31"/>
        <v>#DIV/0!</v>
      </c>
      <c r="H1079" s="22" t="str">
        <f t="shared" si="32"/>
        <v>#DIV/0!</v>
      </c>
      <c r="I1079" s="22" t="str">
        <f t="shared" si="3"/>
        <v>#DIV/0!</v>
      </c>
      <c r="J1079" s="22" t="str">
        <f t="shared" si="33"/>
        <v>#DIV/0!</v>
      </c>
    </row>
    <row r="1080" ht="15.75" customHeight="1">
      <c r="A1080" s="25"/>
      <c r="B1080" s="22"/>
      <c r="C1080" s="22">
        <f t="shared" si="6"/>
        <v>0</v>
      </c>
      <c r="D1080" s="25"/>
      <c r="E1080" s="22"/>
      <c r="F1080" s="22" t="str">
        <f t="shared" si="8"/>
        <v>#DIV/0!</v>
      </c>
      <c r="G1080" s="22" t="str">
        <f t="shared" si="31"/>
        <v>#DIV/0!</v>
      </c>
      <c r="H1080" s="22" t="str">
        <f t="shared" si="32"/>
        <v>#DIV/0!</v>
      </c>
      <c r="I1080" s="22" t="str">
        <f t="shared" si="3"/>
        <v>#DIV/0!</v>
      </c>
      <c r="J1080" s="22" t="str">
        <f t="shared" si="33"/>
        <v>#DIV/0!</v>
      </c>
    </row>
    <row r="1081" ht="15.75" customHeight="1">
      <c r="A1081" s="25"/>
      <c r="B1081" s="22"/>
      <c r="C1081" s="22">
        <f t="shared" si="6"/>
        <v>0</v>
      </c>
      <c r="D1081" s="25"/>
      <c r="E1081" s="22"/>
      <c r="F1081" s="22" t="str">
        <f t="shared" si="8"/>
        <v>#DIV/0!</v>
      </c>
      <c r="G1081" s="22" t="str">
        <f t="shared" si="31"/>
        <v>#DIV/0!</v>
      </c>
      <c r="H1081" s="22" t="str">
        <f t="shared" si="32"/>
        <v>#DIV/0!</v>
      </c>
      <c r="I1081" s="22" t="str">
        <f t="shared" si="3"/>
        <v>#DIV/0!</v>
      </c>
      <c r="J1081" s="22" t="str">
        <f t="shared" si="33"/>
        <v>#DIV/0!</v>
      </c>
    </row>
    <row r="1082" ht="15.75" customHeight="1">
      <c r="A1082" s="25"/>
      <c r="B1082" s="22"/>
      <c r="C1082" s="22">
        <f t="shared" si="6"/>
        <v>0</v>
      </c>
      <c r="D1082" s="25"/>
      <c r="E1082" s="22"/>
      <c r="F1082" s="22" t="str">
        <f t="shared" si="8"/>
        <v>#DIV/0!</v>
      </c>
      <c r="G1082" s="22" t="str">
        <f t="shared" si="31"/>
        <v>#DIV/0!</v>
      </c>
      <c r="H1082" s="22" t="str">
        <f t="shared" si="32"/>
        <v>#DIV/0!</v>
      </c>
      <c r="I1082" s="22" t="str">
        <f t="shared" si="3"/>
        <v>#DIV/0!</v>
      </c>
      <c r="J1082" s="22" t="str">
        <f t="shared" si="33"/>
        <v>#DIV/0!</v>
      </c>
    </row>
    <row r="1083" ht="15.75" customHeight="1">
      <c r="A1083" s="25"/>
      <c r="B1083" s="22"/>
      <c r="C1083" s="22">
        <f t="shared" si="6"/>
        <v>0</v>
      </c>
      <c r="D1083" s="25"/>
      <c r="E1083" s="22"/>
      <c r="F1083" s="22" t="str">
        <f t="shared" si="8"/>
        <v>#DIV/0!</v>
      </c>
      <c r="G1083" s="22" t="str">
        <f t="shared" si="31"/>
        <v>#DIV/0!</v>
      </c>
      <c r="H1083" s="22" t="str">
        <f t="shared" si="32"/>
        <v>#DIV/0!</v>
      </c>
      <c r="I1083" s="22" t="str">
        <f t="shared" si="3"/>
        <v>#DIV/0!</v>
      </c>
      <c r="J1083" s="22" t="str">
        <f t="shared" si="33"/>
        <v>#DIV/0!</v>
      </c>
    </row>
    <row r="1084" ht="15.75" customHeight="1">
      <c r="A1084" s="25"/>
      <c r="B1084" s="22"/>
      <c r="C1084" s="22">
        <f t="shared" si="6"/>
        <v>0</v>
      </c>
      <c r="D1084" s="25"/>
      <c r="E1084" s="22"/>
      <c r="F1084" s="22" t="str">
        <f t="shared" si="8"/>
        <v>#DIV/0!</v>
      </c>
      <c r="G1084" s="22" t="str">
        <f t="shared" si="31"/>
        <v>#DIV/0!</v>
      </c>
      <c r="H1084" s="22" t="str">
        <f t="shared" si="32"/>
        <v>#DIV/0!</v>
      </c>
      <c r="I1084" s="22" t="str">
        <f t="shared" si="3"/>
        <v>#DIV/0!</v>
      </c>
      <c r="J1084" s="22" t="str">
        <f t="shared" si="33"/>
        <v>#DIV/0!</v>
      </c>
    </row>
    <row r="1085" ht="15.75" customHeight="1">
      <c r="A1085" s="25"/>
      <c r="B1085" s="22"/>
      <c r="C1085" s="22">
        <f t="shared" si="6"/>
        <v>0</v>
      </c>
      <c r="D1085" s="25"/>
      <c r="E1085" s="22"/>
      <c r="F1085" s="22" t="str">
        <f t="shared" si="8"/>
        <v>#DIV/0!</v>
      </c>
      <c r="G1085" s="22" t="str">
        <f t="shared" si="31"/>
        <v>#DIV/0!</v>
      </c>
      <c r="H1085" s="22" t="str">
        <f t="shared" si="32"/>
        <v>#DIV/0!</v>
      </c>
      <c r="I1085" s="22" t="str">
        <f t="shared" si="3"/>
        <v>#DIV/0!</v>
      </c>
      <c r="J1085" s="22" t="str">
        <f t="shared" si="33"/>
        <v>#DIV/0!</v>
      </c>
    </row>
    <row r="1086" ht="15.75" customHeight="1">
      <c r="A1086" s="25"/>
      <c r="B1086" s="22"/>
      <c r="C1086" s="22">
        <f t="shared" si="6"/>
        <v>0</v>
      </c>
      <c r="D1086" s="25"/>
      <c r="E1086" s="22"/>
      <c r="F1086" s="22" t="str">
        <f t="shared" si="8"/>
        <v>#DIV/0!</v>
      </c>
      <c r="G1086" s="22" t="str">
        <f t="shared" si="31"/>
        <v>#DIV/0!</v>
      </c>
      <c r="H1086" s="22" t="str">
        <f t="shared" si="32"/>
        <v>#DIV/0!</v>
      </c>
      <c r="I1086" s="22" t="str">
        <f t="shared" si="3"/>
        <v>#DIV/0!</v>
      </c>
      <c r="J1086" s="22" t="str">
        <f t="shared" si="33"/>
        <v>#DIV/0!</v>
      </c>
    </row>
    <row r="1087" ht="15.75" customHeight="1">
      <c r="A1087" s="25"/>
      <c r="B1087" s="22"/>
      <c r="C1087" s="22">
        <f t="shared" si="6"/>
        <v>0</v>
      </c>
      <c r="D1087" s="25"/>
      <c r="E1087" s="22"/>
      <c r="F1087" s="22" t="str">
        <f t="shared" si="8"/>
        <v>#DIV/0!</v>
      </c>
      <c r="G1087" s="22" t="str">
        <f t="shared" si="31"/>
        <v>#DIV/0!</v>
      </c>
      <c r="H1087" s="22" t="str">
        <f t="shared" si="32"/>
        <v>#DIV/0!</v>
      </c>
      <c r="I1087" s="22" t="str">
        <f t="shared" si="3"/>
        <v>#DIV/0!</v>
      </c>
      <c r="J1087" s="22" t="str">
        <f t="shared" si="33"/>
        <v>#DIV/0!</v>
      </c>
    </row>
    <row r="1088" ht="15.75" customHeight="1">
      <c r="A1088" s="25"/>
      <c r="B1088" s="22"/>
      <c r="C1088" s="22">
        <f t="shared" si="6"/>
        <v>0</v>
      </c>
      <c r="D1088" s="25"/>
      <c r="E1088" s="22"/>
      <c r="F1088" s="22" t="str">
        <f t="shared" si="8"/>
        <v>#DIV/0!</v>
      </c>
      <c r="G1088" s="22" t="str">
        <f t="shared" si="31"/>
        <v>#DIV/0!</v>
      </c>
      <c r="H1088" s="22" t="str">
        <f t="shared" si="32"/>
        <v>#DIV/0!</v>
      </c>
      <c r="I1088" s="22" t="str">
        <f t="shared" si="3"/>
        <v>#DIV/0!</v>
      </c>
      <c r="J1088" s="22" t="str">
        <f t="shared" si="33"/>
        <v>#DIV/0!</v>
      </c>
    </row>
    <row r="1089" ht="15.75" customHeight="1">
      <c r="A1089" s="25"/>
      <c r="B1089" s="22"/>
      <c r="C1089" s="22">
        <f t="shared" si="6"/>
        <v>0</v>
      </c>
      <c r="D1089" s="25"/>
      <c r="E1089" s="22"/>
      <c r="F1089" s="22" t="str">
        <f t="shared" si="8"/>
        <v>#DIV/0!</v>
      </c>
      <c r="G1089" s="22" t="str">
        <f t="shared" si="31"/>
        <v>#DIV/0!</v>
      </c>
      <c r="H1089" s="22" t="str">
        <f t="shared" si="32"/>
        <v>#DIV/0!</v>
      </c>
      <c r="I1089" s="22" t="str">
        <f t="shared" si="3"/>
        <v>#DIV/0!</v>
      </c>
      <c r="J1089" s="22" t="str">
        <f t="shared" si="33"/>
        <v>#DIV/0!</v>
      </c>
    </row>
    <row r="1090" ht="15.75" customHeight="1">
      <c r="A1090" s="25"/>
      <c r="B1090" s="22"/>
      <c r="C1090" s="22">
        <f t="shared" si="6"/>
        <v>0</v>
      </c>
      <c r="D1090" s="25"/>
      <c r="E1090" s="22"/>
      <c r="F1090" s="22" t="str">
        <f t="shared" si="8"/>
        <v>#DIV/0!</v>
      </c>
      <c r="G1090" s="22" t="str">
        <f t="shared" si="31"/>
        <v>#DIV/0!</v>
      </c>
      <c r="H1090" s="22" t="str">
        <f t="shared" si="32"/>
        <v>#DIV/0!</v>
      </c>
      <c r="I1090" s="22" t="str">
        <f t="shared" si="3"/>
        <v>#DIV/0!</v>
      </c>
      <c r="J1090" s="22" t="str">
        <f t="shared" si="33"/>
        <v>#DIV/0!</v>
      </c>
    </row>
    <row r="1091" ht="15.75" customHeight="1">
      <c r="A1091" s="25"/>
      <c r="B1091" s="22"/>
      <c r="C1091" s="22">
        <f t="shared" si="6"/>
        <v>0</v>
      </c>
      <c r="D1091" s="25"/>
      <c r="E1091" s="22"/>
      <c r="F1091" s="22" t="str">
        <f t="shared" si="8"/>
        <v>#DIV/0!</v>
      </c>
      <c r="G1091" s="22" t="str">
        <f t="shared" si="31"/>
        <v>#DIV/0!</v>
      </c>
      <c r="H1091" s="22" t="str">
        <f t="shared" si="32"/>
        <v>#DIV/0!</v>
      </c>
      <c r="I1091" s="22" t="str">
        <f t="shared" si="3"/>
        <v>#DIV/0!</v>
      </c>
      <c r="J1091" s="22" t="str">
        <f t="shared" si="33"/>
        <v>#DIV/0!</v>
      </c>
    </row>
    <row r="1092" ht="15.75" customHeight="1">
      <c r="A1092" s="25"/>
      <c r="B1092" s="22"/>
      <c r="C1092" s="22">
        <f t="shared" si="6"/>
        <v>0</v>
      </c>
      <c r="D1092" s="25"/>
      <c r="E1092" s="22"/>
      <c r="F1092" s="22" t="str">
        <f t="shared" si="8"/>
        <v>#DIV/0!</v>
      </c>
      <c r="G1092" s="22" t="str">
        <f t="shared" si="31"/>
        <v>#DIV/0!</v>
      </c>
      <c r="H1092" s="22" t="str">
        <f t="shared" si="32"/>
        <v>#DIV/0!</v>
      </c>
      <c r="I1092" s="22" t="str">
        <f t="shared" si="3"/>
        <v>#DIV/0!</v>
      </c>
      <c r="J1092" s="22" t="str">
        <f t="shared" si="33"/>
        <v>#DIV/0!</v>
      </c>
    </row>
    <row r="1093" ht="15.75" customHeight="1">
      <c r="A1093" s="25"/>
      <c r="B1093" s="22"/>
      <c r="C1093" s="22">
        <f t="shared" si="6"/>
        <v>0</v>
      </c>
      <c r="D1093" s="25"/>
      <c r="E1093" s="22"/>
      <c r="F1093" s="22" t="str">
        <f t="shared" si="8"/>
        <v>#DIV/0!</v>
      </c>
      <c r="G1093" s="22" t="str">
        <f t="shared" si="31"/>
        <v>#DIV/0!</v>
      </c>
      <c r="H1093" s="22" t="str">
        <f t="shared" si="32"/>
        <v>#DIV/0!</v>
      </c>
      <c r="I1093" s="22" t="str">
        <f t="shared" si="3"/>
        <v>#DIV/0!</v>
      </c>
      <c r="J1093" s="22" t="str">
        <f t="shared" si="33"/>
        <v>#DIV/0!</v>
      </c>
    </row>
    <row r="1094" ht="15.75" customHeight="1">
      <c r="A1094" s="25"/>
      <c r="B1094" s="22"/>
      <c r="C1094" s="22">
        <f t="shared" si="6"/>
        <v>0</v>
      </c>
      <c r="D1094" s="25"/>
      <c r="E1094" s="22"/>
      <c r="F1094" s="22" t="str">
        <f t="shared" si="8"/>
        <v>#DIV/0!</v>
      </c>
      <c r="G1094" s="22" t="str">
        <f t="shared" si="31"/>
        <v>#DIV/0!</v>
      </c>
      <c r="H1094" s="22" t="str">
        <f t="shared" si="32"/>
        <v>#DIV/0!</v>
      </c>
      <c r="I1094" s="22" t="str">
        <f t="shared" si="3"/>
        <v>#DIV/0!</v>
      </c>
      <c r="J1094" s="22" t="str">
        <f t="shared" si="33"/>
        <v>#DIV/0!</v>
      </c>
    </row>
    <row r="1095" ht="15.75" customHeight="1">
      <c r="A1095" s="25"/>
      <c r="B1095" s="22"/>
      <c r="C1095" s="22">
        <f t="shared" si="6"/>
        <v>0</v>
      </c>
      <c r="D1095" s="25"/>
      <c r="E1095" s="22"/>
      <c r="F1095" s="22" t="str">
        <f t="shared" si="8"/>
        <v>#DIV/0!</v>
      </c>
      <c r="G1095" s="22" t="str">
        <f t="shared" si="31"/>
        <v>#DIV/0!</v>
      </c>
      <c r="H1095" s="22" t="str">
        <f t="shared" si="32"/>
        <v>#DIV/0!</v>
      </c>
      <c r="I1095" s="22" t="str">
        <f t="shared" si="3"/>
        <v>#DIV/0!</v>
      </c>
      <c r="J1095" s="22" t="str">
        <f t="shared" si="33"/>
        <v>#DIV/0!</v>
      </c>
    </row>
    <row r="1096" ht="15.75" customHeight="1">
      <c r="A1096" s="25"/>
      <c r="B1096" s="22"/>
      <c r="C1096" s="22">
        <f t="shared" si="6"/>
        <v>0</v>
      </c>
      <c r="D1096" s="25"/>
      <c r="E1096" s="22"/>
      <c r="F1096" s="22" t="str">
        <f t="shared" si="8"/>
        <v>#DIV/0!</v>
      </c>
      <c r="G1096" s="22" t="str">
        <f t="shared" si="31"/>
        <v>#DIV/0!</v>
      </c>
      <c r="H1096" s="22" t="str">
        <f t="shared" si="32"/>
        <v>#DIV/0!</v>
      </c>
      <c r="I1096" s="22" t="str">
        <f t="shared" si="3"/>
        <v>#DIV/0!</v>
      </c>
      <c r="J1096" s="22" t="str">
        <f t="shared" si="33"/>
        <v>#DIV/0!</v>
      </c>
    </row>
    <row r="1097" ht="15.75" customHeight="1">
      <c r="A1097" s="25"/>
      <c r="B1097" s="22"/>
      <c r="C1097" s="22">
        <f t="shared" si="6"/>
        <v>0</v>
      </c>
      <c r="D1097" s="25"/>
      <c r="E1097" s="22"/>
      <c r="F1097" s="22" t="str">
        <f t="shared" si="8"/>
        <v>#DIV/0!</v>
      </c>
      <c r="G1097" s="22" t="str">
        <f t="shared" si="31"/>
        <v>#DIV/0!</v>
      </c>
      <c r="H1097" s="22" t="str">
        <f t="shared" si="32"/>
        <v>#DIV/0!</v>
      </c>
      <c r="I1097" s="22" t="str">
        <f t="shared" si="3"/>
        <v>#DIV/0!</v>
      </c>
      <c r="J1097" s="22" t="str">
        <f t="shared" si="33"/>
        <v>#DIV/0!</v>
      </c>
    </row>
    <row r="1098" ht="15.75" customHeight="1">
      <c r="A1098" s="25"/>
      <c r="B1098" s="22"/>
      <c r="C1098" s="22">
        <f t="shared" si="6"/>
        <v>0</v>
      </c>
      <c r="D1098" s="25"/>
      <c r="E1098" s="22"/>
      <c r="F1098" s="22" t="str">
        <f t="shared" si="8"/>
        <v>#DIV/0!</v>
      </c>
      <c r="G1098" s="22" t="str">
        <f t="shared" si="31"/>
        <v>#DIV/0!</v>
      </c>
      <c r="H1098" s="22" t="str">
        <f t="shared" si="32"/>
        <v>#DIV/0!</v>
      </c>
      <c r="I1098" s="22" t="str">
        <f t="shared" si="3"/>
        <v>#DIV/0!</v>
      </c>
      <c r="J1098" s="22" t="str">
        <f t="shared" si="33"/>
        <v>#DIV/0!</v>
      </c>
    </row>
    <row r="1099" ht="15.75" customHeight="1">
      <c r="A1099" s="25"/>
      <c r="B1099" s="22"/>
      <c r="C1099" s="22">
        <f t="shared" si="6"/>
        <v>0</v>
      </c>
      <c r="D1099" s="25"/>
      <c r="E1099" s="22"/>
      <c r="F1099" s="22" t="str">
        <f t="shared" si="8"/>
        <v>#DIV/0!</v>
      </c>
      <c r="G1099" s="22" t="str">
        <f t="shared" si="31"/>
        <v>#DIV/0!</v>
      </c>
      <c r="H1099" s="22" t="str">
        <f t="shared" si="32"/>
        <v>#DIV/0!</v>
      </c>
      <c r="I1099" s="22" t="str">
        <f t="shared" si="3"/>
        <v>#DIV/0!</v>
      </c>
      <c r="J1099" s="22" t="str">
        <f t="shared" si="33"/>
        <v>#DIV/0!</v>
      </c>
    </row>
    <row r="1100" ht="15.75" customHeight="1">
      <c r="A1100" s="25"/>
      <c r="B1100" s="22"/>
      <c r="C1100" s="22">
        <f t="shared" si="6"/>
        <v>0</v>
      </c>
      <c r="D1100" s="25"/>
      <c r="E1100" s="22"/>
      <c r="F1100" s="22" t="str">
        <f t="shared" si="8"/>
        <v>#DIV/0!</v>
      </c>
      <c r="G1100" s="22" t="str">
        <f t="shared" si="31"/>
        <v>#DIV/0!</v>
      </c>
      <c r="H1100" s="22" t="str">
        <f t="shared" si="32"/>
        <v>#DIV/0!</v>
      </c>
      <c r="I1100" s="22" t="str">
        <f t="shared" si="3"/>
        <v>#DIV/0!</v>
      </c>
      <c r="J1100" s="22" t="str">
        <f t="shared" si="33"/>
        <v>#DIV/0!</v>
      </c>
    </row>
    <row r="1101" ht="15.75" customHeight="1">
      <c r="A1101" s="25"/>
      <c r="B1101" s="22"/>
      <c r="C1101" s="22">
        <f t="shared" si="6"/>
        <v>0</v>
      </c>
      <c r="D1101" s="25"/>
      <c r="E1101" s="22"/>
      <c r="F1101" s="22" t="str">
        <f t="shared" si="8"/>
        <v>#DIV/0!</v>
      </c>
      <c r="G1101" s="22" t="str">
        <f t="shared" si="31"/>
        <v>#DIV/0!</v>
      </c>
      <c r="H1101" s="22" t="str">
        <f t="shared" si="32"/>
        <v>#DIV/0!</v>
      </c>
      <c r="I1101" s="22" t="str">
        <f t="shared" si="3"/>
        <v>#DIV/0!</v>
      </c>
      <c r="J1101" s="22" t="str">
        <f t="shared" si="33"/>
        <v>#DIV/0!</v>
      </c>
    </row>
    <row r="1102" ht="15.75" customHeight="1">
      <c r="A1102" s="25"/>
      <c r="B1102" s="22"/>
      <c r="C1102" s="22">
        <f t="shared" si="6"/>
        <v>0</v>
      </c>
      <c r="D1102" s="25"/>
      <c r="E1102" s="22"/>
      <c r="F1102" s="22" t="str">
        <f t="shared" si="8"/>
        <v>#DIV/0!</v>
      </c>
      <c r="G1102" s="22" t="str">
        <f t="shared" si="31"/>
        <v>#DIV/0!</v>
      </c>
      <c r="H1102" s="22" t="str">
        <f t="shared" si="32"/>
        <v>#DIV/0!</v>
      </c>
      <c r="I1102" s="22" t="str">
        <f t="shared" si="3"/>
        <v>#DIV/0!</v>
      </c>
      <c r="J1102" s="22" t="str">
        <f t="shared" si="33"/>
        <v>#DIV/0!</v>
      </c>
    </row>
    <row r="1103" ht="15.75" customHeight="1">
      <c r="A1103" s="25"/>
      <c r="B1103" s="22"/>
      <c r="C1103" s="22">
        <f t="shared" si="6"/>
        <v>0</v>
      </c>
      <c r="D1103" s="25"/>
      <c r="E1103" s="22"/>
      <c r="F1103" s="22" t="str">
        <f t="shared" si="8"/>
        <v>#DIV/0!</v>
      </c>
      <c r="G1103" s="22" t="str">
        <f t="shared" si="31"/>
        <v>#DIV/0!</v>
      </c>
      <c r="H1103" s="22" t="str">
        <f t="shared" si="32"/>
        <v>#DIV/0!</v>
      </c>
      <c r="I1103" s="22" t="str">
        <f t="shared" si="3"/>
        <v>#DIV/0!</v>
      </c>
      <c r="J1103" s="22" t="str">
        <f t="shared" si="33"/>
        <v>#DIV/0!</v>
      </c>
    </row>
    <row r="1104" ht="15.75" customHeight="1">
      <c r="A1104" s="25"/>
      <c r="B1104" s="22"/>
      <c r="C1104" s="22">
        <f t="shared" si="6"/>
        <v>0</v>
      </c>
      <c r="D1104" s="25"/>
      <c r="E1104" s="22"/>
      <c r="F1104" s="22" t="str">
        <f t="shared" si="8"/>
        <v>#DIV/0!</v>
      </c>
      <c r="G1104" s="22" t="str">
        <f t="shared" si="31"/>
        <v>#DIV/0!</v>
      </c>
      <c r="H1104" s="22" t="str">
        <f t="shared" si="32"/>
        <v>#DIV/0!</v>
      </c>
      <c r="I1104" s="22" t="str">
        <f t="shared" si="3"/>
        <v>#DIV/0!</v>
      </c>
      <c r="J1104" s="22" t="str">
        <f t="shared" si="33"/>
        <v>#DIV/0!</v>
      </c>
    </row>
    <row r="1105" ht="15.75" customHeight="1">
      <c r="A1105" s="25"/>
      <c r="B1105" s="22"/>
      <c r="C1105" s="22">
        <f t="shared" si="6"/>
        <v>0</v>
      </c>
      <c r="D1105" s="25"/>
      <c r="E1105" s="22"/>
      <c r="F1105" s="22" t="str">
        <f t="shared" si="8"/>
        <v>#DIV/0!</v>
      </c>
      <c r="G1105" s="22" t="str">
        <f t="shared" si="31"/>
        <v>#DIV/0!</v>
      </c>
      <c r="H1105" s="22" t="str">
        <f t="shared" si="32"/>
        <v>#DIV/0!</v>
      </c>
      <c r="I1105" s="22" t="str">
        <f t="shared" si="3"/>
        <v>#DIV/0!</v>
      </c>
      <c r="J1105" s="22" t="str">
        <f t="shared" si="33"/>
        <v>#DIV/0!</v>
      </c>
    </row>
    <row r="1106" ht="15.75" customHeight="1">
      <c r="A1106" s="25"/>
      <c r="B1106" s="22"/>
      <c r="C1106" s="22">
        <f t="shared" si="6"/>
        <v>0</v>
      </c>
      <c r="D1106" s="25"/>
      <c r="E1106" s="22"/>
      <c r="F1106" s="22" t="str">
        <f t="shared" si="8"/>
        <v>#DIV/0!</v>
      </c>
      <c r="G1106" s="22" t="str">
        <f t="shared" si="31"/>
        <v>#DIV/0!</v>
      </c>
      <c r="H1106" s="22" t="str">
        <f t="shared" si="32"/>
        <v>#DIV/0!</v>
      </c>
      <c r="I1106" s="22" t="str">
        <f t="shared" si="3"/>
        <v>#DIV/0!</v>
      </c>
      <c r="J1106" s="22" t="str">
        <f t="shared" si="33"/>
        <v>#DIV/0!</v>
      </c>
    </row>
    <row r="1107" ht="15.75" customHeight="1">
      <c r="A1107" s="25"/>
      <c r="B1107" s="22"/>
      <c r="C1107" s="22">
        <f t="shared" si="6"/>
        <v>0</v>
      </c>
      <c r="D1107" s="25"/>
      <c r="E1107" s="22"/>
      <c r="F1107" s="22" t="str">
        <f t="shared" si="8"/>
        <v>#DIV/0!</v>
      </c>
      <c r="G1107" s="22" t="str">
        <f t="shared" si="31"/>
        <v>#DIV/0!</v>
      </c>
      <c r="H1107" s="22" t="str">
        <f t="shared" si="32"/>
        <v>#DIV/0!</v>
      </c>
      <c r="I1107" s="22" t="str">
        <f t="shared" si="3"/>
        <v>#DIV/0!</v>
      </c>
      <c r="J1107" s="22" t="str">
        <f t="shared" si="33"/>
        <v>#DIV/0!</v>
      </c>
    </row>
    <row r="1108" ht="15.75" customHeight="1">
      <c r="A1108" s="25"/>
      <c r="B1108" s="22"/>
      <c r="C1108" s="22">
        <f t="shared" si="6"/>
        <v>0</v>
      </c>
      <c r="D1108" s="25"/>
      <c r="E1108" s="22"/>
      <c r="F1108" s="22" t="str">
        <f t="shared" si="8"/>
        <v>#DIV/0!</v>
      </c>
      <c r="G1108" s="22" t="str">
        <f t="shared" si="31"/>
        <v>#DIV/0!</v>
      </c>
      <c r="H1108" s="22" t="str">
        <f t="shared" si="32"/>
        <v>#DIV/0!</v>
      </c>
      <c r="I1108" s="22" t="str">
        <f t="shared" si="3"/>
        <v>#DIV/0!</v>
      </c>
      <c r="J1108" s="22" t="str">
        <f t="shared" si="33"/>
        <v>#DIV/0!</v>
      </c>
    </row>
    <row r="1109" ht="15.75" customHeight="1">
      <c r="A1109" s="25"/>
      <c r="B1109" s="22"/>
      <c r="C1109" s="22">
        <f t="shared" si="6"/>
        <v>0</v>
      </c>
      <c r="D1109" s="25"/>
      <c r="E1109" s="22"/>
      <c r="F1109" s="22" t="str">
        <f t="shared" si="8"/>
        <v>#DIV/0!</v>
      </c>
      <c r="G1109" s="22" t="str">
        <f t="shared" si="31"/>
        <v>#DIV/0!</v>
      </c>
      <c r="H1109" s="22" t="str">
        <f t="shared" si="32"/>
        <v>#DIV/0!</v>
      </c>
      <c r="I1109" s="22" t="str">
        <f t="shared" si="3"/>
        <v>#DIV/0!</v>
      </c>
      <c r="J1109" s="22" t="str">
        <f t="shared" si="33"/>
        <v>#DIV/0!</v>
      </c>
    </row>
    <row r="1110" ht="15.75" customHeight="1">
      <c r="A1110" s="25"/>
      <c r="B1110" s="22"/>
      <c r="C1110" s="22">
        <f t="shared" si="6"/>
        <v>0</v>
      </c>
      <c r="D1110" s="25"/>
      <c r="E1110" s="22"/>
      <c r="F1110" s="22" t="str">
        <f t="shared" si="8"/>
        <v>#DIV/0!</v>
      </c>
      <c r="G1110" s="22" t="str">
        <f t="shared" si="31"/>
        <v>#DIV/0!</v>
      </c>
      <c r="H1110" s="22" t="str">
        <f t="shared" si="32"/>
        <v>#DIV/0!</v>
      </c>
      <c r="I1110" s="22" t="str">
        <f t="shared" si="3"/>
        <v>#DIV/0!</v>
      </c>
      <c r="J1110" s="22" t="str">
        <f t="shared" si="33"/>
        <v>#DIV/0!</v>
      </c>
    </row>
    <row r="1111" ht="15.75" customHeight="1">
      <c r="A1111" s="25"/>
      <c r="B1111" s="22"/>
      <c r="C1111" s="22">
        <f t="shared" si="6"/>
        <v>0</v>
      </c>
      <c r="D1111" s="25"/>
      <c r="E1111" s="22"/>
      <c r="F1111" s="22" t="str">
        <f t="shared" si="8"/>
        <v>#DIV/0!</v>
      </c>
      <c r="G1111" s="22" t="str">
        <f t="shared" si="31"/>
        <v>#DIV/0!</v>
      </c>
      <c r="H1111" s="22" t="str">
        <f t="shared" si="32"/>
        <v>#DIV/0!</v>
      </c>
      <c r="I1111" s="22" t="str">
        <f t="shared" si="3"/>
        <v>#DIV/0!</v>
      </c>
      <c r="J1111" s="22" t="str">
        <f t="shared" si="33"/>
        <v>#DIV/0!</v>
      </c>
    </row>
    <row r="1112" ht="15.75" customHeight="1">
      <c r="A1112" s="25"/>
      <c r="B1112" s="22"/>
      <c r="C1112" s="22">
        <f t="shared" si="6"/>
        <v>0</v>
      </c>
      <c r="D1112" s="25"/>
      <c r="E1112" s="22"/>
      <c r="F1112" s="22" t="str">
        <f t="shared" si="8"/>
        <v>#DIV/0!</v>
      </c>
      <c r="G1112" s="22" t="str">
        <f t="shared" si="31"/>
        <v>#DIV/0!</v>
      </c>
      <c r="H1112" s="22" t="str">
        <f t="shared" si="32"/>
        <v>#DIV/0!</v>
      </c>
      <c r="I1112" s="22" t="str">
        <f t="shared" si="3"/>
        <v>#DIV/0!</v>
      </c>
      <c r="J1112" s="22" t="str">
        <f t="shared" si="33"/>
        <v>#DIV/0!</v>
      </c>
    </row>
    <row r="1113" ht="15.75" customHeight="1">
      <c r="A1113" s="25"/>
      <c r="B1113" s="22"/>
      <c r="C1113" s="22">
        <f t="shared" si="6"/>
        <v>0</v>
      </c>
      <c r="D1113" s="25"/>
      <c r="E1113" s="22"/>
      <c r="F1113" s="22" t="str">
        <f t="shared" si="8"/>
        <v>#DIV/0!</v>
      </c>
      <c r="G1113" s="22" t="str">
        <f t="shared" si="31"/>
        <v>#DIV/0!</v>
      </c>
      <c r="H1113" s="22" t="str">
        <f t="shared" si="32"/>
        <v>#DIV/0!</v>
      </c>
      <c r="I1113" s="22" t="str">
        <f t="shared" si="3"/>
        <v>#DIV/0!</v>
      </c>
      <c r="J1113" s="22" t="str">
        <f t="shared" si="33"/>
        <v>#DIV/0!</v>
      </c>
    </row>
    <row r="1114" ht="15.75" customHeight="1">
      <c r="A1114" s="25"/>
      <c r="B1114" s="22"/>
      <c r="C1114" s="22">
        <f t="shared" si="6"/>
        <v>0</v>
      </c>
      <c r="D1114" s="25"/>
      <c r="E1114" s="22"/>
      <c r="F1114" s="22" t="str">
        <f t="shared" si="8"/>
        <v>#DIV/0!</v>
      </c>
      <c r="G1114" s="22" t="str">
        <f t="shared" si="31"/>
        <v>#DIV/0!</v>
      </c>
      <c r="H1114" s="22" t="str">
        <f t="shared" si="32"/>
        <v>#DIV/0!</v>
      </c>
      <c r="I1114" s="22" t="str">
        <f t="shared" si="3"/>
        <v>#DIV/0!</v>
      </c>
      <c r="J1114" s="22" t="str">
        <f t="shared" si="33"/>
        <v>#DIV/0!</v>
      </c>
    </row>
    <row r="1115" ht="15.75" customHeight="1">
      <c r="A1115" s="25"/>
      <c r="B1115" s="22"/>
      <c r="C1115" s="22">
        <f t="shared" si="6"/>
        <v>0</v>
      </c>
      <c r="D1115" s="25"/>
      <c r="E1115" s="22"/>
      <c r="F1115" s="22" t="str">
        <f t="shared" si="8"/>
        <v>#DIV/0!</v>
      </c>
      <c r="G1115" s="22" t="str">
        <f t="shared" si="31"/>
        <v>#DIV/0!</v>
      </c>
      <c r="H1115" s="22" t="str">
        <f t="shared" si="32"/>
        <v>#DIV/0!</v>
      </c>
      <c r="I1115" s="22" t="str">
        <f t="shared" si="3"/>
        <v>#DIV/0!</v>
      </c>
      <c r="J1115" s="22" t="str">
        <f t="shared" si="33"/>
        <v>#DIV/0!</v>
      </c>
    </row>
    <row r="1116" ht="15.75" customHeight="1">
      <c r="A1116" s="25"/>
      <c r="B1116" s="22"/>
      <c r="C1116" s="22">
        <f t="shared" si="6"/>
        <v>0</v>
      </c>
      <c r="D1116" s="25"/>
      <c r="E1116" s="22"/>
      <c r="F1116" s="22" t="str">
        <f t="shared" si="8"/>
        <v>#DIV/0!</v>
      </c>
      <c r="G1116" s="22" t="str">
        <f t="shared" si="31"/>
        <v>#DIV/0!</v>
      </c>
      <c r="H1116" s="22" t="str">
        <f t="shared" si="32"/>
        <v>#DIV/0!</v>
      </c>
      <c r="I1116" s="22" t="str">
        <f t="shared" si="3"/>
        <v>#DIV/0!</v>
      </c>
      <c r="J1116" s="22" t="str">
        <f t="shared" si="33"/>
        <v>#DIV/0!</v>
      </c>
    </row>
    <row r="1117" ht="15.75" customHeight="1">
      <c r="A1117" s="25"/>
      <c r="B1117" s="22"/>
      <c r="C1117" s="22">
        <f t="shared" si="6"/>
        <v>0</v>
      </c>
      <c r="D1117" s="25"/>
      <c r="E1117" s="22"/>
      <c r="F1117" s="22" t="str">
        <f t="shared" si="8"/>
        <v>#DIV/0!</v>
      </c>
      <c r="G1117" s="22" t="str">
        <f t="shared" si="31"/>
        <v>#DIV/0!</v>
      </c>
      <c r="H1117" s="22" t="str">
        <f t="shared" si="32"/>
        <v>#DIV/0!</v>
      </c>
      <c r="I1117" s="22" t="str">
        <f t="shared" si="3"/>
        <v>#DIV/0!</v>
      </c>
      <c r="J1117" s="22" t="str">
        <f t="shared" si="33"/>
        <v>#DIV/0!</v>
      </c>
    </row>
    <row r="1118" ht="15.75" customHeight="1">
      <c r="A1118" s="25"/>
      <c r="B1118" s="22"/>
      <c r="C1118" s="22">
        <f t="shared" si="6"/>
        <v>0</v>
      </c>
      <c r="D1118" s="25"/>
      <c r="E1118" s="22"/>
      <c r="F1118" s="22" t="str">
        <f t="shared" si="8"/>
        <v>#DIV/0!</v>
      </c>
      <c r="G1118" s="22" t="str">
        <f t="shared" si="31"/>
        <v>#DIV/0!</v>
      </c>
      <c r="H1118" s="22" t="str">
        <f t="shared" si="32"/>
        <v>#DIV/0!</v>
      </c>
      <c r="I1118" s="22" t="str">
        <f t="shared" si="3"/>
        <v>#DIV/0!</v>
      </c>
      <c r="J1118" s="22" t="str">
        <f t="shared" si="33"/>
        <v>#DIV/0!</v>
      </c>
    </row>
    <row r="1119" ht="15.75" customHeight="1">
      <c r="A1119" s="25"/>
      <c r="B1119" s="22"/>
      <c r="C1119" s="22">
        <f t="shared" si="6"/>
        <v>0</v>
      </c>
      <c r="D1119" s="25"/>
      <c r="E1119" s="22"/>
      <c r="F1119" s="22" t="str">
        <f t="shared" si="8"/>
        <v>#DIV/0!</v>
      </c>
      <c r="G1119" s="22" t="str">
        <f t="shared" si="31"/>
        <v>#DIV/0!</v>
      </c>
      <c r="H1119" s="22" t="str">
        <f t="shared" si="32"/>
        <v>#DIV/0!</v>
      </c>
      <c r="I1119" s="22" t="str">
        <f t="shared" si="3"/>
        <v>#DIV/0!</v>
      </c>
      <c r="J1119" s="22" t="str">
        <f t="shared" si="33"/>
        <v>#DIV/0!</v>
      </c>
    </row>
    <row r="1120" ht="15.75" customHeight="1">
      <c r="A1120" s="25"/>
      <c r="B1120" s="22"/>
      <c r="C1120" s="22">
        <f t="shared" si="6"/>
        <v>0</v>
      </c>
      <c r="D1120" s="25"/>
      <c r="E1120" s="22"/>
      <c r="F1120" s="22" t="str">
        <f t="shared" si="8"/>
        <v>#DIV/0!</v>
      </c>
      <c r="G1120" s="22" t="str">
        <f t="shared" si="31"/>
        <v>#DIV/0!</v>
      </c>
      <c r="H1120" s="22" t="str">
        <f t="shared" si="32"/>
        <v>#DIV/0!</v>
      </c>
      <c r="I1120" s="22" t="str">
        <f t="shared" si="3"/>
        <v>#DIV/0!</v>
      </c>
      <c r="J1120" s="22" t="str">
        <f t="shared" si="33"/>
        <v>#DIV/0!</v>
      </c>
    </row>
    <row r="1121" ht="15.75" customHeight="1">
      <c r="A1121" s="25"/>
      <c r="B1121" s="22"/>
      <c r="C1121" s="22">
        <f t="shared" si="6"/>
        <v>0</v>
      </c>
      <c r="D1121" s="25"/>
      <c r="E1121" s="22"/>
      <c r="F1121" s="22" t="str">
        <f t="shared" si="8"/>
        <v>#DIV/0!</v>
      </c>
      <c r="G1121" s="22" t="str">
        <f t="shared" si="31"/>
        <v>#DIV/0!</v>
      </c>
      <c r="H1121" s="22" t="str">
        <f t="shared" si="32"/>
        <v>#DIV/0!</v>
      </c>
      <c r="I1121" s="22" t="str">
        <f t="shared" si="3"/>
        <v>#DIV/0!</v>
      </c>
      <c r="J1121" s="22" t="str">
        <f t="shared" si="33"/>
        <v>#DIV/0!</v>
      </c>
    </row>
    <row r="1122" ht="15.75" customHeight="1">
      <c r="A1122" s="25"/>
      <c r="B1122" s="22"/>
      <c r="C1122" s="22">
        <f t="shared" si="6"/>
        <v>0</v>
      </c>
      <c r="D1122" s="25"/>
      <c r="E1122" s="22"/>
      <c r="F1122" s="22" t="str">
        <f t="shared" si="8"/>
        <v>#DIV/0!</v>
      </c>
      <c r="G1122" s="22" t="str">
        <f t="shared" si="31"/>
        <v>#DIV/0!</v>
      </c>
      <c r="H1122" s="22" t="str">
        <f t="shared" si="32"/>
        <v>#DIV/0!</v>
      </c>
      <c r="I1122" s="22" t="str">
        <f t="shared" si="3"/>
        <v>#DIV/0!</v>
      </c>
      <c r="J1122" s="22" t="str">
        <f t="shared" si="33"/>
        <v>#DIV/0!</v>
      </c>
    </row>
    <row r="1123" ht="15.75" customHeight="1">
      <c r="A1123" s="25"/>
      <c r="B1123" s="22"/>
      <c r="C1123" s="22">
        <f t="shared" si="6"/>
        <v>0</v>
      </c>
      <c r="D1123" s="25"/>
      <c r="E1123" s="22"/>
      <c r="F1123" s="22" t="str">
        <f t="shared" si="8"/>
        <v>#DIV/0!</v>
      </c>
      <c r="G1123" s="22" t="str">
        <f t="shared" si="31"/>
        <v>#DIV/0!</v>
      </c>
      <c r="H1123" s="22" t="str">
        <f t="shared" si="32"/>
        <v>#DIV/0!</v>
      </c>
      <c r="I1123" s="22" t="str">
        <f t="shared" si="3"/>
        <v>#DIV/0!</v>
      </c>
      <c r="J1123" s="22" t="str">
        <f t="shared" si="33"/>
        <v>#DIV/0!</v>
      </c>
    </row>
    <row r="1124" ht="15.75" customHeight="1">
      <c r="A1124" s="25"/>
      <c r="B1124" s="22"/>
      <c r="C1124" s="22">
        <f t="shared" si="6"/>
        <v>0</v>
      </c>
      <c r="D1124" s="25"/>
      <c r="E1124" s="22"/>
      <c r="F1124" s="22" t="str">
        <f t="shared" si="8"/>
        <v>#DIV/0!</v>
      </c>
      <c r="G1124" s="22" t="str">
        <f t="shared" si="31"/>
        <v>#DIV/0!</v>
      </c>
      <c r="H1124" s="22" t="str">
        <f t="shared" si="32"/>
        <v>#DIV/0!</v>
      </c>
      <c r="I1124" s="22" t="str">
        <f t="shared" si="3"/>
        <v>#DIV/0!</v>
      </c>
      <c r="J1124" s="22" t="str">
        <f t="shared" si="33"/>
        <v>#DIV/0!</v>
      </c>
    </row>
    <row r="1125" ht="15.75" customHeight="1">
      <c r="A1125" s="25"/>
      <c r="B1125" s="22"/>
      <c r="C1125" s="22">
        <f t="shared" si="6"/>
        <v>0</v>
      </c>
      <c r="D1125" s="25"/>
      <c r="E1125" s="22"/>
      <c r="F1125" s="22" t="str">
        <f t="shared" si="8"/>
        <v>#DIV/0!</v>
      </c>
      <c r="G1125" s="22" t="str">
        <f t="shared" si="31"/>
        <v>#DIV/0!</v>
      </c>
      <c r="H1125" s="22" t="str">
        <f t="shared" si="32"/>
        <v>#DIV/0!</v>
      </c>
      <c r="I1125" s="22" t="str">
        <f t="shared" si="3"/>
        <v>#DIV/0!</v>
      </c>
      <c r="J1125" s="22" t="str">
        <f t="shared" si="33"/>
        <v>#DIV/0!</v>
      </c>
    </row>
    <row r="1126" ht="15.75" customHeight="1">
      <c r="A1126" s="25"/>
      <c r="B1126" s="22"/>
      <c r="C1126" s="22">
        <f t="shared" si="6"/>
        <v>0</v>
      </c>
      <c r="D1126" s="25"/>
      <c r="E1126" s="22"/>
      <c r="F1126" s="22" t="str">
        <f t="shared" si="8"/>
        <v>#DIV/0!</v>
      </c>
      <c r="G1126" s="22" t="str">
        <f t="shared" si="31"/>
        <v>#DIV/0!</v>
      </c>
      <c r="H1126" s="22" t="str">
        <f t="shared" si="32"/>
        <v>#DIV/0!</v>
      </c>
      <c r="I1126" s="22" t="str">
        <f t="shared" si="3"/>
        <v>#DIV/0!</v>
      </c>
      <c r="J1126" s="22" t="str">
        <f t="shared" si="33"/>
        <v>#DIV/0!</v>
      </c>
    </row>
    <row r="1127" ht="15.75" customHeight="1">
      <c r="A1127" s="25"/>
      <c r="B1127" s="22"/>
      <c r="C1127" s="22">
        <f t="shared" si="6"/>
        <v>0</v>
      </c>
      <c r="D1127" s="25"/>
      <c r="E1127" s="22"/>
      <c r="F1127" s="22" t="str">
        <f t="shared" si="8"/>
        <v>#DIV/0!</v>
      </c>
      <c r="G1127" s="22" t="str">
        <f t="shared" si="31"/>
        <v>#DIV/0!</v>
      </c>
      <c r="H1127" s="22" t="str">
        <f t="shared" si="32"/>
        <v>#DIV/0!</v>
      </c>
      <c r="I1127" s="22" t="str">
        <f t="shared" si="3"/>
        <v>#DIV/0!</v>
      </c>
      <c r="J1127" s="22" t="str">
        <f t="shared" si="33"/>
        <v>#DIV/0!</v>
      </c>
    </row>
    <row r="1128" ht="15.75" customHeight="1">
      <c r="A1128" s="25"/>
      <c r="B1128" s="22"/>
      <c r="C1128" s="22">
        <f t="shared" si="6"/>
        <v>0</v>
      </c>
      <c r="D1128" s="25"/>
      <c r="E1128" s="22"/>
      <c r="F1128" s="22" t="str">
        <f t="shared" si="8"/>
        <v>#DIV/0!</v>
      </c>
      <c r="G1128" s="22" t="str">
        <f t="shared" si="31"/>
        <v>#DIV/0!</v>
      </c>
      <c r="H1128" s="22" t="str">
        <f t="shared" si="32"/>
        <v>#DIV/0!</v>
      </c>
      <c r="I1128" s="22" t="str">
        <f t="shared" si="3"/>
        <v>#DIV/0!</v>
      </c>
      <c r="J1128" s="22" t="str">
        <f t="shared" si="33"/>
        <v>#DIV/0!</v>
      </c>
    </row>
    <row r="1129" ht="15.75" customHeight="1">
      <c r="A1129" s="25"/>
      <c r="B1129" s="22"/>
      <c r="C1129" s="22">
        <f t="shared" si="6"/>
        <v>0</v>
      </c>
      <c r="D1129" s="25"/>
      <c r="E1129" s="22"/>
      <c r="F1129" s="22" t="str">
        <f t="shared" si="8"/>
        <v>#DIV/0!</v>
      </c>
      <c r="G1129" s="22" t="str">
        <f t="shared" si="31"/>
        <v>#DIV/0!</v>
      </c>
      <c r="H1129" s="22" t="str">
        <f t="shared" si="32"/>
        <v>#DIV/0!</v>
      </c>
      <c r="I1129" s="22" t="str">
        <f t="shared" si="3"/>
        <v>#DIV/0!</v>
      </c>
      <c r="J1129" s="22" t="str">
        <f t="shared" si="33"/>
        <v>#DIV/0!</v>
      </c>
    </row>
    <row r="1130" ht="15.75" customHeight="1">
      <c r="A1130" s="25"/>
      <c r="B1130" s="22"/>
      <c r="C1130" s="22">
        <f t="shared" si="6"/>
        <v>0</v>
      </c>
      <c r="D1130" s="25"/>
      <c r="E1130" s="22"/>
      <c r="F1130" s="22" t="str">
        <f t="shared" si="8"/>
        <v>#DIV/0!</v>
      </c>
      <c r="G1130" s="22" t="str">
        <f t="shared" si="31"/>
        <v>#DIV/0!</v>
      </c>
      <c r="H1130" s="22" t="str">
        <f t="shared" si="32"/>
        <v>#DIV/0!</v>
      </c>
      <c r="I1130" s="22" t="str">
        <f t="shared" si="3"/>
        <v>#DIV/0!</v>
      </c>
      <c r="J1130" s="22" t="str">
        <f t="shared" si="33"/>
        <v>#DIV/0!</v>
      </c>
    </row>
    <row r="1131" ht="15.75" customHeight="1">
      <c r="A1131" s="25"/>
      <c r="B1131" s="22"/>
      <c r="C1131" s="22">
        <f t="shared" si="6"/>
        <v>0</v>
      </c>
      <c r="D1131" s="25"/>
      <c r="E1131" s="22"/>
      <c r="F1131" s="22" t="str">
        <f t="shared" si="8"/>
        <v>#DIV/0!</v>
      </c>
      <c r="G1131" s="22" t="str">
        <f t="shared" si="31"/>
        <v>#DIV/0!</v>
      </c>
      <c r="H1131" s="22" t="str">
        <f t="shared" si="32"/>
        <v>#DIV/0!</v>
      </c>
      <c r="I1131" s="22" t="str">
        <f t="shared" si="3"/>
        <v>#DIV/0!</v>
      </c>
      <c r="J1131" s="22" t="str">
        <f t="shared" si="33"/>
        <v>#DIV/0!</v>
      </c>
    </row>
    <row r="1132" ht="15.75" customHeight="1">
      <c r="A1132" s="25"/>
      <c r="B1132" s="22"/>
      <c r="C1132" s="22">
        <f t="shared" si="6"/>
        <v>0</v>
      </c>
      <c r="D1132" s="25"/>
      <c r="E1132" s="22"/>
      <c r="F1132" s="22" t="str">
        <f t="shared" si="8"/>
        <v>#DIV/0!</v>
      </c>
      <c r="G1132" s="22" t="str">
        <f t="shared" si="31"/>
        <v>#DIV/0!</v>
      </c>
      <c r="H1132" s="22" t="str">
        <f t="shared" si="32"/>
        <v>#DIV/0!</v>
      </c>
      <c r="I1132" s="22" t="str">
        <f t="shared" si="3"/>
        <v>#DIV/0!</v>
      </c>
      <c r="J1132" s="22" t="str">
        <f t="shared" si="33"/>
        <v>#DIV/0!</v>
      </c>
    </row>
    <row r="1133" ht="15.75" customHeight="1">
      <c r="A1133" s="25"/>
      <c r="B1133" s="22"/>
      <c r="C1133" s="22">
        <f t="shared" si="6"/>
        <v>0</v>
      </c>
      <c r="D1133" s="25"/>
      <c r="E1133" s="22"/>
      <c r="F1133" s="22" t="str">
        <f t="shared" si="8"/>
        <v>#DIV/0!</v>
      </c>
      <c r="G1133" s="22" t="str">
        <f t="shared" si="31"/>
        <v>#DIV/0!</v>
      </c>
      <c r="H1133" s="22" t="str">
        <f t="shared" si="32"/>
        <v>#DIV/0!</v>
      </c>
      <c r="I1133" s="22" t="str">
        <f t="shared" si="3"/>
        <v>#DIV/0!</v>
      </c>
      <c r="J1133" s="22" t="str">
        <f t="shared" si="33"/>
        <v>#DIV/0!</v>
      </c>
    </row>
    <row r="1134" ht="15.75" customHeight="1">
      <c r="A1134" s="25"/>
      <c r="B1134" s="22"/>
      <c r="C1134" s="22">
        <f t="shared" si="6"/>
        <v>0</v>
      </c>
      <c r="D1134" s="25"/>
      <c r="E1134" s="22"/>
      <c r="F1134" s="22" t="str">
        <f t="shared" si="8"/>
        <v>#DIV/0!</v>
      </c>
      <c r="G1134" s="22" t="str">
        <f t="shared" si="31"/>
        <v>#DIV/0!</v>
      </c>
      <c r="H1134" s="22" t="str">
        <f t="shared" si="32"/>
        <v>#DIV/0!</v>
      </c>
      <c r="I1134" s="22" t="str">
        <f t="shared" si="3"/>
        <v>#DIV/0!</v>
      </c>
      <c r="J1134" s="22" t="str">
        <f t="shared" si="33"/>
        <v>#DIV/0!</v>
      </c>
    </row>
    <row r="1135" ht="15.75" customHeight="1">
      <c r="A1135" s="25"/>
      <c r="B1135" s="22"/>
      <c r="C1135" s="22">
        <f t="shared" si="6"/>
        <v>0</v>
      </c>
      <c r="D1135" s="25"/>
      <c r="E1135" s="22"/>
      <c r="F1135" s="22" t="str">
        <f t="shared" si="8"/>
        <v>#DIV/0!</v>
      </c>
      <c r="G1135" s="22" t="str">
        <f t="shared" si="31"/>
        <v>#DIV/0!</v>
      </c>
      <c r="H1135" s="22" t="str">
        <f t="shared" si="32"/>
        <v>#DIV/0!</v>
      </c>
      <c r="I1135" s="22" t="str">
        <f t="shared" si="3"/>
        <v>#DIV/0!</v>
      </c>
      <c r="J1135" s="22" t="str">
        <f t="shared" si="33"/>
        <v>#DIV/0!</v>
      </c>
    </row>
    <row r="1136" ht="15.75" customHeight="1">
      <c r="A1136" s="25"/>
      <c r="B1136" s="22"/>
      <c r="C1136" s="22">
        <f t="shared" si="6"/>
        <v>0</v>
      </c>
      <c r="D1136" s="25"/>
      <c r="E1136" s="22"/>
      <c r="F1136" s="22" t="str">
        <f t="shared" si="8"/>
        <v>#DIV/0!</v>
      </c>
      <c r="G1136" s="22" t="str">
        <f t="shared" si="31"/>
        <v>#DIV/0!</v>
      </c>
      <c r="H1136" s="22" t="str">
        <f t="shared" si="32"/>
        <v>#DIV/0!</v>
      </c>
      <c r="I1136" s="22" t="str">
        <f t="shared" si="3"/>
        <v>#DIV/0!</v>
      </c>
      <c r="J1136" s="22" t="str">
        <f t="shared" si="33"/>
        <v>#DIV/0!</v>
      </c>
    </row>
    <row r="1137" ht="15.75" customHeight="1">
      <c r="A1137" s="25"/>
      <c r="B1137" s="22"/>
      <c r="C1137" s="22">
        <f t="shared" si="6"/>
        <v>0</v>
      </c>
      <c r="D1137" s="25"/>
      <c r="E1137" s="22"/>
      <c r="F1137" s="22" t="str">
        <f t="shared" si="8"/>
        <v>#DIV/0!</v>
      </c>
      <c r="G1137" s="22" t="str">
        <f t="shared" si="31"/>
        <v>#DIV/0!</v>
      </c>
      <c r="H1137" s="22" t="str">
        <f t="shared" si="32"/>
        <v>#DIV/0!</v>
      </c>
      <c r="I1137" s="22" t="str">
        <f t="shared" si="3"/>
        <v>#DIV/0!</v>
      </c>
      <c r="J1137" s="22" t="str">
        <f t="shared" si="33"/>
        <v>#DIV/0!</v>
      </c>
    </row>
    <row r="1138" ht="15.75" customHeight="1">
      <c r="A1138" s="25"/>
      <c r="B1138" s="22"/>
      <c r="C1138" s="22">
        <f t="shared" si="6"/>
        <v>0</v>
      </c>
      <c r="D1138" s="25"/>
      <c r="E1138" s="22"/>
      <c r="F1138" s="22" t="str">
        <f t="shared" si="8"/>
        <v>#DIV/0!</v>
      </c>
      <c r="G1138" s="22" t="str">
        <f t="shared" si="31"/>
        <v>#DIV/0!</v>
      </c>
      <c r="H1138" s="22" t="str">
        <f t="shared" si="32"/>
        <v>#DIV/0!</v>
      </c>
      <c r="I1138" s="22" t="str">
        <f t="shared" si="3"/>
        <v>#DIV/0!</v>
      </c>
      <c r="J1138" s="22" t="str">
        <f t="shared" si="33"/>
        <v>#DIV/0!</v>
      </c>
    </row>
    <row r="1139" ht="15.75" customHeight="1">
      <c r="A1139" s="25"/>
      <c r="B1139" s="22"/>
      <c r="C1139" s="22">
        <f t="shared" si="6"/>
        <v>0</v>
      </c>
      <c r="D1139" s="25"/>
      <c r="E1139" s="22"/>
      <c r="F1139" s="22" t="str">
        <f t="shared" si="8"/>
        <v>#DIV/0!</v>
      </c>
      <c r="G1139" s="22" t="str">
        <f t="shared" si="31"/>
        <v>#DIV/0!</v>
      </c>
      <c r="H1139" s="22" t="str">
        <f t="shared" si="32"/>
        <v>#DIV/0!</v>
      </c>
      <c r="I1139" s="22" t="str">
        <f t="shared" si="3"/>
        <v>#DIV/0!</v>
      </c>
      <c r="J1139" s="22" t="str">
        <f t="shared" si="33"/>
        <v>#DIV/0!</v>
      </c>
    </row>
    <row r="1140" ht="15.75" customHeight="1">
      <c r="A1140" s="25"/>
      <c r="B1140" s="22"/>
      <c r="C1140" s="22">
        <f t="shared" si="6"/>
        <v>0</v>
      </c>
      <c r="D1140" s="25"/>
      <c r="E1140" s="22"/>
      <c r="F1140" s="22" t="str">
        <f t="shared" si="8"/>
        <v>#DIV/0!</v>
      </c>
      <c r="G1140" s="22" t="str">
        <f t="shared" si="31"/>
        <v>#DIV/0!</v>
      </c>
      <c r="H1140" s="22" t="str">
        <f t="shared" si="32"/>
        <v>#DIV/0!</v>
      </c>
      <c r="I1140" s="22" t="str">
        <f t="shared" si="3"/>
        <v>#DIV/0!</v>
      </c>
      <c r="J1140" s="22" t="str">
        <f t="shared" si="33"/>
        <v>#DIV/0!</v>
      </c>
    </row>
    <row r="1141" ht="15.75" customHeight="1">
      <c r="A1141" s="25"/>
      <c r="B1141" s="22"/>
      <c r="C1141" s="22">
        <f t="shared" si="6"/>
        <v>0</v>
      </c>
      <c r="D1141" s="25"/>
      <c r="E1141" s="22"/>
      <c r="F1141" s="22" t="str">
        <f t="shared" si="8"/>
        <v>#DIV/0!</v>
      </c>
      <c r="G1141" s="22" t="str">
        <f t="shared" si="31"/>
        <v>#DIV/0!</v>
      </c>
      <c r="H1141" s="22" t="str">
        <f t="shared" si="32"/>
        <v>#DIV/0!</v>
      </c>
      <c r="I1141" s="22" t="str">
        <f t="shared" si="3"/>
        <v>#DIV/0!</v>
      </c>
      <c r="J1141" s="22" t="str">
        <f t="shared" si="33"/>
        <v>#DIV/0!</v>
      </c>
    </row>
    <row r="1142" ht="15.75" customHeight="1">
      <c r="A1142" s="25"/>
      <c r="B1142" s="22"/>
      <c r="C1142" s="22">
        <f t="shared" si="6"/>
        <v>0</v>
      </c>
      <c r="D1142" s="25"/>
      <c r="E1142" s="22"/>
      <c r="F1142" s="22" t="str">
        <f t="shared" si="8"/>
        <v>#DIV/0!</v>
      </c>
      <c r="G1142" s="22" t="str">
        <f t="shared" si="31"/>
        <v>#DIV/0!</v>
      </c>
      <c r="H1142" s="22" t="str">
        <f t="shared" si="32"/>
        <v>#DIV/0!</v>
      </c>
      <c r="I1142" s="22" t="str">
        <f t="shared" si="3"/>
        <v>#DIV/0!</v>
      </c>
      <c r="J1142" s="22" t="str">
        <f t="shared" si="33"/>
        <v>#DIV/0!</v>
      </c>
    </row>
    <row r="1143" ht="15.75" customHeight="1">
      <c r="A1143" s="25"/>
      <c r="B1143" s="22"/>
      <c r="C1143" s="22">
        <f t="shared" si="6"/>
        <v>0</v>
      </c>
      <c r="D1143" s="25"/>
      <c r="E1143" s="22"/>
      <c r="F1143" s="22" t="str">
        <f t="shared" si="8"/>
        <v>#DIV/0!</v>
      </c>
      <c r="G1143" s="22" t="str">
        <f t="shared" si="31"/>
        <v>#DIV/0!</v>
      </c>
      <c r="H1143" s="22" t="str">
        <f t="shared" si="32"/>
        <v>#DIV/0!</v>
      </c>
      <c r="I1143" s="22" t="str">
        <f t="shared" si="3"/>
        <v>#DIV/0!</v>
      </c>
      <c r="J1143" s="22" t="str">
        <f t="shared" si="33"/>
        <v>#DIV/0!</v>
      </c>
    </row>
    <row r="1144" ht="15.75" customHeight="1">
      <c r="A1144" s="25"/>
      <c r="B1144" s="22"/>
      <c r="C1144" s="22">
        <f t="shared" si="6"/>
        <v>0</v>
      </c>
      <c r="D1144" s="25"/>
      <c r="E1144" s="22"/>
      <c r="F1144" s="22" t="str">
        <f t="shared" si="8"/>
        <v>#DIV/0!</v>
      </c>
      <c r="G1144" s="22" t="str">
        <f t="shared" si="31"/>
        <v>#DIV/0!</v>
      </c>
      <c r="H1144" s="22" t="str">
        <f t="shared" si="32"/>
        <v>#DIV/0!</v>
      </c>
      <c r="I1144" s="22" t="str">
        <f t="shared" si="3"/>
        <v>#DIV/0!</v>
      </c>
      <c r="J1144" s="22" t="str">
        <f t="shared" si="33"/>
        <v>#DIV/0!</v>
      </c>
    </row>
    <row r="1145" ht="15.75" customHeight="1">
      <c r="A1145" s="25"/>
      <c r="B1145" s="22"/>
      <c r="C1145" s="22">
        <f t="shared" si="6"/>
        <v>0</v>
      </c>
      <c r="D1145" s="25"/>
      <c r="E1145" s="22"/>
      <c r="F1145" s="22" t="str">
        <f t="shared" si="8"/>
        <v>#DIV/0!</v>
      </c>
      <c r="G1145" s="22" t="str">
        <f t="shared" si="31"/>
        <v>#DIV/0!</v>
      </c>
      <c r="H1145" s="22" t="str">
        <f t="shared" si="32"/>
        <v>#DIV/0!</v>
      </c>
      <c r="I1145" s="22" t="str">
        <f t="shared" si="3"/>
        <v>#DIV/0!</v>
      </c>
      <c r="J1145" s="22" t="str">
        <f t="shared" si="33"/>
        <v>#DIV/0!</v>
      </c>
    </row>
    <row r="1146" ht="15.75" customHeight="1">
      <c r="A1146" s="25"/>
      <c r="B1146" s="22"/>
      <c r="C1146" s="22">
        <f t="shared" si="6"/>
        <v>0</v>
      </c>
      <c r="D1146" s="25"/>
      <c r="E1146" s="22"/>
      <c r="F1146" s="22" t="str">
        <f t="shared" si="8"/>
        <v>#DIV/0!</v>
      </c>
      <c r="G1146" s="22" t="str">
        <f t="shared" si="31"/>
        <v>#DIV/0!</v>
      </c>
      <c r="H1146" s="22" t="str">
        <f t="shared" si="32"/>
        <v>#DIV/0!</v>
      </c>
      <c r="I1146" s="22" t="str">
        <f t="shared" si="3"/>
        <v>#DIV/0!</v>
      </c>
      <c r="J1146" s="22" t="str">
        <f t="shared" si="33"/>
        <v>#DIV/0!</v>
      </c>
    </row>
    <row r="1147" ht="15.75" customHeight="1">
      <c r="A1147" s="25"/>
      <c r="B1147" s="22"/>
      <c r="C1147" s="22">
        <f t="shared" si="6"/>
        <v>0</v>
      </c>
      <c r="D1147" s="25"/>
      <c r="E1147" s="22"/>
      <c r="F1147" s="22" t="str">
        <f t="shared" si="8"/>
        <v>#DIV/0!</v>
      </c>
      <c r="G1147" s="22" t="str">
        <f t="shared" si="31"/>
        <v>#DIV/0!</v>
      </c>
      <c r="H1147" s="22" t="str">
        <f t="shared" si="32"/>
        <v>#DIV/0!</v>
      </c>
      <c r="I1147" s="22" t="str">
        <f t="shared" si="3"/>
        <v>#DIV/0!</v>
      </c>
      <c r="J1147" s="22" t="str">
        <f t="shared" si="33"/>
        <v>#DIV/0!</v>
      </c>
    </row>
    <row r="1148" ht="15.75" customHeight="1">
      <c r="A1148" s="25"/>
      <c r="B1148" s="22"/>
      <c r="C1148" s="22">
        <f t="shared" si="6"/>
        <v>0</v>
      </c>
      <c r="D1148" s="25"/>
      <c r="E1148" s="22"/>
      <c r="F1148" s="22" t="str">
        <f t="shared" si="8"/>
        <v>#DIV/0!</v>
      </c>
      <c r="G1148" s="22" t="str">
        <f t="shared" si="31"/>
        <v>#DIV/0!</v>
      </c>
      <c r="H1148" s="22" t="str">
        <f t="shared" si="32"/>
        <v>#DIV/0!</v>
      </c>
      <c r="I1148" s="22" t="str">
        <f t="shared" si="3"/>
        <v>#DIV/0!</v>
      </c>
      <c r="J1148" s="22" t="str">
        <f t="shared" si="33"/>
        <v>#DIV/0!</v>
      </c>
    </row>
    <row r="1149" ht="15.75" customHeight="1">
      <c r="A1149" s="25"/>
      <c r="B1149" s="22"/>
      <c r="C1149" s="22">
        <f t="shared" si="6"/>
        <v>0</v>
      </c>
      <c r="D1149" s="25"/>
      <c r="E1149" s="22"/>
      <c r="F1149" s="22" t="str">
        <f t="shared" si="8"/>
        <v>#DIV/0!</v>
      </c>
      <c r="G1149" s="22" t="str">
        <f t="shared" si="31"/>
        <v>#DIV/0!</v>
      </c>
      <c r="H1149" s="22" t="str">
        <f t="shared" si="32"/>
        <v>#DIV/0!</v>
      </c>
      <c r="I1149" s="22" t="str">
        <f t="shared" si="3"/>
        <v>#DIV/0!</v>
      </c>
      <c r="J1149" s="22" t="str">
        <f t="shared" si="33"/>
        <v>#DIV/0!</v>
      </c>
    </row>
    <row r="1150" ht="15.75" customHeight="1">
      <c r="A1150" s="25"/>
      <c r="B1150" s="22"/>
      <c r="C1150" s="22">
        <f t="shared" si="6"/>
        <v>0</v>
      </c>
      <c r="D1150" s="25"/>
      <c r="E1150" s="22"/>
      <c r="F1150" s="22" t="str">
        <f t="shared" si="8"/>
        <v>#DIV/0!</v>
      </c>
      <c r="G1150" s="22" t="str">
        <f t="shared" si="31"/>
        <v>#DIV/0!</v>
      </c>
      <c r="H1150" s="22" t="str">
        <f t="shared" si="32"/>
        <v>#DIV/0!</v>
      </c>
      <c r="I1150" s="22" t="str">
        <f t="shared" si="3"/>
        <v>#DIV/0!</v>
      </c>
      <c r="J1150" s="22" t="str">
        <f t="shared" si="33"/>
        <v>#DIV/0!</v>
      </c>
    </row>
    <row r="1151" ht="15.75" customHeight="1">
      <c r="A1151" s="25"/>
      <c r="B1151" s="22"/>
      <c r="C1151" s="22">
        <f t="shared" si="6"/>
        <v>0</v>
      </c>
      <c r="D1151" s="25"/>
      <c r="E1151" s="22"/>
      <c r="F1151" s="22" t="str">
        <f t="shared" si="8"/>
        <v>#DIV/0!</v>
      </c>
      <c r="G1151" s="22" t="str">
        <f t="shared" si="31"/>
        <v>#DIV/0!</v>
      </c>
      <c r="H1151" s="22" t="str">
        <f t="shared" si="32"/>
        <v>#DIV/0!</v>
      </c>
      <c r="I1151" s="22" t="str">
        <f t="shared" si="3"/>
        <v>#DIV/0!</v>
      </c>
      <c r="J1151" s="22" t="str">
        <f t="shared" si="33"/>
        <v>#DIV/0!</v>
      </c>
    </row>
    <row r="1152" ht="15.75" customHeight="1">
      <c r="A1152" s="25"/>
      <c r="B1152" s="22"/>
      <c r="C1152" s="22">
        <f t="shared" si="6"/>
        <v>0</v>
      </c>
      <c r="D1152" s="25"/>
      <c r="E1152" s="22"/>
      <c r="F1152" s="22" t="str">
        <f t="shared" si="8"/>
        <v>#DIV/0!</v>
      </c>
      <c r="G1152" s="22" t="str">
        <f t="shared" si="31"/>
        <v>#DIV/0!</v>
      </c>
      <c r="H1152" s="22" t="str">
        <f t="shared" si="32"/>
        <v>#DIV/0!</v>
      </c>
      <c r="I1152" s="22" t="str">
        <f t="shared" si="3"/>
        <v>#DIV/0!</v>
      </c>
      <c r="J1152" s="22" t="str">
        <f t="shared" si="33"/>
        <v>#DIV/0!</v>
      </c>
    </row>
    <row r="1153" ht="15.75" customHeight="1">
      <c r="A1153" s="25"/>
      <c r="B1153" s="22"/>
      <c r="C1153" s="22">
        <f t="shared" si="6"/>
        <v>0</v>
      </c>
      <c r="D1153" s="25"/>
      <c r="E1153" s="22"/>
      <c r="F1153" s="22" t="str">
        <f t="shared" si="8"/>
        <v>#DIV/0!</v>
      </c>
      <c r="G1153" s="22" t="str">
        <f t="shared" si="31"/>
        <v>#DIV/0!</v>
      </c>
      <c r="H1153" s="22" t="str">
        <f t="shared" si="32"/>
        <v>#DIV/0!</v>
      </c>
      <c r="I1153" s="22" t="str">
        <f t="shared" si="3"/>
        <v>#DIV/0!</v>
      </c>
      <c r="J1153" s="22" t="str">
        <f t="shared" si="33"/>
        <v>#DIV/0!</v>
      </c>
    </row>
    <row r="1154" ht="15.75" customHeight="1">
      <c r="A1154" s="25"/>
      <c r="B1154" s="22"/>
      <c r="C1154" s="22">
        <f t="shared" si="6"/>
        <v>0</v>
      </c>
      <c r="D1154" s="25"/>
      <c r="E1154" s="22"/>
      <c r="F1154" s="22" t="str">
        <f t="shared" si="8"/>
        <v>#DIV/0!</v>
      </c>
      <c r="G1154" s="22" t="str">
        <f t="shared" si="31"/>
        <v>#DIV/0!</v>
      </c>
      <c r="H1154" s="22" t="str">
        <f t="shared" si="32"/>
        <v>#DIV/0!</v>
      </c>
      <c r="I1154" s="22" t="str">
        <f t="shared" si="3"/>
        <v>#DIV/0!</v>
      </c>
      <c r="J1154" s="22" t="str">
        <f t="shared" si="33"/>
        <v>#DIV/0!</v>
      </c>
    </row>
    <row r="1155" ht="15.75" customHeight="1">
      <c r="A1155" s="25"/>
      <c r="B1155" s="22"/>
      <c r="C1155" s="22">
        <f t="shared" si="6"/>
        <v>0</v>
      </c>
      <c r="D1155" s="25"/>
      <c r="E1155" s="22"/>
      <c r="F1155" s="22" t="str">
        <f t="shared" si="8"/>
        <v>#DIV/0!</v>
      </c>
      <c r="G1155" s="22" t="str">
        <f t="shared" si="31"/>
        <v>#DIV/0!</v>
      </c>
      <c r="H1155" s="22" t="str">
        <f t="shared" si="32"/>
        <v>#DIV/0!</v>
      </c>
      <c r="I1155" s="22" t="str">
        <f t="shared" si="3"/>
        <v>#DIV/0!</v>
      </c>
      <c r="J1155" s="22" t="str">
        <f t="shared" si="33"/>
        <v>#DIV/0!</v>
      </c>
    </row>
    <row r="1156" ht="15.75" customHeight="1">
      <c r="A1156" s="25"/>
      <c r="B1156" s="22"/>
      <c r="C1156" s="22">
        <f t="shared" si="6"/>
        <v>0</v>
      </c>
      <c r="D1156" s="25"/>
      <c r="E1156" s="22"/>
      <c r="F1156" s="22" t="str">
        <f t="shared" si="8"/>
        <v>#DIV/0!</v>
      </c>
      <c r="G1156" s="22" t="str">
        <f t="shared" si="31"/>
        <v>#DIV/0!</v>
      </c>
      <c r="H1156" s="22" t="str">
        <f t="shared" si="32"/>
        <v>#DIV/0!</v>
      </c>
      <c r="I1156" s="22" t="str">
        <f t="shared" si="3"/>
        <v>#DIV/0!</v>
      </c>
      <c r="J1156" s="22" t="str">
        <f t="shared" si="33"/>
        <v>#DIV/0!</v>
      </c>
    </row>
    <row r="1157" ht="15.75" customHeight="1">
      <c r="A1157" s="25"/>
      <c r="B1157" s="22"/>
      <c r="C1157" s="22">
        <f t="shared" si="6"/>
        <v>0</v>
      </c>
      <c r="D1157" s="25"/>
      <c r="E1157" s="22"/>
      <c r="F1157" s="22" t="str">
        <f t="shared" si="8"/>
        <v>#DIV/0!</v>
      </c>
      <c r="G1157" s="22" t="str">
        <f t="shared" si="31"/>
        <v>#DIV/0!</v>
      </c>
      <c r="H1157" s="22" t="str">
        <f t="shared" si="32"/>
        <v>#DIV/0!</v>
      </c>
      <c r="I1157" s="22" t="str">
        <f t="shared" si="3"/>
        <v>#DIV/0!</v>
      </c>
      <c r="J1157" s="22" t="str">
        <f t="shared" si="33"/>
        <v>#DIV/0!</v>
      </c>
    </row>
    <row r="1158" ht="15.75" customHeight="1">
      <c r="A1158" s="25"/>
      <c r="B1158" s="22"/>
      <c r="C1158" s="22">
        <f t="shared" si="6"/>
        <v>0</v>
      </c>
      <c r="D1158" s="25"/>
      <c r="E1158" s="22"/>
      <c r="F1158" s="22" t="str">
        <f t="shared" si="8"/>
        <v>#DIV/0!</v>
      </c>
      <c r="G1158" s="22" t="str">
        <f t="shared" si="31"/>
        <v>#DIV/0!</v>
      </c>
      <c r="H1158" s="22" t="str">
        <f t="shared" si="32"/>
        <v>#DIV/0!</v>
      </c>
      <c r="I1158" s="22" t="str">
        <f t="shared" si="3"/>
        <v>#DIV/0!</v>
      </c>
      <c r="J1158" s="22" t="str">
        <f t="shared" si="33"/>
        <v>#DIV/0!</v>
      </c>
    </row>
    <row r="1159" ht="15.75" customHeight="1">
      <c r="A1159" s="25"/>
      <c r="B1159" s="22"/>
      <c r="C1159" s="22">
        <f t="shared" si="6"/>
        <v>0</v>
      </c>
      <c r="D1159" s="25"/>
      <c r="E1159" s="22"/>
      <c r="F1159" s="22" t="str">
        <f t="shared" si="8"/>
        <v>#DIV/0!</v>
      </c>
      <c r="G1159" s="22" t="str">
        <f t="shared" si="31"/>
        <v>#DIV/0!</v>
      </c>
      <c r="H1159" s="22" t="str">
        <f t="shared" si="32"/>
        <v>#DIV/0!</v>
      </c>
      <c r="I1159" s="22" t="str">
        <f t="shared" si="3"/>
        <v>#DIV/0!</v>
      </c>
      <c r="J1159" s="22" t="str">
        <f t="shared" si="33"/>
        <v>#DIV/0!</v>
      </c>
    </row>
    <row r="1160" ht="15.75" customHeight="1">
      <c r="A1160" s="25"/>
      <c r="B1160" s="22"/>
      <c r="C1160" s="22">
        <f t="shared" si="6"/>
        <v>0</v>
      </c>
      <c r="D1160" s="25"/>
      <c r="E1160" s="22"/>
      <c r="F1160" s="22" t="str">
        <f t="shared" si="8"/>
        <v>#DIV/0!</v>
      </c>
      <c r="G1160" s="22" t="str">
        <f t="shared" si="31"/>
        <v>#DIV/0!</v>
      </c>
      <c r="H1160" s="22" t="str">
        <f t="shared" si="32"/>
        <v>#DIV/0!</v>
      </c>
      <c r="I1160" s="22" t="str">
        <f t="shared" si="3"/>
        <v>#DIV/0!</v>
      </c>
      <c r="J1160" s="22" t="str">
        <f t="shared" si="33"/>
        <v>#DIV/0!</v>
      </c>
    </row>
    <row r="1161" ht="15.75" customHeight="1">
      <c r="A1161" s="25"/>
      <c r="B1161" s="22"/>
      <c r="C1161" s="22">
        <f t="shared" si="6"/>
        <v>0</v>
      </c>
      <c r="D1161" s="25"/>
      <c r="E1161" s="22"/>
      <c r="F1161" s="22" t="str">
        <f t="shared" si="8"/>
        <v>#DIV/0!</v>
      </c>
      <c r="G1161" s="22" t="str">
        <f t="shared" si="31"/>
        <v>#DIV/0!</v>
      </c>
      <c r="H1161" s="22" t="str">
        <f t="shared" si="32"/>
        <v>#DIV/0!</v>
      </c>
      <c r="I1161" s="22" t="str">
        <f t="shared" si="3"/>
        <v>#DIV/0!</v>
      </c>
      <c r="J1161" s="22" t="str">
        <f t="shared" si="33"/>
        <v>#DIV/0!</v>
      </c>
    </row>
    <row r="1162" ht="15.75" customHeight="1">
      <c r="A1162" s="25"/>
      <c r="B1162" s="22"/>
      <c r="C1162" s="22">
        <f t="shared" si="6"/>
        <v>0</v>
      </c>
      <c r="D1162" s="25"/>
      <c r="E1162" s="22"/>
      <c r="F1162" s="22" t="str">
        <f t="shared" si="8"/>
        <v>#DIV/0!</v>
      </c>
      <c r="G1162" s="22" t="str">
        <f t="shared" si="31"/>
        <v>#DIV/0!</v>
      </c>
      <c r="H1162" s="22" t="str">
        <f t="shared" si="32"/>
        <v>#DIV/0!</v>
      </c>
      <c r="I1162" s="22" t="str">
        <f t="shared" si="3"/>
        <v>#DIV/0!</v>
      </c>
      <c r="J1162" s="22" t="str">
        <f t="shared" si="33"/>
        <v>#DIV/0!</v>
      </c>
    </row>
    <row r="1163" ht="15.75" customHeight="1">
      <c r="A1163" s="25"/>
      <c r="B1163" s="22"/>
      <c r="C1163" s="22">
        <f t="shared" si="6"/>
        <v>0</v>
      </c>
      <c r="D1163" s="25"/>
      <c r="E1163" s="22"/>
      <c r="F1163" s="22" t="str">
        <f t="shared" si="8"/>
        <v>#DIV/0!</v>
      </c>
      <c r="G1163" s="22" t="str">
        <f t="shared" si="31"/>
        <v>#DIV/0!</v>
      </c>
      <c r="H1163" s="22" t="str">
        <f t="shared" si="32"/>
        <v>#DIV/0!</v>
      </c>
      <c r="I1163" s="22" t="str">
        <f t="shared" si="3"/>
        <v>#DIV/0!</v>
      </c>
      <c r="J1163" s="22" t="str">
        <f t="shared" si="33"/>
        <v>#DIV/0!</v>
      </c>
    </row>
    <row r="1164" ht="15.75" customHeight="1">
      <c r="A1164" s="25"/>
      <c r="B1164" s="22"/>
      <c r="C1164" s="22">
        <f t="shared" si="6"/>
        <v>0</v>
      </c>
      <c r="D1164" s="25"/>
      <c r="E1164" s="22"/>
      <c r="F1164" s="22" t="str">
        <f t="shared" si="8"/>
        <v>#DIV/0!</v>
      </c>
      <c r="G1164" s="22" t="str">
        <f t="shared" si="31"/>
        <v>#DIV/0!</v>
      </c>
      <c r="H1164" s="22" t="str">
        <f t="shared" si="32"/>
        <v>#DIV/0!</v>
      </c>
      <c r="I1164" s="22" t="str">
        <f t="shared" si="3"/>
        <v>#DIV/0!</v>
      </c>
      <c r="J1164" s="22" t="str">
        <f t="shared" si="33"/>
        <v>#DIV/0!</v>
      </c>
    </row>
    <row r="1165" ht="15.75" customHeight="1">
      <c r="A1165" s="25"/>
      <c r="B1165" s="22"/>
      <c r="C1165" s="22">
        <f t="shared" si="6"/>
        <v>0</v>
      </c>
      <c r="D1165" s="25"/>
      <c r="E1165" s="22"/>
      <c r="F1165" s="22" t="str">
        <f t="shared" si="8"/>
        <v>#DIV/0!</v>
      </c>
      <c r="G1165" s="22" t="str">
        <f t="shared" si="31"/>
        <v>#DIV/0!</v>
      </c>
      <c r="H1165" s="22" t="str">
        <f t="shared" si="32"/>
        <v>#DIV/0!</v>
      </c>
      <c r="I1165" s="22" t="str">
        <f t="shared" si="3"/>
        <v>#DIV/0!</v>
      </c>
      <c r="J1165" s="22" t="str">
        <f t="shared" si="33"/>
        <v>#DIV/0!</v>
      </c>
    </row>
    <row r="1166" ht="15.75" customHeight="1">
      <c r="A1166" s="25"/>
      <c r="B1166" s="22"/>
      <c r="C1166" s="22">
        <f t="shared" si="6"/>
        <v>0</v>
      </c>
      <c r="D1166" s="25"/>
      <c r="E1166" s="22"/>
      <c r="F1166" s="22" t="str">
        <f t="shared" si="8"/>
        <v>#DIV/0!</v>
      </c>
      <c r="G1166" s="22" t="str">
        <f t="shared" si="31"/>
        <v>#DIV/0!</v>
      </c>
      <c r="H1166" s="22" t="str">
        <f t="shared" si="32"/>
        <v>#DIV/0!</v>
      </c>
      <c r="I1166" s="22" t="str">
        <f t="shared" si="3"/>
        <v>#DIV/0!</v>
      </c>
      <c r="J1166" s="22" t="str">
        <f t="shared" si="33"/>
        <v>#DIV/0!</v>
      </c>
    </row>
    <row r="1167" ht="15.75" customHeight="1">
      <c r="A1167" s="25"/>
      <c r="B1167" s="22"/>
      <c r="C1167" s="22">
        <f t="shared" si="6"/>
        <v>0</v>
      </c>
      <c r="D1167" s="25"/>
      <c r="E1167" s="22"/>
      <c r="F1167" s="22" t="str">
        <f t="shared" si="8"/>
        <v>#DIV/0!</v>
      </c>
      <c r="G1167" s="22" t="str">
        <f t="shared" si="31"/>
        <v>#DIV/0!</v>
      </c>
      <c r="H1167" s="22" t="str">
        <f t="shared" si="32"/>
        <v>#DIV/0!</v>
      </c>
      <c r="I1167" s="22" t="str">
        <f t="shared" si="3"/>
        <v>#DIV/0!</v>
      </c>
      <c r="J1167" s="22" t="str">
        <f t="shared" si="33"/>
        <v>#DIV/0!</v>
      </c>
    </row>
    <row r="1168" ht="15.75" customHeight="1">
      <c r="A1168" s="25"/>
      <c r="B1168" s="22"/>
      <c r="C1168" s="22">
        <f t="shared" si="6"/>
        <v>0</v>
      </c>
      <c r="D1168" s="25"/>
      <c r="E1168" s="22"/>
      <c r="F1168" s="22" t="str">
        <f t="shared" si="8"/>
        <v>#DIV/0!</v>
      </c>
      <c r="G1168" s="22" t="str">
        <f t="shared" si="31"/>
        <v>#DIV/0!</v>
      </c>
      <c r="H1168" s="22" t="str">
        <f t="shared" si="32"/>
        <v>#DIV/0!</v>
      </c>
      <c r="I1168" s="22" t="str">
        <f t="shared" si="3"/>
        <v>#DIV/0!</v>
      </c>
      <c r="J1168" s="22" t="str">
        <f t="shared" si="33"/>
        <v>#DIV/0!</v>
      </c>
    </row>
    <row r="1169" ht="15.75" customHeight="1">
      <c r="A1169" s="25"/>
      <c r="B1169" s="22"/>
      <c r="C1169" s="22">
        <f t="shared" si="6"/>
        <v>0</v>
      </c>
      <c r="D1169" s="25"/>
      <c r="E1169" s="22"/>
      <c r="F1169" s="22" t="str">
        <f t="shared" si="8"/>
        <v>#DIV/0!</v>
      </c>
      <c r="G1169" s="22" t="str">
        <f t="shared" si="31"/>
        <v>#DIV/0!</v>
      </c>
      <c r="H1169" s="22" t="str">
        <f t="shared" si="32"/>
        <v>#DIV/0!</v>
      </c>
      <c r="I1169" s="22" t="str">
        <f t="shared" si="3"/>
        <v>#DIV/0!</v>
      </c>
      <c r="J1169" s="22" t="str">
        <f t="shared" si="33"/>
        <v>#DIV/0!</v>
      </c>
    </row>
    <row r="1170" ht="15.75" customHeight="1">
      <c r="A1170" s="25"/>
      <c r="B1170" s="22"/>
      <c r="C1170" s="22">
        <f t="shared" si="6"/>
        <v>0</v>
      </c>
      <c r="D1170" s="25"/>
      <c r="E1170" s="22"/>
      <c r="F1170" s="22" t="str">
        <f t="shared" si="8"/>
        <v>#DIV/0!</v>
      </c>
      <c r="G1170" s="22" t="str">
        <f t="shared" si="31"/>
        <v>#DIV/0!</v>
      </c>
      <c r="H1170" s="22" t="str">
        <f t="shared" si="32"/>
        <v>#DIV/0!</v>
      </c>
      <c r="I1170" s="22" t="str">
        <f t="shared" si="3"/>
        <v>#DIV/0!</v>
      </c>
      <c r="J1170" s="22" t="str">
        <f t="shared" si="33"/>
        <v>#DIV/0!</v>
      </c>
    </row>
    <row r="1171" ht="15.75" customHeight="1">
      <c r="A1171" s="25"/>
      <c r="B1171" s="22"/>
      <c r="C1171" s="22">
        <f t="shared" si="6"/>
        <v>0</v>
      </c>
      <c r="D1171" s="25"/>
      <c r="E1171" s="22"/>
      <c r="F1171" s="22" t="str">
        <f t="shared" si="8"/>
        <v>#DIV/0!</v>
      </c>
      <c r="G1171" s="22" t="str">
        <f t="shared" si="31"/>
        <v>#DIV/0!</v>
      </c>
      <c r="H1171" s="22" t="str">
        <f t="shared" si="32"/>
        <v>#DIV/0!</v>
      </c>
      <c r="I1171" s="22" t="str">
        <f t="shared" si="3"/>
        <v>#DIV/0!</v>
      </c>
      <c r="J1171" s="22" t="str">
        <f t="shared" si="33"/>
        <v>#DIV/0!</v>
      </c>
    </row>
    <row r="1172" ht="15.75" customHeight="1">
      <c r="A1172" s="25"/>
      <c r="B1172" s="22"/>
      <c r="C1172" s="22">
        <f t="shared" si="6"/>
        <v>0</v>
      </c>
      <c r="D1172" s="25"/>
      <c r="E1172" s="22"/>
      <c r="F1172" s="22" t="str">
        <f t="shared" si="8"/>
        <v>#DIV/0!</v>
      </c>
      <c r="G1172" s="22" t="str">
        <f t="shared" si="31"/>
        <v>#DIV/0!</v>
      </c>
      <c r="H1172" s="22" t="str">
        <f t="shared" si="32"/>
        <v>#DIV/0!</v>
      </c>
      <c r="I1172" s="22" t="str">
        <f t="shared" si="3"/>
        <v>#DIV/0!</v>
      </c>
      <c r="J1172" s="22" t="str">
        <f t="shared" si="33"/>
        <v>#DIV/0!</v>
      </c>
    </row>
    <row r="1173" ht="15.75" customHeight="1">
      <c r="A1173" s="25"/>
      <c r="B1173" s="22"/>
      <c r="C1173" s="22">
        <f t="shared" si="6"/>
        <v>0</v>
      </c>
      <c r="D1173" s="25"/>
      <c r="E1173" s="22"/>
      <c r="F1173" s="22" t="str">
        <f t="shared" si="8"/>
        <v>#DIV/0!</v>
      </c>
      <c r="G1173" s="22" t="str">
        <f t="shared" si="31"/>
        <v>#DIV/0!</v>
      </c>
      <c r="H1173" s="22" t="str">
        <f t="shared" si="32"/>
        <v>#DIV/0!</v>
      </c>
      <c r="I1173" s="22" t="str">
        <f t="shared" si="3"/>
        <v>#DIV/0!</v>
      </c>
      <c r="J1173" s="22" t="str">
        <f t="shared" si="33"/>
        <v>#DIV/0!</v>
      </c>
    </row>
    <row r="1174" ht="15.75" customHeight="1">
      <c r="A1174" s="25"/>
      <c r="B1174" s="22"/>
      <c r="C1174" s="22">
        <f t="shared" si="6"/>
        <v>0</v>
      </c>
      <c r="D1174" s="25"/>
      <c r="E1174" s="22"/>
      <c r="F1174" s="22" t="str">
        <f t="shared" si="8"/>
        <v>#DIV/0!</v>
      </c>
      <c r="G1174" s="22" t="str">
        <f t="shared" si="31"/>
        <v>#DIV/0!</v>
      </c>
      <c r="H1174" s="22" t="str">
        <f t="shared" si="32"/>
        <v>#DIV/0!</v>
      </c>
      <c r="I1174" s="22" t="str">
        <f t="shared" si="3"/>
        <v>#DIV/0!</v>
      </c>
      <c r="J1174" s="22" t="str">
        <f t="shared" si="33"/>
        <v>#DIV/0!</v>
      </c>
    </row>
    <row r="1175" ht="15.75" customHeight="1">
      <c r="A1175" s="25"/>
      <c r="B1175" s="22"/>
      <c r="C1175" s="22">
        <f t="shared" si="6"/>
        <v>0</v>
      </c>
      <c r="D1175" s="25"/>
      <c r="E1175" s="22"/>
      <c r="F1175" s="22" t="str">
        <f t="shared" si="8"/>
        <v>#DIV/0!</v>
      </c>
      <c r="G1175" s="22" t="str">
        <f t="shared" si="31"/>
        <v>#DIV/0!</v>
      </c>
      <c r="H1175" s="22" t="str">
        <f t="shared" si="32"/>
        <v>#DIV/0!</v>
      </c>
      <c r="I1175" s="22" t="str">
        <f t="shared" si="3"/>
        <v>#DIV/0!</v>
      </c>
      <c r="J1175" s="22" t="str">
        <f t="shared" si="33"/>
        <v>#DIV/0!</v>
      </c>
    </row>
    <row r="1176" ht="15.75" customHeight="1">
      <c r="A1176" s="25"/>
      <c r="B1176" s="22"/>
      <c r="C1176" s="22">
        <f t="shared" si="6"/>
        <v>0</v>
      </c>
      <c r="D1176" s="25"/>
      <c r="E1176" s="22"/>
      <c r="F1176" s="22" t="str">
        <f t="shared" si="8"/>
        <v>#DIV/0!</v>
      </c>
      <c r="G1176" s="22" t="str">
        <f t="shared" si="31"/>
        <v>#DIV/0!</v>
      </c>
      <c r="H1176" s="22" t="str">
        <f t="shared" si="32"/>
        <v>#DIV/0!</v>
      </c>
      <c r="I1176" s="22" t="str">
        <f t="shared" si="3"/>
        <v>#DIV/0!</v>
      </c>
      <c r="J1176" s="22" t="str">
        <f t="shared" si="33"/>
        <v>#DIV/0!</v>
      </c>
    </row>
    <row r="1177" ht="15.75" customHeight="1">
      <c r="A1177" s="25"/>
      <c r="B1177" s="22"/>
      <c r="C1177" s="22">
        <f t="shared" si="6"/>
        <v>0</v>
      </c>
      <c r="D1177" s="25"/>
      <c r="E1177" s="22"/>
      <c r="F1177" s="22" t="str">
        <f t="shared" si="8"/>
        <v>#DIV/0!</v>
      </c>
      <c r="G1177" s="22" t="str">
        <f t="shared" si="31"/>
        <v>#DIV/0!</v>
      </c>
      <c r="H1177" s="22" t="str">
        <f t="shared" si="32"/>
        <v>#DIV/0!</v>
      </c>
      <c r="I1177" s="22" t="str">
        <f t="shared" si="3"/>
        <v>#DIV/0!</v>
      </c>
      <c r="J1177" s="22" t="str">
        <f t="shared" si="33"/>
        <v>#DIV/0!</v>
      </c>
    </row>
    <row r="1178" ht="15.75" customHeight="1">
      <c r="A1178" s="25"/>
      <c r="B1178" s="22"/>
      <c r="C1178" s="22">
        <f t="shared" si="6"/>
        <v>0</v>
      </c>
      <c r="D1178" s="25"/>
      <c r="E1178" s="22"/>
      <c r="F1178" s="22" t="str">
        <f t="shared" si="8"/>
        <v>#DIV/0!</v>
      </c>
      <c r="G1178" s="22" t="str">
        <f t="shared" si="31"/>
        <v>#DIV/0!</v>
      </c>
      <c r="H1178" s="22" t="str">
        <f t="shared" si="32"/>
        <v>#DIV/0!</v>
      </c>
      <c r="I1178" s="22" t="str">
        <f t="shared" si="3"/>
        <v>#DIV/0!</v>
      </c>
      <c r="J1178" s="22" t="str">
        <f t="shared" si="33"/>
        <v>#DIV/0!</v>
      </c>
    </row>
    <row r="1179" ht="15.75" customHeight="1">
      <c r="A1179" s="25"/>
      <c r="B1179" s="22"/>
      <c r="C1179" s="22">
        <f t="shared" si="6"/>
        <v>0</v>
      </c>
      <c r="D1179" s="25"/>
      <c r="E1179" s="22"/>
      <c r="F1179" s="22" t="str">
        <f t="shared" si="8"/>
        <v>#DIV/0!</v>
      </c>
      <c r="G1179" s="22" t="str">
        <f t="shared" si="31"/>
        <v>#DIV/0!</v>
      </c>
      <c r="H1179" s="22" t="str">
        <f t="shared" si="32"/>
        <v>#DIV/0!</v>
      </c>
      <c r="I1179" s="22" t="str">
        <f t="shared" si="3"/>
        <v>#DIV/0!</v>
      </c>
      <c r="J1179" s="22" t="str">
        <f t="shared" si="33"/>
        <v>#DIV/0!</v>
      </c>
    </row>
    <row r="1180" ht="15.75" customHeight="1">
      <c r="A1180" s="25"/>
      <c r="B1180" s="22"/>
      <c r="C1180" s="22">
        <f t="shared" si="6"/>
        <v>0</v>
      </c>
      <c r="D1180" s="25"/>
      <c r="E1180" s="22"/>
      <c r="F1180" s="22" t="str">
        <f t="shared" si="8"/>
        <v>#DIV/0!</v>
      </c>
      <c r="G1180" s="22" t="str">
        <f t="shared" si="31"/>
        <v>#DIV/0!</v>
      </c>
      <c r="H1180" s="22" t="str">
        <f t="shared" si="32"/>
        <v>#DIV/0!</v>
      </c>
      <c r="I1180" s="22" t="str">
        <f t="shared" si="3"/>
        <v>#DIV/0!</v>
      </c>
      <c r="J1180" s="22" t="str">
        <f t="shared" si="33"/>
        <v>#DIV/0!</v>
      </c>
    </row>
    <row r="1181" ht="15.75" customHeight="1">
      <c r="A1181" s="25"/>
      <c r="B1181" s="22"/>
      <c r="C1181" s="22">
        <f t="shared" si="6"/>
        <v>0</v>
      </c>
      <c r="D1181" s="25"/>
      <c r="E1181" s="22"/>
      <c r="F1181" s="22" t="str">
        <f t="shared" si="8"/>
        <v>#DIV/0!</v>
      </c>
      <c r="G1181" s="22" t="str">
        <f t="shared" si="31"/>
        <v>#DIV/0!</v>
      </c>
      <c r="H1181" s="22" t="str">
        <f t="shared" si="32"/>
        <v>#DIV/0!</v>
      </c>
      <c r="I1181" s="22" t="str">
        <f t="shared" si="3"/>
        <v>#DIV/0!</v>
      </c>
      <c r="J1181" s="22" t="str">
        <f t="shared" si="33"/>
        <v>#DIV/0!</v>
      </c>
    </row>
    <row r="1182" ht="15.75" customHeight="1">
      <c r="A1182" s="25"/>
      <c r="B1182" s="22"/>
      <c r="C1182" s="22">
        <f t="shared" si="6"/>
        <v>0</v>
      </c>
      <c r="D1182" s="25"/>
      <c r="E1182" s="22"/>
      <c r="F1182" s="22" t="str">
        <f t="shared" si="8"/>
        <v>#DIV/0!</v>
      </c>
      <c r="G1182" s="22" t="str">
        <f t="shared" si="31"/>
        <v>#DIV/0!</v>
      </c>
      <c r="H1182" s="22" t="str">
        <f t="shared" si="32"/>
        <v>#DIV/0!</v>
      </c>
      <c r="I1182" s="22" t="str">
        <f t="shared" si="3"/>
        <v>#DIV/0!</v>
      </c>
      <c r="J1182" s="22" t="str">
        <f t="shared" si="33"/>
        <v>#DIV/0!</v>
      </c>
    </row>
    <row r="1183" ht="15.75" customHeight="1">
      <c r="A1183" s="25"/>
      <c r="B1183" s="22"/>
      <c r="C1183" s="22">
        <f t="shared" si="6"/>
        <v>0</v>
      </c>
      <c r="D1183" s="25"/>
      <c r="E1183" s="22"/>
      <c r="F1183" s="22" t="str">
        <f t="shared" si="8"/>
        <v>#DIV/0!</v>
      </c>
      <c r="G1183" s="22" t="str">
        <f t="shared" si="31"/>
        <v>#DIV/0!</v>
      </c>
      <c r="H1183" s="22" t="str">
        <f t="shared" si="32"/>
        <v>#DIV/0!</v>
      </c>
      <c r="I1183" s="22" t="str">
        <f t="shared" si="3"/>
        <v>#DIV/0!</v>
      </c>
      <c r="J1183" s="22" t="str">
        <f t="shared" si="33"/>
        <v>#DIV/0!</v>
      </c>
    </row>
    <row r="1184" ht="15.75" customHeight="1">
      <c r="A1184" s="25"/>
      <c r="B1184" s="22"/>
      <c r="C1184" s="22">
        <f t="shared" si="6"/>
        <v>0</v>
      </c>
      <c r="D1184" s="25"/>
      <c r="E1184" s="22"/>
      <c r="F1184" s="22" t="str">
        <f t="shared" si="8"/>
        <v>#DIV/0!</v>
      </c>
      <c r="G1184" s="22" t="str">
        <f t="shared" si="31"/>
        <v>#DIV/0!</v>
      </c>
      <c r="H1184" s="22" t="str">
        <f t="shared" si="32"/>
        <v>#DIV/0!</v>
      </c>
      <c r="I1184" s="22" t="str">
        <f t="shared" si="3"/>
        <v>#DIV/0!</v>
      </c>
      <c r="J1184" s="22" t="str">
        <f t="shared" si="33"/>
        <v>#DIV/0!</v>
      </c>
    </row>
    <row r="1185" ht="15.75" customHeight="1">
      <c r="A1185" s="25"/>
      <c r="B1185" s="22"/>
      <c r="C1185" s="22">
        <f t="shared" si="6"/>
        <v>0</v>
      </c>
      <c r="D1185" s="25"/>
      <c r="E1185" s="22"/>
      <c r="F1185" s="22" t="str">
        <f t="shared" si="8"/>
        <v>#DIV/0!</v>
      </c>
      <c r="G1185" s="22" t="str">
        <f t="shared" si="31"/>
        <v>#DIV/0!</v>
      </c>
      <c r="H1185" s="22" t="str">
        <f t="shared" si="32"/>
        <v>#DIV/0!</v>
      </c>
      <c r="I1185" s="22" t="str">
        <f t="shared" si="3"/>
        <v>#DIV/0!</v>
      </c>
      <c r="J1185" s="22" t="str">
        <f t="shared" si="33"/>
        <v>#DIV/0!</v>
      </c>
    </row>
    <row r="1186" ht="15.75" customHeight="1">
      <c r="A1186" s="25"/>
      <c r="B1186" s="22"/>
      <c r="C1186" s="22">
        <f t="shared" si="6"/>
        <v>0</v>
      </c>
      <c r="D1186" s="25"/>
      <c r="E1186" s="22"/>
      <c r="F1186" s="22" t="str">
        <f t="shared" si="8"/>
        <v>#DIV/0!</v>
      </c>
      <c r="G1186" s="22" t="str">
        <f t="shared" si="31"/>
        <v>#DIV/0!</v>
      </c>
      <c r="H1186" s="22" t="str">
        <f t="shared" si="32"/>
        <v>#DIV/0!</v>
      </c>
      <c r="I1186" s="22" t="str">
        <f t="shared" si="3"/>
        <v>#DIV/0!</v>
      </c>
      <c r="J1186" s="22" t="str">
        <f t="shared" si="33"/>
        <v>#DIV/0!</v>
      </c>
    </row>
    <row r="1187" ht="15.75" customHeight="1">
      <c r="A1187" s="25"/>
      <c r="B1187" s="22"/>
      <c r="C1187" s="22">
        <f t="shared" si="6"/>
        <v>0</v>
      </c>
      <c r="D1187" s="25"/>
      <c r="E1187" s="22"/>
      <c r="F1187" s="22" t="str">
        <f t="shared" si="8"/>
        <v>#DIV/0!</v>
      </c>
      <c r="G1187" s="22" t="str">
        <f t="shared" si="31"/>
        <v>#DIV/0!</v>
      </c>
      <c r="H1187" s="22" t="str">
        <f t="shared" si="32"/>
        <v>#DIV/0!</v>
      </c>
      <c r="I1187" s="22" t="str">
        <f t="shared" si="3"/>
        <v>#DIV/0!</v>
      </c>
      <c r="J1187" s="22" t="str">
        <f t="shared" si="33"/>
        <v>#DIV/0!</v>
      </c>
    </row>
    <row r="1188" ht="15.75" customHeight="1">
      <c r="A1188" s="25"/>
      <c r="B1188" s="22"/>
      <c r="C1188" s="22">
        <f t="shared" si="6"/>
        <v>0</v>
      </c>
      <c r="D1188" s="25"/>
      <c r="E1188" s="22"/>
      <c r="F1188" s="22" t="str">
        <f t="shared" si="8"/>
        <v>#DIV/0!</v>
      </c>
      <c r="G1188" s="22" t="str">
        <f t="shared" si="31"/>
        <v>#DIV/0!</v>
      </c>
      <c r="H1188" s="22" t="str">
        <f t="shared" si="32"/>
        <v>#DIV/0!</v>
      </c>
      <c r="I1188" s="22" t="str">
        <f t="shared" si="3"/>
        <v>#DIV/0!</v>
      </c>
      <c r="J1188" s="22" t="str">
        <f t="shared" si="33"/>
        <v>#DIV/0!</v>
      </c>
    </row>
    <row r="1189" ht="15.75" customHeight="1">
      <c r="A1189" s="25"/>
      <c r="B1189" s="22"/>
      <c r="C1189" s="22">
        <f t="shared" si="6"/>
        <v>0</v>
      </c>
      <c r="D1189" s="25"/>
      <c r="E1189" s="22"/>
      <c r="F1189" s="22" t="str">
        <f t="shared" si="8"/>
        <v>#DIV/0!</v>
      </c>
      <c r="G1189" s="22" t="str">
        <f t="shared" si="31"/>
        <v>#DIV/0!</v>
      </c>
      <c r="H1189" s="22" t="str">
        <f t="shared" si="32"/>
        <v>#DIV/0!</v>
      </c>
      <c r="I1189" s="22" t="str">
        <f t="shared" si="3"/>
        <v>#DIV/0!</v>
      </c>
      <c r="J1189" s="22" t="str">
        <f t="shared" si="33"/>
        <v>#DIV/0!</v>
      </c>
    </row>
    <row r="1190" ht="15.75" customHeight="1">
      <c r="A1190" s="25"/>
      <c r="B1190" s="22"/>
      <c r="C1190" s="22">
        <f t="shared" si="6"/>
        <v>0</v>
      </c>
      <c r="D1190" s="25"/>
      <c r="E1190" s="22"/>
      <c r="F1190" s="22" t="str">
        <f t="shared" si="8"/>
        <v>#DIV/0!</v>
      </c>
      <c r="G1190" s="22" t="str">
        <f t="shared" si="31"/>
        <v>#DIV/0!</v>
      </c>
      <c r="H1190" s="22" t="str">
        <f t="shared" si="32"/>
        <v>#DIV/0!</v>
      </c>
      <c r="I1190" s="22" t="str">
        <f t="shared" si="3"/>
        <v>#DIV/0!</v>
      </c>
      <c r="J1190" s="22" t="str">
        <f t="shared" si="33"/>
        <v>#DIV/0!</v>
      </c>
    </row>
    <row r="1191" ht="15.75" customHeight="1">
      <c r="A1191" s="25"/>
      <c r="B1191" s="22"/>
      <c r="C1191" s="22">
        <f t="shared" si="6"/>
        <v>0</v>
      </c>
      <c r="D1191" s="25"/>
      <c r="E1191" s="22"/>
      <c r="F1191" s="22" t="str">
        <f t="shared" si="8"/>
        <v>#DIV/0!</v>
      </c>
      <c r="G1191" s="22" t="str">
        <f t="shared" si="31"/>
        <v>#DIV/0!</v>
      </c>
      <c r="H1191" s="22" t="str">
        <f t="shared" si="32"/>
        <v>#DIV/0!</v>
      </c>
      <c r="I1191" s="22" t="str">
        <f t="shared" si="3"/>
        <v>#DIV/0!</v>
      </c>
      <c r="J1191" s="22" t="str">
        <f t="shared" si="33"/>
        <v>#DIV/0!</v>
      </c>
    </row>
    <row r="1192" ht="15.75" customHeight="1">
      <c r="A1192" s="25"/>
      <c r="B1192" s="22"/>
      <c r="C1192" s="22">
        <f t="shared" si="6"/>
        <v>0</v>
      </c>
      <c r="D1192" s="25"/>
      <c r="E1192" s="22"/>
      <c r="F1192" s="22" t="str">
        <f t="shared" si="8"/>
        <v>#DIV/0!</v>
      </c>
      <c r="G1192" s="22" t="str">
        <f t="shared" si="31"/>
        <v>#DIV/0!</v>
      </c>
      <c r="H1192" s="22" t="str">
        <f t="shared" si="32"/>
        <v>#DIV/0!</v>
      </c>
      <c r="I1192" s="22" t="str">
        <f t="shared" si="3"/>
        <v>#DIV/0!</v>
      </c>
      <c r="J1192" s="22" t="str">
        <f t="shared" si="33"/>
        <v>#DIV/0!</v>
      </c>
    </row>
    <row r="1193" ht="15.75" customHeight="1">
      <c r="A1193" s="25"/>
      <c r="B1193" s="22"/>
      <c r="C1193" s="22">
        <f t="shared" si="6"/>
        <v>0</v>
      </c>
      <c r="D1193" s="25"/>
      <c r="E1193" s="22"/>
      <c r="F1193" s="22" t="str">
        <f t="shared" si="8"/>
        <v>#DIV/0!</v>
      </c>
      <c r="G1193" s="22" t="str">
        <f t="shared" si="31"/>
        <v>#DIV/0!</v>
      </c>
      <c r="H1193" s="22" t="str">
        <f t="shared" si="32"/>
        <v>#DIV/0!</v>
      </c>
      <c r="I1193" s="22" t="str">
        <f t="shared" si="3"/>
        <v>#DIV/0!</v>
      </c>
      <c r="J1193" s="22" t="str">
        <f t="shared" si="33"/>
        <v>#DIV/0!</v>
      </c>
    </row>
    <row r="1194" ht="15.75" customHeight="1">
      <c r="A1194" s="25"/>
      <c r="B1194" s="22"/>
      <c r="C1194" s="22">
        <f t="shared" si="6"/>
        <v>0</v>
      </c>
      <c r="D1194" s="25"/>
      <c r="E1194" s="22"/>
      <c r="F1194" s="22" t="str">
        <f t="shared" si="8"/>
        <v>#DIV/0!</v>
      </c>
      <c r="G1194" s="22" t="str">
        <f t="shared" si="31"/>
        <v>#DIV/0!</v>
      </c>
      <c r="H1194" s="22" t="str">
        <f t="shared" si="32"/>
        <v>#DIV/0!</v>
      </c>
      <c r="I1194" s="22" t="str">
        <f t="shared" si="3"/>
        <v>#DIV/0!</v>
      </c>
      <c r="J1194" s="22" t="str">
        <f t="shared" si="33"/>
        <v>#DIV/0!</v>
      </c>
    </row>
    <row r="1195" ht="15.75" customHeight="1">
      <c r="A1195" s="25"/>
      <c r="B1195" s="22"/>
      <c r="C1195" s="22">
        <f t="shared" si="6"/>
        <v>0</v>
      </c>
      <c r="D1195" s="25"/>
      <c r="E1195" s="22"/>
      <c r="F1195" s="22" t="str">
        <f t="shared" si="8"/>
        <v>#DIV/0!</v>
      </c>
      <c r="G1195" s="22" t="str">
        <f t="shared" si="31"/>
        <v>#DIV/0!</v>
      </c>
      <c r="H1195" s="22" t="str">
        <f t="shared" si="32"/>
        <v>#DIV/0!</v>
      </c>
      <c r="I1195" s="22" t="str">
        <f t="shared" si="3"/>
        <v>#DIV/0!</v>
      </c>
      <c r="J1195" s="22" t="str">
        <f t="shared" si="33"/>
        <v>#DIV/0!</v>
      </c>
    </row>
    <row r="1196" ht="15.75" customHeight="1">
      <c r="A1196" s="25"/>
      <c r="B1196" s="22"/>
      <c r="C1196" s="22">
        <f t="shared" si="6"/>
        <v>0</v>
      </c>
      <c r="D1196" s="25"/>
      <c r="E1196" s="22"/>
      <c r="F1196" s="22" t="str">
        <f t="shared" si="8"/>
        <v>#DIV/0!</v>
      </c>
      <c r="G1196" s="22" t="str">
        <f t="shared" si="31"/>
        <v>#DIV/0!</v>
      </c>
      <c r="H1196" s="22" t="str">
        <f t="shared" si="32"/>
        <v>#DIV/0!</v>
      </c>
      <c r="I1196" s="22" t="str">
        <f t="shared" si="3"/>
        <v>#DIV/0!</v>
      </c>
      <c r="J1196" s="22" t="str">
        <f t="shared" si="33"/>
        <v>#DIV/0!</v>
      </c>
    </row>
    <row r="1197" ht="15.75" customHeight="1">
      <c r="A1197" s="25"/>
      <c r="B1197" s="22"/>
      <c r="C1197" s="22">
        <f t="shared" si="6"/>
        <v>0</v>
      </c>
      <c r="D1197" s="25"/>
      <c r="E1197" s="22"/>
      <c r="F1197" s="22" t="str">
        <f t="shared" si="8"/>
        <v>#DIV/0!</v>
      </c>
      <c r="G1197" s="22" t="str">
        <f t="shared" si="31"/>
        <v>#DIV/0!</v>
      </c>
      <c r="H1197" s="22" t="str">
        <f t="shared" si="32"/>
        <v>#DIV/0!</v>
      </c>
      <c r="I1197" s="22" t="str">
        <f t="shared" si="3"/>
        <v>#DIV/0!</v>
      </c>
      <c r="J1197" s="22" t="str">
        <f t="shared" si="33"/>
        <v>#DIV/0!</v>
      </c>
    </row>
    <row r="1198" ht="15.75" customHeight="1">
      <c r="A1198" s="25"/>
      <c r="B1198" s="22"/>
      <c r="C1198" s="22">
        <f t="shared" si="6"/>
        <v>0</v>
      </c>
      <c r="D1198" s="25"/>
      <c r="E1198" s="22"/>
      <c r="F1198" s="22" t="str">
        <f t="shared" si="8"/>
        <v>#DIV/0!</v>
      </c>
      <c r="G1198" s="22" t="str">
        <f t="shared" si="31"/>
        <v>#DIV/0!</v>
      </c>
      <c r="H1198" s="22" t="str">
        <f t="shared" si="32"/>
        <v>#DIV/0!</v>
      </c>
      <c r="I1198" s="22" t="str">
        <f t="shared" si="3"/>
        <v>#DIV/0!</v>
      </c>
      <c r="J1198" s="22" t="str">
        <f t="shared" si="33"/>
        <v>#DIV/0!</v>
      </c>
    </row>
    <row r="1199" ht="15.75" customHeight="1">
      <c r="A1199" s="25"/>
      <c r="B1199" s="22"/>
      <c r="C1199" s="22">
        <f t="shared" si="6"/>
        <v>0</v>
      </c>
      <c r="D1199" s="25"/>
      <c r="E1199" s="22"/>
      <c r="F1199" s="22" t="str">
        <f t="shared" si="8"/>
        <v>#DIV/0!</v>
      </c>
      <c r="G1199" s="22" t="str">
        <f t="shared" si="31"/>
        <v>#DIV/0!</v>
      </c>
      <c r="H1199" s="22" t="str">
        <f t="shared" si="32"/>
        <v>#DIV/0!</v>
      </c>
      <c r="I1199" s="22" t="str">
        <f t="shared" si="3"/>
        <v>#DIV/0!</v>
      </c>
      <c r="J1199" s="22" t="str">
        <f t="shared" si="33"/>
        <v>#DIV/0!</v>
      </c>
    </row>
    <row r="1200" ht="15.75" customHeight="1">
      <c r="A1200" s="25"/>
      <c r="B1200" s="22"/>
      <c r="C1200" s="22">
        <f t="shared" si="6"/>
        <v>0</v>
      </c>
      <c r="D1200" s="25"/>
      <c r="E1200" s="22"/>
      <c r="F1200" s="22" t="str">
        <f t="shared" si="8"/>
        <v>#DIV/0!</v>
      </c>
      <c r="G1200" s="22" t="str">
        <f t="shared" si="31"/>
        <v>#DIV/0!</v>
      </c>
      <c r="H1200" s="22" t="str">
        <f t="shared" si="32"/>
        <v>#DIV/0!</v>
      </c>
      <c r="I1200" s="22" t="str">
        <f t="shared" si="3"/>
        <v>#DIV/0!</v>
      </c>
      <c r="J1200" s="22" t="str">
        <f t="shared" si="33"/>
        <v>#DIV/0!</v>
      </c>
    </row>
    <row r="1201" ht="15.75" customHeight="1">
      <c r="A1201" s="25"/>
      <c r="B1201" s="22"/>
      <c r="C1201" s="22">
        <f t="shared" si="6"/>
        <v>0</v>
      </c>
      <c r="D1201" s="25"/>
      <c r="E1201" s="22"/>
      <c r="F1201" s="22" t="str">
        <f t="shared" si="8"/>
        <v>#DIV/0!</v>
      </c>
      <c r="G1201" s="22" t="str">
        <f t="shared" si="31"/>
        <v>#DIV/0!</v>
      </c>
      <c r="H1201" s="22" t="str">
        <f t="shared" si="32"/>
        <v>#DIV/0!</v>
      </c>
      <c r="I1201" s="22" t="str">
        <f t="shared" si="3"/>
        <v>#DIV/0!</v>
      </c>
      <c r="J1201" s="22" t="str">
        <f t="shared" si="33"/>
        <v>#DIV/0!</v>
      </c>
    </row>
    <row r="1202" ht="15.75" customHeight="1">
      <c r="A1202" s="25"/>
      <c r="B1202" s="22"/>
      <c r="C1202" s="22">
        <f t="shared" si="6"/>
        <v>0</v>
      </c>
      <c r="D1202" s="25"/>
      <c r="E1202" s="22"/>
      <c r="F1202" s="22" t="str">
        <f t="shared" si="8"/>
        <v>#DIV/0!</v>
      </c>
      <c r="G1202" s="22" t="str">
        <f t="shared" si="31"/>
        <v>#DIV/0!</v>
      </c>
      <c r="H1202" s="22" t="str">
        <f t="shared" si="32"/>
        <v>#DIV/0!</v>
      </c>
      <c r="I1202" s="22" t="str">
        <f t="shared" si="3"/>
        <v>#DIV/0!</v>
      </c>
      <c r="J1202" s="22" t="str">
        <f t="shared" si="33"/>
        <v>#DIV/0!</v>
      </c>
    </row>
    <row r="1203" ht="15.75" customHeight="1">
      <c r="A1203" s="25"/>
      <c r="B1203" s="22"/>
      <c r="C1203" s="22">
        <f t="shared" si="6"/>
        <v>0</v>
      </c>
      <c r="D1203" s="25"/>
      <c r="E1203" s="22"/>
      <c r="F1203" s="22" t="str">
        <f t="shared" si="8"/>
        <v>#DIV/0!</v>
      </c>
      <c r="G1203" s="22" t="str">
        <f t="shared" si="31"/>
        <v>#DIV/0!</v>
      </c>
      <c r="H1203" s="22" t="str">
        <f t="shared" si="32"/>
        <v>#DIV/0!</v>
      </c>
      <c r="I1203" s="22" t="str">
        <f t="shared" si="3"/>
        <v>#DIV/0!</v>
      </c>
      <c r="J1203" s="22" t="str">
        <f t="shared" si="33"/>
        <v>#DIV/0!</v>
      </c>
    </row>
    <row r="1204" ht="15.75" customHeight="1">
      <c r="A1204" s="25"/>
      <c r="B1204" s="22"/>
      <c r="C1204" s="22">
        <f t="shared" si="6"/>
        <v>0</v>
      </c>
      <c r="D1204" s="25"/>
      <c r="E1204" s="22"/>
      <c r="F1204" s="22" t="str">
        <f t="shared" si="8"/>
        <v>#DIV/0!</v>
      </c>
      <c r="G1204" s="22" t="str">
        <f t="shared" si="31"/>
        <v>#DIV/0!</v>
      </c>
      <c r="H1204" s="22" t="str">
        <f t="shared" si="32"/>
        <v>#DIV/0!</v>
      </c>
      <c r="I1204" s="22" t="str">
        <f t="shared" si="3"/>
        <v>#DIV/0!</v>
      </c>
      <c r="J1204" s="22" t="str">
        <f t="shared" si="33"/>
        <v>#DIV/0!</v>
      </c>
    </row>
    <row r="1205" ht="15.75" customHeight="1">
      <c r="A1205" s="25"/>
      <c r="B1205" s="22"/>
      <c r="C1205" s="22">
        <f t="shared" si="6"/>
        <v>0</v>
      </c>
      <c r="D1205" s="25"/>
      <c r="E1205" s="22"/>
      <c r="F1205" s="22" t="str">
        <f t="shared" si="8"/>
        <v>#DIV/0!</v>
      </c>
      <c r="G1205" s="22" t="str">
        <f t="shared" si="31"/>
        <v>#DIV/0!</v>
      </c>
      <c r="H1205" s="22" t="str">
        <f t="shared" si="32"/>
        <v>#DIV/0!</v>
      </c>
      <c r="I1205" s="22" t="str">
        <f t="shared" si="3"/>
        <v>#DIV/0!</v>
      </c>
      <c r="J1205" s="22" t="str">
        <f t="shared" si="33"/>
        <v>#DIV/0!</v>
      </c>
    </row>
    <row r="1206" ht="15.75" customHeight="1">
      <c r="A1206" s="25"/>
      <c r="B1206" s="22"/>
      <c r="C1206" s="22">
        <f t="shared" si="6"/>
        <v>0</v>
      </c>
      <c r="D1206" s="25"/>
      <c r="E1206" s="22"/>
      <c r="F1206" s="22" t="str">
        <f t="shared" si="8"/>
        <v>#DIV/0!</v>
      </c>
      <c r="G1206" s="22" t="str">
        <f t="shared" si="31"/>
        <v>#DIV/0!</v>
      </c>
      <c r="H1206" s="22" t="str">
        <f t="shared" si="32"/>
        <v>#DIV/0!</v>
      </c>
      <c r="I1206" s="22" t="str">
        <f t="shared" si="3"/>
        <v>#DIV/0!</v>
      </c>
      <c r="J1206" s="22" t="str">
        <f t="shared" si="33"/>
        <v>#DIV/0!</v>
      </c>
    </row>
    <row r="1207" ht="15.75" customHeight="1">
      <c r="A1207" s="25"/>
      <c r="B1207" s="22"/>
      <c r="C1207" s="22">
        <f t="shared" si="6"/>
        <v>0</v>
      </c>
      <c r="D1207" s="25"/>
      <c r="E1207" s="22"/>
      <c r="F1207" s="22" t="str">
        <f t="shared" si="8"/>
        <v>#DIV/0!</v>
      </c>
      <c r="G1207" s="22" t="str">
        <f t="shared" si="31"/>
        <v>#DIV/0!</v>
      </c>
      <c r="H1207" s="22" t="str">
        <f t="shared" si="32"/>
        <v>#DIV/0!</v>
      </c>
      <c r="I1207" s="22" t="str">
        <f t="shared" si="3"/>
        <v>#DIV/0!</v>
      </c>
      <c r="J1207" s="22" t="str">
        <f t="shared" si="33"/>
        <v>#DIV/0!</v>
      </c>
    </row>
    <row r="1208" ht="15.75" customHeight="1">
      <c r="A1208" s="25"/>
      <c r="B1208" s="22"/>
      <c r="C1208" s="22">
        <f t="shared" si="6"/>
        <v>0</v>
      </c>
      <c r="D1208" s="25"/>
      <c r="E1208" s="22"/>
      <c r="F1208" s="22" t="str">
        <f t="shared" si="8"/>
        <v>#DIV/0!</v>
      </c>
      <c r="G1208" s="22" t="str">
        <f t="shared" si="31"/>
        <v>#DIV/0!</v>
      </c>
      <c r="H1208" s="22" t="str">
        <f t="shared" si="32"/>
        <v>#DIV/0!</v>
      </c>
      <c r="I1208" s="22" t="str">
        <f t="shared" si="3"/>
        <v>#DIV/0!</v>
      </c>
      <c r="J1208" s="22" t="str">
        <f t="shared" si="33"/>
        <v>#DIV/0!</v>
      </c>
    </row>
    <row r="1209" ht="15.75" customHeight="1">
      <c r="A1209" s="25"/>
      <c r="B1209" s="22"/>
      <c r="C1209" s="22">
        <f t="shared" si="6"/>
        <v>0</v>
      </c>
      <c r="D1209" s="25"/>
      <c r="E1209" s="22"/>
      <c r="F1209" s="22" t="str">
        <f t="shared" si="8"/>
        <v>#DIV/0!</v>
      </c>
      <c r="G1209" s="22" t="str">
        <f t="shared" si="31"/>
        <v>#DIV/0!</v>
      </c>
      <c r="H1209" s="22" t="str">
        <f t="shared" si="32"/>
        <v>#DIV/0!</v>
      </c>
      <c r="I1209" s="22" t="str">
        <f t="shared" si="3"/>
        <v>#DIV/0!</v>
      </c>
      <c r="J1209" s="22" t="str">
        <f t="shared" si="33"/>
        <v>#DIV/0!</v>
      </c>
    </row>
    <row r="1210" ht="15.75" customHeight="1">
      <c r="A1210" s="25"/>
      <c r="B1210" s="22"/>
      <c r="C1210" s="22">
        <f t="shared" si="6"/>
        <v>0</v>
      </c>
      <c r="D1210" s="25"/>
      <c r="E1210" s="22"/>
      <c r="F1210" s="22" t="str">
        <f t="shared" si="8"/>
        <v>#DIV/0!</v>
      </c>
      <c r="G1210" s="22" t="str">
        <f t="shared" si="31"/>
        <v>#DIV/0!</v>
      </c>
      <c r="H1210" s="22" t="str">
        <f t="shared" si="32"/>
        <v>#DIV/0!</v>
      </c>
      <c r="I1210" s="22" t="str">
        <f t="shared" si="3"/>
        <v>#DIV/0!</v>
      </c>
      <c r="J1210" s="22" t="str">
        <f t="shared" si="33"/>
        <v>#DIV/0!</v>
      </c>
    </row>
    <row r="1211" ht="15.75" customHeight="1">
      <c r="A1211" s="25"/>
      <c r="B1211" s="22"/>
      <c r="C1211" s="22">
        <f t="shared" si="6"/>
        <v>0</v>
      </c>
      <c r="D1211" s="25"/>
      <c r="E1211" s="22"/>
      <c r="F1211" s="22" t="str">
        <f t="shared" si="8"/>
        <v>#DIV/0!</v>
      </c>
      <c r="G1211" s="22" t="str">
        <f t="shared" si="31"/>
        <v>#DIV/0!</v>
      </c>
      <c r="H1211" s="22" t="str">
        <f t="shared" si="32"/>
        <v>#DIV/0!</v>
      </c>
      <c r="I1211" s="22" t="str">
        <f t="shared" si="3"/>
        <v>#DIV/0!</v>
      </c>
      <c r="J1211" s="22" t="str">
        <f t="shared" si="33"/>
        <v>#DIV/0!</v>
      </c>
    </row>
    <row r="1212" ht="15.75" customHeight="1">
      <c r="A1212" s="25"/>
      <c r="B1212" s="22"/>
      <c r="C1212" s="22">
        <f t="shared" si="6"/>
        <v>0</v>
      </c>
      <c r="D1212" s="25"/>
      <c r="E1212" s="22"/>
      <c r="F1212" s="22" t="str">
        <f t="shared" si="8"/>
        <v>#DIV/0!</v>
      </c>
      <c r="G1212" s="22" t="str">
        <f t="shared" si="31"/>
        <v>#DIV/0!</v>
      </c>
      <c r="H1212" s="22" t="str">
        <f t="shared" si="32"/>
        <v>#DIV/0!</v>
      </c>
      <c r="I1212" s="22" t="str">
        <f t="shared" si="3"/>
        <v>#DIV/0!</v>
      </c>
      <c r="J1212" s="22" t="str">
        <f t="shared" si="33"/>
        <v>#DIV/0!</v>
      </c>
    </row>
    <row r="1213" ht="15.75" customHeight="1">
      <c r="A1213" s="25"/>
      <c r="B1213" s="22"/>
      <c r="C1213" s="22">
        <f t="shared" si="6"/>
        <v>0</v>
      </c>
      <c r="D1213" s="25"/>
      <c r="E1213" s="22"/>
      <c r="F1213" s="22" t="str">
        <f t="shared" si="8"/>
        <v>#DIV/0!</v>
      </c>
      <c r="G1213" s="22" t="str">
        <f t="shared" si="31"/>
        <v>#DIV/0!</v>
      </c>
      <c r="H1213" s="22" t="str">
        <f t="shared" si="32"/>
        <v>#DIV/0!</v>
      </c>
      <c r="I1213" s="22" t="str">
        <f t="shared" si="3"/>
        <v>#DIV/0!</v>
      </c>
      <c r="J1213" s="22" t="str">
        <f t="shared" si="33"/>
        <v>#DIV/0!</v>
      </c>
    </row>
    <row r="1214" ht="15.75" customHeight="1">
      <c r="A1214" s="25"/>
      <c r="B1214" s="22"/>
      <c r="C1214" s="22">
        <f t="shared" si="6"/>
        <v>0</v>
      </c>
      <c r="D1214" s="25"/>
      <c r="E1214" s="22"/>
      <c r="F1214" s="22" t="str">
        <f t="shared" si="8"/>
        <v>#DIV/0!</v>
      </c>
      <c r="G1214" s="22" t="str">
        <f t="shared" si="31"/>
        <v>#DIV/0!</v>
      </c>
      <c r="H1214" s="22" t="str">
        <f t="shared" si="32"/>
        <v>#DIV/0!</v>
      </c>
      <c r="I1214" s="22" t="str">
        <f t="shared" si="3"/>
        <v>#DIV/0!</v>
      </c>
      <c r="J1214" s="22" t="str">
        <f t="shared" si="33"/>
        <v>#DIV/0!</v>
      </c>
    </row>
    <row r="1215" ht="15.75" customHeight="1">
      <c r="A1215" s="25"/>
      <c r="B1215" s="22"/>
      <c r="C1215" s="22">
        <f t="shared" si="6"/>
        <v>0</v>
      </c>
      <c r="D1215" s="25"/>
      <c r="E1215" s="22"/>
      <c r="F1215" s="22" t="str">
        <f t="shared" si="8"/>
        <v>#DIV/0!</v>
      </c>
      <c r="G1215" s="22" t="str">
        <f t="shared" si="31"/>
        <v>#DIV/0!</v>
      </c>
      <c r="H1215" s="22" t="str">
        <f t="shared" si="32"/>
        <v>#DIV/0!</v>
      </c>
      <c r="I1215" s="22" t="str">
        <f t="shared" si="3"/>
        <v>#DIV/0!</v>
      </c>
      <c r="J1215" s="22" t="str">
        <f t="shared" si="33"/>
        <v>#DIV/0!</v>
      </c>
    </row>
    <row r="1216" ht="15.75" customHeight="1">
      <c r="A1216" s="25"/>
      <c r="B1216" s="22"/>
      <c r="C1216" s="22">
        <f t="shared" si="6"/>
        <v>0</v>
      </c>
      <c r="D1216" s="25"/>
      <c r="E1216" s="22"/>
      <c r="F1216" s="22" t="str">
        <f t="shared" si="8"/>
        <v>#DIV/0!</v>
      </c>
      <c r="G1216" s="22" t="str">
        <f t="shared" si="31"/>
        <v>#DIV/0!</v>
      </c>
      <c r="H1216" s="22" t="str">
        <f t="shared" si="32"/>
        <v>#DIV/0!</v>
      </c>
      <c r="I1216" s="22" t="str">
        <f t="shared" si="3"/>
        <v>#DIV/0!</v>
      </c>
      <c r="J1216" s="22" t="str">
        <f t="shared" si="33"/>
        <v>#DIV/0!</v>
      </c>
    </row>
    <row r="1217" ht="15.75" customHeight="1">
      <c r="A1217" s="25"/>
      <c r="B1217" s="22"/>
      <c r="C1217" s="22">
        <f t="shared" si="6"/>
        <v>0</v>
      </c>
      <c r="D1217" s="25"/>
      <c r="E1217" s="22"/>
      <c r="F1217" s="22" t="str">
        <f t="shared" si="8"/>
        <v>#DIV/0!</v>
      </c>
      <c r="G1217" s="22" t="str">
        <f t="shared" si="31"/>
        <v>#DIV/0!</v>
      </c>
      <c r="H1217" s="22" t="str">
        <f t="shared" si="32"/>
        <v>#DIV/0!</v>
      </c>
      <c r="I1217" s="22" t="str">
        <f t="shared" si="3"/>
        <v>#DIV/0!</v>
      </c>
      <c r="J1217" s="22" t="str">
        <f t="shared" si="33"/>
        <v>#DIV/0!</v>
      </c>
    </row>
    <row r="1218" ht="15.75" customHeight="1">
      <c r="A1218" s="25"/>
      <c r="B1218" s="22"/>
      <c r="C1218" s="22">
        <f t="shared" si="6"/>
        <v>0</v>
      </c>
      <c r="D1218" s="25"/>
      <c r="E1218" s="22"/>
      <c r="F1218" s="22" t="str">
        <f t="shared" si="8"/>
        <v>#DIV/0!</v>
      </c>
      <c r="G1218" s="22" t="str">
        <f t="shared" si="31"/>
        <v>#DIV/0!</v>
      </c>
      <c r="H1218" s="22" t="str">
        <f t="shared" si="32"/>
        <v>#DIV/0!</v>
      </c>
      <c r="I1218" s="22" t="str">
        <f t="shared" si="3"/>
        <v>#DIV/0!</v>
      </c>
      <c r="J1218" s="22" t="str">
        <f t="shared" si="33"/>
        <v>#DIV/0!</v>
      </c>
    </row>
    <row r="1219" ht="15.75" customHeight="1">
      <c r="A1219" s="25"/>
      <c r="B1219" s="22"/>
      <c r="C1219" s="22">
        <f t="shared" si="6"/>
        <v>0</v>
      </c>
      <c r="D1219" s="25"/>
      <c r="E1219" s="22"/>
      <c r="F1219" s="22" t="str">
        <f t="shared" si="8"/>
        <v>#DIV/0!</v>
      </c>
      <c r="G1219" s="22" t="str">
        <f t="shared" si="31"/>
        <v>#DIV/0!</v>
      </c>
      <c r="H1219" s="22" t="str">
        <f t="shared" si="32"/>
        <v>#DIV/0!</v>
      </c>
      <c r="I1219" s="22" t="str">
        <f t="shared" si="3"/>
        <v>#DIV/0!</v>
      </c>
      <c r="J1219" s="22" t="str">
        <f t="shared" si="33"/>
        <v>#DIV/0!</v>
      </c>
    </row>
    <row r="1220" ht="15.75" customHeight="1">
      <c r="A1220" s="25"/>
      <c r="B1220" s="22"/>
      <c r="C1220" s="22">
        <f t="shared" si="6"/>
        <v>0</v>
      </c>
      <c r="D1220" s="25"/>
      <c r="E1220" s="22"/>
      <c r="F1220" s="22" t="str">
        <f t="shared" si="8"/>
        <v>#DIV/0!</v>
      </c>
      <c r="G1220" s="22" t="str">
        <f t="shared" si="31"/>
        <v>#DIV/0!</v>
      </c>
      <c r="H1220" s="22" t="str">
        <f t="shared" si="32"/>
        <v>#DIV/0!</v>
      </c>
      <c r="I1220" s="22" t="str">
        <f t="shared" si="3"/>
        <v>#DIV/0!</v>
      </c>
      <c r="J1220" s="22" t="str">
        <f t="shared" si="33"/>
        <v>#DIV/0!</v>
      </c>
    </row>
    <row r="1221" ht="15.75" customHeight="1">
      <c r="A1221" s="25"/>
      <c r="B1221" s="22"/>
      <c r="C1221" s="22">
        <f t="shared" si="6"/>
        <v>0</v>
      </c>
      <c r="D1221" s="25"/>
      <c r="E1221" s="22"/>
      <c r="F1221" s="22" t="str">
        <f t="shared" si="8"/>
        <v>#DIV/0!</v>
      </c>
      <c r="G1221" s="22" t="str">
        <f t="shared" si="31"/>
        <v>#DIV/0!</v>
      </c>
      <c r="H1221" s="22" t="str">
        <f t="shared" si="32"/>
        <v>#DIV/0!</v>
      </c>
      <c r="I1221" s="22" t="str">
        <f t="shared" si="3"/>
        <v>#DIV/0!</v>
      </c>
      <c r="J1221" s="22" t="str">
        <f t="shared" si="33"/>
        <v>#DIV/0!</v>
      </c>
    </row>
    <row r="1222" ht="15.75" customHeight="1">
      <c r="A1222" s="25"/>
      <c r="B1222" s="22"/>
      <c r="C1222" s="22">
        <f t="shared" si="6"/>
        <v>0</v>
      </c>
      <c r="D1222" s="25"/>
      <c r="E1222" s="22"/>
      <c r="F1222" s="22" t="str">
        <f t="shared" si="8"/>
        <v>#DIV/0!</v>
      </c>
      <c r="G1222" s="22" t="str">
        <f t="shared" si="31"/>
        <v>#DIV/0!</v>
      </c>
      <c r="H1222" s="22" t="str">
        <f t="shared" si="32"/>
        <v>#DIV/0!</v>
      </c>
      <c r="I1222" s="22" t="str">
        <f t="shared" si="3"/>
        <v>#DIV/0!</v>
      </c>
      <c r="J1222" s="22" t="str">
        <f t="shared" si="33"/>
        <v>#DIV/0!</v>
      </c>
    </row>
    <row r="1223" ht="15.75" customHeight="1">
      <c r="A1223" s="25"/>
      <c r="B1223" s="22"/>
      <c r="C1223" s="22">
        <f t="shared" si="6"/>
        <v>0</v>
      </c>
      <c r="D1223" s="25"/>
      <c r="E1223" s="22"/>
      <c r="F1223" s="22" t="str">
        <f t="shared" si="8"/>
        <v>#DIV/0!</v>
      </c>
      <c r="G1223" s="22" t="str">
        <f t="shared" si="31"/>
        <v>#DIV/0!</v>
      </c>
      <c r="H1223" s="22" t="str">
        <f t="shared" si="32"/>
        <v>#DIV/0!</v>
      </c>
      <c r="I1223" s="22" t="str">
        <f t="shared" si="3"/>
        <v>#DIV/0!</v>
      </c>
      <c r="J1223" s="22" t="str">
        <f t="shared" si="33"/>
        <v>#DIV/0!</v>
      </c>
    </row>
    <row r="1224" ht="15.75" customHeight="1">
      <c r="A1224" s="25"/>
      <c r="B1224" s="22"/>
      <c r="C1224" s="22">
        <f t="shared" si="6"/>
        <v>0</v>
      </c>
      <c r="D1224" s="25"/>
      <c r="E1224" s="22"/>
      <c r="F1224" s="22" t="str">
        <f t="shared" si="8"/>
        <v>#DIV/0!</v>
      </c>
      <c r="G1224" s="22" t="str">
        <f t="shared" si="31"/>
        <v>#DIV/0!</v>
      </c>
      <c r="H1224" s="22" t="str">
        <f t="shared" si="32"/>
        <v>#DIV/0!</v>
      </c>
      <c r="I1224" s="22" t="str">
        <f t="shared" si="3"/>
        <v>#DIV/0!</v>
      </c>
      <c r="J1224" s="22" t="str">
        <f t="shared" si="33"/>
        <v>#DIV/0!</v>
      </c>
    </row>
    <row r="1225" ht="15.75" customHeight="1">
      <c r="A1225" s="25"/>
      <c r="B1225" s="22"/>
      <c r="C1225" s="22">
        <f t="shared" si="6"/>
        <v>0</v>
      </c>
      <c r="D1225" s="25"/>
      <c r="E1225" s="22"/>
      <c r="F1225" s="22" t="str">
        <f t="shared" si="8"/>
        <v>#DIV/0!</v>
      </c>
      <c r="G1225" s="22" t="str">
        <f t="shared" si="31"/>
        <v>#DIV/0!</v>
      </c>
      <c r="H1225" s="22" t="str">
        <f t="shared" si="32"/>
        <v>#DIV/0!</v>
      </c>
      <c r="I1225" s="22" t="str">
        <f t="shared" si="3"/>
        <v>#DIV/0!</v>
      </c>
      <c r="J1225" s="22" t="str">
        <f t="shared" si="33"/>
        <v>#DIV/0!</v>
      </c>
    </row>
    <row r="1226" ht="15.75" customHeight="1">
      <c r="A1226" s="25"/>
      <c r="B1226" s="22"/>
      <c r="C1226" s="22">
        <f t="shared" si="6"/>
        <v>0</v>
      </c>
      <c r="D1226" s="25"/>
      <c r="E1226" s="22"/>
      <c r="F1226" s="22" t="str">
        <f t="shared" si="8"/>
        <v>#DIV/0!</v>
      </c>
      <c r="G1226" s="22" t="str">
        <f t="shared" si="31"/>
        <v>#DIV/0!</v>
      </c>
      <c r="H1226" s="22" t="str">
        <f t="shared" si="32"/>
        <v>#DIV/0!</v>
      </c>
      <c r="I1226" s="22" t="str">
        <f t="shared" si="3"/>
        <v>#DIV/0!</v>
      </c>
      <c r="J1226" s="22" t="str">
        <f t="shared" si="33"/>
        <v>#DIV/0!</v>
      </c>
    </row>
    <row r="1227" ht="15.75" customHeight="1">
      <c r="A1227" s="25"/>
      <c r="B1227" s="22"/>
      <c r="C1227" s="22">
        <f t="shared" si="6"/>
        <v>0</v>
      </c>
      <c r="D1227" s="25"/>
      <c r="E1227" s="22"/>
      <c r="F1227" s="22" t="str">
        <f t="shared" si="8"/>
        <v>#DIV/0!</v>
      </c>
      <c r="G1227" s="22" t="str">
        <f t="shared" si="31"/>
        <v>#DIV/0!</v>
      </c>
      <c r="H1227" s="22" t="str">
        <f t="shared" si="32"/>
        <v>#DIV/0!</v>
      </c>
      <c r="I1227" s="22" t="str">
        <f t="shared" si="3"/>
        <v>#DIV/0!</v>
      </c>
      <c r="J1227" s="22" t="str">
        <f t="shared" si="33"/>
        <v>#DIV/0!</v>
      </c>
    </row>
    <row r="1228" ht="15.75" customHeight="1">
      <c r="A1228" s="25"/>
      <c r="B1228" s="22"/>
      <c r="C1228" s="22">
        <f t="shared" si="6"/>
        <v>0</v>
      </c>
      <c r="D1228" s="25"/>
      <c r="E1228" s="22"/>
      <c r="F1228" s="22" t="str">
        <f t="shared" si="8"/>
        <v>#DIV/0!</v>
      </c>
      <c r="G1228" s="22" t="str">
        <f t="shared" si="31"/>
        <v>#DIV/0!</v>
      </c>
      <c r="H1228" s="22" t="str">
        <f t="shared" si="32"/>
        <v>#DIV/0!</v>
      </c>
      <c r="I1228" s="22" t="str">
        <f t="shared" si="3"/>
        <v>#DIV/0!</v>
      </c>
      <c r="J1228" s="22" t="str">
        <f t="shared" si="33"/>
        <v>#DIV/0!</v>
      </c>
    </row>
    <row r="1229" ht="15.75" customHeight="1">
      <c r="A1229" s="25"/>
      <c r="B1229" s="22"/>
      <c r="C1229" s="22">
        <f t="shared" si="6"/>
        <v>0</v>
      </c>
      <c r="D1229" s="25"/>
      <c r="E1229" s="22"/>
      <c r="F1229" s="22" t="str">
        <f t="shared" si="8"/>
        <v>#DIV/0!</v>
      </c>
      <c r="G1229" s="22" t="str">
        <f t="shared" si="31"/>
        <v>#DIV/0!</v>
      </c>
      <c r="H1229" s="22" t="str">
        <f t="shared" si="32"/>
        <v>#DIV/0!</v>
      </c>
      <c r="I1229" s="22" t="str">
        <f t="shared" si="3"/>
        <v>#DIV/0!</v>
      </c>
      <c r="J1229" s="22" t="str">
        <f t="shared" si="33"/>
        <v>#DIV/0!</v>
      </c>
    </row>
    <row r="1230" ht="15.75" customHeight="1">
      <c r="A1230" s="25"/>
      <c r="B1230" s="22"/>
      <c r="C1230" s="22">
        <f t="shared" si="6"/>
        <v>0</v>
      </c>
      <c r="D1230" s="25"/>
      <c r="E1230" s="22"/>
      <c r="F1230" s="22" t="str">
        <f t="shared" si="8"/>
        <v>#DIV/0!</v>
      </c>
      <c r="G1230" s="22" t="str">
        <f t="shared" si="31"/>
        <v>#DIV/0!</v>
      </c>
      <c r="H1230" s="22" t="str">
        <f t="shared" si="32"/>
        <v>#DIV/0!</v>
      </c>
      <c r="I1230" s="22" t="str">
        <f t="shared" si="3"/>
        <v>#DIV/0!</v>
      </c>
      <c r="J1230" s="22" t="str">
        <f t="shared" si="33"/>
        <v>#DIV/0!</v>
      </c>
    </row>
    <row r="1231" ht="15.75" customHeight="1">
      <c r="A1231" s="25"/>
      <c r="B1231" s="22"/>
      <c r="C1231" s="22">
        <f t="shared" si="6"/>
        <v>0</v>
      </c>
      <c r="D1231" s="25"/>
      <c r="E1231" s="22"/>
      <c r="F1231" s="22" t="str">
        <f t="shared" si="8"/>
        <v>#DIV/0!</v>
      </c>
      <c r="G1231" s="22" t="str">
        <f t="shared" si="31"/>
        <v>#DIV/0!</v>
      </c>
      <c r="H1231" s="22" t="str">
        <f t="shared" si="32"/>
        <v>#DIV/0!</v>
      </c>
      <c r="I1231" s="22" t="str">
        <f t="shared" si="3"/>
        <v>#DIV/0!</v>
      </c>
      <c r="J1231" s="22" t="str">
        <f t="shared" si="33"/>
        <v>#DIV/0!</v>
      </c>
    </row>
    <row r="1232" ht="15.75" customHeight="1">
      <c r="A1232" s="25"/>
      <c r="B1232" s="22"/>
      <c r="C1232" s="22">
        <f t="shared" si="6"/>
        <v>0</v>
      </c>
      <c r="D1232" s="25"/>
      <c r="E1232" s="22"/>
      <c r="F1232" s="22" t="str">
        <f t="shared" si="8"/>
        <v>#DIV/0!</v>
      </c>
      <c r="G1232" s="22" t="str">
        <f t="shared" si="31"/>
        <v>#DIV/0!</v>
      </c>
      <c r="H1232" s="22" t="str">
        <f t="shared" si="32"/>
        <v>#DIV/0!</v>
      </c>
      <c r="I1232" s="22" t="str">
        <f t="shared" si="3"/>
        <v>#DIV/0!</v>
      </c>
      <c r="J1232" s="22" t="str">
        <f t="shared" si="33"/>
        <v>#DIV/0!</v>
      </c>
    </row>
    <row r="1233" ht="15.75" customHeight="1">
      <c r="A1233" s="25"/>
      <c r="B1233" s="22"/>
      <c r="C1233" s="22">
        <f t="shared" si="6"/>
        <v>0</v>
      </c>
      <c r="D1233" s="25"/>
      <c r="E1233" s="22"/>
      <c r="F1233" s="22" t="str">
        <f t="shared" si="8"/>
        <v>#DIV/0!</v>
      </c>
      <c r="G1233" s="22" t="str">
        <f t="shared" si="31"/>
        <v>#DIV/0!</v>
      </c>
      <c r="H1233" s="22" t="str">
        <f t="shared" si="32"/>
        <v>#DIV/0!</v>
      </c>
      <c r="I1233" s="22" t="str">
        <f t="shared" si="3"/>
        <v>#DIV/0!</v>
      </c>
      <c r="J1233" s="22" t="str">
        <f t="shared" si="33"/>
        <v>#DIV/0!</v>
      </c>
    </row>
    <row r="1234" ht="15.75" customHeight="1">
      <c r="A1234" s="25"/>
      <c r="B1234" s="22"/>
      <c r="C1234" s="22">
        <f t="shared" si="6"/>
        <v>0</v>
      </c>
      <c r="D1234" s="25"/>
      <c r="E1234" s="22"/>
      <c r="F1234" s="22" t="str">
        <f t="shared" si="8"/>
        <v>#DIV/0!</v>
      </c>
      <c r="G1234" s="22" t="str">
        <f t="shared" si="31"/>
        <v>#DIV/0!</v>
      </c>
      <c r="H1234" s="22" t="str">
        <f t="shared" si="32"/>
        <v>#DIV/0!</v>
      </c>
      <c r="I1234" s="22" t="str">
        <f t="shared" si="3"/>
        <v>#DIV/0!</v>
      </c>
      <c r="J1234" s="22" t="str">
        <f t="shared" si="33"/>
        <v>#DIV/0!</v>
      </c>
    </row>
    <row r="1235" ht="15.75" customHeight="1">
      <c r="A1235" s="25"/>
      <c r="B1235" s="22"/>
      <c r="C1235" s="22">
        <f t="shared" si="6"/>
        <v>0</v>
      </c>
      <c r="D1235" s="25"/>
      <c r="E1235" s="22"/>
      <c r="F1235" s="22" t="str">
        <f t="shared" si="8"/>
        <v>#DIV/0!</v>
      </c>
      <c r="G1235" s="22" t="str">
        <f t="shared" si="31"/>
        <v>#DIV/0!</v>
      </c>
      <c r="H1235" s="22" t="str">
        <f t="shared" si="32"/>
        <v>#DIV/0!</v>
      </c>
      <c r="I1235" s="22" t="str">
        <f t="shared" si="3"/>
        <v>#DIV/0!</v>
      </c>
      <c r="J1235" s="22" t="str">
        <f t="shared" si="33"/>
        <v>#DIV/0!</v>
      </c>
    </row>
    <row r="1236" ht="15.75" customHeight="1">
      <c r="A1236" s="25"/>
      <c r="B1236" s="22"/>
      <c r="C1236" s="22">
        <f t="shared" si="6"/>
        <v>0</v>
      </c>
      <c r="D1236" s="25"/>
      <c r="E1236" s="22"/>
      <c r="F1236" s="22" t="str">
        <f t="shared" si="8"/>
        <v>#DIV/0!</v>
      </c>
      <c r="G1236" s="22" t="str">
        <f t="shared" si="31"/>
        <v>#DIV/0!</v>
      </c>
      <c r="H1236" s="22" t="str">
        <f t="shared" si="32"/>
        <v>#DIV/0!</v>
      </c>
      <c r="I1236" s="22" t="str">
        <f t="shared" si="3"/>
        <v>#DIV/0!</v>
      </c>
      <c r="J1236" s="22" t="str">
        <f t="shared" si="33"/>
        <v>#DIV/0!</v>
      </c>
    </row>
    <row r="1237" ht="15.75" customHeight="1">
      <c r="A1237" s="25"/>
      <c r="B1237" s="22"/>
      <c r="C1237" s="22">
        <f t="shared" si="6"/>
        <v>0</v>
      </c>
      <c r="D1237" s="25"/>
      <c r="E1237" s="22"/>
      <c r="F1237" s="22" t="str">
        <f t="shared" si="8"/>
        <v>#DIV/0!</v>
      </c>
      <c r="G1237" s="22" t="str">
        <f t="shared" si="31"/>
        <v>#DIV/0!</v>
      </c>
      <c r="H1237" s="22" t="str">
        <f t="shared" si="32"/>
        <v>#DIV/0!</v>
      </c>
      <c r="I1237" s="22" t="str">
        <f t="shared" si="3"/>
        <v>#DIV/0!</v>
      </c>
      <c r="J1237" s="22" t="str">
        <f t="shared" si="33"/>
        <v>#DIV/0!</v>
      </c>
    </row>
    <row r="1238" ht="15.75" customHeight="1">
      <c r="A1238" s="25"/>
      <c r="B1238" s="22"/>
      <c r="C1238" s="22">
        <f t="shared" si="6"/>
        <v>0</v>
      </c>
      <c r="D1238" s="25"/>
      <c r="E1238" s="22"/>
      <c r="F1238" s="22" t="str">
        <f t="shared" si="8"/>
        <v>#DIV/0!</v>
      </c>
      <c r="G1238" s="22" t="str">
        <f t="shared" si="31"/>
        <v>#DIV/0!</v>
      </c>
      <c r="H1238" s="22" t="str">
        <f t="shared" si="32"/>
        <v>#DIV/0!</v>
      </c>
      <c r="I1238" s="22" t="str">
        <f t="shared" si="3"/>
        <v>#DIV/0!</v>
      </c>
      <c r="J1238" s="22" t="str">
        <f t="shared" si="33"/>
        <v>#DIV/0!</v>
      </c>
    </row>
    <row r="1239" ht="15.75" customHeight="1">
      <c r="A1239" s="25"/>
      <c r="B1239" s="22"/>
      <c r="C1239" s="22">
        <f t="shared" si="6"/>
        <v>0</v>
      </c>
      <c r="D1239" s="25"/>
      <c r="E1239" s="22"/>
      <c r="F1239" s="22" t="str">
        <f t="shared" si="8"/>
        <v>#DIV/0!</v>
      </c>
      <c r="G1239" s="22" t="str">
        <f t="shared" si="31"/>
        <v>#DIV/0!</v>
      </c>
      <c r="H1239" s="22" t="str">
        <f t="shared" si="32"/>
        <v>#DIV/0!</v>
      </c>
      <c r="I1239" s="22" t="str">
        <f t="shared" si="3"/>
        <v>#DIV/0!</v>
      </c>
      <c r="J1239" s="22" t="str">
        <f t="shared" si="33"/>
        <v>#DIV/0!</v>
      </c>
    </row>
    <row r="1240" ht="15.75" customHeight="1">
      <c r="A1240" s="25"/>
      <c r="B1240" s="22"/>
      <c r="C1240" s="22">
        <f t="shared" si="6"/>
        <v>0</v>
      </c>
      <c r="D1240" s="25"/>
      <c r="E1240" s="22"/>
      <c r="F1240" s="22" t="str">
        <f t="shared" si="8"/>
        <v>#DIV/0!</v>
      </c>
      <c r="G1240" s="22" t="str">
        <f t="shared" si="31"/>
        <v>#DIV/0!</v>
      </c>
      <c r="H1240" s="22" t="str">
        <f t="shared" si="32"/>
        <v>#DIV/0!</v>
      </c>
      <c r="I1240" s="22" t="str">
        <f t="shared" si="3"/>
        <v>#DIV/0!</v>
      </c>
      <c r="J1240" s="22" t="str">
        <f t="shared" si="33"/>
        <v>#DIV/0!</v>
      </c>
    </row>
    <row r="1241" ht="15.75" customHeight="1">
      <c r="A1241" s="25"/>
      <c r="B1241" s="22"/>
      <c r="C1241" s="22">
        <f t="shared" si="6"/>
        <v>0</v>
      </c>
      <c r="D1241" s="25"/>
      <c r="E1241" s="22"/>
      <c r="F1241" s="22" t="str">
        <f t="shared" si="8"/>
        <v>#DIV/0!</v>
      </c>
      <c r="G1241" s="22" t="str">
        <f t="shared" si="31"/>
        <v>#DIV/0!</v>
      </c>
      <c r="H1241" s="22" t="str">
        <f t="shared" si="32"/>
        <v>#DIV/0!</v>
      </c>
      <c r="I1241" s="22" t="str">
        <f t="shared" si="3"/>
        <v>#DIV/0!</v>
      </c>
      <c r="J1241" s="22" t="str">
        <f t="shared" si="33"/>
        <v>#DIV/0!</v>
      </c>
    </row>
    <row r="1242" ht="15.75" customHeight="1">
      <c r="A1242" s="25"/>
      <c r="B1242" s="22"/>
      <c r="C1242" s="22">
        <f t="shared" si="6"/>
        <v>0</v>
      </c>
      <c r="D1242" s="25"/>
      <c r="E1242" s="22"/>
      <c r="F1242" s="22" t="str">
        <f t="shared" si="8"/>
        <v>#DIV/0!</v>
      </c>
      <c r="G1242" s="22" t="str">
        <f t="shared" si="31"/>
        <v>#DIV/0!</v>
      </c>
      <c r="H1242" s="22" t="str">
        <f t="shared" si="32"/>
        <v>#DIV/0!</v>
      </c>
      <c r="I1242" s="22" t="str">
        <f t="shared" si="3"/>
        <v>#DIV/0!</v>
      </c>
      <c r="J1242" s="22" t="str">
        <f t="shared" si="33"/>
        <v>#DIV/0!</v>
      </c>
    </row>
    <row r="1243" ht="15.75" customHeight="1">
      <c r="A1243" s="25"/>
      <c r="B1243" s="22"/>
      <c r="C1243" s="22">
        <f t="shared" si="6"/>
        <v>0</v>
      </c>
      <c r="D1243" s="25"/>
      <c r="E1243" s="22"/>
      <c r="F1243" s="22" t="str">
        <f t="shared" si="8"/>
        <v>#DIV/0!</v>
      </c>
      <c r="G1243" s="22" t="str">
        <f t="shared" si="31"/>
        <v>#DIV/0!</v>
      </c>
      <c r="H1243" s="22" t="str">
        <f t="shared" si="32"/>
        <v>#DIV/0!</v>
      </c>
      <c r="I1243" s="22" t="str">
        <f t="shared" si="3"/>
        <v>#DIV/0!</v>
      </c>
      <c r="J1243" s="22" t="str">
        <f t="shared" si="33"/>
        <v>#DIV/0!</v>
      </c>
    </row>
    <row r="1244" ht="15.75" customHeight="1">
      <c r="A1244" s="25"/>
      <c r="B1244" s="22"/>
      <c r="C1244" s="22">
        <f t="shared" si="6"/>
        <v>0</v>
      </c>
      <c r="D1244" s="25"/>
      <c r="E1244" s="22"/>
      <c r="F1244" s="22" t="str">
        <f t="shared" si="8"/>
        <v>#DIV/0!</v>
      </c>
      <c r="G1244" s="22" t="str">
        <f t="shared" si="31"/>
        <v>#DIV/0!</v>
      </c>
      <c r="H1244" s="22" t="str">
        <f t="shared" si="32"/>
        <v>#DIV/0!</v>
      </c>
      <c r="I1244" s="22" t="str">
        <f t="shared" si="3"/>
        <v>#DIV/0!</v>
      </c>
      <c r="J1244" s="22" t="str">
        <f t="shared" si="33"/>
        <v>#DIV/0!</v>
      </c>
    </row>
    <row r="1245" ht="15.75" customHeight="1">
      <c r="A1245" s="25"/>
      <c r="B1245" s="22"/>
      <c r="C1245" s="22">
        <f t="shared" si="6"/>
        <v>0</v>
      </c>
      <c r="D1245" s="25"/>
      <c r="E1245" s="22"/>
      <c r="F1245" s="22" t="str">
        <f t="shared" si="8"/>
        <v>#DIV/0!</v>
      </c>
      <c r="G1245" s="22" t="str">
        <f t="shared" si="31"/>
        <v>#DIV/0!</v>
      </c>
      <c r="H1245" s="22" t="str">
        <f t="shared" si="32"/>
        <v>#DIV/0!</v>
      </c>
      <c r="I1245" s="22" t="str">
        <f t="shared" si="3"/>
        <v>#DIV/0!</v>
      </c>
      <c r="J1245" s="22" t="str">
        <f t="shared" si="33"/>
        <v>#DIV/0!</v>
      </c>
    </row>
    <row r="1246" ht="15.75" customHeight="1">
      <c r="A1246" s="25"/>
      <c r="B1246" s="22"/>
      <c r="C1246" s="22">
        <f t="shared" si="6"/>
        <v>0</v>
      </c>
      <c r="D1246" s="25"/>
      <c r="E1246" s="22"/>
      <c r="F1246" s="22" t="str">
        <f t="shared" si="8"/>
        <v>#DIV/0!</v>
      </c>
      <c r="G1246" s="22" t="str">
        <f t="shared" si="31"/>
        <v>#DIV/0!</v>
      </c>
      <c r="H1246" s="22" t="str">
        <f t="shared" si="32"/>
        <v>#DIV/0!</v>
      </c>
      <c r="I1246" s="22" t="str">
        <f t="shared" si="3"/>
        <v>#DIV/0!</v>
      </c>
      <c r="J1246" s="22" t="str">
        <f t="shared" si="33"/>
        <v>#DIV/0!</v>
      </c>
    </row>
    <row r="1247" ht="15.75" customHeight="1">
      <c r="A1247" s="25"/>
      <c r="B1247" s="22"/>
      <c r="C1247" s="22">
        <f t="shared" si="6"/>
        <v>0</v>
      </c>
      <c r="D1247" s="25"/>
      <c r="E1247" s="22"/>
      <c r="F1247" s="22" t="str">
        <f t="shared" si="8"/>
        <v>#DIV/0!</v>
      </c>
      <c r="G1247" s="22" t="str">
        <f t="shared" si="31"/>
        <v>#DIV/0!</v>
      </c>
      <c r="H1247" s="22" t="str">
        <f t="shared" si="32"/>
        <v>#DIV/0!</v>
      </c>
      <c r="I1247" s="22" t="str">
        <f t="shared" si="3"/>
        <v>#DIV/0!</v>
      </c>
      <c r="J1247" s="22" t="str">
        <f t="shared" si="33"/>
        <v>#DIV/0!</v>
      </c>
    </row>
    <row r="1248" ht="15.75" customHeight="1">
      <c r="A1248" s="25"/>
      <c r="B1248" s="22"/>
      <c r="C1248" s="22">
        <f t="shared" si="6"/>
        <v>0</v>
      </c>
      <c r="D1248" s="25"/>
      <c r="E1248" s="22"/>
      <c r="F1248" s="22" t="str">
        <f t="shared" si="8"/>
        <v>#DIV/0!</v>
      </c>
      <c r="G1248" s="22" t="str">
        <f t="shared" si="31"/>
        <v>#DIV/0!</v>
      </c>
      <c r="H1248" s="22" t="str">
        <f t="shared" si="32"/>
        <v>#DIV/0!</v>
      </c>
      <c r="I1248" s="22" t="str">
        <f t="shared" si="3"/>
        <v>#DIV/0!</v>
      </c>
      <c r="J1248" s="22" t="str">
        <f t="shared" si="33"/>
        <v>#DIV/0!</v>
      </c>
    </row>
    <row r="1249" ht="15.75" customHeight="1">
      <c r="A1249" s="25"/>
      <c r="B1249" s="22"/>
      <c r="C1249" s="22">
        <f t="shared" si="6"/>
        <v>0</v>
      </c>
      <c r="D1249" s="25"/>
      <c r="E1249" s="22"/>
      <c r="F1249" s="22" t="str">
        <f t="shared" si="8"/>
        <v>#DIV/0!</v>
      </c>
      <c r="G1249" s="22" t="str">
        <f t="shared" si="31"/>
        <v>#DIV/0!</v>
      </c>
      <c r="H1249" s="22" t="str">
        <f t="shared" si="32"/>
        <v>#DIV/0!</v>
      </c>
      <c r="I1249" s="22" t="str">
        <f t="shared" si="3"/>
        <v>#DIV/0!</v>
      </c>
      <c r="J1249" s="22" t="str">
        <f t="shared" si="33"/>
        <v>#DIV/0!</v>
      </c>
    </row>
    <row r="1250" ht="15.75" customHeight="1">
      <c r="A1250" s="25"/>
      <c r="B1250" s="22"/>
      <c r="C1250" s="22">
        <f t="shared" si="6"/>
        <v>0</v>
      </c>
      <c r="D1250" s="25"/>
      <c r="E1250" s="22"/>
      <c r="F1250" s="22" t="str">
        <f t="shared" si="8"/>
        <v>#DIV/0!</v>
      </c>
      <c r="G1250" s="22" t="str">
        <f t="shared" si="31"/>
        <v>#DIV/0!</v>
      </c>
      <c r="H1250" s="22" t="str">
        <f t="shared" si="32"/>
        <v>#DIV/0!</v>
      </c>
      <c r="I1250" s="22" t="str">
        <f t="shared" si="3"/>
        <v>#DIV/0!</v>
      </c>
      <c r="J1250" s="22" t="str">
        <f t="shared" si="33"/>
        <v>#DIV/0!</v>
      </c>
    </row>
    <row r="1251" ht="15.75" customHeight="1">
      <c r="A1251" s="25"/>
      <c r="B1251" s="22"/>
      <c r="C1251" s="22">
        <f t="shared" si="6"/>
        <v>0</v>
      </c>
      <c r="D1251" s="25"/>
      <c r="E1251" s="22"/>
      <c r="F1251" s="22" t="str">
        <f t="shared" si="8"/>
        <v>#DIV/0!</v>
      </c>
      <c r="G1251" s="22" t="str">
        <f t="shared" si="31"/>
        <v>#DIV/0!</v>
      </c>
      <c r="H1251" s="22" t="str">
        <f t="shared" si="32"/>
        <v>#DIV/0!</v>
      </c>
      <c r="I1251" s="22" t="str">
        <f t="shared" si="3"/>
        <v>#DIV/0!</v>
      </c>
      <c r="J1251" s="22" t="str">
        <f t="shared" si="33"/>
        <v>#DIV/0!</v>
      </c>
    </row>
    <row r="1252" ht="15.75" customHeight="1">
      <c r="A1252" s="25"/>
      <c r="B1252" s="22"/>
      <c r="C1252" s="22">
        <f t="shared" si="6"/>
        <v>0</v>
      </c>
      <c r="D1252" s="25"/>
      <c r="E1252" s="22"/>
      <c r="F1252" s="22" t="str">
        <f t="shared" si="8"/>
        <v>#DIV/0!</v>
      </c>
      <c r="G1252" s="22" t="str">
        <f t="shared" si="31"/>
        <v>#DIV/0!</v>
      </c>
      <c r="H1252" s="22" t="str">
        <f t="shared" si="32"/>
        <v>#DIV/0!</v>
      </c>
      <c r="I1252" s="22" t="str">
        <f t="shared" si="3"/>
        <v>#DIV/0!</v>
      </c>
      <c r="J1252" s="22" t="str">
        <f t="shared" si="33"/>
        <v>#DIV/0!</v>
      </c>
    </row>
    <row r="1253" ht="15.75" customHeight="1">
      <c r="A1253" s="25"/>
      <c r="B1253" s="22"/>
      <c r="C1253" s="22">
        <f t="shared" si="6"/>
        <v>0</v>
      </c>
      <c r="D1253" s="25"/>
      <c r="E1253" s="22"/>
      <c r="F1253" s="22" t="str">
        <f t="shared" si="8"/>
        <v>#DIV/0!</v>
      </c>
      <c r="G1253" s="22" t="str">
        <f t="shared" si="31"/>
        <v>#DIV/0!</v>
      </c>
      <c r="H1253" s="22" t="str">
        <f t="shared" si="32"/>
        <v>#DIV/0!</v>
      </c>
      <c r="I1253" s="22" t="str">
        <f t="shared" si="3"/>
        <v>#DIV/0!</v>
      </c>
      <c r="J1253" s="22" t="str">
        <f t="shared" si="33"/>
        <v>#DIV/0!</v>
      </c>
    </row>
    <row r="1254" ht="15.75" customHeight="1">
      <c r="A1254" s="25"/>
      <c r="B1254" s="22"/>
      <c r="C1254" s="22">
        <f t="shared" si="6"/>
        <v>0</v>
      </c>
      <c r="D1254" s="25"/>
      <c r="E1254" s="22"/>
      <c r="F1254" s="22" t="str">
        <f t="shared" si="8"/>
        <v>#DIV/0!</v>
      </c>
      <c r="G1254" s="22" t="str">
        <f t="shared" si="31"/>
        <v>#DIV/0!</v>
      </c>
      <c r="H1254" s="22" t="str">
        <f t="shared" si="32"/>
        <v>#DIV/0!</v>
      </c>
      <c r="I1254" s="22" t="str">
        <f t="shared" si="3"/>
        <v>#DIV/0!</v>
      </c>
      <c r="J1254" s="22" t="str">
        <f t="shared" si="33"/>
        <v>#DIV/0!</v>
      </c>
    </row>
    <row r="1255" ht="15.75" customHeight="1">
      <c r="A1255" s="25"/>
      <c r="B1255" s="22"/>
      <c r="C1255" s="22">
        <f t="shared" si="6"/>
        <v>0</v>
      </c>
      <c r="D1255" s="25"/>
      <c r="E1255" s="22"/>
      <c r="F1255" s="22" t="str">
        <f t="shared" si="8"/>
        <v>#DIV/0!</v>
      </c>
      <c r="G1255" s="22" t="str">
        <f t="shared" si="31"/>
        <v>#DIV/0!</v>
      </c>
      <c r="H1255" s="22" t="str">
        <f t="shared" si="32"/>
        <v>#DIV/0!</v>
      </c>
      <c r="I1255" s="22" t="str">
        <f t="shared" si="3"/>
        <v>#DIV/0!</v>
      </c>
      <c r="J1255" s="22" t="str">
        <f t="shared" si="33"/>
        <v>#DIV/0!</v>
      </c>
    </row>
    <row r="1256" ht="15.75" customHeight="1">
      <c r="A1256" s="25"/>
      <c r="B1256" s="22"/>
      <c r="C1256" s="22">
        <f t="shared" si="6"/>
        <v>0</v>
      </c>
      <c r="D1256" s="25"/>
      <c r="E1256" s="22"/>
      <c r="F1256" s="22" t="str">
        <f t="shared" si="8"/>
        <v>#DIV/0!</v>
      </c>
      <c r="G1256" s="22" t="str">
        <f t="shared" si="31"/>
        <v>#DIV/0!</v>
      </c>
      <c r="H1256" s="22" t="str">
        <f t="shared" si="32"/>
        <v>#DIV/0!</v>
      </c>
      <c r="I1256" s="22" t="str">
        <f t="shared" si="3"/>
        <v>#DIV/0!</v>
      </c>
      <c r="J1256" s="22" t="str">
        <f t="shared" si="33"/>
        <v>#DIV/0!</v>
      </c>
    </row>
    <row r="1257" ht="15.75" customHeight="1">
      <c r="A1257" s="25"/>
      <c r="B1257" s="22"/>
      <c r="C1257" s="22">
        <f t="shared" si="6"/>
        <v>0</v>
      </c>
      <c r="D1257" s="25"/>
      <c r="E1257" s="22"/>
      <c r="F1257" s="22" t="str">
        <f t="shared" si="8"/>
        <v>#DIV/0!</v>
      </c>
      <c r="G1257" s="22" t="str">
        <f t="shared" si="31"/>
        <v>#DIV/0!</v>
      </c>
      <c r="H1257" s="22" t="str">
        <f t="shared" si="32"/>
        <v>#DIV/0!</v>
      </c>
      <c r="I1257" s="22" t="str">
        <f t="shared" si="3"/>
        <v>#DIV/0!</v>
      </c>
      <c r="J1257" s="22" t="str">
        <f t="shared" si="33"/>
        <v>#DIV/0!</v>
      </c>
    </row>
    <row r="1258" ht="15.75" customHeight="1">
      <c r="A1258" s="25"/>
      <c r="B1258" s="22"/>
      <c r="C1258" s="22">
        <f t="shared" si="6"/>
        <v>0</v>
      </c>
      <c r="D1258" s="25"/>
      <c r="E1258" s="22"/>
      <c r="F1258" s="22" t="str">
        <f t="shared" si="8"/>
        <v>#DIV/0!</v>
      </c>
      <c r="G1258" s="22" t="str">
        <f t="shared" si="31"/>
        <v>#DIV/0!</v>
      </c>
      <c r="H1258" s="22" t="str">
        <f t="shared" si="32"/>
        <v>#DIV/0!</v>
      </c>
      <c r="I1258" s="22" t="str">
        <f t="shared" si="3"/>
        <v>#DIV/0!</v>
      </c>
      <c r="J1258" s="22" t="str">
        <f t="shared" si="33"/>
        <v>#DIV/0!</v>
      </c>
    </row>
    <row r="1259" ht="15.75" customHeight="1">
      <c r="A1259" s="25"/>
      <c r="B1259" s="22"/>
      <c r="C1259" s="22">
        <f t="shared" si="6"/>
        <v>0</v>
      </c>
      <c r="D1259" s="25"/>
      <c r="E1259" s="22"/>
      <c r="F1259" s="22" t="str">
        <f t="shared" si="8"/>
        <v>#DIV/0!</v>
      </c>
      <c r="G1259" s="22" t="str">
        <f t="shared" si="31"/>
        <v>#DIV/0!</v>
      </c>
      <c r="H1259" s="22" t="str">
        <f t="shared" si="32"/>
        <v>#DIV/0!</v>
      </c>
      <c r="I1259" s="22" t="str">
        <f t="shared" si="3"/>
        <v>#DIV/0!</v>
      </c>
      <c r="J1259" s="22" t="str">
        <f t="shared" si="33"/>
        <v>#DIV/0!</v>
      </c>
    </row>
    <row r="1260" ht="15.75" customHeight="1">
      <c r="A1260" s="25"/>
      <c r="B1260" s="22"/>
      <c r="C1260" s="22">
        <f t="shared" si="6"/>
        <v>0</v>
      </c>
      <c r="D1260" s="25"/>
      <c r="E1260" s="22"/>
      <c r="F1260" s="22" t="str">
        <f t="shared" si="8"/>
        <v>#DIV/0!</v>
      </c>
      <c r="G1260" s="22" t="str">
        <f t="shared" si="31"/>
        <v>#DIV/0!</v>
      </c>
      <c r="H1260" s="22" t="str">
        <f t="shared" si="32"/>
        <v>#DIV/0!</v>
      </c>
      <c r="I1260" s="22" t="str">
        <f t="shared" si="3"/>
        <v>#DIV/0!</v>
      </c>
      <c r="J1260" s="22" t="str">
        <f t="shared" si="33"/>
        <v>#DIV/0!</v>
      </c>
    </row>
    <row r="1261" ht="15.75" customHeight="1">
      <c r="A1261" s="25"/>
      <c r="B1261" s="22"/>
      <c r="C1261" s="22">
        <f t="shared" si="6"/>
        <v>0</v>
      </c>
      <c r="D1261" s="25"/>
      <c r="E1261" s="22"/>
      <c r="F1261" s="22" t="str">
        <f t="shared" si="8"/>
        <v>#DIV/0!</v>
      </c>
      <c r="G1261" s="22" t="str">
        <f t="shared" si="31"/>
        <v>#DIV/0!</v>
      </c>
      <c r="H1261" s="22" t="str">
        <f t="shared" si="32"/>
        <v>#DIV/0!</v>
      </c>
      <c r="I1261" s="22" t="str">
        <f t="shared" si="3"/>
        <v>#DIV/0!</v>
      </c>
      <c r="J1261" s="22" t="str">
        <f t="shared" si="33"/>
        <v>#DIV/0!</v>
      </c>
    </row>
    <row r="1262" ht="15.75" customHeight="1">
      <c r="A1262" s="25"/>
      <c r="B1262" s="22"/>
      <c r="C1262" s="22">
        <f t="shared" si="6"/>
        <v>0</v>
      </c>
      <c r="D1262" s="25"/>
      <c r="E1262" s="22"/>
      <c r="F1262" s="22" t="str">
        <f t="shared" si="8"/>
        <v>#DIV/0!</v>
      </c>
      <c r="G1262" s="22" t="str">
        <f t="shared" si="31"/>
        <v>#DIV/0!</v>
      </c>
      <c r="H1262" s="22" t="str">
        <f t="shared" si="32"/>
        <v>#DIV/0!</v>
      </c>
      <c r="I1262" s="22" t="str">
        <f t="shared" si="3"/>
        <v>#DIV/0!</v>
      </c>
      <c r="J1262" s="22" t="str">
        <f t="shared" si="33"/>
        <v>#DIV/0!</v>
      </c>
    </row>
    <row r="1263" ht="15.75" customHeight="1">
      <c r="A1263" s="25"/>
      <c r="B1263" s="22"/>
      <c r="C1263" s="22">
        <f t="shared" si="6"/>
        <v>0</v>
      </c>
      <c r="D1263" s="25"/>
      <c r="E1263" s="22"/>
      <c r="F1263" s="22" t="str">
        <f t="shared" si="8"/>
        <v>#DIV/0!</v>
      </c>
      <c r="G1263" s="22" t="str">
        <f t="shared" si="31"/>
        <v>#DIV/0!</v>
      </c>
      <c r="H1263" s="22" t="str">
        <f t="shared" si="32"/>
        <v>#DIV/0!</v>
      </c>
      <c r="I1263" s="22" t="str">
        <f t="shared" si="3"/>
        <v>#DIV/0!</v>
      </c>
      <c r="J1263" s="22" t="str">
        <f t="shared" si="33"/>
        <v>#DIV/0!</v>
      </c>
    </row>
    <row r="1264" ht="15.75" customHeight="1">
      <c r="A1264" s="25"/>
      <c r="B1264" s="22"/>
      <c r="C1264" s="22">
        <f t="shared" si="6"/>
        <v>0</v>
      </c>
      <c r="D1264" s="25"/>
      <c r="E1264" s="22"/>
      <c r="F1264" s="22" t="str">
        <f t="shared" si="8"/>
        <v>#DIV/0!</v>
      </c>
      <c r="G1264" s="22" t="str">
        <f t="shared" si="31"/>
        <v>#DIV/0!</v>
      </c>
      <c r="H1264" s="22" t="str">
        <f t="shared" si="32"/>
        <v>#DIV/0!</v>
      </c>
      <c r="I1264" s="22" t="str">
        <f t="shared" si="3"/>
        <v>#DIV/0!</v>
      </c>
      <c r="J1264" s="22" t="str">
        <f t="shared" si="33"/>
        <v>#DIV/0!</v>
      </c>
    </row>
    <row r="1265" ht="15.75" customHeight="1">
      <c r="A1265" s="25"/>
      <c r="B1265" s="22"/>
      <c r="C1265" s="22">
        <f t="shared" si="6"/>
        <v>0</v>
      </c>
      <c r="D1265" s="25"/>
      <c r="E1265" s="22"/>
      <c r="F1265" s="22" t="str">
        <f t="shared" si="8"/>
        <v>#DIV/0!</v>
      </c>
      <c r="G1265" s="22" t="str">
        <f t="shared" si="31"/>
        <v>#DIV/0!</v>
      </c>
      <c r="H1265" s="22" t="str">
        <f t="shared" si="32"/>
        <v>#DIV/0!</v>
      </c>
      <c r="I1265" s="22" t="str">
        <f t="shared" si="3"/>
        <v>#DIV/0!</v>
      </c>
      <c r="J1265" s="22" t="str">
        <f t="shared" si="33"/>
        <v>#DIV/0!</v>
      </c>
    </row>
    <row r="1266" ht="15.75" customHeight="1">
      <c r="A1266" s="25"/>
      <c r="B1266" s="22"/>
      <c r="C1266" s="22">
        <f t="shared" si="6"/>
        <v>0</v>
      </c>
      <c r="D1266" s="25"/>
      <c r="E1266" s="22"/>
      <c r="F1266" s="22" t="str">
        <f t="shared" si="8"/>
        <v>#DIV/0!</v>
      </c>
      <c r="G1266" s="22" t="str">
        <f t="shared" si="31"/>
        <v>#DIV/0!</v>
      </c>
      <c r="H1266" s="22" t="str">
        <f t="shared" si="32"/>
        <v>#DIV/0!</v>
      </c>
      <c r="I1266" s="22" t="str">
        <f t="shared" si="3"/>
        <v>#DIV/0!</v>
      </c>
      <c r="J1266" s="22" t="str">
        <f t="shared" si="33"/>
        <v>#DIV/0!</v>
      </c>
    </row>
    <row r="1267" ht="15.75" customHeight="1">
      <c r="A1267" s="25"/>
      <c r="B1267" s="22"/>
      <c r="C1267" s="22">
        <f t="shared" si="6"/>
        <v>0</v>
      </c>
      <c r="D1267" s="25"/>
      <c r="E1267" s="22"/>
      <c r="F1267" s="22" t="str">
        <f t="shared" si="8"/>
        <v>#DIV/0!</v>
      </c>
      <c r="G1267" s="22" t="str">
        <f t="shared" si="31"/>
        <v>#DIV/0!</v>
      </c>
      <c r="H1267" s="22" t="str">
        <f t="shared" si="32"/>
        <v>#DIV/0!</v>
      </c>
      <c r="I1267" s="22" t="str">
        <f t="shared" si="3"/>
        <v>#DIV/0!</v>
      </c>
      <c r="J1267" s="22" t="str">
        <f t="shared" si="33"/>
        <v>#DIV/0!</v>
      </c>
    </row>
    <row r="1268" ht="15.75" customHeight="1">
      <c r="A1268" s="25"/>
      <c r="B1268" s="22"/>
      <c r="C1268" s="22">
        <f t="shared" si="6"/>
        <v>0</v>
      </c>
      <c r="D1268" s="25"/>
      <c r="E1268" s="22"/>
      <c r="F1268" s="22" t="str">
        <f t="shared" si="8"/>
        <v>#DIV/0!</v>
      </c>
      <c r="G1268" s="22" t="str">
        <f t="shared" si="31"/>
        <v>#DIV/0!</v>
      </c>
      <c r="H1268" s="22" t="str">
        <f t="shared" si="32"/>
        <v>#DIV/0!</v>
      </c>
      <c r="I1268" s="22" t="str">
        <f t="shared" si="3"/>
        <v>#DIV/0!</v>
      </c>
      <c r="J1268" s="22" t="str">
        <f t="shared" si="33"/>
        <v>#DIV/0!</v>
      </c>
    </row>
    <row r="1269" ht="15.75" customHeight="1">
      <c r="A1269" s="25"/>
      <c r="B1269" s="22"/>
      <c r="C1269" s="22">
        <f t="shared" si="6"/>
        <v>0</v>
      </c>
      <c r="D1269" s="25"/>
      <c r="E1269" s="22"/>
      <c r="F1269" s="22" t="str">
        <f t="shared" si="8"/>
        <v>#DIV/0!</v>
      </c>
      <c r="G1269" s="22" t="str">
        <f t="shared" si="31"/>
        <v>#DIV/0!</v>
      </c>
      <c r="H1269" s="22" t="str">
        <f t="shared" si="32"/>
        <v>#DIV/0!</v>
      </c>
      <c r="I1269" s="22" t="str">
        <f t="shared" si="3"/>
        <v>#DIV/0!</v>
      </c>
      <c r="J1269" s="22" t="str">
        <f t="shared" si="33"/>
        <v>#DIV/0!</v>
      </c>
    </row>
    <row r="1270" ht="15.75" customHeight="1">
      <c r="A1270" s="25"/>
      <c r="B1270" s="22"/>
      <c r="C1270" s="22">
        <f t="shared" si="6"/>
        <v>0</v>
      </c>
      <c r="D1270" s="25"/>
      <c r="E1270" s="22"/>
      <c r="F1270" s="22" t="str">
        <f t="shared" si="8"/>
        <v>#DIV/0!</v>
      </c>
      <c r="G1270" s="22" t="str">
        <f t="shared" si="31"/>
        <v>#DIV/0!</v>
      </c>
      <c r="H1270" s="22" t="str">
        <f t="shared" si="32"/>
        <v>#DIV/0!</v>
      </c>
      <c r="I1270" s="22" t="str">
        <f t="shared" si="3"/>
        <v>#DIV/0!</v>
      </c>
      <c r="J1270" s="22" t="str">
        <f t="shared" si="33"/>
        <v>#DIV/0!</v>
      </c>
    </row>
    <row r="1271" ht="15.75" customHeight="1">
      <c r="A1271" s="25"/>
      <c r="B1271" s="22"/>
      <c r="C1271" s="22">
        <f t="shared" si="6"/>
        <v>0</v>
      </c>
      <c r="D1271" s="25"/>
      <c r="E1271" s="22"/>
      <c r="F1271" s="22" t="str">
        <f t="shared" si="8"/>
        <v>#DIV/0!</v>
      </c>
      <c r="G1271" s="22" t="str">
        <f t="shared" si="31"/>
        <v>#DIV/0!</v>
      </c>
      <c r="H1271" s="22" t="str">
        <f t="shared" si="32"/>
        <v>#DIV/0!</v>
      </c>
      <c r="I1271" s="22" t="str">
        <f t="shared" si="3"/>
        <v>#DIV/0!</v>
      </c>
      <c r="J1271" s="22" t="str">
        <f t="shared" si="33"/>
        <v>#DIV/0!</v>
      </c>
    </row>
    <row r="1272" ht="15.75" customHeight="1">
      <c r="A1272" s="25"/>
      <c r="B1272" s="22"/>
      <c r="C1272" s="22">
        <f t="shared" si="6"/>
        <v>0</v>
      </c>
      <c r="D1272" s="25"/>
      <c r="E1272" s="22"/>
      <c r="F1272" s="22" t="str">
        <f t="shared" si="8"/>
        <v>#DIV/0!</v>
      </c>
      <c r="G1272" s="22" t="str">
        <f t="shared" si="31"/>
        <v>#DIV/0!</v>
      </c>
      <c r="H1272" s="22" t="str">
        <f t="shared" si="32"/>
        <v>#DIV/0!</v>
      </c>
      <c r="I1272" s="22" t="str">
        <f t="shared" si="3"/>
        <v>#DIV/0!</v>
      </c>
      <c r="J1272" s="22" t="str">
        <f t="shared" si="33"/>
        <v>#DIV/0!</v>
      </c>
    </row>
    <row r="1273" ht="15.75" customHeight="1">
      <c r="A1273" s="25"/>
      <c r="B1273" s="22"/>
      <c r="C1273" s="22">
        <f t="shared" si="6"/>
        <v>0</v>
      </c>
      <c r="D1273" s="25"/>
      <c r="E1273" s="22"/>
      <c r="F1273" s="22" t="str">
        <f t="shared" si="8"/>
        <v>#DIV/0!</v>
      </c>
      <c r="G1273" s="22" t="str">
        <f t="shared" si="31"/>
        <v>#DIV/0!</v>
      </c>
      <c r="H1273" s="22" t="str">
        <f t="shared" si="32"/>
        <v>#DIV/0!</v>
      </c>
      <c r="I1273" s="22" t="str">
        <f t="shared" si="3"/>
        <v>#DIV/0!</v>
      </c>
      <c r="J1273" s="22" t="str">
        <f t="shared" si="33"/>
        <v>#DIV/0!</v>
      </c>
    </row>
    <row r="1274" ht="15.75" customHeight="1">
      <c r="A1274" s="25"/>
      <c r="B1274" s="22"/>
      <c r="C1274" s="22">
        <f t="shared" si="6"/>
        <v>0</v>
      </c>
      <c r="D1274" s="25"/>
      <c r="E1274" s="22"/>
      <c r="F1274" s="22" t="str">
        <f t="shared" si="8"/>
        <v>#DIV/0!</v>
      </c>
      <c r="G1274" s="22" t="str">
        <f t="shared" si="31"/>
        <v>#DIV/0!</v>
      </c>
      <c r="H1274" s="22" t="str">
        <f t="shared" si="32"/>
        <v>#DIV/0!</v>
      </c>
      <c r="I1274" s="22" t="str">
        <f t="shared" si="3"/>
        <v>#DIV/0!</v>
      </c>
      <c r="J1274" s="22" t="str">
        <f t="shared" si="33"/>
        <v>#DIV/0!</v>
      </c>
    </row>
    <row r="1275" ht="15.75" customHeight="1">
      <c r="A1275" s="25"/>
      <c r="B1275" s="22"/>
      <c r="C1275" s="22">
        <f t="shared" si="6"/>
        <v>0</v>
      </c>
      <c r="D1275" s="25"/>
      <c r="E1275" s="22"/>
      <c r="F1275" s="22" t="str">
        <f t="shared" si="8"/>
        <v>#DIV/0!</v>
      </c>
      <c r="G1275" s="22" t="str">
        <f t="shared" si="31"/>
        <v>#DIV/0!</v>
      </c>
      <c r="H1275" s="22" t="str">
        <f t="shared" si="32"/>
        <v>#DIV/0!</v>
      </c>
      <c r="I1275" s="22" t="str">
        <f t="shared" si="3"/>
        <v>#DIV/0!</v>
      </c>
      <c r="J1275" s="22" t="str">
        <f t="shared" si="33"/>
        <v>#DIV/0!</v>
      </c>
    </row>
    <row r="1276" ht="15.75" customHeight="1">
      <c r="A1276" s="25"/>
      <c r="B1276" s="22"/>
      <c r="C1276" s="22">
        <f t="shared" si="6"/>
        <v>0</v>
      </c>
      <c r="D1276" s="25"/>
      <c r="E1276" s="22"/>
      <c r="F1276" s="22" t="str">
        <f t="shared" si="8"/>
        <v>#DIV/0!</v>
      </c>
      <c r="G1276" s="22" t="str">
        <f t="shared" si="31"/>
        <v>#DIV/0!</v>
      </c>
      <c r="H1276" s="22" t="str">
        <f t="shared" si="32"/>
        <v>#DIV/0!</v>
      </c>
      <c r="I1276" s="22" t="str">
        <f t="shared" si="3"/>
        <v>#DIV/0!</v>
      </c>
      <c r="J1276" s="22" t="str">
        <f t="shared" si="33"/>
        <v>#DIV/0!</v>
      </c>
    </row>
    <row r="1277" ht="15.75" customHeight="1">
      <c r="A1277" s="25"/>
      <c r="B1277" s="22"/>
      <c r="C1277" s="22">
        <f t="shared" si="6"/>
        <v>0</v>
      </c>
      <c r="D1277" s="25"/>
      <c r="E1277" s="22"/>
      <c r="F1277" s="22" t="str">
        <f t="shared" si="8"/>
        <v>#DIV/0!</v>
      </c>
      <c r="G1277" s="22" t="str">
        <f t="shared" si="31"/>
        <v>#DIV/0!</v>
      </c>
      <c r="H1277" s="22" t="str">
        <f t="shared" si="32"/>
        <v>#DIV/0!</v>
      </c>
      <c r="I1277" s="22" t="str">
        <f t="shared" si="3"/>
        <v>#DIV/0!</v>
      </c>
      <c r="J1277" s="22" t="str">
        <f t="shared" si="33"/>
        <v>#DIV/0!</v>
      </c>
    </row>
    <row r="1278" ht="15.75" customHeight="1">
      <c r="A1278" s="25"/>
      <c r="B1278" s="22"/>
      <c r="C1278" s="22">
        <f t="shared" si="6"/>
        <v>0</v>
      </c>
      <c r="D1278" s="25"/>
      <c r="E1278" s="22"/>
      <c r="F1278" s="22" t="str">
        <f t="shared" si="8"/>
        <v>#DIV/0!</v>
      </c>
      <c r="G1278" s="22" t="str">
        <f t="shared" si="31"/>
        <v>#DIV/0!</v>
      </c>
      <c r="H1278" s="22" t="str">
        <f t="shared" si="32"/>
        <v>#DIV/0!</v>
      </c>
      <c r="I1278" s="22" t="str">
        <f t="shared" si="3"/>
        <v>#DIV/0!</v>
      </c>
      <c r="J1278" s="22" t="str">
        <f t="shared" si="33"/>
        <v>#DIV/0!</v>
      </c>
    </row>
    <row r="1279" ht="15.75" customHeight="1">
      <c r="A1279" s="25"/>
      <c r="B1279" s="22"/>
      <c r="C1279" s="22">
        <f t="shared" si="6"/>
        <v>0</v>
      </c>
      <c r="D1279" s="25"/>
      <c r="E1279" s="22"/>
      <c r="F1279" s="22" t="str">
        <f t="shared" si="8"/>
        <v>#DIV/0!</v>
      </c>
      <c r="G1279" s="22" t="str">
        <f t="shared" si="31"/>
        <v>#DIV/0!</v>
      </c>
      <c r="H1279" s="22" t="str">
        <f t="shared" si="32"/>
        <v>#DIV/0!</v>
      </c>
      <c r="I1279" s="22" t="str">
        <f t="shared" si="3"/>
        <v>#DIV/0!</v>
      </c>
      <c r="J1279" s="22" t="str">
        <f t="shared" si="33"/>
        <v>#DIV/0!</v>
      </c>
    </row>
    <row r="1280" ht="15.75" customHeight="1">
      <c r="A1280" s="25"/>
      <c r="B1280" s="22"/>
      <c r="C1280" s="22">
        <f t="shared" si="6"/>
        <v>0</v>
      </c>
      <c r="D1280" s="25"/>
      <c r="E1280" s="22"/>
      <c r="F1280" s="22" t="str">
        <f t="shared" si="8"/>
        <v>#DIV/0!</v>
      </c>
      <c r="G1280" s="22" t="str">
        <f t="shared" si="31"/>
        <v>#DIV/0!</v>
      </c>
      <c r="H1280" s="22" t="str">
        <f t="shared" si="32"/>
        <v>#DIV/0!</v>
      </c>
      <c r="I1280" s="22" t="str">
        <f t="shared" si="3"/>
        <v>#DIV/0!</v>
      </c>
      <c r="J1280" s="22" t="str">
        <f t="shared" si="33"/>
        <v>#DIV/0!</v>
      </c>
    </row>
    <row r="1281" ht="15.75" customHeight="1">
      <c r="A1281" s="25"/>
      <c r="B1281" s="22"/>
      <c r="C1281" s="22">
        <f t="shared" si="6"/>
        <v>0</v>
      </c>
      <c r="D1281" s="25"/>
      <c r="E1281" s="22"/>
      <c r="F1281" s="22" t="str">
        <f t="shared" si="8"/>
        <v>#DIV/0!</v>
      </c>
      <c r="G1281" s="22" t="str">
        <f t="shared" si="31"/>
        <v>#DIV/0!</v>
      </c>
      <c r="H1281" s="22" t="str">
        <f t="shared" si="32"/>
        <v>#DIV/0!</v>
      </c>
      <c r="I1281" s="22" t="str">
        <f t="shared" si="3"/>
        <v>#DIV/0!</v>
      </c>
      <c r="J1281" s="22" t="str">
        <f t="shared" si="33"/>
        <v>#DIV/0!</v>
      </c>
    </row>
    <row r="1282" ht="15.75" customHeight="1">
      <c r="A1282" s="25"/>
      <c r="B1282" s="22"/>
      <c r="C1282" s="22">
        <f t="shared" si="6"/>
        <v>0</v>
      </c>
      <c r="D1282" s="25"/>
      <c r="E1282" s="22"/>
      <c r="F1282" s="22" t="str">
        <f t="shared" si="8"/>
        <v>#DIV/0!</v>
      </c>
      <c r="G1282" s="22" t="str">
        <f t="shared" si="31"/>
        <v>#DIV/0!</v>
      </c>
      <c r="H1282" s="22" t="str">
        <f t="shared" si="32"/>
        <v>#DIV/0!</v>
      </c>
      <c r="I1282" s="22" t="str">
        <f t="shared" si="3"/>
        <v>#DIV/0!</v>
      </c>
      <c r="J1282" s="22" t="str">
        <f t="shared" si="33"/>
        <v>#DIV/0!</v>
      </c>
    </row>
    <row r="1283" ht="15.75" customHeight="1">
      <c r="A1283" s="25"/>
      <c r="B1283" s="22"/>
      <c r="C1283" s="22">
        <f t="shared" si="6"/>
        <v>0</v>
      </c>
      <c r="D1283" s="25"/>
      <c r="E1283" s="22"/>
      <c r="F1283" s="22" t="str">
        <f t="shared" si="8"/>
        <v>#DIV/0!</v>
      </c>
      <c r="G1283" s="22" t="str">
        <f t="shared" si="31"/>
        <v>#DIV/0!</v>
      </c>
      <c r="H1283" s="22" t="str">
        <f t="shared" si="32"/>
        <v>#DIV/0!</v>
      </c>
      <c r="I1283" s="22" t="str">
        <f t="shared" si="3"/>
        <v>#DIV/0!</v>
      </c>
      <c r="J1283" s="22" t="str">
        <f t="shared" si="33"/>
        <v>#DIV/0!</v>
      </c>
    </row>
    <row r="1284" ht="15.75" customHeight="1">
      <c r="A1284" s="25"/>
      <c r="B1284" s="22"/>
      <c r="C1284" s="22">
        <f t="shared" si="6"/>
        <v>0</v>
      </c>
      <c r="D1284" s="25"/>
      <c r="E1284" s="22"/>
      <c r="F1284" s="22" t="str">
        <f t="shared" si="8"/>
        <v>#DIV/0!</v>
      </c>
      <c r="G1284" s="22" t="str">
        <f t="shared" si="31"/>
        <v>#DIV/0!</v>
      </c>
      <c r="H1284" s="22" t="str">
        <f t="shared" si="32"/>
        <v>#DIV/0!</v>
      </c>
      <c r="I1284" s="22" t="str">
        <f t="shared" si="3"/>
        <v>#DIV/0!</v>
      </c>
      <c r="J1284" s="22" t="str">
        <f t="shared" si="33"/>
        <v>#DIV/0!</v>
      </c>
    </row>
    <row r="1285" ht="15.75" customHeight="1">
      <c r="A1285" s="25"/>
      <c r="B1285" s="22"/>
      <c r="C1285" s="22">
        <f t="shared" si="6"/>
        <v>0</v>
      </c>
      <c r="D1285" s="25"/>
      <c r="E1285" s="22"/>
      <c r="F1285" s="22" t="str">
        <f t="shared" si="8"/>
        <v>#DIV/0!</v>
      </c>
      <c r="G1285" s="22" t="str">
        <f t="shared" si="31"/>
        <v>#DIV/0!</v>
      </c>
      <c r="H1285" s="22" t="str">
        <f t="shared" si="32"/>
        <v>#DIV/0!</v>
      </c>
      <c r="I1285" s="22" t="str">
        <f t="shared" si="3"/>
        <v>#DIV/0!</v>
      </c>
      <c r="J1285" s="22" t="str">
        <f t="shared" si="33"/>
        <v>#DIV/0!</v>
      </c>
    </row>
    <row r="1286" ht="15.75" customHeight="1">
      <c r="A1286" s="25"/>
      <c r="B1286" s="22"/>
      <c r="C1286" s="22">
        <f t="shared" si="6"/>
        <v>0</v>
      </c>
      <c r="D1286" s="25"/>
      <c r="E1286" s="22"/>
      <c r="F1286" s="22" t="str">
        <f t="shared" si="8"/>
        <v>#DIV/0!</v>
      </c>
      <c r="G1286" s="22" t="str">
        <f t="shared" si="31"/>
        <v>#DIV/0!</v>
      </c>
      <c r="H1286" s="22" t="str">
        <f t="shared" si="32"/>
        <v>#DIV/0!</v>
      </c>
      <c r="I1286" s="22" t="str">
        <f t="shared" si="3"/>
        <v>#DIV/0!</v>
      </c>
      <c r="J1286" s="22" t="str">
        <f t="shared" si="33"/>
        <v>#DIV/0!</v>
      </c>
    </row>
    <row r="1287" ht="15.75" customHeight="1">
      <c r="A1287" s="25"/>
      <c r="B1287" s="22"/>
      <c r="C1287" s="22">
        <f t="shared" si="6"/>
        <v>0</v>
      </c>
      <c r="D1287" s="25"/>
      <c r="E1287" s="22"/>
      <c r="F1287" s="22" t="str">
        <f t="shared" si="8"/>
        <v>#DIV/0!</v>
      </c>
      <c r="G1287" s="22" t="str">
        <f t="shared" si="31"/>
        <v>#DIV/0!</v>
      </c>
      <c r="H1287" s="22" t="str">
        <f t="shared" si="32"/>
        <v>#DIV/0!</v>
      </c>
      <c r="I1287" s="22" t="str">
        <f t="shared" si="3"/>
        <v>#DIV/0!</v>
      </c>
      <c r="J1287" s="22" t="str">
        <f t="shared" si="33"/>
        <v>#DIV/0!</v>
      </c>
    </row>
    <row r="1288" ht="15.75" customHeight="1">
      <c r="A1288" s="25"/>
      <c r="B1288" s="22"/>
      <c r="C1288" s="22">
        <f t="shared" si="6"/>
        <v>0</v>
      </c>
      <c r="D1288" s="25"/>
      <c r="E1288" s="22"/>
      <c r="F1288" s="22" t="str">
        <f t="shared" si="8"/>
        <v>#DIV/0!</v>
      </c>
      <c r="G1288" s="22" t="str">
        <f t="shared" si="31"/>
        <v>#DIV/0!</v>
      </c>
      <c r="H1288" s="22" t="str">
        <f t="shared" si="32"/>
        <v>#DIV/0!</v>
      </c>
      <c r="I1288" s="22" t="str">
        <f t="shared" si="3"/>
        <v>#DIV/0!</v>
      </c>
      <c r="J1288" s="22" t="str">
        <f t="shared" si="33"/>
        <v>#DIV/0!</v>
      </c>
    </row>
    <row r="1289" ht="15.75" customHeight="1">
      <c r="A1289" s="25"/>
      <c r="B1289" s="22"/>
      <c r="C1289" s="22">
        <f t="shared" si="6"/>
        <v>0</v>
      </c>
      <c r="D1289" s="25"/>
      <c r="E1289" s="22"/>
      <c r="F1289" s="22" t="str">
        <f t="shared" si="8"/>
        <v>#DIV/0!</v>
      </c>
      <c r="G1289" s="22" t="str">
        <f t="shared" si="31"/>
        <v>#DIV/0!</v>
      </c>
      <c r="H1289" s="22" t="str">
        <f t="shared" si="32"/>
        <v>#DIV/0!</v>
      </c>
      <c r="I1289" s="22" t="str">
        <f t="shared" si="3"/>
        <v>#DIV/0!</v>
      </c>
      <c r="J1289" s="22" t="str">
        <f t="shared" si="33"/>
        <v>#DIV/0!</v>
      </c>
    </row>
    <row r="1290" ht="15.75" customHeight="1">
      <c r="A1290" s="25"/>
      <c r="B1290" s="22"/>
      <c r="C1290" s="22">
        <f t="shared" si="6"/>
        <v>0</v>
      </c>
      <c r="D1290" s="25"/>
      <c r="E1290" s="22"/>
      <c r="F1290" s="22" t="str">
        <f t="shared" si="8"/>
        <v>#DIV/0!</v>
      </c>
      <c r="G1290" s="22" t="str">
        <f t="shared" si="31"/>
        <v>#DIV/0!</v>
      </c>
      <c r="H1290" s="22" t="str">
        <f t="shared" si="32"/>
        <v>#DIV/0!</v>
      </c>
      <c r="I1290" s="22" t="str">
        <f t="shared" si="3"/>
        <v>#DIV/0!</v>
      </c>
      <c r="J1290" s="22" t="str">
        <f t="shared" si="33"/>
        <v>#DIV/0!</v>
      </c>
    </row>
    <row r="1291" ht="15.75" customHeight="1">
      <c r="A1291" s="25"/>
      <c r="B1291" s="22"/>
      <c r="C1291" s="22">
        <f t="shared" si="6"/>
        <v>0</v>
      </c>
      <c r="D1291" s="25"/>
      <c r="E1291" s="22"/>
      <c r="F1291" s="22" t="str">
        <f t="shared" si="8"/>
        <v>#DIV/0!</v>
      </c>
      <c r="G1291" s="22" t="str">
        <f t="shared" si="31"/>
        <v>#DIV/0!</v>
      </c>
      <c r="H1291" s="22" t="str">
        <f t="shared" si="32"/>
        <v>#DIV/0!</v>
      </c>
      <c r="I1291" s="22" t="str">
        <f t="shared" si="3"/>
        <v>#DIV/0!</v>
      </c>
      <c r="J1291" s="22" t="str">
        <f t="shared" si="33"/>
        <v>#DIV/0!</v>
      </c>
    </row>
    <row r="1292" ht="15.75" customHeight="1">
      <c r="A1292" s="25"/>
      <c r="B1292" s="22"/>
      <c r="C1292" s="22">
        <f t="shared" si="6"/>
        <v>0</v>
      </c>
      <c r="D1292" s="25"/>
      <c r="E1292" s="22"/>
      <c r="F1292" s="22" t="str">
        <f t="shared" si="8"/>
        <v>#DIV/0!</v>
      </c>
      <c r="G1292" s="22" t="str">
        <f t="shared" si="31"/>
        <v>#DIV/0!</v>
      </c>
      <c r="H1292" s="22" t="str">
        <f t="shared" si="32"/>
        <v>#DIV/0!</v>
      </c>
      <c r="I1292" s="22" t="str">
        <f t="shared" si="3"/>
        <v>#DIV/0!</v>
      </c>
      <c r="J1292" s="22" t="str">
        <f t="shared" si="33"/>
        <v>#DIV/0!</v>
      </c>
    </row>
    <row r="1293" ht="15.75" customHeight="1">
      <c r="A1293" s="25"/>
      <c r="B1293" s="22"/>
      <c r="C1293" s="22">
        <f t="shared" si="6"/>
        <v>0</v>
      </c>
      <c r="D1293" s="25"/>
      <c r="E1293" s="22"/>
      <c r="F1293" s="22" t="str">
        <f t="shared" si="8"/>
        <v>#DIV/0!</v>
      </c>
      <c r="G1293" s="22" t="str">
        <f t="shared" si="31"/>
        <v>#DIV/0!</v>
      </c>
      <c r="H1293" s="22" t="str">
        <f t="shared" si="32"/>
        <v>#DIV/0!</v>
      </c>
      <c r="I1293" s="22" t="str">
        <f t="shared" si="3"/>
        <v>#DIV/0!</v>
      </c>
      <c r="J1293" s="22" t="str">
        <f t="shared" si="33"/>
        <v>#DIV/0!</v>
      </c>
    </row>
    <row r="1294" ht="15.75" customHeight="1">
      <c r="A1294" s="25"/>
      <c r="B1294" s="22"/>
      <c r="C1294" s="22">
        <f t="shared" si="6"/>
        <v>0</v>
      </c>
      <c r="D1294" s="25"/>
      <c r="E1294" s="22"/>
      <c r="F1294" s="22" t="str">
        <f t="shared" si="8"/>
        <v>#DIV/0!</v>
      </c>
      <c r="G1294" s="22" t="str">
        <f t="shared" si="31"/>
        <v>#DIV/0!</v>
      </c>
      <c r="H1294" s="22" t="str">
        <f t="shared" si="32"/>
        <v>#DIV/0!</v>
      </c>
      <c r="I1294" s="22" t="str">
        <f t="shared" si="3"/>
        <v>#DIV/0!</v>
      </c>
      <c r="J1294" s="22" t="str">
        <f t="shared" si="33"/>
        <v>#DIV/0!</v>
      </c>
    </row>
    <row r="1295" ht="15.75" customHeight="1">
      <c r="A1295" s="25"/>
      <c r="B1295" s="22"/>
      <c r="C1295" s="22">
        <f t="shared" si="6"/>
        <v>0</v>
      </c>
      <c r="D1295" s="25"/>
      <c r="E1295" s="22"/>
      <c r="F1295" s="22" t="str">
        <f t="shared" si="8"/>
        <v>#DIV/0!</v>
      </c>
      <c r="G1295" s="22" t="str">
        <f t="shared" si="31"/>
        <v>#DIV/0!</v>
      </c>
      <c r="H1295" s="22" t="str">
        <f t="shared" si="32"/>
        <v>#DIV/0!</v>
      </c>
      <c r="I1295" s="22" t="str">
        <f t="shared" si="3"/>
        <v>#DIV/0!</v>
      </c>
      <c r="J1295" s="22" t="str">
        <f t="shared" si="33"/>
        <v>#DIV/0!</v>
      </c>
    </row>
    <row r="1296" ht="15.75" customHeight="1">
      <c r="A1296" s="25"/>
      <c r="B1296" s="22"/>
      <c r="C1296" s="22">
        <f t="shared" si="6"/>
        <v>0</v>
      </c>
      <c r="D1296" s="25"/>
      <c r="E1296" s="22"/>
      <c r="F1296" s="22" t="str">
        <f t="shared" si="8"/>
        <v>#DIV/0!</v>
      </c>
      <c r="G1296" s="22" t="str">
        <f t="shared" si="31"/>
        <v>#DIV/0!</v>
      </c>
      <c r="H1296" s="22" t="str">
        <f t="shared" si="32"/>
        <v>#DIV/0!</v>
      </c>
      <c r="I1296" s="22" t="str">
        <f t="shared" si="3"/>
        <v>#DIV/0!</v>
      </c>
      <c r="J1296" s="22" t="str">
        <f t="shared" si="33"/>
        <v>#DIV/0!</v>
      </c>
    </row>
    <row r="1297" ht="15.75" customHeight="1">
      <c r="A1297" s="25"/>
      <c r="B1297" s="22"/>
      <c r="C1297" s="22">
        <f t="shared" si="6"/>
        <v>0</v>
      </c>
      <c r="D1297" s="25"/>
      <c r="E1297" s="22"/>
      <c r="F1297" s="22" t="str">
        <f t="shared" si="8"/>
        <v>#DIV/0!</v>
      </c>
      <c r="G1297" s="22" t="str">
        <f t="shared" si="31"/>
        <v>#DIV/0!</v>
      </c>
      <c r="H1297" s="22" t="str">
        <f t="shared" si="32"/>
        <v>#DIV/0!</v>
      </c>
      <c r="I1297" s="22" t="str">
        <f t="shared" si="3"/>
        <v>#DIV/0!</v>
      </c>
      <c r="J1297" s="22" t="str">
        <f t="shared" si="33"/>
        <v>#DIV/0!</v>
      </c>
    </row>
    <row r="1298" ht="15.75" customHeight="1">
      <c r="A1298" s="25"/>
      <c r="B1298" s="22"/>
      <c r="C1298" s="22">
        <f t="shared" si="6"/>
        <v>0</v>
      </c>
      <c r="D1298" s="25"/>
      <c r="E1298" s="22"/>
      <c r="F1298" s="22" t="str">
        <f t="shared" si="8"/>
        <v>#DIV/0!</v>
      </c>
      <c r="G1298" s="22" t="str">
        <f t="shared" si="31"/>
        <v>#DIV/0!</v>
      </c>
      <c r="H1298" s="22" t="str">
        <f t="shared" si="32"/>
        <v>#DIV/0!</v>
      </c>
      <c r="I1298" s="22" t="str">
        <f t="shared" si="3"/>
        <v>#DIV/0!</v>
      </c>
      <c r="J1298" s="22" t="str">
        <f t="shared" si="33"/>
        <v>#DIV/0!</v>
      </c>
    </row>
    <row r="1299" ht="15.75" customHeight="1">
      <c r="A1299" s="25"/>
      <c r="B1299" s="22"/>
      <c r="C1299" s="22">
        <f t="shared" si="6"/>
        <v>0</v>
      </c>
      <c r="D1299" s="25"/>
      <c r="E1299" s="22"/>
      <c r="F1299" s="22" t="str">
        <f t="shared" si="8"/>
        <v>#DIV/0!</v>
      </c>
      <c r="G1299" s="22" t="str">
        <f t="shared" si="31"/>
        <v>#DIV/0!</v>
      </c>
      <c r="H1299" s="22" t="str">
        <f t="shared" si="32"/>
        <v>#DIV/0!</v>
      </c>
      <c r="I1299" s="22" t="str">
        <f t="shared" si="3"/>
        <v>#DIV/0!</v>
      </c>
      <c r="J1299" s="22" t="str">
        <f t="shared" si="33"/>
        <v>#DIV/0!</v>
      </c>
    </row>
    <row r="1300" ht="15.75" customHeight="1">
      <c r="A1300" s="25"/>
      <c r="B1300" s="22"/>
      <c r="C1300" s="22">
        <f t="shared" si="6"/>
        <v>0</v>
      </c>
      <c r="D1300" s="25"/>
      <c r="E1300" s="22"/>
      <c r="F1300" s="22" t="str">
        <f t="shared" si="8"/>
        <v>#DIV/0!</v>
      </c>
      <c r="G1300" s="22" t="str">
        <f t="shared" si="31"/>
        <v>#DIV/0!</v>
      </c>
      <c r="H1300" s="22" t="str">
        <f t="shared" si="32"/>
        <v>#DIV/0!</v>
      </c>
      <c r="I1300" s="22" t="str">
        <f t="shared" si="3"/>
        <v>#DIV/0!</v>
      </c>
      <c r="J1300" s="22" t="str">
        <f t="shared" si="33"/>
        <v>#DIV/0!</v>
      </c>
    </row>
    <row r="1301" ht="15.75" customHeight="1">
      <c r="A1301" s="25"/>
      <c r="B1301" s="22"/>
      <c r="C1301" s="22">
        <f t="shared" si="6"/>
        <v>0</v>
      </c>
      <c r="D1301" s="25"/>
      <c r="E1301" s="22"/>
      <c r="F1301" s="22" t="str">
        <f t="shared" si="8"/>
        <v>#DIV/0!</v>
      </c>
      <c r="G1301" s="22" t="str">
        <f t="shared" si="31"/>
        <v>#DIV/0!</v>
      </c>
      <c r="H1301" s="22" t="str">
        <f t="shared" si="32"/>
        <v>#DIV/0!</v>
      </c>
      <c r="I1301" s="22" t="str">
        <f t="shared" si="3"/>
        <v>#DIV/0!</v>
      </c>
      <c r="J1301" s="22" t="str">
        <f t="shared" si="33"/>
        <v>#DIV/0!</v>
      </c>
    </row>
    <row r="1302" ht="15.75" customHeight="1">
      <c r="A1302" s="25"/>
      <c r="B1302" s="22"/>
      <c r="C1302" s="22">
        <f t="shared" si="6"/>
        <v>0</v>
      </c>
      <c r="D1302" s="25"/>
      <c r="E1302" s="22"/>
      <c r="F1302" s="22" t="str">
        <f t="shared" si="8"/>
        <v>#DIV/0!</v>
      </c>
      <c r="G1302" s="22" t="str">
        <f t="shared" si="31"/>
        <v>#DIV/0!</v>
      </c>
      <c r="H1302" s="22" t="str">
        <f t="shared" si="32"/>
        <v>#DIV/0!</v>
      </c>
      <c r="I1302" s="22" t="str">
        <f t="shared" si="3"/>
        <v>#DIV/0!</v>
      </c>
      <c r="J1302" s="22" t="str">
        <f t="shared" si="33"/>
        <v>#DIV/0!</v>
      </c>
    </row>
    <row r="1303" ht="15.75" customHeight="1">
      <c r="A1303" s="25"/>
      <c r="B1303" s="22"/>
      <c r="C1303" s="22">
        <f t="shared" si="6"/>
        <v>0</v>
      </c>
      <c r="D1303" s="25"/>
      <c r="E1303" s="22"/>
      <c r="F1303" s="22" t="str">
        <f t="shared" si="8"/>
        <v>#DIV/0!</v>
      </c>
      <c r="G1303" s="22" t="str">
        <f t="shared" si="31"/>
        <v>#DIV/0!</v>
      </c>
      <c r="H1303" s="22" t="str">
        <f t="shared" si="32"/>
        <v>#DIV/0!</v>
      </c>
      <c r="I1303" s="22" t="str">
        <f t="shared" si="3"/>
        <v>#DIV/0!</v>
      </c>
      <c r="J1303" s="22" t="str">
        <f t="shared" si="33"/>
        <v>#DIV/0!</v>
      </c>
    </row>
    <row r="1304" ht="15.75" customHeight="1">
      <c r="A1304" s="25"/>
      <c r="B1304" s="22"/>
      <c r="C1304" s="22">
        <f t="shared" si="6"/>
        <v>0</v>
      </c>
      <c r="D1304" s="25"/>
      <c r="E1304" s="22"/>
      <c r="F1304" s="22" t="str">
        <f t="shared" si="8"/>
        <v>#DIV/0!</v>
      </c>
      <c r="G1304" s="22" t="str">
        <f t="shared" si="31"/>
        <v>#DIV/0!</v>
      </c>
      <c r="H1304" s="22" t="str">
        <f t="shared" si="32"/>
        <v>#DIV/0!</v>
      </c>
      <c r="I1304" s="22" t="str">
        <f t="shared" si="3"/>
        <v>#DIV/0!</v>
      </c>
      <c r="J1304" s="22" t="str">
        <f t="shared" si="33"/>
        <v>#DIV/0!</v>
      </c>
    </row>
    <row r="1305" ht="15.75" customHeight="1">
      <c r="A1305" s="25"/>
      <c r="B1305" s="22"/>
      <c r="C1305" s="22">
        <f t="shared" si="6"/>
        <v>0</v>
      </c>
      <c r="D1305" s="25"/>
      <c r="E1305" s="22"/>
      <c r="F1305" s="22" t="str">
        <f t="shared" si="8"/>
        <v>#DIV/0!</v>
      </c>
      <c r="G1305" s="22" t="str">
        <f t="shared" si="31"/>
        <v>#DIV/0!</v>
      </c>
      <c r="H1305" s="22" t="str">
        <f t="shared" si="32"/>
        <v>#DIV/0!</v>
      </c>
      <c r="I1305" s="22" t="str">
        <f t="shared" si="3"/>
        <v>#DIV/0!</v>
      </c>
      <c r="J1305" s="22" t="str">
        <f t="shared" si="33"/>
        <v>#DIV/0!</v>
      </c>
    </row>
    <row r="1306" ht="15.75" customHeight="1">
      <c r="A1306" s="25"/>
      <c r="B1306" s="22"/>
      <c r="C1306" s="22">
        <f t="shared" si="6"/>
        <v>0</v>
      </c>
      <c r="D1306" s="25"/>
      <c r="E1306" s="22"/>
      <c r="F1306" s="22" t="str">
        <f t="shared" si="8"/>
        <v>#DIV/0!</v>
      </c>
      <c r="G1306" s="22" t="str">
        <f t="shared" si="31"/>
        <v>#DIV/0!</v>
      </c>
      <c r="H1306" s="22" t="str">
        <f t="shared" si="32"/>
        <v>#DIV/0!</v>
      </c>
      <c r="I1306" s="22" t="str">
        <f t="shared" si="3"/>
        <v>#DIV/0!</v>
      </c>
      <c r="J1306" s="22" t="str">
        <f t="shared" si="33"/>
        <v>#DIV/0!</v>
      </c>
    </row>
    <row r="1307" ht="15.75" customHeight="1">
      <c r="A1307" s="25"/>
      <c r="B1307" s="22"/>
      <c r="C1307" s="22">
        <f t="shared" si="6"/>
        <v>0</v>
      </c>
      <c r="D1307" s="25"/>
      <c r="E1307" s="22"/>
      <c r="F1307" s="22" t="str">
        <f t="shared" si="8"/>
        <v>#DIV/0!</v>
      </c>
      <c r="G1307" s="22" t="str">
        <f t="shared" si="31"/>
        <v>#DIV/0!</v>
      </c>
      <c r="H1307" s="22" t="str">
        <f t="shared" si="32"/>
        <v>#DIV/0!</v>
      </c>
      <c r="I1307" s="22" t="str">
        <f t="shared" si="3"/>
        <v>#DIV/0!</v>
      </c>
      <c r="J1307" s="22" t="str">
        <f t="shared" si="33"/>
        <v>#DIV/0!</v>
      </c>
    </row>
    <row r="1308" ht="15.75" customHeight="1">
      <c r="A1308" s="25"/>
      <c r="B1308" s="22"/>
      <c r="C1308" s="22">
        <f t="shared" si="6"/>
        <v>0</v>
      </c>
      <c r="D1308" s="25"/>
      <c r="E1308" s="22"/>
      <c r="F1308" s="22" t="str">
        <f t="shared" si="8"/>
        <v>#DIV/0!</v>
      </c>
      <c r="G1308" s="22" t="str">
        <f t="shared" si="31"/>
        <v>#DIV/0!</v>
      </c>
      <c r="H1308" s="22" t="str">
        <f t="shared" si="32"/>
        <v>#DIV/0!</v>
      </c>
      <c r="I1308" s="22" t="str">
        <f t="shared" si="3"/>
        <v>#DIV/0!</v>
      </c>
      <c r="J1308" s="22" t="str">
        <f t="shared" si="33"/>
        <v>#DIV/0!</v>
      </c>
    </row>
    <row r="1309" ht="15.75" customHeight="1">
      <c r="A1309" s="25"/>
      <c r="B1309" s="22"/>
      <c r="C1309" s="22">
        <f t="shared" si="6"/>
        <v>0</v>
      </c>
      <c r="D1309" s="25"/>
      <c r="E1309" s="22"/>
      <c r="F1309" s="22" t="str">
        <f t="shared" si="8"/>
        <v>#DIV/0!</v>
      </c>
      <c r="G1309" s="22" t="str">
        <f t="shared" si="31"/>
        <v>#DIV/0!</v>
      </c>
      <c r="H1309" s="22" t="str">
        <f t="shared" si="32"/>
        <v>#DIV/0!</v>
      </c>
      <c r="I1309" s="22" t="str">
        <f t="shared" si="3"/>
        <v>#DIV/0!</v>
      </c>
      <c r="J1309" s="22" t="str">
        <f t="shared" si="33"/>
        <v>#DIV/0!</v>
      </c>
    </row>
    <row r="1310" ht="15.75" customHeight="1">
      <c r="A1310" s="25"/>
      <c r="B1310" s="22"/>
      <c r="C1310" s="22">
        <f t="shared" si="6"/>
        <v>0</v>
      </c>
      <c r="D1310" s="25"/>
      <c r="E1310" s="22"/>
      <c r="F1310" s="22" t="str">
        <f t="shared" si="8"/>
        <v>#DIV/0!</v>
      </c>
      <c r="G1310" s="22" t="str">
        <f t="shared" si="31"/>
        <v>#DIV/0!</v>
      </c>
      <c r="H1310" s="22" t="str">
        <f t="shared" si="32"/>
        <v>#DIV/0!</v>
      </c>
      <c r="I1310" s="22" t="str">
        <f t="shared" si="3"/>
        <v>#DIV/0!</v>
      </c>
      <c r="J1310" s="22" t="str">
        <f t="shared" si="33"/>
        <v>#DIV/0!</v>
      </c>
    </row>
    <row r="1311" ht="15.75" customHeight="1">
      <c r="A1311" s="25"/>
      <c r="B1311" s="22"/>
      <c r="C1311" s="22">
        <f t="shared" si="6"/>
        <v>0</v>
      </c>
      <c r="D1311" s="25"/>
      <c r="E1311" s="22"/>
      <c r="F1311" s="22" t="str">
        <f t="shared" si="8"/>
        <v>#DIV/0!</v>
      </c>
      <c r="G1311" s="22" t="str">
        <f t="shared" si="31"/>
        <v>#DIV/0!</v>
      </c>
      <c r="H1311" s="22" t="str">
        <f t="shared" si="32"/>
        <v>#DIV/0!</v>
      </c>
      <c r="I1311" s="22" t="str">
        <f t="shared" si="3"/>
        <v>#DIV/0!</v>
      </c>
      <c r="J1311" s="22" t="str">
        <f t="shared" si="33"/>
        <v>#DIV/0!</v>
      </c>
    </row>
    <row r="1312" ht="15.75" customHeight="1">
      <c r="A1312" s="25"/>
      <c r="B1312" s="22"/>
      <c r="C1312" s="22">
        <f t="shared" si="6"/>
        <v>0</v>
      </c>
      <c r="D1312" s="25"/>
      <c r="E1312" s="22"/>
      <c r="F1312" s="22" t="str">
        <f t="shared" si="8"/>
        <v>#DIV/0!</v>
      </c>
      <c r="G1312" s="22" t="str">
        <f t="shared" si="31"/>
        <v>#DIV/0!</v>
      </c>
      <c r="H1312" s="22" t="str">
        <f t="shared" si="32"/>
        <v>#DIV/0!</v>
      </c>
      <c r="I1312" s="22" t="str">
        <f t="shared" si="3"/>
        <v>#DIV/0!</v>
      </c>
      <c r="J1312" s="22" t="str">
        <f t="shared" si="33"/>
        <v>#DIV/0!</v>
      </c>
    </row>
    <row r="1313" ht="15.75" customHeight="1">
      <c r="A1313" s="25"/>
      <c r="B1313" s="22"/>
      <c r="C1313" s="22">
        <f t="shared" si="6"/>
        <v>0</v>
      </c>
      <c r="D1313" s="25"/>
      <c r="E1313" s="22"/>
      <c r="F1313" s="22" t="str">
        <f t="shared" si="8"/>
        <v>#DIV/0!</v>
      </c>
      <c r="G1313" s="22" t="str">
        <f t="shared" si="31"/>
        <v>#DIV/0!</v>
      </c>
      <c r="H1313" s="22" t="str">
        <f t="shared" si="32"/>
        <v>#DIV/0!</v>
      </c>
      <c r="I1313" s="22" t="str">
        <f t="shared" si="3"/>
        <v>#DIV/0!</v>
      </c>
      <c r="J1313" s="22" t="str">
        <f t="shared" si="33"/>
        <v>#DIV/0!</v>
      </c>
    </row>
    <row r="1314" ht="15.75" customHeight="1">
      <c r="A1314" s="25"/>
      <c r="B1314" s="22"/>
      <c r="C1314" s="22">
        <f t="shared" si="6"/>
        <v>0</v>
      </c>
      <c r="D1314" s="25"/>
      <c r="E1314" s="22"/>
      <c r="F1314" s="22" t="str">
        <f t="shared" si="8"/>
        <v>#DIV/0!</v>
      </c>
      <c r="G1314" s="22" t="str">
        <f t="shared" si="31"/>
        <v>#DIV/0!</v>
      </c>
      <c r="H1314" s="22" t="str">
        <f t="shared" si="32"/>
        <v>#DIV/0!</v>
      </c>
      <c r="I1314" s="22" t="str">
        <f t="shared" si="3"/>
        <v>#DIV/0!</v>
      </c>
      <c r="J1314" s="22" t="str">
        <f t="shared" si="33"/>
        <v>#DIV/0!</v>
      </c>
    </row>
    <row r="1315" ht="15.75" customHeight="1">
      <c r="A1315" s="25"/>
      <c r="B1315" s="22"/>
      <c r="C1315" s="22">
        <f t="shared" si="6"/>
        <v>0</v>
      </c>
      <c r="D1315" s="25"/>
      <c r="E1315" s="22"/>
      <c r="F1315" s="22" t="str">
        <f t="shared" si="8"/>
        <v>#DIV/0!</v>
      </c>
      <c r="G1315" s="22" t="str">
        <f t="shared" si="31"/>
        <v>#DIV/0!</v>
      </c>
      <c r="H1315" s="22" t="str">
        <f t="shared" si="32"/>
        <v>#DIV/0!</v>
      </c>
      <c r="I1315" s="22" t="str">
        <f t="shared" si="3"/>
        <v>#DIV/0!</v>
      </c>
      <c r="J1315" s="22" t="str">
        <f t="shared" si="33"/>
        <v>#DIV/0!</v>
      </c>
    </row>
    <row r="1316" ht="15.75" customHeight="1">
      <c r="A1316" s="25"/>
      <c r="B1316" s="22"/>
      <c r="C1316" s="22">
        <f t="shared" si="6"/>
        <v>0</v>
      </c>
      <c r="D1316" s="25"/>
      <c r="E1316" s="22"/>
      <c r="F1316" s="22" t="str">
        <f t="shared" si="8"/>
        <v>#DIV/0!</v>
      </c>
      <c r="G1316" s="22" t="str">
        <f t="shared" si="31"/>
        <v>#DIV/0!</v>
      </c>
      <c r="H1316" s="22" t="str">
        <f t="shared" si="32"/>
        <v>#DIV/0!</v>
      </c>
      <c r="I1316" s="22" t="str">
        <f t="shared" si="3"/>
        <v>#DIV/0!</v>
      </c>
      <c r="J1316" s="22" t="str">
        <f t="shared" si="33"/>
        <v>#DIV/0!</v>
      </c>
    </row>
    <row r="1317" ht="15.75" customHeight="1">
      <c r="A1317" s="25"/>
      <c r="B1317" s="22"/>
      <c r="C1317" s="22">
        <f t="shared" si="6"/>
        <v>0</v>
      </c>
      <c r="D1317" s="25"/>
      <c r="E1317" s="22"/>
      <c r="F1317" s="22" t="str">
        <f t="shared" si="8"/>
        <v>#DIV/0!</v>
      </c>
      <c r="G1317" s="22" t="str">
        <f t="shared" si="31"/>
        <v>#DIV/0!</v>
      </c>
      <c r="H1317" s="22" t="str">
        <f t="shared" si="32"/>
        <v>#DIV/0!</v>
      </c>
      <c r="I1317" s="22" t="str">
        <f t="shared" si="3"/>
        <v>#DIV/0!</v>
      </c>
      <c r="J1317" s="22" t="str">
        <f t="shared" si="33"/>
        <v>#DIV/0!</v>
      </c>
    </row>
    <row r="1318" ht="15.75" customHeight="1">
      <c r="A1318" s="25"/>
      <c r="B1318" s="22"/>
      <c r="C1318" s="22">
        <f t="shared" si="6"/>
        <v>0</v>
      </c>
      <c r="D1318" s="25"/>
      <c r="E1318" s="22"/>
      <c r="F1318" s="22" t="str">
        <f t="shared" si="8"/>
        <v>#DIV/0!</v>
      </c>
      <c r="G1318" s="22" t="str">
        <f t="shared" si="31"/>
        <v>#DIV/0!</v>
      </c>
      <c r="H1318" s="22" t="str">
        <f t="shared" si="32"/>
        <v>#DIV/0!</v>
      </c>
      <c r="I1318" s="22" t="str">
        <f t="shared" si="3"/>
        <v>#DIV/0!</v>
      </c>
      <c r="J1318" s="22" t="str">
        <f t="shared" si="33"/>
        <v>#DIV/0!</v>
      </c>
    </row>
    <row r="1319" ht="15.75" customHeight="1">
      <c r="A1319" s="25"/>
      <c r="B1319" s="22"/>
      <c r="C1319" s="22">
        <f t="shared" si="6"/>
        <v>0</v>
      </c>
      <c r="D1319" s="25"/>
      <c r="E1319" s="22"/>
      <c r="F1319" s="22" t="str">
        <f t="shared" si="8"/>
        <v>#DIV/0!</v>
      </c>
      <c r="G1319" s="22" t="str">
        <f t="shared" si="31"/>
        <v>#DIV/0!</v>
      </c>
      <c r="H1319" s="22" t="str">
        <f t="shared" si="32"/>
        <v>#DIV/0!</v>
      </c>
      <c r="I1319" s="22" t="str">
        <f t="shared" si="3"/>
        <v>#DIV/0!</v>
      </c>
      <c r="J1319" s="22" t="str">
        <f t="shared" si="33"/>
        <v>#DIV/0!</v>
      </c>
    </row>
    <row r="1320" ht="15.75" customHeight="1">
      <c r="A1320" s="25"/>
      <c r="B1320" s="22"/>
      <c r="C1320" s="22">
        <f t="shared" si="6"/>
        <v>0</v>
      </c>
      <c r="D1320" s="25"/>
      <c r="E1320" s="22"/>
      <c r="F1320" s="22" t="str">
        <f t="shared" si="8"/>
        <v>#DIV/0!</v>
      </c>
      <c r="G1320" s="22" t="str">
        <f t="shared" si="31"/>
        <v>#DIV/0!</v>
      </c>
      <c r="H1320" s="22" t="str">
        <f t="shared" si="32"/>
        <v>#DIV/0!</v>
      </c>
      <c r="I1320" s="22" t="str">
        <f t="shared" si="3"/>
        <v>#DIV/0!</v>
      </c>
      <c r="J1320" s="22" t="str">
        <f t="shared" si="33"/>
        <v>#DIV/0!</v>
      </c>
    </row>
    <row r="1321" ht="15.75" customHeight="1">
      <c r="A1321" s="25"/>
      <c r="B1321" s="22"/>
      <c r="C1321" s="22">
        <f t="shared" si="6"/>
        <v>0</v>
      </c>
      <c r="D1321" s="25"/>
      <c r="E1321" s="22"/>
      <c r="F1321" s="22" t="str">
        <f t="shared" si="8"/>
        <v>#DIV/0!</v>
      </c>
      <c r="G1321" s="22" t="str">
        <f t="shared" si="31"/>
        <v>#DIV/0!</v>
      </c>
      <c r="H1321" s="22" t="str">
        <f t="shared" si="32"/>
        <v>#DIV/0!</v>
      </c>
      <c r="I1321" s="22" t="str">
        <f t="shared" si="3"/>
        <v>#DIV/0!</v>
      </c>
      <c r="J1321" s="22" t="str">
        <f t="shared" si="33"/>
        <v>#DIV/0!</v>
      </c>
    </row>
    <row r="1322" ht="15.75" customHeight="1">
      <c r="A1322" s="25"/>
      <c r="B1322" s="22"/>
      <c r="C1322" s="22">
        <f t="shared" si="6"/>
        <v>0</v>
      </c>
      <c r="D1322" s="25"/>
      <c r="E1322" s="22"/>
      <c r="F1322" s="22" t="str">
        <f t="shared" si="8"/>
        <v>#DIV/0!</v>
      </c>
      <c r="G1322" s="22" t="str">
        <f t="shared" si="31"/>
        <v>#DIV/0!</v>
      </c>
      <c r="H1322" s="22" t="str">
        <f t="shared" si="32"/>
        <v>#DIV/0!</v>
      </c>
      <c r="I1322" s="22" t="str">
        <f t="shared" si="3"/>
        <v>#DIV/0!</v>
      </c>
      <c r="J1322" s="22" t="str">
        <f t="shared" si="33"/>
        <v>#DIV/0!</v>
      </c>
    </row>
    <row r="1323" ht="15.75" customHeight="1">
      <c r="A1323" s="25"/>
      <c r="B1323" s="22"/>
      <c r="C1323" s="22">
        <f t="shared" si="6"/>
        <v>0</v>
      </c>
      <c r="D1323" s="25"/>
      <c r="E1323" s="22"/>
      <c r="F1323" s="22" t="str">
        <f t="shared" si="8"/>
        <v>#DIV/0!</v>
      </c>
      <c r="G1323" s="22" t="str">
        <f t="shared" si="31"/>
        <v>#DIV/0!</v>
      </c>
      <c r="H1323" s="22" t="str">
        <f t="shared" si="32"/>
        <v>#DIV/0!</v>
      </c>
      <c r="I1323" s="22" t="str">
        <f t="shared" si="3"/>
        <v>#DIV/0!</v>
      </c>
      <c r="J1323" s="22" t="str">
        <f t="shared" si="33"/>
        <v>#DIV/0!</v>
      </c>
    </row>
    <row r="1324" ht="15.75" customHeight="1">
      <c r="A1324" s="25"/>
      <c r="B1324" s="22"/>
      <c r="C1324" s="22">
        <f t="shared" si="6"/>
        <v>0</v>
      </c>
      <c r="D1324" s="25"/>
      <c r="E1324" s="22"/>
      <c r="F1324" s="22" t="str">
        <f t="shared" si="8"/>
        <v>#DIV/0!</v>
      </c>
      <c r="G1324" s="22" t="str">
        <f t="shared" si="31"/>
        <v>#DIV/0!</v>
      </c>
      <c r="H1324" s="22" t="str">
        <f t="shared" si="32"/>
        <v>#DIV/0!</v>
      </c>
      <c r="I1324" s="22" t="str">
        <f t="shared" si="3"/>
        <v>#DIV/0!</v>
      </c>
      <c r="J1324" s="22" t="str">
        <f t="shared" si="33"/>
        <v>#DIV/0!</v>
      </c>
    </row>
    <row r="1325" ht="15.75" customHeight="1">
      <c r="A1325" s="25"/>
      <c r="B1325" s="22"/>
      <c r="C1325" s="22">
        <f t="shared" si="6"/>
        <v>0</v>
      </c>
      <c r="D1325" s="25"/>
      <c r="E1325" s="22"/>
      <c r="F1325" s="22" t="str">
        <f t="shared" si="8"/>
        <v>#DIV/0!</v>
      </c>
      <c r="G1325" s="22" t="str">
        <f t="shared" si="31"/>
        <v>#DIV/0!</v>
      </c>
      <c r="H1325" s="22" t="str">
        <f t="shared" si="32"/>
        <v>#DIV/0!</v>
      </c>
      <c r="I1325" s="22" t="str">
        <f t="shared" si="3"/>
        <v>#DIV/0!</v>
      </c>
      <c r="J1325" s="22" t="str">
        <f t="shared" si="33"/>
        <v>#DIV/0!</v>
      </c>
    </row>
    <row r="1326" ht="15.75" customHeight="1">
      <c r="A1326" s="25"/>
      <c r="B1326" s="22"/>
      <c r="C1326" s="22">
        <f t="shared" si="6"/>
        <v>0</v>
      </c>
      <c r="D1326" s="25"/>
      <c r="E1326" s="22"/>
      <c r="F1326" s="22" t="str">
        <f t="shared" si="8"/>
        <v>#DIV/0!</v>
      </c>
      <c r="G1326" s="22" t="str">
        <f t="shared" si="31"/>
        <v>#DIV/0!</v>
      </c>
      <c r="H1326" s="22" t="str">
        <f t="shared" si="32"/>
        <v>#DIV/0!</v>
      </c>
      <c r="I1326" s="22" t="str">
        <f t="shared" si="3"/>
        <v>#DIV/0!</v>
      </c>
      <c r="J1326" s="22" t="str">
        <f t="shared" si="33"/>
        <v>#DIV/0!</v>
      </c>
    </row>
    <row r="1327" ht="15.75" customHeight="1">
      <c r="A1327" s="25"/>
      <c r="B1327" s="22"/>
      <c r="C1327" s="22">
        <f t="shared" si="6"/>
        <v>0</v>
      </c>
      <c r="D1327" s="25"/>
      <c r="E1327" s="22"/>
      <c r="F1327" s="22" t="str">
        <f t="shared" si="8"/>
        <v>#DIV/0!</v>
      </c>
      <c r="G1327" s="22" t="str">
        <f t="shared" si="31"/>
        <v>#DIV/0!</v>
      </c>
      <c r="H1327" s="22" t="str">
        <f t="shared" si="32"/>
        <v>#DIV/0!</v>
      </c>
      <c r="I1327" s="22" t="str">
        <f t="shared" si="3"/>
        <v>#DIV/0!</v>
      </c>
      <c r="J1327" s="22" t="str">
        <f t="shared" si="33"/>
        <v>#DIV/0!</v>
      </c>
    </row>
    <row r="1328" ht="15.75" customHeight="1">
      <c r="A1328" s="25"/>
      <c r="B1328" s="22"/>
      <c r="C1328" s="22">
        <f t="shared" si="6"/>
        <v>0</v>
      </c>
      <c r="D1328" s="25"/>
      <c r="E1328" s="22"/>
      <c r="F1328" s="22" t="str">
        <f t="shared" si="8"/>
        <v>#DIV/0!</v>
      </c>
      <c r="G1328" s="22" t="str">
        <f t="shared" si="31"/>
        <v>#DIV/0!</v>
      </c>
      <c r="H1328" s="22" t="str">
        <f t="shared" si="32"/>
        <v>#DIV/0!</v>
      </c>
      <c r="I1328" s="22" t="str">
        <f t="shared" si="3"/>
        <v>#DIV/0!</v>
      </c>
      <c r="J1328" s="22" t="str">
        <f t="shared" si="33"/>
        <v>#DIV/0!</v>
      </c>
    </row>
    <row r="1329" ht="15.75" customHeight="1">
      <c r="A1329" s="25"/>
      <c r="B1329" s="22"/>
      <c r="C1329" s="22">
        <f t="shared" si="6"/>
        <v>0</v>
      </c>
      <c r="D1329" s="25"/>
      <c r="E1329" s="22"/>
      <c r="F1329" s="22" t="str">
        <f t="shared" si="8"/>
        <v>#DIV/0!</v>
      </c>
      <c r="G1329" s="22" t="str">
        <f t="shared" si="31"/>
        <v>#DIV/0!</v>
      </c>
      <c r="H1329" s="22" t="str">
        <f t="shared" si="32"/>
        <v>#DIV/0!</v>
      </c>
      <c r="I1329" s="22" t="str">
        <f t="shared" si="3"/>
        <v>#DIV/0!</v>
      </c>
      <c r="J1329" s="22" t="str">
        <f t="shared" si="33"/>
        <v>#DIV/0!</v>
      </c>
    </row>
    <row r="1330" ht="15.75" customHeight="1">
      <c r="A1330" s="25"/>
      <c r="B1330" s="22"/>
      <c r="C1330" s="22">
        <f t="shared" si="6"/>
        <v>0</v>
      </c>
      <c r="D1330" s="25"/>
      <c r="E1330" s="22"/>
      <c r="F1330" s="22" t="str">
        <f t="shared" si="8"/>
        <v>#DIV/0!</v>
      </c>
      <c r="G1330" s="22" t="str">
        <f t="shared" si="31"/>
        <v>#DIV/0!</v>
      </c>
      <c r="H1330" s="22" t="str">
        <f t="shared" si="32"/>
        <v>#DIV/0!</v>
      </c>
      <c r="I1330" s="22" t="str">
        <f t="shared" si="3"/>
        <v>#DIV/0!</v>
      </c>
      <c r="J1330" s="22" t="str">
        <f t="shared" si="33"/>
        <v>#DIV/0!</v>
      </c>
    </row>
    <row r="1331" ht="15.75" customHeight="1">
      <c r="A1331" s="25"/>
      <c r="B1331" s="22"/>
      <c r="C1331" s="22">
        <f t="shared" si="6"/>
        <v>0</v>
      </c>
      <c r="D1331" s="25"/>
      <c r="E1331" s="22"/>
      <c r="F1331" s="22" t="str">
        <f t="shared" si="8"/>
        <v>#DIV/0!</v>
      </c>
      <c r="G1331" s="22" t="str">
        <f t="shared" si="31"/>
        <v>#DIV/0!</v>
      </c>
      <c r="H1331" s="22" t="str">
        <f t="shared" si="32"/>
        <v>#DIV/0!</v>
      </c>
      <c r="I1331" s="22" t="str">
        <f t="shared" si="3"/>
        <v>#DIV/0!</v>
      </c>
      <c r="J1331" s="22" t="str">
        <f t="shared" si="33"/>
        <v>#DIV/0!</v>
      </c>
    </row>
    <row r="1332" ht="15.75" customHeight="1">
      <c r="A1332" s="25"/>
      <c r="B1332" s="22"/>
      <c r="C1332" s="22">
        <f t="shared" si="6"/>
        <v>0</v>
      </c>
      <c r="D1332" s="25"/>
      <c r="E1332" s="22"/>
      <c r="F1332" s="22" t="str">
        <f t="shared" si="8"/>
        <v>#DIV/0!</v>
      </c>
      <c r="G1332" s="22" t="str">
        <f t="shared" si="31"/>
        <v>#DIV/0!</v>
      </c>
      <c r="H1332" s="22" t="str">
        <f t="shared" si="32"/>
        <v>#DIV/0!</v>
      </c>
      <c r="I1332" s="22" t="str">
        <f t="shared" si="3"/>
        <v>#DIV/0!</v>
      </c>
      <c r="J1332" s="22" t="str">
        <f t="shared" si="33"/>
        <v>#DIV/0!</v>
      </c>
    </row>
    <row r="1333" ht="15.75" customHeight="1">
      <c r="A1333" s="25"/>
      <c r="B1333" s="22"/>
      <c r="C1333" s="22">
        <f t="shared" si="6"/>
        <v>0</v>
      </c>
      <c r="D1333" s="25"/>
      <c r="E1333" s="22"/>
      <c r="F1333" s="22" t="str">
        <f t="shared" si="8"/>
        <v>#DIV/0!</v>
      </c>
      <c r="G1333" s="22" t="str">
        <f t="shared" si="31"/>
        <v>#DIV/0!</v>
      </c>
      <c r="H1333" s="22" t="str">
        <f t="shared" si="32"/>
        <v>#DIV/0!</v>
      </c>
      <c r="I1333" s="22" t="str">
        <f t="shared" si="3"/>
        <v>#DIV/0!</v>
      </c>
      <c r="J1333" s="22" t="str">
        <f t="shared" si="33"/>
        <v>#DIV/0!</v>
      </c>
    </row>
    <row r="1334" ht="15.75" customHeight="1">
      <c r="A1334" s="25"/>
      <c r="B1334" s="22"/>
      <c r="C1334" s="22">
        <f t="shared" si="6"/>
        <v>0</v>
      </c>
      <c r="D1334" s="25"/>
      <c r="E1334" s="22"/>
      <c r="F1334" s="22" t="str">
        <f t="shared" si="8"/>
        <v>#DIV/0!</v>
      </c>
      <c r="G1334" s="22" t="str">
        <f t="shared" si="31"/>
        <v>#DIV/0!</v>
      </c>
      <c r="H1334" s="22" t="str">
        <f t="shared" si="32"/>
        <v>#DIV/0!</v>
      </c>
      <c r="I1334" s="22" t="str">
        <f t="shared" si="3"/>
        <v>#DIV/0!</v>
      </c>
      <c r="J1334" s="22" t="str">
        <f t="shared" si="33"/>
        <v>#DIV/0!</v>
      </c>
    </row>
    <row r="1335" ht="15.75" customHeight="1">
      <c r="A1335" s="25"/>
      <c r="B1335" s="22"/>
      <c r="C1335" s="22">
        <f t="shared" si="6"/>
        <v>0</v>
      </c>
      <c r="D1335" s="25"/>
      <c r="E1335" s="22"/>
      <c r="F1335" s="22" t="str">
        <f t="shared" si="8"/>
        <v>#DIV/0!</v>
      </c>
      <c r="G1335" s="22" t="str">
        <f t="shared" si="31"/>
        <v>#DIV/0!</v>
      </c>
      <c r="H1335" s="22" t="str">
        <f t="shared" si="32"/>
        <v>#DIV/0!</v>
      </c>
      <c r="I1335" s="22" t="str">
        <f t="shared" si="3"/>
        <v>#DIV/0!</v>
      </c>
      <c r="J1335" s="22" t="str">
        <f t="shared" si="33"/>
        <v>#DIV/0!</v>
      </c>
    </row>
    <row r="1336" ht="15.75" customHeight="1">
      <c r="A1336" s="25"/>
      <c r="B1336" s="22"/>
      <c r="C1336" s="22">
        <f t="shared" si="6"/>
        <v>0</v>
      </c>
      <c r="D1336" s="25"/>
      <c r="E1336" s="22"/>
      <c r="F1336" s="22" t="str">
        <f t="shared" si="8"/>
        <v>#DIV/0!</v>
      </c>
      <c r="G1336" s="22" t="str">
        <f t="shared" si="31"/>
        <v>#DIV/0!</v>
      </c>
      <c r="H1336" s="22" t="str">
        <f t="shared" si="32"/>
        <v>#DIV/0!</v>
      </c>
      <c r="I1336" s="22" t="str">
        <f t="shared" si="3"/>
        <v>#DIV/0!</v>
      </c>
      <c r="J1336" s="22" t="str">
        <f t="shared" si="33"/>
        <v>#DIV/0!</v>
      </c>
    </row>
    <row r="1337" ht="15.75" customHeight="1">
      <c r="A1337" s="25"/>
      <c r="B1337" s="22"/>
      <c r="C1337" s="22">
        <f t="shared" si="6"/>
        <v>0</v>
      </c>
      <c r="D1337" s="25"/>
      <c r="E1337" s="22"/>
      <c r="F1337" s="22" t="str">
        <f t="shared" si="8"/>
        <v>#DIV/0!</v>
      </c>
      <c r="G1337" s="22" t="str">
        <f t="shared" si="31"/>
        <v>#DIV/0!</v>
      </c>
      <c r="H1337" s="22" t="str">
        <f t="shared" si="32"/>
        <v>#DIV/0!</v>
      </c>
      <c r="I1337" s="22" t="str">
        <f t="shared" si="3"/>
        <v>#DIV/0!</v>
      </c>
      <c r="J1337" s="22" t="str">
        <f t="shared" si="33"/>
        <v>#DIV/0!</v>
      </c>
    </row>
    <row r="1338" ht="15.75" customHeight="1">
      <c r="A1338" s="25"/>
      <c r="B1338" s="22"/>
      <c r="C1338" s="22">
        <f t="shared" si="6"/>
        <v>0</v>
      </c>
      <c r="D1338" s="25"/>
      <c r="E1338" s="22"/>
      <c r="F1338" s="22" t="str">
        <f t="shared" si="8"/>
        <v>#DIV/0!</v>
      </c>
      <c r="G1338" s="22" t="str">
        <f t="shared" si="31"/>
        <v>#DIV/0!</v>
      </c>
      <c r="H1338" s="22" t="str">
        <f t="shared" si="32"/>
        <v>#DIV/0!</v>
      </c>
      <c r="I1338" s="22" t="str">
        <f t="shared" si="3"/>
        <v>#DIV/0!</v>
      </c>
      <c r="J1338" s="22" t="str">
        <f t="shared" si="33"/>
        <v>#DIV/0!</v>
      </c>
    </row>
    <row r="1339" ht="15.75" customHeight="1">
      <c r="A1339" s="25"/>
      <c r="B1339" s="22"/>
      <c r="C1339" s="22">
        <f t="shared" si="6"/>
        <v>0</v>
      </c>
      <c r="D1339" s="25"/>
      <c r="E1339" s="22"/>
      <c r="F1339" s="22" t="str">
        <f t="shared" si="8"/>
        <v>#DIV/0!</v>
      </c>
      <c r="G1339" s="22" t="str">
        <f t="shared" si="31"/>
        <v>#DIV/0!</v>
      </c>
      <c r="H1339" s="22" t="str">
        <f t="shared" si="32"/>
        <v>#DIV/0!</v>
      </c>
      <c r="I1339" s="22" t="str">
        <f t="shared" si="3"/>
        <v>#DIV/0!</v>
      </c>
      <c r="J1339" s="22" t="str">
        <f t="shared" si="33"/>
        <v>#DIV/0!</v>
      </c>
    </row>
    <row r="1340" ht="15.75" customHeight="1">
      <c r="A1340" s="25"/>
      <c r="B1340" s="22"/>
      <c r="C1340" s="22">
        <f t="shared" si="6"/>
        <v>0</v>
      </c>
      <c r="D1340" s="25"/>
      <c r="E1340" s="22"/>
      <c r="F1340" s="22" t="str">
        <f t="shared" si="8"/>
        <v>#DIV/0!</v>
      </c>
      <c r="G1340" s="22" t="str">
        <f t="shared" si="31"/>
        <v>#DIV/0!</v>
      </c>
      <c r="H1340" s="22" t="str">
        <f t="shared" si="32"/>
        <v>#DIV/0!</v>
      </c>
      <c r="I1340" s="22" t="str">
        <f t="shared" si="3"/>
        <v>#DIV/0!</v>
      </c>
      <c r="J1340" s="22" t="str">
        <f t="shared" si="33"/>
        <v>#DIV/0!</v>
      </c>
    </row>
    <row r="1341" ht="15.75" customHeight="1">
      <c r="A1341" s="25"/>
      <c r="B1341" s="22"/>
      <c r="C1341" s="22">
        <f t="shared" si="6"/>
        <v>0</v>
      </c>
      <c r="D1341" s="25"/>
      <c r="E1341" s="22"/>
      <c r="F1341" s="22" t="str">
        <f t="shared" si="8"/>
        <v>#DIV/0!</v>
      </c>
      <c r="G1341" s="22" t="str">
        <f t="shared" si="31"/>
        <v>#DIV/0!</v>
      </c>
      <c r="H1341" s="22" t="str">
        <f t="shared" si="32"/>
        <v>#DIV/0!</v>
      </c>
      <c r="I1341" s="22" t="str">
        <f t="shared" si="3"/>
        <v>#DIV/0!</v>
      </c>
      <c r="J1341" s="22" t="str">
        <f t="shared" si="33"/>
        <v>#DIV/0!</v>
      </c>
    </row>
    <row r="1342" ht="15.75" customHeight="1">
      <c r="A1342" s="25"/>
      <c r="B1342" s="22"/>
      <c r="C1342" s="22">
        <f t="shared" si="6"/>
        <v>0</v>
      </c>
      <c r="D1342" s="25"/>
      <c r="E1342" s="22"/>
      <c r="F1342" s="22" t="str">
        <f t="shared" si="8"/>
        <v>#DIV/0!</v>
      </c>
      <c r="G1342" s="22" t="str">
        <f t="shared" si="31"/>
        <v>#DIV/0!</v>
      </c>
      <c r="H1342" s="22" t="str">
        <f t="shared" si="32"/>
        <v>#DIV/0!</v>
      </c>
      <c r="I1342" s="22" t="str">
        <f t="shared" si="3"/>
        <v>#DIV/0!</v>
      </c>
      <c r="J1342" s="22" t="str">
        <f t="shared" si="33"/>
        <v>#DIV/0!</v>
      </c>
    </row>
    <row r="1343" ht="15.75" customHeight="1">
      <c r="A1343" s="25"/>
      <c r="B1343" s="22"/>
      <c r="C1343" s="22">
        <f t="shared" si="6"/>
        <v>0</v>
      </c>
      <c r="D1343" s="25"/>
      <c r="E1343" s="22"/>
      <c r="F1343" s="22" t="str">
        <f t="shared" si="8"/>
        <v>#DIV/0!</v>
      </c>
      <c r="G1343" s="22" t="str">
        <f t="shared" si="31"/>
        <v>#DIV/0!</v>
      </c>
      <c r="H1343" s="22" t="str">
        <f t="shared" si="32"/>
        <v>#DIV/0!</v>
      </c>
      <c r="I1343" s="22" t="str">
        <f t="shared" si="3"/>
        <v>#DIV/0!</v>
      </c>
      <c r="J1343" s="22" t="str">
        <f t="shared" si="33"/>
        <v>#DIV/0!</v>
      </c>
    </row>
    <row r="1344" ht="15.75" customHeight="1">
      <c r="A1344" s="25"/>
      <c r="B1344" s="22"/>
      <c r="C1344" s="22">
        <f t="shared" si="6"/>
        <v>0</v>
      </c>
      <c r="D1344" s="25"/>
      <c r="E1344" s="22"/>
      <c r="F1344" s="22" t="str">
        <f t="shared" si="8"/>
        <v>#DIV/0!</v>
      </c>
      <c r="G1344" s="22" t="str">
        <f t="shared" si="31"/>
        <v>#DIV/0!</v>
      </c>
      <c r="H1344" s="22" t="str">
        <f t="shared" si="32"/>
        <v>#DIV/0!</v>
      </c>
      <c r="I1344" s="22" t="str">
        <f t="shared" si="3"/>
        <v>#DIV/0!</v>
      </c>
      <c r="J1344" s="22" t="str">
        <f t="shared" si="33"/>
        <v>#DIV/0!</v>
      </c>
    </row>
    <row r="1345" ht="15.75" customHeight="1">
      <c r="A1345" s="25"/>
      <c r="B1345" s="22"/>
      <c r="C1345" s="22">
        <f t="shared" si="6"/>
        <v>0</v>
      </c>
      <c r="D1345" s="25"/>
      <c r="E1345" s="22"/>
      <c r="F1345" s="22" t="str">
        <f t="shared" si="8"/>
        <v>#DIV/0!</v>
      </c>
      <c r="G1345" s="22" t="str">
        <f t="shared" si="31"/>
        <v>#DIV/0!</v>
      </c>
      <c r="H1345" s="22" t="str">
        <f t="shared" si="32"/>
        <v>#DIV/0!</v>
      </c>
      <c r="I1345" s="22" t="str">
        <f t="shared" si="3"/>
        <v>#DIV/0!</v>
      </c>
      <c r="J1345" s="22" t="str">
        <f t="shared" si="33"/>
        <v>#DIV/0!</v>
      </c>
    </row>
    <row r="1346" ht="15.75" customHeight="1">
      <c r="A1346" s="25"/>
      <c r="B1346" s="22"/>
      <c r="C1346" s="22">
        <f t="shared" si="6"/>
        <v>0</v>
      </c>
      <c r="D1346" s="25"/>
      <c r="E1346" s="22"/>
    </row>
    <row r="1347" ht="15.75" customHeight="1">
      <c r="A1347" s="25"/>
      <c r="B1347" s="22"/>
      <c r="C1347" s="22">
        <f t="shared" si="6"/>
        <v>0</v>
      </c>
      <c r="D1347" s="25"/>
      <c r="E1347" s="22"/>
    </row>
    <row r="1348" ht="15.75" customHeight="1">
      <c r="C1348" s="22">
        <f t="shared" si="6"/>
        <v>0</v>
      </c>
      <c r="D1348" s="25"/>
      <c r="E1348" s="22"/>
    </row>
    <row r="1349" ht="15.75" customHeight="1">
      <c r="D1349" s="25"/>
      <c r="E1349" s="22"/>
    </row>
    <row r="1350" ht="15.75" customHeight="1">
      <c r="D1350" s="25"/>
      <c r="E1350" s="22"/>
    </row>
    <row r="1351" ht="15.75" customHeight="1">
      <c r="D1351" s="25"/>
      <c r="E1351" s="22"/>
    </row>
    <row r="1352" ht="15.75" customHeight="1">
      <c r="D1352" s="25"/>
      <c r="E1352" s="22"/>
    </row>
    <row r="1353" ht="15.75" customHeight="1">
      <c r="D1353" s="25"/>
      <c r="E1353" s="22"/>
    </row>
    <row r="1354" ht="15.75" customHeight="1">
      <c r="D1354" s="25"/>
      <c r="E1354" s="22"/>
    </row>
    <row r="1355" ht="15.75" customHeight="1">
      <c r="D1355" s="25"/>
      <c r="E1355" s="22"/>
    </row>
    <row r="1356" ht="15.75" customHeight="1">
      <c r="D1356" s="25"/>
      <c r="E1356" s="22"/>
    </row>
    <row r="1357" ht="15.75" customHeight="1">
      <c r="D1357" s="25"/>
      <c r="E1357" s="22"/>
    </row>
    <row r="1358" ht="15.75" customHeight="1">
      <c r="D1358" s="25"/>
      <c r="E1358" s="22"/>
    </row>
    <row r="1359" ht="15.75" customHeight="1">
      <c r="D1359" s="25"/>
      <c r="E1359" s="22"/>
    </row>
    <row r="1360" ht="15.75" customHeight="1">
      <c r="D1360" s="25"/>
      <c r="E1360" s="22"/>
    </row>
    <row r="1361" ht="15.75" customHeight="1">
      <c r="D1361" s="25"/>
      <c r="E1361" s="22"/>
    </row>
    <row r="1362" ht="15.75" customHeight="1">
      <c r="D1362" s="25"/>
      <c r="E1362" s="22"/>
    </row>
    <row r="1363" ht="15.75" customHeight="1">
      <c r="D1363" s="25"/>
      <c r="E1363" s="22"/>
    </row>
    <row r="1364" ht="15.75" customHeight="1">
      <c r="D1364" s="25"/>
      <c r="E1364" s="22"/>
    </row>
    <row r="1365" ht="15.75" customHeight="1">
      <c r="D1365" s="25"/>
      <c r="E1365" s="22"/>
    </row>
    <row r="1366" ht="15.75" customHeight="1">
      <c r="D1366" s="25"/>
      <c r="E1366" s="22"/>
    </row>
    <row r="1367" ht="15.75" customHeight="1">
      <c r="D1367" s="25"/>
      <c r="E1367" s="22"/>
    </row>
    <row r="1368" ht="15.75" customHeight="1">
      <c r="D1368" s="25"/>
      <c r="E1368" s="22"/>
    </row>
    <row r="1369" ht="15.75" customHeight="1">
      <c r="D1369" s="25"/>
      <c r="E1369" s="22"/>
    </row>
    <row r="1370" ht="15.75" customHeight="1">
      <c r="D1370" s="25"/>
      <c r="E1370" s="22"/>
    </row>
    <row r="1371" ht="15.75" customHeight="1">
      <c r="D1371" s="25"/>
      <c r="E1371" s="22"/>
    </row>
    <row r="1372" ht="15.75" customHeight="1">
      <c r="D1372" s="25"/>
      <c r="E1372" s="22"/>
    </row>
    <row r="1373" ht="15.75" customHeight="1">
      <c r="D1373" s="25"/>
      <c r="E1373" s="22"/>
    </row>
    <row r="1374" ht="15.75" customHeight="1">
      <c r="D1374" s="25"/>
      <c r="E1374" s="22"/>
    </row>
    <row r="1375" ht="15.75" customHeight="1">
      <c r="D1375" s="25"/>
      <c r="E1375" s="22"/>
    </row>
    <row r="1376" ht="15.75" customHeight="1">
      <c r="D1376" s="25"/>
      <c r="E1376" s="22"/>
    </row>
    <row r="1377" ht="15.75" customHeight="1">
      <c r="D1377" s="25"/>
      <c r="E1377" s="22"/>
    </row>
    <row r="1378" ht="15.75" customHeight="1">
      <c r="D1378" s="25"/>
      <c r="E1378" s="22"/>
    </row>
    <row r="1379" ht="15.75" customHeight="1">
      <c r="D1379" s="25"/>
      <c r="E1379" s="22"/>
    </row>
    <row r="1380" ht="15.75" customHeight="1">
      <c r="D1380" s="25"/>
      <c r="E1380" s="22"/>
    </row>
    <row r="1381" ht="15.75" customHeight="1">
      <c r="D1381" s="25"/>
      <c r="E1381" s="22"/>
    </row>
    <row r="1382" ht="15.75" customHeight="1">
      <c r="D1382" s="25"/>
      <c r="E1382" s="22"/>
    </row>
    <row r="1383" ht="15.75" customHeight="1">
      <c r="D1383" s="25"/>
      <c r="E1383" s="22"/>
    </row>
    <row r="1384" ht="15.75" customHeight="1">
      <c r="D1384" s="25"/>
      <c r="E1384" s="22"/>
    </row>
    <row r="1385" ht="15.75" customHeight="1">
      <c r="D1385" s="25"/>
      <c r="E1385" s="22"/>
    </row>
    <row r="1386" ht="15.75" customHeight="1">
      <c r="D1386" s="25"/>
      <c r="E1386" s="22"/>
    </row>
    <row r="1387" ht="15.75" customHeight="1">
      <c r="D1387" s="25"/>
      <c r="E1387" s="22"/>
    </row>
    <row r="1388" ht="15.75" customHeight="1">
      <c r="D1388" s="25"/>
      <c r="E1388" s="22"/>
    </row>
    <row r="1389" ht="15.75" customHeight="1">
      <c r="D1389" s="25"/>
      <c r="E1389" s="22"/>
    </row>
    <row r="1390" ht="15.75" customHeight="1">
      <c r="D1390" s="25"/>
      <c r="E1390" s="22"/>
    </row>
    <row r="1391" ht="15.75" customHeight="1">
      <c r="D1391" s="25"/>
      <c r="E1391" s="22"/>
    </row>
    <row r="1392" ht="15.75" customHeight="1">
      <c r="D1392" s="25"/>
      <c r="E1392" s="22"/>
    </row>
    <row r="1393" ht="15.75" customHeight="1">
      <c r="D1393" s="25"/>
      <c r="E1393" s="22"/>
    </row>
    <row r="1394" ht="15.75" customHeight="1">
      <c r="D1394" s="25"/>
      <c r="E1394" s="22"/>
    </row>
    <row r="1395" ht="15.75" customHeight="1">
      <c r="D1395" s="25"/>
      <c r="E1395" s="22"/>
    </row>
    <row r="1396" ht="15.75" customHeight="1">
      <c r="D1396" s="25"/>
      <c r="E1396" s="22"/>
    </row>
    <row r="1397" ht="15.75" customHeight="1">
      <c r="D1397" s="25"/>
      <c r="E1397" s="22"/>
    </row>
    <row r="1398" ht="15.75" customHeight="1">
      <c r="D1398" s="25"/>
      <c r="E1398" s="22"/>
    </row>
    <row r="1399" ht="15.75" customHeight="1">
      <c r="D1399" s="25"/>
      <c r="E1399" s="22"/>
    </row>
    <row r="1400" ht="15.75" customHeight="1">
      <c r="D1400" s="25"/>
      <c r="E1400" s="22"/>
    </row>
    <row r="1401" ht="15.75" customHeight="1">
      <c r="D1401" s="25"/>
      <c r="E1401" s="22"/>
    </row>
    <row r="1402" ht="15.75" customHeight="1">
      <c r="D1402" s="25"/>
      <c r="E1402" s="22"/>
    </row>
    <row r="1403" ht="15.75" customHeight="1">
      <c r="D1403" s="25"/>
      <c r="E1403" s="22"/>
    </row>
    <row r="1404" ht="15.75" customHeight="1">
      <c r="D1404" s="25"/>
      <c r="E1404" s="22"/>
    </row>
    <row r="1405" ht="15.75" customHeight="1">
      <c r="D1405" s="25"/>
      <c r="E1405" s="22"/>
    </row>
    <row r="1406" ht="15.75" customHeight="1">
      <c r="D1406" s="25"/>
      <c r="E1406" s="22"/>
    </row>
    <row r="1407" ht="15.75" customHeight="1">
      <c r="D1407" s="25"/>
      <c r="E1407" s="22"/>
    </row>
    <row r="1408" ht="15.75" customHeight="1">
      <c r="D1408" s="25"/>
      <c r="E1408" s="22"/>
    </row>
    <row r="1409" ht="15.75" customHeight="1">
      <c r="D1409" s="25"/>
      <c r="E1409" s="22"/>
    </row>
    <row r="1410" ht="15.75" customHeight="1">
      <c r="D1410" s="25"/>
      <c r="E1410" s="22"/>
    </row>
    <row r="1411" ht="15.75" customHeight="1">
      <c r="D1411" s="25"/>
      <c r="E1411" s="22"/>
    </row>
    <row r="1412" ht="15.75" customHeight="1">
      <c r="D1412" s="25"/>
      <c r="E1412" s="22"/>
    </row>
    <row r="1413" ht="15.75" customHeight="1">
      <c r="D1413" s="25"/>
      <c r="E1413" s="22"/>
    </row>
    <row r="1414" ht="15.75" customHeight="1">
      <c r="D1414" s="25"/>
      <c r="E1414" s="22"/>
    </row>
    <row r="1415" ht="15.75" customHeight="1">
      <c r="D1415" s="25"/>
      <c r="E1415" s="22"/>
    </row>
    <row r="1416" ht="15.75" customHeight="1">
      <c r="D1416" s="25"/>
      <c r="E1416" s="22"/>
    </row>
    <row r="1417" ht="15.75" customHeight="1">
      <c r="D1417" s="25"/>
      <c r="E1417" s="22"/>
    </row>
    <row r="1418" ht="15.75" customHeight="1">
      <c r="D1418" s="25"/>
      <c r="E1418" s="22"/>
    </row>
    <row r="1419" ht="15.75" customHeight="1">
      <c r="D1419" s="25"/>
      <c r="E1419" s="22"/>
    </row>
    <row r="1420" ht="15.75" customHeight="1">
      <c r="D1420" s="25"/>
      <c r="E1420" s="22"/>
    </row>
    <row r="1421" ht="15.75" customHeight="1">
      <c r="D1421" s="25"/>
      <c r="E1421" s="22"/>
    </row>
    <row r="1422" ht="15.75" customHeight="1">
      <c r="D1422" s="25"/>
      <c r="E1422" s="22"/>
    </row>
    <row r="1423" ht="15.75" customHeight="1">
      <c r="D1423" s="25"/>
      <c r="E1423" s="22"/>
    </row>
    <row r="1424" ht="15.75" customHeight="1">
      <c r="D1424" s="25"/>
      <c r="E1424" s="22"/>
    </row>
    <row r="1425" ht="15.75" customHeight="1">
      <c r="D1425" s="25"/>
      <c r="E1425" s="22"/>
    </row>
    <row r="1426" ht="15.75" customHeight="1">
      <c r="D1426" s="25"/>
      <c r="E1426" s="22"/>
    </row>
    <row r="1427" ht="15.75" customHeight="1">
      <c r="D1427" s="25"/>
      <c r="E1427" s="22"/>
    </row>
    <row r="1428" ht="15.75" customHeight="1">
      <c r="D1428" s="25"/>
      <c r="E1428" s="22"/>
    </row>
    <row r="1429" ht="15.75" customHeight="1">
      <c r="D1429" s="25"/>
      <c r="E1429" s="22"/>
    </row>
    <row r="1430" ht="15.75" customHeight="1">
      <c r="D1430" s="25"/>
      <c r="E1430" s="22"/>
    </row>
    <row r="1431" ht="15.75" customHeight="1">
      <c r="D1431" s="25"/>
      <c r="E1431" s="22"/>
    </row>
    <row r="1432" ht="15.75" customHeight="1">
      <c r="D1432" s="25"/>
      <c r="E1432" s="22"/>
    </row>
    <row r="1433" ht="15.75" customHeight="1">
      <c r="D1433" s="25"/>
      <c r="E1433" s="22"/>
    </row>
    <row r="1434" ht="15.75" customHeight="1">
      <c r="D1434" s="25"/>
      <c r="E1434" s="22"/>
    </row>
    <row r="1435" ht="15.75" customHeight="1">
      <c r="D1435" s="25"/>
      <c r="E1435" s="22"/>
    </row>
    <row r="1436" ht="15.75" customHeight="1">
      <c r="D1436" s="25"/>
      <c r="E1436" s="22"/>
    </row>
    <row r="1437" ht="15.75" customHeight="1">
      <c r="D1437" s="25"/>
      <c r="E1437" s="22"/>
    </row>
    <row r="1438" ht="15.75" customHeight="1">
      <c r="D1438" s="25"/>
      <c r="E1438" s="22"/>
    </row>
    <row r="1439" ht="15.75" customHeight="1">
      <c r="D1439" s="25"/>
      <c r="E1439" s="22"/>
    </row>
    <row r="1440" ht="15.75" customHeight="1">
      <c r="D1440" s="25"/>
      <c r="E1440" s="22"/>
    </row>
    <row r="1441" ht="15.75" customHeight="1">
      <c r="D1441" s="25"/>
      <c r="E1441" s="22"/>
    </row>
    <row r="1442" ht="15.75" customHeight="1">
      <c r="D1442" s="25"/>
      <c r="E1442" s="22"/>
    </row>
    <row r="1443" ht="15.75" customHeight="1">
      <c r="D1443" s="25"/>
      <c r="E1443" s="22"/>
    </row>
    <row r="1444" ht="15.75" customHeight="1">
      <c r="D1444" s="25"/>
      <c r="E1444" s="22"/>
    </row>
    <row r="1445" ht="15.75" customHeight="1">
      <c r="D1445" s="25"/>
      <c r="E1445" s="22"/>
    </row>
    <row r="1446" ht="15.75" customHeight="1">
      <c r="D1446" s="25"/>
      <c r="E1446" s="22"/>
    </row>
    <row r="1447" ht="15.75" customHeight="1">
      <c r="D1447" s="25"/>
      <c r="E1447" s="22"/>
    </row>
    <row r="1448" ht="15.75" customHeight="1">
      <c r="D1448" s="25"/>
      <c r="E1448" s="22"/>
    </row>
    <row r="1449" ht="15.75" customHeight="1">
      <c r="D1449" s="25"/>
      <c r="E1449" s="22"/>
    </row>
    <row r="1450" ht="15.75" customHeight="1">
      <c r="D1450" s="25"/>
      <c r="E1450" s="22"/>
    </row>
    <row r="1451" ht="15.75" customHeight="1">
      <c r="D1451" s="25"/>
      <c r="E1451" s="22"/>
    </row>
    <row r="1452" ht="15.75" customHeight="1">
      <c r="D1452" s="25"/>
      <c r="E1452" s="22"/>
    </row>
    <row r="1453" ht="15.75" customHeight="1">
      <c r="D1453" s="25"/>
      <c r="E1453" s="22"/>
    </row>
    <row r="1454" ht="15.75" customHeight="1">
      <c r="D1454" s="25"/>
      <c r="E1454" s="22"/>
    </row>
    <row r="1455" ht="15.75" customHeight="1">
      <c r="D1455" s="25"/>
      <c r="E1455" s="22"/>
    </row>
    <row r="1456" ht="15.75" customHeight="1">
      <c r="D1456" s="25"/>
      <c r="E1456" s="22"/>
    </row>
    <row r="1457" ht="15.75" customHeight="1">
      <c r="D1457" s="25"/>
      <c r="E1457" s="22"/>
    </row>
    <row r="1458" ht="15.75" customHeight="1">
      <c r="D1458" s="25"/>
      <c r="E1458" s="22"/>
    </row>
    <row r="1459" ht="15.75" customHeight="1">
      <c r="D1459" s="25"/>
      <c r="E1459" s="22"/>
    </row>
    <row r="1460" ht="15.75" customHeight="1">
      <c r="D1460" s="25"/>
      <c r="E1460" s="22"/>
    </row>
    <row r="1461" ht="15.75" customHeight="1">
      <c r="D1461" s="25"/>
      <c r="E1461" s="22"/>
    </row>
    <row r="1462" ht="15.75" customHeight="1">
      <c r="D1462" s="25"/>
      <c r="E1462" s="22"/>
    </row>
    <row r="1463" ht="15.75" customHeight="1">
      <c r="D1463" s="25"/>
      <c r="E1463" s="22"/>
    </row>
    <row r="1464" ht="15.75" customHeight="1">
      <c r="D1464" s="25"/>
      <c r="E1464" s="22"/>
    </row>
    <row r="1465" ht="15.75" customHeight="1">
      <c r="D1465" s="25"/>
      <c r="E1465" s="22"/>
    </row>
    <row r="1466" ht="15.75" customHeight="1">
      <c r="D1466" s="25"/>
      <c r="E1466" s="22"/>
    </row>
    <row r="1467" ht="15.75" customHeight="1">
      <c r="D1467" s="25"/>
      <c r="E1467" s="22"/>
    </row>
    <row r="1468" ht="15.75" customHeight="1">
      <c r="D1468" s="25"/>
      <c r="E1468" s="22"/>
    </row>
    <row r="1469" ht="15.75" customHeight="1">
      <c r="D1469" s="25"/>
      <c r="E1469" s="22"/>
    </row>
    <row r="1470" ht="15.75" customHeight="1">
      <c r="D1470" s="25"/>
      <c r="E1470" s="22"/>
    </row>
    <row r="1471" ht="15.75" customHeight="1">
      <c r="D1471" s="25"/>
      <c r="E1471" s="22"/>
    </row>
    <row r="1472" ht="15.75" customHeight="1">
      <c r="D1472" s="25"/>
      <c r="E1472" s="22"/>
    </row>
    <row r="1473" ht="15.75" customHeight="1">
      <c r="D1473" s="25"/>
      <c r="E1473" s="22"/>
    </row>
    <row r="1474" ht="15.75" customHeight="1">
      <c r="D1474" s="25"/>
      <c r="E1474" s="22"/>
    </row>
    <row r="1475" ht="15.75" customHeight="1">
      <c r="D1475" s="25"/>
      <c r="E1475" s="22"/>
    </row>
    <row r="1476" ht="15.75" customHeight="1">
      <c r="D1476" s="25"/>
      <c r="E1476" s="22"/>
    </row>
    <row r="1477" ht="15.75" customHeight="1">
      <c r="D1477" s="25"/>
      <c r="E1477" s="22"/>
    </row>
    <row r="1478" ht="15.75" customHeight="1">
      <c r="D1478" s="25"/>
      <c r="E1478" s="22"/>
    </row>
    <row r="1479" ht="15.75" customHeight="1">
      <c r="D1479" s="25"/>
      <c r="E1479" s="22"/>
    </row>
    <row r="1480" ht="15.75" customHeight="1">
      <c r="D1480" s="25"/>
      <c r="E1480" s="22"/>
    </row>
    <row r="1481" ht="15.75" customHeight="1">
      <c r="D1481" s="25"/>
      <c r="E1481" s="22"/>
    </row>
    <row r="1482" ht="15.75" customHeight="1">
      <c r="D1482" s="25"/>
      <c r="E1482" s="22"/>
    </row>
    <row r="1483" ht="15.75" customHeight="1">
      <c r="D1483" s="25"/>
      <c r="E1483" s="22"/>
    </row>
    <row r="1484" ht="15.75" customHeight="1">
      <c r="D1484" s="25"/>
      <c r="E1484" s="22"/>
    </row>
    <row r="1485" ht="15.75" customHeight="1">
      <c r="D1485" s="25"/>
      <c r="E1485" s="22"/>
    </row>
    <row r="1486" ht="15.75" customHeight="1">
      <c r="D1486" s="25"/>
      <c r="E1486" s="22"/>
    </row>
    <row r="1487" ht="15.75" customHeight="1">
      <c r="D1487" s="25"/>
      <c r="E1487" s="22"/>
    </row>
    <row r="1488" ht="15.75" customHeight="1">
      <c r="D1488" s="25"/>
      <c r="E1488" s="22"/>
    </row>
    <row r="1489" ht="15.75" customHeight="1">
      <c r="D1489" s="25"/>
      <c r="E1489" s="22"/>
    </row>
    <row r="1490" ht="15.75" customHeight="1">
      <c r="D1490" s="25"/>
      <c r="E1490" s="22"/>
    </row>
    <row r="1491" ht="15.75" customHeight="1">
      <c r="D1491" s="25"/>
      <c r="E1491" s="22"/>
    </row>
    <row r="1492" ht="15.75" customHeight="1">
      <c r="D1492" s="25"/>
      <c r="E1492" s="22"/>
    </row>
    <row r="1493" ht="15.75" customHeight="1">
      <c r="D1493" s="25"/>
      <c r="E1493" s="22"/>
    </row>
    <row r="1494" ht="15.75" customHeight="1">
      <c r="D1494" s="25"/>
      <c r="E1494" s="22"/>
    </row>
    <row r="1495" ht="15.75" customHeight="1">
      <c r="D1495" s="25"/>
      <c r="E1495" s="22"/>
    </row>
    <row r="1496" ht="15.75" customHeight="1">
      <c r="D1496" s="25"/>
      <c r="E1496" s="22"/>
    </row>
    <row r="1497" ht="15.75" customHeight="1">
      <c r="D1497" s="25"/>
      <c r="E1497" s="22"/>
    </row>
    <row r="1498" ht="15.75" customHeight="1">
      <c r="D1498" s="25"/>
      <c r="E1498" s="22"/>
    </row>
    <row r="1499" ht="15.75" customHeight="1">
      <c r="D1499" s="25"/>
      <c r="E1499" s="22"/>
    </row>
    <row r="1500" ht="15.75" customHeight="1">
      <c r="D1500" s="25"/>
      <c r="E1500" s="22"/>
    </row>
    <row r="1501" ht="15.75" customHeight="1">
      <c r="D1501" s="25"/>
      <c r="E1501" s="22"/>
    </row>
    <row r="1502" ht="15.75" customHeight="1">
      <c r="D1502" s="25"/>
      <c r="E1502" s="22"/>
    </row>
    <row r="1503" ht="15.75" customHeight="1">
      <c r="D1503" s="25"/>
      <c r="E1503" s="22"/>
    </row>
    <row r="1504" ht="15.75" customHeight="1">
      <c r="D1504" s="25"/>
      <c r="E1504" s="22"/>
    </row>
    <row r="1505" ht="15.75" customHeight="1">
      <c r="D1505" s="25"/>
      <c r="E1505" s="22"/>
    </row>
    <row r="1506" ht="15.75" customHeight="1">
      <c r="D1506" s="25"/>
      <c r="E1506" s="22"/>
    </row>
    <row r="1507" ht="15.75" customHeight="1">
      <c r="D1507" s="25"/>
      <c r="E1507" s="22"/>
    </row>
    <row r="1508" ht="15.75" customHeight="1">
      <c r="D1508" s="25"/>
      <c r="E1508" s="22"/>
    </row>
    <row r="1509" ht="15.75" customHeight="1">
      <c r="D1509" s="25"/>
      <c r="E1509" s="22"/>
    </row>
    <row r="1510" ht="15.75" customHeight="1">
      <c r="D1510" s="25"/>
      <c r="E1510" s="22"/>
    </row>
    <row r="1511" ht="15.75" customHeight="1">
      <c r="D1511" s="25"/>
      <c r="E1511" s="22"/>
    </row>
    <row r="1512" ht="15.75" customHeight="1">
      <c r="D1512" s="25"/>
      <c r="E1512" s="22"/>
    </row>
    <row r="1513" ht="15.75" customHeight="1">
      <c r="D1513" s="25"/>
      <c r="E1513" s="22"/>
    </row>
    <row r="1514" ht="15.75" customHeight="1">
      <c r="D1514" s="25"/>
      <c r="E1514" s="22"/>
    </row>
    <row r="1515" ht="15.75" customHeight="1">
      <c r="D1515" s="25"/>
      <c r="E1515" s="22"/>
    </row>
    <row r="1516" ht="15.75" customHeight="1">
      <c r="D1516" s="25"/>
      <c r="E1516" s="22"/>
    </row>
    <row r="1517" ht="15.75" customHeight="1">
      <c r="D1517" s="25"/>
      <c r="E1517" s="22"/>
    </row>
    <row r="1518" ht="15.75" customHeight="1">
      <c r="D1518" s="25"/>
      <c r="E1518" s="22"/>
    </row>
    <row r="1519" ht="15.75" customHeight="1">
      <c r="D1519" s="25"/>
      <c r="E1519" s="22"/>
    </row>
    <row r="1520" ht="15.75" customHeight="1">
      <c r="D1520" s="25"/>
      <c r="E1520" s="22"/>
    </row>
    <row r="1521" ht="15.75" customHeight="1">
      <c r="D1521" s="25"/>
      <c r="E1521" s="22"/>
    </row>
    <row r="1522" ht="15.75" customHeight="1">
      <c r="D1522" s="25"/>
      <c r="E1522" s="22"/>
    </row>
    <row r="1523" ht="15.75" customHeight="1">
      <c r="D1523" s="25"/>
      <c r="E1523" s="22"/>
    </row>
    <row r="1524" ht="15.75" customHeight="1">
      <c r="D1524" s="25"/>
      <c r="E1524" s="22"/>
    </row>
    <row r="1525" ht="15.75" customHeight="1">
      <c r="D1525" s="25"/>
      <c r="E1525" s="22"/>
    </row>
    <row r="1526" ht="15.75" customHeight="1">
      <c r="D1526" s="25"/>
      <c r="E1526" s="22"/>
    </row>
    <row r="1527" ht="15.75" customHeight="1">
      <c r="D1527" s="25"/>
      <c r="E1527" s="22"/>
    </row>
    <row r="1528" ht="15.75" customHeight="1">
      <c r="D1528" s="25"/>
      <c r="E1528" s="22"/>
    </row>
    <row r="1529" ht="15.75" customHeight="1">
      <c r="D1529" s="25"/>
      <c r="E1529" s="22"/>
    </row>
    <row r="1530" ht="15.75" customHeight="1">
      <c r="D1530" s="25"/>
      <c r="E1530" s="22"/>
    </row>
    <row r="1531" ht="15.75" customHeight="1">
      <c r="D1531" s="25"/>
      <c r="E1531" s="22"/>
    </row>
    <row r="1532" ht="15.75" customHeight="1">
      <c r="D1532" s="25"/>
      <c r="E1532" s="22"/>
    </row>
    <row r="1533" ht="15.75" customHeight="1">
      <c r="D1533" s="25"/>
      <c r="E1533" s="22"/>
    </row>
    <row r="1534" ht="15.75" customHeight="1">
      <c r="D1534" s="25"/>
      <c r="E1534" s="22"/>
    </row>
    <row r="1535" ht="15.75" customHeight="1">
      <c r="D1535" s="25"/>
      <c r="E1535" s="22"/>
    </row>
    <row r="1536" ht="15.75" customHeight="1">
      <c r="D1536" s="25"/>
      <c r="E1536" s="22"/>
    </row>
    <row r="1537" ht="15.75" customHeight="1">
      <c r="D1537" s="25"/>
      <c r="E1537" s="22"/>
    </row>
    <row r="1538" ht="15.75" customHeight="1">
      <c r="D1538" s="25"/>
      <c r="E1538" s="22"/>
    </row>
    <row r="1539" ht="15.75" customHeight="1">
      <c r="D1539" s="25"/>
      <c r="E1539" s="22"/>
    </row>
    <row r="1540" ht="15.75" customHeight="1">
      <c r="D1540" s="25"/>
      <c r="E1540" s="22"/>
    </row>
    <row r="1541" ht="15.75" customHeight="1">
      <c r="D1541" s="25"/>
      <c r="E1541" s="22"/>
    </row>
    <row r="1542" ht="15.75" customHeight="1">
      <c r="D1542" s="25"/>
      <c r="E1542" s="22"/>
    </row>
    <row r="1543" ht="15.75" customHeight="1">
      <c r="D1543" s="25"/>
      <c r="E1543" s="22"/>
    </row>
    <row r="1544" ht="15.75" customHeight="1">
      <c r="D1544" s="25"/>
      <c r="E1544" s="22"/>
    </row>
    <row r="1545" ht="15.75" customHeight="1">
      <c r="D1545" s="25"/>
      <c r="E1545" s="22"/>
    </row>
    <row r="1546" ht="15.75" customHeight="1">
      <c r="D1546" s="25"/>
      <c r="E1546" s="22"/>
    </row>
    <row r="1547" ht="15.75" customHeight="1">
      <c r="D1547" s="25"/>
      <c r="E1547" s="22"/>
    </row>
    <row r="1548" ht="15.75" customHeight="1">
      <c r="D1548" s="25"/>
      <c r="E1548" s="22"/>
    </row>
    <row r="1549" ht="15.75" customHeight="1">
      <c r="D1549" s="25"/>
      <c r="E1549" s="22"/>
    </row>
    <row r="1550" ht="15.75" customHeight="1">
      <c r="D1550" s="25"/>
      <c r="E1550" s="22"/>
    </row>
    <row r="1551" ht="15.75" customHeight="1">
      <c r="D1551" s="25"/>
      <c r="E1551" s="22"/>
    </row>
    <row r="1552" ht="15.75" customHeight="1">
      <c r="D1552" s="25"/>
      <c r="E1552" s="22"/>
    </row>
    <row r="1553" ht="15.75" customHeight="1">
      <c r="D1553" s="25"/>
      <c r="E1553" s="22"/>
    </row>
    <row r="1554" ht="15.75" customHeight="1">
      <c r="D1554" s="25"/>
      <c r="E1554" s="22"/>
    </row>
    <row r="1555" ht="15.75" customHeight="1">
      <c r="D1555" s="25"/>
      <c r="E1555" s="22"/>
    </row>
    <row r="1556" ht="15.75" customHeight="1">
      <c r="D1556" s="25"/>
      <c r="E1556" s="22"/>
    </row>
    <row r="1557" ht="15.75" customHeight="1">
      <c r="D1557" s="25"/>
      <c r="E1557" s="22"/>
    </row>
    <row r="1558" ht="15.75" customHeight="1">
      <c r="D1558" s="25"/>
      <c r="E1558" s="22"/>
    </row>
    <row r="1559" ht="15.75" customHeight="1">
      <c r="D1559" s="25"/>
      <c r="E1559" s="22"/>
    </row>
    <row r="1560" ht="15.75" customHeight="1">
      <c r="D1560" s="25"/>
      <c r="E1560" s="22"/>
    </row>
    <row r="1561" ht="15.75" customHeight="1">
      <c r="D1561" s="25"/>
      <c r="E1561" s="22"/>
    </row>
    <row r="1562" ht="15.75" customHeight="1">
      <c r="D1562" s="25"/>
      <c r="E1562" s="22"/>
    </row>
    <row r="1563" ht="15.75" customHeight="1">
      <c r="D1563" s="25"/>
      <c r="E1563" s="22"/>
    </row>
    <row r="1564" ht="15.75" customHeight="1">
      <c r="D1564" s="25"/>
      <c r="E1564" s="22"/>
    </row>
    <row r="1565" ht="15.75" customHeight="1">
      <c r="D1565" s="25"/>
      <c r="E1565" s="22"/>
    </row>
    <row r="1566" ht="15.75" customHeight="1">
      <c r="D1566" s="25"/>
      <c r="E1566" s="22"/>
    </row>
    <row r="1567" ht="15.75" customHeight="1">
      <c r="D1567" s="25"/>
      <c r="E1567" s="22"/>
    </row>
    <row r="1568" ht="15.75" customHeight="1">
      <c r="D1568" s="25"/>
      <c r="E1568" s="22"/>
    </row>
    <row r="1569" ht="15.75" customHeight="1">
      <c r="D1569" s="25"/>
      <c r="E1569" s="22"/>
    </row>
    <row r="1570" ht="15.75" customHeight="1">
      <c r="D1570" s="25"/>
      <c r="E1570" s="22"/>
    </row>
    <row r="1571" ht="15.75" customHeight="1">
      <c r="D1571" s="25"/>
      <c r="E1571" s="22"/>
    </row>
    <row r="1572" ht="15.75" customHeight="1">
      <c r="D1572" s="25"/>
      <c r="E1572" s="22"/>
    </row>
    <row r="1573" ht="15.75" customHeight="1">
      <c r="D1573" s="25"/>
      <c r="E1573" s="22"/>
    </row>
    <row r="1574" ht="15.75" customHeight="1">
      <c r="D1574" s="25"/>
      <c r="E1574" s="22"/>
    </row>
    <row r="1575" ht="15.75" customHeight="1">
      <c r="D1575" s="25"/>
      <c r="E1575" s="22"/>
    </row>
    <row r="1576" ht="15.75" customHeight="1">
      <c r="D1576" s="25"/>
      <c r="E1576" s="22"/>
    </row>
    <row r="1577" ht="15.75" customHeight="1">
      <c r="D1577" s="25"/>
      <c r="E1577" s="22"/>
    </row>
    <row r="1578" ht="15.75" customHeight="1">
      <c r="D1578" s="25"/>
      <c r="E1578" s="22"/>
    </row>
    <row r="1579" ht="15.75" customHeight="1">
      <c r="D1579" s="25"/>
      <c r="E1579" s="22"/>
    </row>
    <row r="1580" ht="15.75" customHeight="1">
      <c r="D1580" s="25"/>
      <c r="E1580" s="22"/>
    </row>
    <row r="1581" ht="15.75" customHeight="1">
      <c r="D1581" s="25"/>
      <c r="E1581" s="22"/>
    </row>
    <row r="1582" ht="15.75" customHeight="1">
      <c r="D1582" s="25"/>
      <c r="E1582" s="22"/>
    </row>
    <row r="1583" ht="15.75" customHeight="1">
      <c r="D1583" s="25"/>
      <c r="E1583" s="22"/>
    </row>
    <row r="1584" ht="15.75" customHeight="1">
      <c r="D1584" s="25"/>
      <c r="E1584" s="22"/>
    </row>
    <row r="1585" ht="15.75" customHeight="1">
      <c r="D1585" s="25"/>
      <c r="E1585" s="22"/>
    </row>
    <row r="1586" ht="15.75" customHeight="1">
      <c r="D1586" s="25"/>
      <c r="E1586" s="22"/>
    </row>
    <row r="1587" ht="15.75" customHeight="1">
      <c r="D1587" s="25"/>
      <c r="E1587" s="22"/>
    </row>
    <row r="1588" ht="15.75" customHeight="1">
      <c r="D1588" s="25"/>
      <c r="E1588" s="22"/>
    </row>
    <row r="1589" ht="15.75" customHeight="1">
      <c r="D1589" s="25"/>
      <c r="E1589" s="22"/>
    </row>
    <row r="1590" ht="15.75" customHeight="1">
      <c r="D1590" s="25"/>
      <c r="E1590" s="22"/>
    </row>
    <row r="1591" ht="15.75" customHeight="1">
      <c r="D1591" s="25"/>
      <c r="E1591" s="22"/>
    </row>
    <row r="1592" ht="15.75" customHeight="1">
      <c r="D1592" s="25"/>
      <c r="E1592" s="22"/>
    </row>
    <row r="1593" ht="15.75" customHeight="1">
      <c r="D1593" s="25"/>
      <c r="E1593" s="22"/>
    </row>
    <row r="1594" ht="15.75" customHeight="1">
      <c r="D1594" s="25"/>
      <c r="E1594" s="22"/>
    </row>
    <row r="1595" ht="15.75" customHeight="1">
      <c r="D1595" s="25"/>
      <c r="E1595" s="22"/>
    </row>
    <row r="1596" ht="15.75" customHeight="1">
      <c r="D1596" s="25"/>
      <c r="E1596" s="22"/>
    </row>
    <row r="1597" ht="15.75" customHeight="1">
      <c r="D1597" s="25"/>
      <c r="E1597" s="22"/>
    </row>
    <row r="1598" ht="15.75" customHeight="1">
      <c r="D1598" s="25"/>
      <c r="E1598" s="22"/>
    </row>
    <row r="1599" ht="15.75" customHeight="1">
      <c r="D1599" s="25"/>
      <c r="E1599" s="22"/>
    </row>
    <row r="1600" ht="15.75" customHeight="1">
      <c r="D1600" s="25"/>
      <c r="E1600" s="22"/>
    </row>
    <row r="1601" ht="15.75" customHeight="1">
      <c r="D1601" s="25"/>
      <c r="E1601" s="22"/>
    </row>
    <row r="1602" ht="15.75" customHeight="1">
      <c r="D1602" s="25"/>
      <c r="E1602" s="22"/>
    </row>
    <row r="1603" ht="15.75" customHeight="1">
      <c r="D1603" s="25"/>
      <c r="E1603" s="22"/>
    </row>
    <row r="1604" ht="15.75" customHeight="1">
      <c r="D1604" s="25"/>
      <c r="E1604" s="22"/>
    </row>
    <row r="1605" ht="15.75" customHeight="1">
      <c r="D1605" s="25"/>
      <c r="E1605" s="22"/>
    </row>
    <row r="1606" ht="15.75" customHeight="1">
      <c r="D1606" s="25"/>
      <c r="E1606" s="22"/>
    </row>
    <row r="1607" ht="15.75" customHeight="1">
      <c r="D1607" s="25"/>
      <c r="E1607" s="22"/>
    </row>
    <row r="1608" ht="15.75" customHeight="1">
      <c r="D1608" s="25"/>
      <c r="E1608" s="22"/>
    </row>
    <row r="1609" ht="15.75" customHeight="1">
      <c r="D1609" s="25"/>
      <c r="E1609" s="22"/>
    </row>
    <row r="1610" ht="15.75" customHeight="1">
      <c r="D1610" s="25"/>
      <c r="E1610" s="22"/>
    </row>
    <row r="1611" ht="15.75" customHeight="1">
      <c r="D1611" s="25"/>
      <c r="E1611" s="22"/>
    </row>
    <row r="1612" ht="15.75" customHeight="1">
      <c r="D1612" s="25"/>
      <c r="E1612" s="22"/>
    </row>
    <row r="1613" ht="15.75" customHeight="1">
      <c r="D1613" s="25"/>
      <c r="E1613" s="22"/>
    </row>
    <row r="1614" ht="15.75" customHeight="1">
      <c r="D1614" s="25"/>
      <c r="E1614" s="22"/>
    </row>
    <row r="1615" ht="15.75" customHeight="1">
      <c r="D1615" s="25"/>
      <c r="E1615" s="22"/>
    </row>
    <row r="1616" ht="15.75" customHeight="1">
      <c r="D1616" s="25"/>
      <c r="E1616" s="22"/>
    </row>
    <row r="1617" ht="15.75" customHeight="1">
      <c r="D1617" s="25"/>
      <c r="E1617" s="22"/>
    </row>
    <row r="1618" ht="15.75" customHeight="1">
      <c r="D1618" s="25"/>
      <c r="E1618" s="22"/>
    </row>
    <row r="1619" ht="15.75" customHeight="1">
      <c r="D1619" s="25"/>
      <c r="E1619" s="22"/>
    </row>
    <row r="1620" ht="15.75" customHeight="1">
      <c r="D1620" s="25"/>
      <c r="E1620" s="22"/>
    </row>
    <row r="1621" ht="15.75" customHeight="1">
      <c r="D1621" s="25"/>
      <c r="E1621" s="22"/>
    </row>
    <row r="1622" ht="15.75" customHeight="1">
      <c r="D1622" s="25"/>
      <c r="E1622" s="22"/>
    </row>
    <row r="1623" ht="15.75" customHeight="1">
      <c r="D1623" s="25"/>
      <c r="E1623" s="22"/>
    </row>
    <row r="1624" ht="15.75" customHeight="1">
      <c r="D1624" s="25"/>
      <c r="E1624" s="22"/>
    </row>
    <row r="1625" ht="15.75" customHeight="1">
      <c r="D1625" s="25"/>
      <c r="E1625" s="22"/>
    </row>
    <row r="1626" ht="15.75" customHeight="1">
      <c r="D1626" s="25"/>
      <c r="E1626" s="22"/>
    </row>
    <row r="1627" ht="15.75" customHeight="1">
      <c r="D1627" s="25"/>
      <c r="E1627" s="22"/>
    </row>
    <row r="1628" ht="15.75" customHeight="1">
      <c r="D1628" s="25"/>
      <c r="E1628" s="22"/>
    </row>
    <row r="1629" ht="15.75" customHeight="1">
      <c r="D1629" s="25"/>
      <c r="E1629" s="22"/>
    </row>
    <row r="1630" ht="15.75" customHeight="1">
      <c r="D1630" s="25"/>
      <c r="E1630" s="22"/>
    </row>
    <row r="1631" ht="15.75" customHeight="1">
      <c r="D1631" s="25"/>
      <c r="E1631" s="22"/>
    </row>
    <row r="1632" ht="15.75" customHeight="1">
      <c r="D1632" s="25"/>
      <c r="E1632" s="22"/>
    </row>
    <row r="1633" ht="15.75" customHeight="1">
      <c r="D1633" s="25"/>
      <c r="E1633" s="22"/>
    </row>
    <row r="1634" ht="15.75" customHeight="1">
      <c r="D1634" s="25"/>
      <c r="E1634" s="22"/>
    </row>
    <row r="1635" ht="15.75" customHeight="1">
      <c r="D1635" s="25"/>
      <c r="E1635" s="22"/>
    </row>
    <row r="1636" ht="15.75" customHeight="1">
      <c r="D1636" s="25"/>
      <c r="E1636" s="22"/>
    </row>
    <row r="1637" ht="15.75" customHeight="1">
      <c r="D1637" s="25"/>
      <c r="E1637" s="22"/>
    </row>
    <row r="1638" ht="15.75" customHeight="1">
      <c r="D1638" s="25"/>
      <c r="E1638" s="22"/>
    </row>
    <row r="1639" ht="15.75" customHeight="1">
      <c r="D1639" s="25"/>
      <c r="E1639" s="22"/>
    </row>
    <row r="1640" ht="15.75" customHeight="1">
      <c r="D1640" s="25"/>
      <c r="E1640" s="22"/>
    </row>
    <row r="1641" ht="15.75" customHeight="1">
      <c r="D1641" s="25"/>
      <c r="E1641" s="22"/>
    </row>
    <row r="1642" ht="15.75" customHeight="1">
      <c r="D1642" s="25"/>
      <c r="E1642" s="22"/>
    </row>
    <row r="1643" ht="15.75" customHeight="1">
      <c r="D1643" s="25"/>
      <c r="E1643" s="22"/>
    </row>
    <row r="1644" ht="15.75" customHeight="1">
      <c r="D1644" s="25"/>
      <c r="E1644" s="22"/>
    </row>
    <row r="1645" ht="15.75" customHeight="1">
      <c r="D1645" s="25"/>
      <c r="E1645" s="22"/>
    </row>
    <row r="1646" ht="15.75" customHeight="1">
      <c r="D1646" s="25"/>
      <c r="E1646" s="22"/>
    </row>
    <row r="1647" ht="15.75" customHeight="1">
      <c r="D1647" s="25"/>
      <c r="E1647" s="22"/>
    </row>
    <row r="1648" ht="15.75" customHeight="1">
      <c r="D1648" s="25"/>
      <c r="E1648" s="22"/>
    </row>
    <row r="1649" ht="15.75" customHeight="1">
      <c r="D1649" s="25"/>
      <c r="E1649" s="22"/>
    </row>
    <row r="1650" ht="15.75" customHeight="1">
      <c r="D1650" s="25"/>
      <c r="E1650" s="22"/>
    </row>
    <row r="1651" ht="15.75" customHeight="1">
      <c r="D1651" s="25"/>
      <c r="E1651" s="22"/>
    </row>
    <row r="1652" ht="15.75" customHeight="1">
      <c r="D1652" s="25"/>
      <c r="E1652" s="22"/>
    </row>
    <row r="1653" ht="15.75" customHeight="1">
      <c r="D1653" s="25"/>
      <c r="E1653" s="22"/>
    </row>
    <row r="1654" ht="15.75" customHeight="1">
      <c r="D1654" s="25"/>
      <c r="E1654" s="22"/>
    </row>
    <row r="1655" ht="15.75" customHeight="1">
      <c r="D1655" s="25"/>
      <c r="E1655" s="22"/>
    </row>
    <row r="1656" ht="15.75" customHeight="1">
      <c r="D1656" s="25"/>
      <c r="E1656" s="22"/>
    </row>
    <row r="1657" ht="15.75" customHeight="1">
      <c r="D1657" s="25"/>
      <c r="E1657" s="22"/>
    </row>
    <row r="1658" ht="15.75" customHeight="1">
      <c r="D1658" s="25"/>
      <c r="E1658" s="22"/>
    </row>
    <row r="1659" ht="15.75" customHeight="1">
      <c r="D1659" s="25"/>
      <c r="E1659" s="22"/>
    </row>
    <row r="1660" ht="15.75" customHeight="1">
      <c r="D1660" s="25"/>
      <c r="E1660" s="22"/>
    </row>
    <row r="1661" ht="15.75" customHeight="1">
      <c r="D1661" s="25"/>
      <c r="E1661" s="22"/>
    </row>
    <row r="1662" ht="15.75" customHeight="1">
      <c r="D1662" s="25"/>
      <c r="E1662" s="22"/>
    </row>
    <row r="1663" ht="15.75" customHeight="1">
      <c r="D1663" s="25"/>
      <c r="E1663" s="22"/>
    </row>
    <row r="1664" ht="15.75" customHeight="1">
      <c r="D1664" s="25"/>
      <c r="E1664" s="22"/>
    </row>
    <row r="1665" ht="15.75" customHeight="1">
      <c r="D1665" s="25"/>
      <c r="E1665" s="22"/>
    </row>
    <row r="1666" ht="15.75" customHeight="1">
      <c r="D1666" s="25"/>
      <c r="E1666" s="22"/>
    </row>
    <row r="1667" ht="15.75" customHeight="1">
      <c r="D1667" s="25"/>
      <c r="E1667" s="22"/>
    </row>
    <row r="1668" ht="15.75" customHeight="1">
      <c r="D1668" s="25"/>
      <c r="E1668" s="22"/>
    </row>
    <row r="1669" ht="15.75" customHeight="1">
      <c r="D1669" s="25"/>
      <c r="E1669" s="22"/>
    </row>
    <row r="1670" ht="15.75" customHeight="1">
      <c r="D1670" s="25"/>
      <c r="E1670" s="22"/>
    </row>
    <row r="1671" ht="15.75" customHeight="1">
      <c r="D1671" s="25"/>
      <c r="E1671" s="22"/>
    </row>
    <row r="1672" ht="15.75" customHeight="1">
      <c r="D1672" s="25"/>
      <c r="E1672" s="22"/>
    </row>
    <row r="1673" ht="15.75" customHeight="1">
      <c r="D1673" s="25"/>
      <c r="E1673" s="22"/>
    </row>
    <row r="1674" ht="15.75" customHeight="1">
      <c r="D1674" s="25"/>
      <c r="E1674" s="22"/>
    </row>
    <row r="1675" ht="15.75" customHeight="1">
      <c r="D1675" s="25"/>
      <c r="E1675" s="22"/>
    </row>
    <row r="1676" ht="15.75" customHeight="1">
      <c r="D1676" s="25"/>
      <c r="E1676" s="22"/>
    </row>
    <row r="1677" ht="15.75" customHeight="1">
      <c r="D1677" s="25"/>
      <c r="E1677" s="22"/>
    </row>
    <row r="1678" ht="15.75" customHeight="1">
      <c r="D1678" s="25"/>
      <c r="E1678" s="22"/>
    </row>
    <row r="1679" ht="15.75" customHeight="1">
      <c r="D1679" s="25"/>
      <c r="E1679" s="22"/>
    </row>
    <row r="1680" ht="15.75" customHeight="1">
      <c r="D1680" s="25"/>
      <c r="E1680" s="22"/>
    </row>
    <row r="1681" ht="15.75" customHeight="1">
      <c r="D1681" s="25"/>
      <c r="E1681" s="22"/>
    </row>
    <row r="1682" ht="15.75" customHeight="1">
      <c r="D1682" s="25"/>
      <c r="E1682" s="22"/>
    </row>
    <row r="1683" ht="15.75" customHeight="1">
      <c r="D1683" s="25"/>
      <c r="E1683" s="22"/>
    </row>
    <row r="1684" ht="15.75" customHeight="1">
      <c r="D1684" s="25"/>
      <c r="E1684" s="22"/>
    </row>
    <row r="1685" ht="15.75" customHeight="1">
      <c r="D1685" s="25"/>
      <c r="E1685" s="22"/>
    </row>
    <row r="1686" ht="15.75" customHeight="1">
      <c r="D1686" s="25"/>
      <c r="E1686" s="22"/>
    </row>
    <row r="1687" ht="15.75" customHeight="1">
      <c r="D1687" s="25"/>
      <c r="E1687" s="22"/>
    </row>
    <row r="1688" ht="15.75" customHeight="1">
      <c r="D1688" s="25"/>
      <c r="E1688" s="22"/>
    </row>
    <row r="1689" ht="15.75" customHeight="1">
      <c r="D1689" s="25"/>
      <c r="E1689" s="22"/>
    </row>
    <row r="1690" ht="15.75" customHeight="1">
      <c r="D1690" s="25"/>
      <c r="E1690" s="22"/>
    </row>
    <row r="1691" ht="15.75" customHeight="1">
      <c r="D1691" s="25"/>
      <c r="E1691" s="22"/>
    </row>
    <row r="1692" ht="15.75" customHeight="1">
      <c r="D1692" s="25"/>
      <c r="E1692" s="22"/>
    </row>
    <row r="1693" ht="15.75" customHeight="1">
      <c r="D1693" s="25"/>
      <c r="E1693" s="22"/>
    </row>
    <row r="1694" ht="15.75" customHeight="1">
      <c r="D1694" s="25"/>
      <c r="E1694" s="22"/>
    </row>
    <row r="1695" ht="15.75" customHeight="1">
      <c r="D1695" s="25"/>
      <c r="E1695" s="22"/>
    </row>
    <row r="1696" ht="15.75" customHeight="1">
      <c r="D1696" s="25"/>
      <c r="E1696" s="22"/>
    </row>
    <row r="1697" ht="15.75" customHeight="1">
      <c r="D1697" s="25"/>
      <c r="E1697" s="22"/>
    </row>
    <row r="1698" ht="15.75" customHeight="1">
      <c r="D1698" s="25"/>
      <c r="E1698" s="22"/>
    </row>
    <row r="1699" ht="15.75" customHeight="1">
      <c r="D1699" s="25"/>
      <c r="E1699" s="22"/>
    </row>
    <row r="1700" ht="15.75" customHeight="1">
      <c r="D1700" s="25"/>
      <c r="E1700" s="22"/>
    </row>
    <row r="1701" ht="15.75" customHeight="1">
      <c r="D1701" s="25"/>
      <c r="E1701" s="22"/>
    </row>
    <row r="1702" ht="15.75" customHeight="1">
      <c r="D1702" s="25"/>
      <c r="E1702" s="22"/>
    </row>
    <row r="1703" ht="15.75" customHeight="1">
      <c r="D1703" s="25"/>
      <c r="E1703" s="22"/>
    </row>
    <row r="1704" ht="15.75" customHeight="1">
      <c r="D1704" s="25"/>
      <c r="E1704" s="22"/>
    </row>
    <row r="1705" ht="15.75" customHeight="1">
      <c r="D1705" s="25"/>
      <c r="E1705" s="22"/>
    </row>
    <row r="1706" ht="15.75" customHeight="1">
      <c r="D1706" s="25"/>
      <c r="E1706" s="22"/>
    </row>
    <row r="1707" ht="15.75" customHeight="1">
      <c r="D1707" s="25"/>
      <c r="E1707" s="22"/>
    </row>
    <row r="1708" ht="15.75" customHeight="1">
      <c r="D1708" s="25"/>
      <c r="E1708" s="22"/>
    </row>
    <row r="1709" ht="15.75" customHeight="1">
      <c r="D1709" s="25"/>
      <c r="E1709" s="22"/>
    </row>
    <row r="1710" ht="15.75" customHeight="1">
      <c r="D1710" s="25"/>
      <c r="E1710" s="22"/>
    </row>
    <row r="1711" ht="15.75" customHeight="1">
      <c r="D1711" s="25"/>
      <c r="E1711" s="22"/>
    </row>
    <row r="1712" ht="15.75" customHeight="1">
      <c r="D1712" s="25"/>
      <c r="E1712" s="22"/>
    </row>
    <row r="1713" ht="15.75" customHeight="1">
      <c r="D1713" s="25"/>
      <c r="E1713" s="22"/>
    </row>
    <row r="1714" ht="15.75" customHeight="1">
      <c r="D1714" s="25"/>
      <c r="E1714" s="22"/>
    </row>
    <row r="1715" ht="15.75" customHeight="1">
      <c r="D1715" s="25"/>
      <c r="E1715" s="22"/>
    </row>
    <row r="1716" ht="15.75" customHeight="1">
      <c r="D1716" s="25"/>
      <c r="E1716" s="22"/>
    </row>
    <row r="1717" ht="15.75" customHeight="1">
      <c r="D1717" s="25"/>
      <c r="E1717" s="22"/>
    </row>
    <row r="1718" ht="15.75" customHeight="1">
      <c r="D1718" s="25"/>
      <c r="E1718" s="22"/>
    </row>
    <row r="1719" ht="15.75" customHeight="1">
      <c r="D1719" s="25"/>
      <c r="E1719" s="22"/>
    </row>
    <row r="1720" ht="15.75" customHeight="1">
      <c r="D1720" s="25"/>
      <c r="E1720" s="22"/>
    </row>
    <row r="1721" ht="15.75" customHeight="1">
      <c r="D1721" s="25"/>
      <c r="E1721" s="22"/>
    </row>
    <row r="1722" ht="15.75" customHeight="1">
      <c r="D1722" s="25"/>
      <c r="E1722" s="22"/>
    </row>
    <row r="1723" ht="15.75" customHeight="1">
      <c r="D1723" s="25"/>
      <c r="E1723" s="22"/>
    </row>
    <row r="1724" ht="15.75" customHeight="1">
      <c r="D1724" s="25"/>
      <c r="E1724" s="22"/>
    </row>
    <row r="1725" ht="15.75" customHeight="1">
      <c r="D1725" s="25"/>
      <c r="E1725" s="22"/>
    </row>
    <row r="1726" ht="15.75" customHeight="1">
      <c r="D1726" s="25"/>
      <c r="E1726" s="22"/>
    </row>
    <row r="1727" ht="15.75" customHeight="1">
      <c r="D1727" s="25"/>
      <c r="E1727" s="22"/>
    </row>
    <row r="1728" ht="15.75" customHeight="1">
      <c r="D1728" s="25"/>
      <c r="E1728" s="22"/>
    </row>
    <row r="1729" ht="15.75" customHeight="1">
      <c r="D1729" s="25"/>
      <c r="E1729" s="22"/>
    </row>
    <row r="1730" ht="15.75" customHeight="1">
      <c r="D1730" s="25"/>
      <c r="E1730" s="22"/>
    </row>
    <row r="1731" ht="15.75" customHeight="1">
      <c r="D1731" s="25"/>
      <c r="E1731" s="22"/>
    </row>
    <row r="1732" ht="15.75" customHeight="1">
      <c r="D1732" s="25"/>
      <c r="E1732" s="22"/>
    </row>
    <row r="1733" ht="15.75" customHeight="1">
      <c r="D1733" s="25"/>
      <c r="E1733" s="22"/>
    </row>
    <row r="1734" ht="15.75" customHeight="1">
      <c r="D1734" s="25"/>
      <c r="E1734" s="22"/>
    </row>
    <row r="1735" ht="15.75" customHeight="1">
      <c r="D1735" s="25"/>
      <c r="E1735" s="22"/>
    </row>
    <row r="1736" ht="15.75" customHeight="1">
      <c r="D1736" s="25"/>
      <c r="E1736" s="22"/>
    </row>
    <row r="1737" ht="15.75" customHeight="1">
      <c r="D1737" s="25"/>
      <c r="E1737" s="22"/>
    </row>
    <row r="1738" ht="15.75" customHeight="1">
      <c r="D1738" s="25"/>
      <c r="E1738" s="22"/>
    </row>
    <row r="1739" ht="15.75" customHeight="1">
      <c r="D1739" s="25"/>
      <c r="E1739" s="22"/>
    </row>
    <row r="1740" ht="15.75" customHeight="1">
      <c r="D1740" s="25"/>
      <c r="E1740" s="22"/>
    </row>
    <row r="1741" ht="15.75" customHeight="1">
      <c r="D1741" s="25"/>
      <c r="E1741" s="22"/>
    </row>
    <row r="1742" ht="15.75" customHeight="1">
      <c r="D1742" s="25"/>
      <c r="E1742" s="22"/>
    </row>
    <row r="1743" ht="15.75" customHeight="1">
      <c r="D1743" s="25"/>
      <c r="E1743" s="22"/>
    </row>
    <row r="1744" ht="15.75" customHeight="1">
      <c r="D1744" s="25"/>
      <c r="E1744" s="22"/>
    </row>
    <row r="1745" ht="15.75" customHeight="1">
      <c r="D1745" s="25"/>
      <c r="E1745" s="22"/>
    </row>
    <row r="1746" ht="15.75" customHeight="1">
      <c r="D1746" s="25"/>
      <c r="E1746" s="22"/>
    </row>
    <row r="1747" ht="15.75" customHeight="1">
      <c r="D1747" s="25"/>
      <c r="E1747" s="22"/>
    </row>
    <row r="1748" ht="15.75" customHeight="1">
      <c r="D1748" s="25"/>
      <c r="E1748" s="22"/>
    </row>
    <row r="1749" ht="15.75" customHeight="1">
      <c r="D1749" s="25"/>
      <c r="E1749" s="22"/>
    </row>
    <row r="1750" ht="15.75" customHeight="1">
      <c r="D1750" s="25"/>
      <c r="E1750" s="22"/>
    </row>
    <row r="1751" ht="15.75" customHeight="1">
      <c r="D1751" s="25"/>
      <c r="E1751" s="22"/>
    </row>
    <row r="1752" ht="15.75" customHeight="1">
      <c r="D1752" s="25"/>
      <c r="E1752" s="22"/>
    </row>
    <row r="1753" ht="15.75" customHeight="1">
      <c r="D1753" s="25"/>
      <c r="E1753" s="22"/>
    </row>
    <row r="1754" ht="15.75" customHeight="1">
      <c r="D1754" s="25"/>
      <c r="E1754" s="22"/>
    </row>
    <row r="1755" ht="15.75" customHeight="1">
      <c r="D1755" s="25"/>
      <c r="E1755" s="22"/>
    </row>
    <row r="1756" ht="15.75" customHeight="1">
      <c r="D1756" s="25"/>
      <c r="E1756" s="22"/>
    </row>
    <row r="1757" ht="15.75" customHeight="1">
      <c r="D1757" s="25"/>
      <c r="E1757" s="22"/>
    </row>
    <row r="1758" ht="15.75" customHeight="1">
      <c r="D1758" s="25"/>
      <c r="E1758" s="22"/>
    </row>
    <row r="1759" ht="15.75" customHeight="1">
      <c r="D1759" s="25"/>
      <c r="E1759" s="22"/>
    </row>
    <row r="1760" ht="15.75" customHeight="1">
      <c r="D1760" s="25"/>
      <c r="E1760" s="22"/>
    </row>
    <row r="1761" ht="15.75" customHeight="1">
      <c r="D1761" s="25"/>
      <c r="E1761" s="22"/>
    </row>
    <row r="1762" ht="15.75" customHeight="1">
      <c r="D1762" s="25"/>
      <c r="E1762" s="22"/>
    </row>
    <row r="1763" ht="15.75" customHeight="1">
      <c r="D1763" s="25"/>
      <c r="E1763" s="22"/>
    </row>
    <row r="1764" ht="15.75" customHeight="1">
      <c r="D1764" s="25"/>
      <c r="E1764" s="22"/>
    </row>
    <row r="1765" ht="15.75" customHeight="1">
      <c r="D1765" s="25"/>
      <c r="E1765" s="22"/>
    </row>
    <row r="1766" ht="15.75" customHeight="1">
      <c r="D1766" s="25"/>
      <c r="E1766" s="22"/>
    </row>
    <row r="1767" ht="15.75" customHeight="1">
      <c r="D1767" s="25"/>
      <c r="E1767" s="22"/>
    </row>
    <row r="1768" ht="15.75" customHeight="1">
      <c r="D1768" s="25"/>
      <c r="E1768" s="22"/>
    </row>
    <row r="1769" ht="15.75" customHeight="1">
      <c r="D1769" s="25"/>
      <c r="E1769" s="22"/>
    </row>
    <row r="1770" ht="15.75" customHeight="1">
      <c r="D1770" s="25"/>
      <c r="E1770" s="22"/>
    </row>
    <row r="1771" ht="15.75" customHeight="1">
      <c r="D1771" s="25"/>
      <c r="E1771" s="22"/>
    </row>
    <row r="1772" ht="15.75" customHeight="1">
      <c r="D1772" s="25"/>
      <c r="E1772" s="22"/>
    </row>
    <row r="1773" ht="15.75" customHeight="1">
      <c r="D1773" s="25"/>
      <c r="E1773" s="22"/>
    </row>
    <row r="1774" ht="15.75" customHeight="1">
      <c r="D1774" s="25"/>
      <c r="E1774" s="22"/>
    </row>
    <row r="1775" ht="15.75" customHeight="1">
      <c r="D1775" s="25"/>
      <c r="E1775" s="22"/>
    </row>
    <row r="1776" ht="15.75" customHeight="1">
      <c r="D1776" s="25"/>
      <c r="E1776" s="22"/>
    </row>
    <row r="1777" ht="15.75" customHeight="1">
      <c r="D1777" s="25"/>
      <c r="E1777" s="22"/>
    </row>
    <row r="1778" ht="15.75" customHeight="1">
      <c r="D1778" s="25"/>
      <c r="E1778" s="22"/>
    </row>
    <row r="1779" ht="15.75" customHeight="1">
      <c r="D1779" s="25"/>
      <c r="E1779" s="22"/>
    </row>
    <row r="1780" ht="15.75" customHeight="1">
      <c r="D1780" s="25"/>
      <c r="E1780" s="22"/>
    </row>
    <row r="1781" ht="15.75" customHeight="1">
      <c r="D1781" s="25"/>
      <c r="E1781" s="22"/>
    </row>
    <row r="1782" ht="15.75" customHeight="1">
      <c r="D1782" s="25"/>
      <c r="E1782" s="22"/>
    </row>
    <row r="1783" ht="15.75" customHeight="1">
      <c r="D1783" s="25"/>
      <c r="E1783" s="22"/>
    </row>
    <row r="1784" ht="15.75" customHeight="1">
      <c r="D1784" s="25"/>
      <c r="E1784" s="22"/>
    </row>
    <row r="1785" ht="15.75" customHeight="1">
      <c r="D1785" s="25"/>
      <c r="E1785" s="22"/>
    </row>
    <row r="1786" ht="15.75" customHeight="1">
      <c r="D1786" s="25"/>
      <c r="E1786" s="22"/>
    </row>
    <row r="1787" ht="15.75" customHeight="1">
      <c r="D1787" s="25"/>
      <c r="E1787" s="22"/>
    </row>
    <row r="1788" ht="15.75" customHeight="1">
      <c r="D1788" s="25"/>
      <c r="E1788" s="22"/>
    </row>
    <row r="1789" ht="15.75" customHeight="1">
      <c r="D1789" s="25"/>
      <c r="E1789" s="22"/>
    </row>
    <row r="1790" ht="15.75" customHeight="1">
      <c r="D1790" s="25"/>
      <c r="E1790" s="22"/>
    </row>
    <row r="1791" ht="15.75" customHeight="1">
      <c r="D1791" s="25"/>
      <c r="E1791" s="22"/>
    </row>
    <row r="1792" ht="15.75" customHeight="1">
      <c r="D1792" s="25"/>
      <c r="E1792" s="22"/>
    </row>
    <row r="1793" ht="15.75" customHeight="1">
      <c r="D1793" s="25"/>
      <c r="E1793" s="22"/>
    </row>
    <row r="1794" ht="15.75" customHeight="1">
      <c r="D1794" s="25"/>
      <c r="E1794" s="22"/>
    </row>
    <row r="1795" ht="15.75" customHeight="1">
      <c r="D1795" s="25"/>
      <c r="E1795" s="22"/>
    </row>
    <row r="1796" ht="15.75" customHeight="1">
      <c r="D1796" s="25"/>
      <c r="E1796" s="22"/>
    </row>
    <row r="1797" ht="15.75" customHeight="1">
      <c r="D1797" s="25"/>
      <c r="E1797" s="22"/>
    </row>
    <row r="1798" ht="15.75" customHeight="1">
      <c r="D1798" s="25"/>
      <c r="E1798" s="22"/>
    </row>
    <row r="1799" ht="15.75" customHeight="1">
      <c r="D1799" s="25"/>
      <c r="E1799" s="22"/>
    </row>
    <row r="1800" ht="15.75" customHeight="1">
      <c r="D1800" s="25"/>
      <c r="E1800" s="22"/>
    </row>
    <row r="1801" ht="15.75" customHeight="1">
      <c r="D1801" s="25"/>
      <c r="E1801" s="22"/>
    </row>
    <row r="1802" ht="15.75" customHeight="1">
      <c r="D1802" s="25"/>
      <c r="E1802" s="22"/>
    </row>
    <row r="1803" ht="15.75" customHeight="1">
      <c r="D1803" s="25"/>
      <c r="E1803" s="22"/>
    </row>
    <row r="1804" ht="15.75" customHeight="1">
      <c r="D1804" s="25"/>
      <c r="E1804" s="22"/>
    </row>
    <row r="1805" ht="15.75" customHeight="1">
      <c r="D1805" s="25"/>
      <c r="E1805" s="22"/>
    </row>
    <row r="1806" ht="15.75" customHeight="1">
      <c r="D1806" s="25"/>
      <c r="E1806" s="22"/>
    </row>
    <row r="1807" ht="15.75" customHeight="1">
      <c r="D1807" s="25"/>
      <c r="E1807" s="22"/>
    </row>
    <row r="1808" ht="15.75" customHeight="1">
      <c r="D1808" s="25"/>
      <c r="E1808" s="22"/>
    </row>
    <row r="1809" ht="15.75" customHeight="1">
      <c r="D1809" s="25"/>
      <c r="E1809" s="22"/>
    </row>
    <row r="1810" ht="15.75" customHeight="1">
      <c r="D1810" s="25"/>
      <c r="E1810" s="22"/>
    </row>
    <row r="1811" ht="15.75" customHeight="1">
      <c r="D1811" s="25"/>
      <c r="E1811" s="22"/>
    </row>
    <row r="1812" ht="15.75" customHeight="1">
      <c r="D1812" s="25"/>
      <c r="E1812" s="22"/>
    </row>
    <row r="1813" ht="15.75" customHeight="1">
      <c r="D1813" s="25"/>
      <c r="E1813" s="22"/>
    </row>
    <row r="1814" ht="15.75" customHeight="1">
      <c r="D1814" s="25"/>
      <c r="E1814" s="22"/>
    </row>
    <row r="1815" ht="15.75" customHeight="1">
      <c r="D1815" s="25"/>
      <c r="E1815" s="22"/>
    </row>
    <row r="1816" ht="15.75" customHeight="1">
      <c r="D1816" s="25"/>
      <c r="E1816" s="22"/>
    </row>
    <row r="1817" ht="15.75" customHeight="1">
      <c r="D1817" s="25"/>
      <c r="E1817" s="22"/>
    </row>
    <row r="1818" ht="15.75" customHeight="1">
      <c r="D1818" s="25"/>
      <c r="E1818" s="22"/>
    </row>
    <row r="1819" ht="15.75" customHeight="1">
      <c r="D1819" s="25"/>
      <c r="E1819" s="22"/>
    </row>
    <row r="1820" ht="15.75" customHeight="1">
      <c r="D1820" s="25"/>
      <c r="E1820" s="22"/>
    </row>
    <row r="1821" ht="15.75" customHeight="1">
      <c r="D1821" s="25"/>
      <c r="E1821" s="22"/>
    </row>
    <row r="1822" ht="15.75" customHeight="1">
      <c r="D1822" s="25"/>
      <c r="E1822" s="22"/>
    </row>
    <row r="1823" ht="15.75" customHeight="1">
      <c r="D1823" s="25"/>
      <c r="E1823" s="22"/>
    </row>
    <row r="1824" ht="15.75" customHeight="1">
      <c r="D1824" s="25"/>
      <c r="E1824" s="22"/>
    </row>
    <row r="1825" ht="15.75" customHeight="1">
      <c r="D1825" s="25"/>
      <c r="E1825" s="22"/>
    </row>
    <row r="1826" ht="15.75" customHeight="1">
      <c r="D1826" s="25"/>
      <c r="E1826" s="22"/>
    </row>
    <row r="1827" ht="15.75" customHeight="1">
      <c r="D1827" s="25"/>
      <c r="E1827" s="22"/>
    </row>
    <row r="1828" ht="15.75" customHeight="1">
      <c r="D1828" s="25"/>
      <c r="E1828" s="22"/>
    </row>
    <row r="1829" ht="15.75" customHeight="1">
      <c r="D1829" s="25"/>
      <c r="E1829" s="22"/>
    </row>
    <row r="1830" ht="15.75" customHeight="1">
      <c r="D1830" s="25"/>
      <c r="E1830" s="22"/>
    </row>
    <row r="1831" ht="15.75" customHeight="1">
      <c r="D1831" s="25"/>
      <c r="E1831" s="22"/>
    </row>
    <row r="1832" ht="15.75" customHeight="1">
      <c r="D1832" s="25"/>
      <c r="E1832" s="22"/>
    </row>
    <row r="1833" ht="15.75" customHeight="1">
      <c r="D1833" s="25"/>
      <c r="E1833" s="22"/>
    </row>
    <row r="1834" ht="15.75" customHeight="1">
      <c r="D1834" s="25"/>
      <c r="E1834" s="22"/>
    </row>
    <row r="1835" ht="15.75" customHeight="1">
      <c r="D1835" s="25"/>
      <c r="E1835" s="22"/>
    </row>
    <row r="1836" ht="15.75" customHeight="1">
      <c r="D1836" s="25"/>
      <c r="E1836" s="22"/>
    </row>
    <row r="1837" ht="15.75" customHeight="1">
      <c r="D1837" s="25"/>
      <c r="E1837" s="22"/>
    </row>
    <row r="1838" ht="15.75" customHeight="1">
      <c r="D1838" s="25"/>
      <c r="E1838" s="22"/>
    </row>
    <row r="1839" ht="15.75" customHeight="1">
      <c r="D1839" s="25"/>
      <c r="E1839" s="22"/>
    </row>
    <row r="1840" ht="15.75" customHeight="1">
      <c r="D1840" s="25"/>
      <c r="E1840" s="22"/>
    </row>
    <row r="1841" ht="15.75" customHeight="1">
      <c r="D1841" s="25"/>
      <c r="E1841" s="22"/>
    </row>
    <row r="1842" ht="15.75" customHeight="1">
      <c r="D1842" s="25"/>
      <c r="E1842" s="22"/>
    </row>
    <row r="1843" ht="15.75" customHeight="1">
      <c r="D1843" s="25"/>
      <c r="E1843" s="22"/>
    </row>
    <row r="1844" ht="15.75" customHeight="1">
      <c r="D1844" s="25"/>
      <c r="E1844" s="22"/>
    </row>
    <row r="1845" ht="15.75" customHeight="1">
      <c r="D1845" s="25"/>
      <c r="E1845" s="22"/>
    </row>
    <row r="1846" ht="15.75" customHeight="1">
      <c r="D1846" s="25"/>
      <c r="E1846" s="22"/>
    </row>
    <row r="1847" ht="15.75" customHeight="1">
      <c r="D1847" s="25"/>
      <c r="E1847" s="22"/>
    </row>
    <row r="1848" ht="15.75" customHeight="1">
      <c r="D1848" s="25"/>
      <c r="E1848" s="22"/>
    </row>
    <row r="1849" ht="15.75" customHeight="1">
      <c r="D1849" s="25"/>
      <c r="E1849" s="22"/>
    </row>
    <row r="1850" ht="15.75" customHeight="1">
      <c r="D1850" s="25"/>
      <c r="E1850" s="22"/>
    </row>
    <row r="1851" ht="15.75" customHeight="1">
      <c r="D1851" s="25"/>
      <c r="E1851" s="22"/>
    </row>
  </sheetData>
  <mergeCells count="1">
    <mergeCell ref="S2:T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27.75"/>
    <col customWidth="1" min="12" max="12" width="15.88"/>
  </cols>
  <sheetData>
    <row r="1" ht="15.75" customHeight="1">
      <c r="A1" s="22" t="s">
        <v>93</v>
      </c>
      <c r="B1" s="6" t="s">
        <v>14</v>
      </c>
      <c r="C1" s="14" t="s">
        <v>23</v>
      </c>
      <c r="D1" s="14" t="s">
        <v>32</v>
      </c>
      <c r="E1" s="14" t="s">
        <v>40</v>
      </c>
      <c r="F1" s="14" t="s">
        <v>47</v>
      </c>
      <c r="G1" s="14" t="s">
        <v>54</v>
      </c>
      <c r="H1" s="14" t="s">
        <v>61</v>
      </c>
      <c r="I1" s="22" t="s">
        <v>85</v>
      </c>
      <c r="J1" s="22" t="s">
        <v>176</v>
      </c>
      <c r="L1" s="22" t="s">
        <v>177</v>
      </c>
    </row>
    <row r="2" ht="15.75" customHeight="1">
      <c r="A2" s="31">
        <v>45184.73611111111</v>
      </c>
      <c r="C2" s="22">
        <f t="shared" ref="C2:I2" si="1">B2+2</f>
        <v>2</v>
      </c>
      <c r="D2" s="22">
        <f t="shared" si="1"/>
        <v>4</v>
      </c>
      <c r="E2" s="22">
        <f t="shared" si="1"/>
        <v>6</v>
      </c>
      <c r="F2" s="22">
        <f t="shared" si="1"/>
        <v>8</v>
      </c>
      <c r="G2" s="22">
        <f t="shared" si="1"/>
        <v>10</v>
      </c>
      <c r="H2" s="22">
        <f t="shared" si="1"/>
        <v>12</v>
      </c>
      <c r="I2" s="22">
        <f t="shared" si="1"/>
        <v>14</v>
      </c>
      <c r="K2" s="22">
        <v>100.0</v>
      </c>
      <c r="M2" s="22">
        <v>100.0</v>
      </c>
    </row>
    <row r="3" ht="15.75" customHeight="1">
      <c r="A3" s="31">
        <v>45191.73611111111</v>
      </c>
      <c r="B3" s="22" t="str">
        <f>Historique!B6/Historique!B5-1</f>
        <v>#DIV/0!</v>
      </c>
      <c r="C3" s="22" t="str">
        <f>OFFSET(Historique!$B5, 1, C$2)/OFFSET(Historique!$B5, 0, C$2)-1</f>
        <v>#DIV/0!</v>
      </c>
      <c r="D3" s="22" t="str">
        <f>OFFSET(Historique!$B5, 1, D$2)/OFFSET(Historique!$B5, 0, D$2)-1</f>
        <v>#DIV/0!</v>
      </c>
      <c r="E3" s="22" t="str">
        <f>OFFSET(Historique!$B5, 1, E$2)/OFFSET(Historique!$B5, 0, E$2)-1</f>
        <v>#DIV/0!</v>
      </c>
      <c r="F3" s="22" t="str">
        <f>OFFSET(Historique!$B5, 1, F$2)/OFFSET(Historique!$B5, 0, F$2)-1</f>
        <v>#DIV/0!</v>
      </c>
      <c r="G3" s="22" t="str">
        <f>OFFSET(Historique!$B5, 1, G$2)/OFFSET(Historique!$B5, 0, G$2)-1</f>
        <v>#DIV/0!</v>
      </c>
      <c r="H3" s="22" t="str">
        <f>OFFSET(Historique!$B5, 1, H$2)/OFFSET(Historique!$B5, 0, H$2)-1</f>
        <v>#DIV/0!</v>
      </c>
      <c r="I3" s="22" t="str">
        <f>OFFSET(Historique!$B5, 1, I$2)/OFFSET(Historique!$B5, 0, I$2)-1</f>
        <v>#DIV/0!</v>
      </c>
      <c r="J3" s="22" t="str">
        <f t="array" ref="J3">SUMPRODUCT(B3:I3, TRANSPOSE(Portfolio!$R$2:$R$9))/100</f>
        <v>#DIV/0!</v>
      </c>
      <c r="K3" s="22" t="str">
        <f t="shared" ref="K3:K56" si="2">(1+J3)*K2</f>
        <v>#DIV/0!</v>
      </c>
      <c r="L3" s="22" t="str">
        <f t="array" ref="L3">SUMPRODUCT(B3:H3, TRANSPOSE(Portfolio!$R$2:$R$8))/100*3/2</f>
        <v>#DIV/0!</v>
      </c>
      <c r="M3" s="22" t="str">
        <f t="shared" ref="M3:M56" si="3">(1+L3)*M2</f>
        <v>#DIV/0!</v>
      </c>
    </row>
    <row r="4" ht="15.75" customHeight="1">
      <c r="A4" s="31">
        <v>45198.73611111111</v>
      </c>
      <c r="B4" s="22" t="str">
        <f>Historique!B7/Historique!B6-1</f>
        <v>#DIV/0!</v>
      </c>
      <c r="C4" s="22" t="str">
        <f>OFFSET(Historique!$B6, 1, C$2)/OFFSET(Historique!$B6, 0, C$2)-1</f>
        <v>#DIV/0!</v>
      </c>
      <c r="D4" s="22" t="str">
        <f>OFFSET(Historique!$B6, 1, D$2)/OFFSET(Historique!$B6, 0, D$2)-1</f>
        <v>#DIV/0!</v>
      </c>
      <c r="E4" s="22" t="str">
        <f>OFFSET(Historique!$B6, 1, E$2)/OFFSET(Historique!$B6, 0, E$2)-1</f>
        <v>#DIV/0!</v>
      </c>
      <c r="F4" s="22" t="str">
        <f>OFFSET(Historique!$B6, 1, F$2)/OFFSET(Historique!$B6, 0, F$2)-1</f>
        <v>#DIV/0!</v>
      </c>
      <c r="G4" s="22" t="str">
        <f>OFFSET(Historique!$B6, 1, G$2)/OFFSET(Historique!$B6, 0, G$2)-1</f>
        <v>#DIV/0!</v>
      </c>
      <c r="H4" s="22" t="str">
        <f>OFFSET(Historique!$B6, 1, H$2)/OFFSET(Historique!$B6, 0, H$2)-1</f>
        <v>#DIV/0!</v>
      </c>
      <c r="I4" s="22" t="str">
        <f>OFFSET(Historique!$B6, 1, I$2)/OFFSET(Historique!$B6, 0, I$2)-1</f>
        <v>#DIV/0!</v>
      </c>
      <c r="J4" s="22" t="str">
        <f t="array" ref="J4">SUMPRODUCT(B4:I4, TRANSPOSE(Portfolio!$R$2:$R$9))/100</f>
        <v>#DIV/0!</v>
      </c>
      <c r="K4" s="22" t="str">
        <f t="shared" si="2"/>
        <v>#DIV/0!</v>
      </c>
      <c r="L4" s="22" t="str">
        <f t="array" ref="L4">SUMPRODUCT(B4:H4, TRANSPOSE(Portfolio!$R$2:$R$8))/100*3/2</f>
        <v>#DIV/0!</v>
      </c>
      <c r="M4" s="22" t="str">
        <f t="shared" si="3"/>
        <v>#DIV/0!</v>
      </c>
    </row>
    <row r="5" ht="15.75" customHeight="1">
      <c r="A5" s="31">
        <v>45205.73611111111</v>
      </c>
      <c r="B5" s="22" t="str">
        <f>Historique!B8/Historique!B7-1</f>
        <v>#DIV/0!</v>
      </c>
      <c r="C5" s="22" t="str">
        <f>OFFSET(Historique!$B7, 1, C$2)/OFFSET(Historique!$B7, 0, C$2)-1</f>
        <v>#DIV/0!</v>
      </c>
      <c r="D5" s="22" t="str">
        <f>OFFSET(Historique!$B7, 1, D$2)/OFFSET(Historique!$B7, 0, D$2)-1</f>
        <v>#DIV/0!</v>
      </c>
      <c r="E5" s="22" t="str">
        <f>OFFSET(Historique!$B7, 1, E$2)/OFFSET(Historique!$B7, 0, E$2)-1</f>
        <v>#DIV/0!</v>
      </c>
      <c r="F5" s="22" t="str">
        <f>OFFSET(Historique!$B7, 1, F$2)/OFFSET(Historique!$B7, 0, F$2)-1</f>
        <v>#DIV/0!</v>
      </c>
      <c r="G5" s="22" t="str">
        <f>OFFSET(Historique!$B7, 1, G$2)/OFFSET(Historique!$B7, 0, G$2)-1</f>
        <v>#DIV/0!</v>
      </c>
      <c r="H5" s="22" t="str">
        <f>OFFSET(Historique!$B7, 1, H$2)/OFFSET(Historique!$B7, 0, H$2)-1</f>
        <v>#DIV/0!</v>
      </c>
      <c r="I5" s="22" t="str">
        <f>OFFSET(Historique!$B7, 1, I$2)/OFFSET(Historique!$B7, 0, I$2)-1</f>
        <v>#DIV/0!</v>
      </c>
      <c r="J5" s="22" t="str">
        <f t="array" ref="J5">SUMPRODUCT(B5:I5, TRANSPOSE(Portfolio!$R$2:$R$9))/100</f>
        <v>#DIV/0!</v>
      </c>
      <c r="K5" s="22" t="str">
        <f t="shared" si="2"/>
        <v>#DIV/0!</v>
      </c>
      <c r="L5" s="22" t="str">
        <f t="array" ref="L5">SUMPRODUCT(B5:H5, TRANSPOSE(Portfolio!$R$2:$R$8))/100*3/2</f>
        <v>#DIV/0!</v>
      </c>
      <c r="M5" s="22" t="str">
        <f t="shared" si="3"/>
        <v>#DIV/0!</v>
      </c>
    </row>
    <row r="6" ht="15.75" customHeight="1">
      <c r="A6" s="31">
        <v>45212.73611111111</v>
      </c>
      <c r="B6" s="22" t="str">
        <f>Historique!B9/Historique!B8-1</f>
        <v>#DIV/0!</v>
      </c>
      <c r="C6" s="22" t="str">
        <f>OFFSET(Historique!$B8, 1, C$2)/OFFSET(Historique!$B8, 0, C$2)-1</f>
        <v>#DIV/0!</v>
      </c>
      <c r="D6" s="22" t="str">
        <f>OFFSET(Historique!$B8, 1, D$2)/OFFSET(Historique!$B8, 0, D$2)-1</f>
        <v>#DIV/0!</v>
      </c>
      <c r="E6" s="22" t="str">
        <f>OFFSET(Historique!$B8, 1, E$2)/OFFSET(Historique!$B8, 0, E$2)-1</f>
        <v>#DIV/0!</v>
      </c>
      <c r="F6" s="22" t="str">
        <f>OFFSET(Historique!$B8, 1, F$2)/OFFSET(Historique!$B8, 0, F$2)-1</f>
        <v>#DIV/0!</v>
      </c>
      <c r="G6" s="22" t="str">
        <f>OFFSET(Historique!$B8, 1, G$2)/OFFSET(Historique!$B8, 0, G$2)-1</f>
        <v>#DIV/0!</v>
      </c>
      <c r="H6" s="22" t="str">
        <f>OFFSET(Historique!$B8, 1, H$2)/OFFSET(Historique!$B8, 0, H$2)-1</f>
        <v>#DIV/0!</v>
      </c>
      <c r="I6" s="22" t="str">
        <f>OFFSET(Historique!$B8, 1, I$2)/OFFSET(Historique!$B8, 0, I$2)-1</f>
        <v>#DIV/0!</v>
      </c>
      <c r="J6" s="22" t="str">
        <f t="array" ref="J6">SUMPRODUCT(B6:I6, TRANSPOSE(Portfolio!$R$2:$R$9))/100</f>
        <v>#DIV/0!</v>
      </c>
      <c r="K6" s="22" t="str">
        <f t="shared" si="2"/>
        <v>#DIV/0!</v>
      </c>
      <c r="L6" s="22" t="str">
        <f t="array" ref="L6">SUMPRODUCT(B6:H6, TRANSPOSE(Portfolio!$R$2:$R$8))/100*3/2</f>
        <v>#DIV/0!</v>
      </c>
      <c r="M6" s="22" t="str">
        <f t="shared" si="3"/>
        <v>#DIV/0!</v>
      </c>
    </row>
    <row r="7" ht="15.75" customHeight="1">
      <c r="A7" s="31">
        <v>45219.73611111111</v>
      </c>
      <c r="B7" s="22" t="str">
        <f>Historique!B10/Historique!B9-1</f>
        <v>#DIV/0!</v>
      </c>
      <c r="C7" s="22" t="str">
        <f>OFFSET(Historique!$B9, 1, C$2)/OFFSET(Historique!$B9, 0, C$2)-1</f>
        <v>#DIV/0!</v>
      </c>
      <c r="D7" s="22" t="str">
        <f>OFFSET(Historique!$B9, 1, D$2)/OFFSET(Historique!$B9, 0, D$2)-1</f>
        <v>#DIV/0!</v>
      </c>
      <c r="E7" s="22" t="str">
        <f>OFFSET(Historique!$B9, 1, E$2)/OFFSET(Historique!$B9, 0, E$2)-1</f>
        <v>#DIV/0!</v>
      </c>
      <c r="F7" s="22" t="str">
        <f>OFFSET(Historique!$B9, 1, F$2)/OFFSET(Historique!$B9, 0, F$2)-1</f>
        <v>#DIV/0!</v>
      </c>
      <c r="G7" s="22" t="str">
        <f>OFFSET(Historique!$B9, 1, G$2)/OFFSET(Historique!$B9, 0, G$2)-1</f>
        <v>#DIV/0!</v>
      </c>
      <c r="H7" s="22" t="str">
        <f>OFFSET(Historique!$B9, 1, H$2)/OFFSET(Historique!$B9, 0, H$2)-1</f>
        <v>#DIV/0!</v>
      </c>
      <c r="I7" s="22" t="str">
        <f>OFFSET(Historique!$B9, 1, I$2)/OFFSET(Historique!$B9, 0, I$2)-1</f>
        <v>#DIV/0!</v>
      </c>
      <c r="J7" s="22" t="str">
        <f t="array" ref="J7">SUMPRODUCT(B7:I7, TRANSPOSE(Portfolio!$R$2:$R$9))/100</f>
        <v>#DIV/0!</v>
      </c>
      <c r="K7" s="22" t="str">
        <f t="shared" si="2"/>
        <v>#DIV/0!</v>
      </c>
      <c r="L7" s="22" t="str">
        <f t="array" ref="L7">SUMPRODUCT(B7:H7, TRANSPOSE(Portfolio!$R$2:$R$8))/100*3/2</f>
        <v>#DIV/0!</v>
      </c>
      <c r="M7" s="22" t="str">
        <f t="shared" si="3"/>
        <v>#DIV/0!</v>
      </c>
    </row>
    <row r="8" ht="15.75" customHeight="1">
      <c r="A8" s="31">
        <v>45226.73611111111</v>
      </c>
      <c r="B8" s="22" t="str">
        <f>Historique!B11/Historique!B10-1</f>
        <v>#DIV/0!</v>
      </c>
      <c r="C8" s="22" t="str">
        <f>OFFSET(Historique!$B10, 1, C$2)/OFFSET(Historique!$B10, 0, C$2)-1</f>
        <v>#DIV/0!</v>
      </c>
      <c r="D8" s="22" t="str">
        <f>OFFSET(Historique!$B10, 1, D$2)/OFFSET(Historique!$B10, 0, D$2)-1</f>
        <v>#DIV/0!</v>
      </c>
      <c r="E8" s="22" t="str">
        <f>OFFSET(Historique!$B10, 1, E$2)/OFFSET(Historique!$B10, 0, E$2)-1</f>
        <v>#DIV/0!</v>
      </c>
      <c r="F8" s="22" t="str">
        <f>OFFSET(Historique!$B10, 1, F$2)/OFFSET(Historique!$B10, 0, F$2)-1</f>
        <v>#DIV/0!</v>
      </c>
      <c r="G8" s="22" t="str">
        <f>OFFSET(Historique!$B10, 1, G$2)/OFFSET(Historique!$B10, 0, G$2)-1</f>
        <v>#DIV/0!</v>
      </c>
      <c r="H8" s="22" t="str">
        <f>OFFSET(Historique!$B10, 1, H$2)/OFFSET(Historique!$B10, 0, H$2)-1</f>
        <v>#DIV/0!</v>
      </c>
      <c r="I8" s="22" t="str">
        <f>OFFSET(Historique!$B10, 1, I$2)/OFFSET(Historique!$B10, 0, I$2)-1</f>
        <v>#DIV/0!</v>
      </c>
      <c r="J8" s="22" t="str">
        <f t="array" ref="J8">SUMPRODUCT(B8:I8, TRANSPOSE(Portfolio!$R$2:$R$9))/100</f>
        <v>#DIV/0!</v>
      </c>
      <c r="K8" s="22" t="str">
        <f t="shared" si="2"/>
        <v>#DIV/0!</v>
      </c>
      <c r="L8" s="22" t="str">
        <f t="array" ref="L8">SUMPRODUCT(B8:H8, TRANSPOSE(Portfolio!$R$2:$R$8))/100*3/2</f>
        <v>#DIV/0!</v>
      </c>
      <c r="M8" s="22" t="str">
        <f t="shared" si="3"/>
        <v>#DIV/0!</v>
      </c>
    </row>
    <row r="9" ht="15.75" customHeight="1">
      <c r="A9" s="31">
        <v>45233.73611111111</v>
      </c>
      <c r="B9" s="22" t="str">
        <f>Historique!B12/Historique!B11-1</f>
        <v>#DIV/0!</v>
      </c>
      <c r="C9" s="22" t="str">
        <f>OFFSET(Historique!$B11, 1, C$2)/OFFSET(Historique!$B11, 0, C$2)-1</f>
        <v>#DIV/0!</v>
      </c>
      <c r="D9" s="22" t="str">
        <f>OFFSET(Historique!$B11, 1, D$2)/OFFSET(Historique!$B11, 0, D$2)-1</f>
        <v>#DIV/0!</v>
      </c>
      <c r="E9" s="22" t="str">
        <f>OFFSET(Historique!$B11, 1, E$2)/OFFSET(Historique!$B11, 0, E$2)-1</f>
        <v>#DIV/0!</v>
      </c>
      <c r="F9" s="22" t="str">
        <f>OFFSET(Historique!$B11, 1, F$2)/OFFSET(Historique!$B11, 0, F$2)-1</f>
        <v>#DIV/0!</v>
      </c>
      <c r="G9" s="22" t="str">
        <f>OFFSET(Historique!$B11, 1, G$2)/OFFSET(Historique!$B11, 0, G$2)-1</f>
        <v>#DIV/0!</v>
      </c>
      <c r="H9" s="22" t="str">
        <f>OFFSET(Historique!$B11, 1, H$2)/OFFSET(Historique!$B11, 0, H$2)-1</f>
        <v>#DIV/0!</v>
      </c>
      <c r="I9" s="22" t="str">
        <f>OFFSET(Historique!$B11, 1, I$2)/OFFSET(Historique!$B11, 0, I$2)-1</f>
        <v>#DIV/0!</v>
      </c>
      <c r="J9" s="22" t="str">
        <f t="array" ref="J9">SUMPRODUCT(B9:I9, TRANSPOSE(Portfolio!$R$2:$R$9))/100</f>
        <v>#DIV/0!</v>
      </c>
      <c r="K9" s="22" t="str">
        <f t="shared" si="2"/>
        <v>#DIV/0!</v>
      </c>
      <c r="L9" s="22" t="str">
        <f t="array" ref="L9">SUMPRODUCT(B9:H9, TRANSPOSE(Portfolio!$R$2:$R$8))/100*3/2</f>
        <v>#DIV/0!</v>
      </c>
      <c r="M9" s="22" t="str">
        <f t="shared" si="3"/>
        <v>#DIV/0!</v>
      </c>
    </row>
    <row r="10" ht="15.75" customHeight="1">
      <c r="A10" s="31">
        <v>45240.73611111111</v>
      </c>
      <c r="B10" s="22" t="str">
        <f>Historique!B13/Historique!B12-1</f>
        <v>#DIV/0!</v>
      </c>
      <c r="C10" s="22" t="str">
        <f>OFFSET(Historique!$B12, 1, C$2)/OFFSET(Historique!$B12, 0, C$2)-1</f>
        <v>#DIV/0!</v>
      </c>
      <c r="D10" s="22" t="str">
        <f>OFFSET(Historique!$B12, 1, D$2)/OFFSET(Historique!$B12, 0, D$2)-1</f>
        <v>#DIV/0!</v>
      </c>
      <c r="E10" s="22" t="str">
        <f>OFFSET(Historique!$B12, 1, E$2)/OFFSET(Historique!$B12, 0, E$2)-1</f>
        <v>#DIV/0!</v>
      </c>
      <c r="F10" s="22" t="str">
        <f>OFFSET(Historique!$B12, 1, F$2)/OFFSET(Historique!$B12, 0, F$2)-1</f>
        <v>#DIV/0!</v>
      </c>
      <c r="G10" s="22" t="str">
        <f>OFFSET(Historique!$B12, 1, G$2)/OFFSET(Historique!$B12, 0, G$2)-1</f>
        <v>#DIV/0!</v>
      </c>
      <c r="H10" s="22" t="str">
        <f>OFFSET(Historique!$B12, 1, H$2)/OFFSET(Historique!$B12, 0, H$2)-1</f>
        <v>#DIV/0!</v>
      </c>
      <c r="I10" s="22" t="str">
        <f>OFFSET(Historique!$B12, 1, I$2)/OFFSET(Historique!$B12, 0, I$2)-1</f>
        <v>#DIV/0!</v>
      </c>
      <c r="J10" s="22" t="str">
        <f t="array" ref="J10">SUMPRODUCT(B10:I10, TRANSPOSE(Portfolio!$R$2:$R$9))/100</f>
        <v>#DIV/0!</v>
      </c>
      <c r="K10" s="22" t="str">
        <f t="shared" si="2"/>
        <v>#DIV/0!</v>
      </c>
      <c r="L10" s="22" t="str">
        <f t="array" ref="L10">SUMPRODUCT(B10:H10, TRANSPOSE(Portfolio!$R$2:$R$8))/100*3/2</f>
        <v>#DIV/0!</v>
      </c>
      <c r="M10" s="22" t="str">
        <f t="shared" si="3"/>
        <v>#DIV/0!</v>
      </c>
    </row>
    <row r="11" ht="15.75" customHeight="1">
      <c r="A11" s="31">
        <v>45247.73611111111</v>
      </c>
      <c r="B11" s="22" t="str">
        <f>Historique!B14/Historique!B13-1</f>
        <v>#DIV/0!</v>
      </c>
      <c r="C11" s="22" t="str">
        <f>OFFSET(Historique!$B13, 1, C$2)/OFFSET(Historique!$B13, 0, C$2)-1</f>
        <v>#DIV/0!</v>
      </c>
      <c r="D11" s="22" t="str">
        <f>OFFSET(Historique!$B13, 1, D$2)/OFFSET(Historique!$B13, 0, D$2)-1</f>
        <v>#DIV/0!</v>
      </c>
      <c r="E11" s="22" t="str">
        <f>OFFSET(Historique!$B13, 1, E$2)/OFFSET(Historique!$B13, 0, E$2)-1</f>
        <v>#DIV/0!</v>
      </c>
      <c r="F11" s="22" t="str">
        <f>OFFSET(Historique!$B13, 1, F$2)/OFFSET(Historique!$B13, 0, F$2)-1</f>
        <v>#DIV/0!</v>
      </c>
      <c r="G11" s="22" t="str">
        <f>OFFSET(Historique!$B13, 1, G$2)/OFFSET(Historique!$B13, 0, G$2)-1</f>
        <v>#DIV/0!</v>
      </c>
      <c r="H11" s="22" t="str">
        <f>OFFSET(Historique!$B13, 1, H$2)/OFFSET(Historique!$B13, 0, H$2)-1</f>
        <v>#DIV/0!</v>
      </c>
      <c r="I11" s="22" t="str">
        <f>OFFSET(Historique!$B13, 1, I$2)/OFFSET(Historique!$B13, 0, I$2)-1</f>
        <v>#DIV/0!</v>
      </c>
      <c r="J11" s="22" t="str">
        <f t="array" ref="J11">SUMPRODUCT(B11:I11, TRANSPOSE(Portfolio!$R$2:$R$9))/100</f>
        <v>#DIV/0!</v>
      </c>
      <c r="K11" s="22" t="str">
        <f t="shared" si="2"/>
        <v>#DIV/0!</v>
      </c>
      <c r="L11" s="22" t="str">
        <f t="array" ref="L11">SUMPRODUCT(B11:H11, TRANSPOSE(Portfolio!$R$2:$R$8))/100*3/2</f>
        <v>#DIV/0!</v>
      </c>
      <c r="M11" s="22" t="str">
        <f t="shared" si="3"/>
        <v>#DIV/0!</v>
      </c>
    </row>
    <row r="12" ht="15.75" customHeight="1">
      <c r="A12" s="31">
        <v>45254.73611111111</v>
      </c>
      <c r="B12" s="22" t="str">
        <f>Historique!B15/Historique!B14-1</f>
        <v>#DIV/0!</v>
      </c>
      <c r="C12" s="22" t="str">
        <f>OFFSET(Historique!$B14, 1, C$2)/OFFSET(Historique!$B14, 0, C$2)-1</f>
        <v>#DIV/0!</v>
      </c>
      <c r="D12" s="22" t="str">
        <f>OFFSET(Historique!$B14, 1, D$2)/OFFSET(Historique!$B14, 0, D$2)-1</f>
        <v>#DIV/0!</v>
      </c>
      <c r="E12" s="22" t="str">
        <f>OFFSET(Historique!$B14, 1, E$2)/OFFSET(Historique!$B14, 0, E$2)-1</f>
        <v>#DIV/0!</v>
      </c>
      <c r="F12" s="22" t="str">
        <f>OFFSET(Historique!$B14, 1, F$2)/OFFSET(Historique!$B14, 0, F$2)-1</f>
        <v>#DIV/0!</v>
      </c>
      <c r="G12" s="22" t="str">
        <f>OFFSET(Historique!$B14, 1, G$2)/OFFSET(Historique!$B14, 0, G$2)-1</f>
        <v>#DIV/0!</v>
      </c>
      <c r="H12" s="22" t="str">
        <f>OFFSET(Historique!$B14, 1, H$2)/OFFSET(Historique!$B14, 0, H$2)-1</f>
        <v>#DIV/0!</v>
      </c>
      <c r="I12" s="22" t="str">
        <f>OFFSET(Historique!$B14, 1, I$2)/OFFSET(Historique!$B14, 0, I$2)-1</f>
        <v>#DIV/0!</v>
      </c>
      <c r="J12" s="22" t="str">
        <f t="array" ref="J12">SUMPRODUCT(B12:I12, TRANSPOSE(Portfolio!$R$2:$R$9))/100</f>
        <v>#DIV/0!</v>
      </c>
      <c r="K12" s="22" t="str">
        <f t="shared" si="2"/>
        <v>#DIV/0!</v>
      </c>
      <c r="L12" s="22" t="str">
        <f t="array" ref="L12">SUMPRODUCT(B12:H12, TRANSPOSE(Portfolio!$R$2:$R$8))/100*3/2</f>
        <v>#DIV/0!</v>
      </c>
      <c r="M12" s="22" t="str">
        <f t="shared" si="3"/>
        <v>#DIV/0!</v>
      </c>
    </row>
    <row r="13" ht="15.75" customHeight="1">
      <c r="A13" s="31">
        <v>45261.73611111111</v>
      </c>
      <c r="B13" s="22" t="str">
        <f>Historique!B16/Historique!B15-1</f>
        <v>#DIV/0!</v>
      </c>
      <c r="C13" s="22" t="str">
        <f>OFFSET(Historique!$B15, 1, C$2)/OFFSET(Historique!$B15, 0, C$2)-1</f>
        <v>#DIV/0!</v>
      </c>
      <c r="D13" s="22" t="str">
        <f>OFFSET(Historique!$B15, 1, D$2)/OFFSET(Historique!$B15, 0, D$2)-1</f>
        <v>#DIV/0!</v>
      </c>
      <c r="E13" s="22" t="str">
        <f>OFFSET(Historique!$B15, 1, E$2)/OFFSET(Historique!$B15, 0, E$2)-1</f>
        <v>#DIV/0!</v>
      </c>
      <c r="F13" s="22" t="str">
        <f>OFFSET(Historique!$B15, 1, F$2)/OFFSET(Historique!$B15, 0, F$2)-1</f>
        <v>#DIV/0!</v>
      </c>
      <c r="G13" s="22" t="str">
        <f>OFFSET(Historique!$B15, 1, G$2)/OFFSET(Historique!$B15, 0, G$2)-1</f>
        <v>#DIV/0!</v>
      </c>
      <c r="H13" s="22" t="str">
        <f>OFFSET(Historique!$B15, 1, H$2)/OFFSET(Historique!$B15, 0, H$2)-1</f>
        <v>#DIV/0!</v>
      </c>
      <c r="I13" s="22" t="str">
        <f>OFFSET(Historique!$B15, 1, I$2)/OFFSET(Historique!$B15, 0, I$2)-1</f>
        <v>#DIV/0!</v>
      </c>
      <c r="J13" s="22" t="str">
        <f t="array" ref="J13">SUMPRODUCT(B13:I13, TRANSPOSE(Portfolio!$R$2:$R$9))/100</f>
        <v>#DIV/0!</v>
      </c>
      <c r="K13" s="22" t="str">
        <f t="shared" si="2"/>
        <v>#DIV/0!</v>
      </c>
      <c r="L13" s="22" t="str">
        <f t="array" ref="L13">SUMPRODUCT(B13:H13, TRANSPOSE(Portfolio!$R$2:$R$8))/100*3/2</f>
        <v>#DIV/0!</v>
      </c>
      <c r="M13" s="22" t="str">
        <f t="shared" si="3"/>
        <v>#DIV/0!</v>
      </c>
    </row>
    <row r="14" ht="15.75" customHeight="1">
      <c r="A14" s="31">
        <v>45268.73611111111</v>
      </c>
      <c r="B14" s="22" t="str">
        <f>Historique!B17/Historique!B16-1</f>
        <v>#DIV/0!</v>
      </c>
      <c r="C14" s="22" t="str">
        <f>OFFSET(Historique!$B16, 1, C$2)/OFFSET(Historique!$B16, 0, C$2)-1</f>
        <v>#DIV/0!</v>
      </c>
      <c r="D14" s="22" t="str">
        <f>OFFSET(Historique!$B16, 1, D$2)/OFFSET(Historique!$B16, 0, D$2)-1</f>
        <v>#DIV/0!</v>
      </c>
      <c r="E14" s="22" t="str">
        <f>OFFSET(Historique!$B16, 1, E$2)/OFFSET(Historique!$B16, 0, E$2)-1</f>
        <v>#DIV/0!</v>
      </c>
      <c r="F14" s="22" t="str">
        <f>OFFSET(Historique!$B16, 1, F$2)/OFFSET(Historique!$B16, 0, F$2)-1</f>
        <v>#DIV/0!</v>
      </c>
      <c r="G14" s="22" t="str">
        <f>OFFSET(Historique!$B16, 1, G$2)/OFFSET(Historique!$B16, 0, G$2)-1</f>
        <v>#DIV/0!</v>
      </c>
      <c r="H14" s="22" t="str">
        <f>OFFSET(Historique!$B16, 1, H$2)/OFFSET(Historique!$B16, 0, H$2)-1</f>
        <v>#DIV/0!</v>
      </c>
      <c r="I14" s="22" t="str">
        <f>OFFSET(Historique!$B16, 1, I$2)/OFFSET(Historique!$B16, 0, I$2)-1</f>
        <v>#DIV/0!</v>
      </c>
      <c r="J14" s="22" t="str">
        <f t="array" ref="J14">SUMPRODUCT(B14:I14, TRANSPOSE(Portfolio!$R$2:$R$9))/100</f>
        <v>#DIV/0!</v>
      </c>
      <c r="K14" s="22" t="str">
        <f t="shared" si="2"/>
        <v>#DIV/0!</v>
      </c>
      <c r="L14" s="22" t="str">
        <f t="array" ref="L14">SUMPRODUCT(B14:H14, TRANSPOSE(Portfolio!$R$2:$R$8))/100*3/2</f>
        <v>#DIV/0!</v>
      </c>
      <c r="M14" s="22" t="str">
        <f t="shared" si="3"/>
        <v>#DIV/0!</v>
      </c>
    </row>
    <row r="15" ht="15.75" customHeight="1">
      <c r="A15" s="31">
        <v>45275.73611111111</v>
      </c>
      <c r="B15" s="22" t="str">
        <f>Historique!B18/Historique!B17-1</f>
        <v>#DIV/0!</v>
      </c>
      <c r="C15" s="22" t="str">
        <f>OFFSET(Historique!$B17, 1, C$2)/OFFSET(Historique!$B17, 0, C$2)-1</f>
        <v>#DIV/0!</v>
      </c>
      <c r="D15" s="22" t="str">
        <f>OFFSET(Historique!$B17, 1, D$2)/OFFSET(Historique!$B17, 0, D$2)-1</f>
        <v>#DIV/0!</v>
      </c>
      <c r="E15" s="22" t="str">
        <f>OFFSET(Historique!$B17, 1, E$2)/OFFSET(Historique!$B17, 0, E$2)-1</f>
        <v>#DIV/0!</v>
      </c>
      <c r="F15" s="22" t="str">
        <f>OFFSET(Historique!$B17, 1, F$2)/OFFSET(Historique!$B17, 0, F$2)-1</f>
        <v>#DIV/0!</v>
      </c>
      <c r="G15" s="22" t="str">
        <f>OFFSET(Historique!$B17, 1, G$2)/OFFSET(Historique!$B17, 0, G$2)-1</f>
        <v>#DIV/0!</v>
      </c>
      <c r="H15" s="22" t="str">
        <f>OFFSET(Historique!$B17, 1, H$2)/OFFSET(Historique!$B17, 0, H$2)-1</f>
        <v>#DIV/0!</v>
      </c>
      <c r="I15" s="22" t="str">
        <f>OFFSET(Historique!$B17, 1, I$2)/OFFSET(Historique!$B17, 0, I$2)-1</f>
        <v>#DIV/0!</v>
      </c>
      <c r="J15" s="22" t="str">
        <f t="array" ref="J15">SUMPRODUCT(B15:I15, TRANSPOSE(Portfolio!$R$2:$R$9))/100</f>
        <v>#DIV/0!</v>
      </c>
      <c r="K15" s="22" t="str">
        <f t="shared" si="2"/>
        <v>#DIV/0!</v>
      </c>
      <c r="L15" s="22" t="str">
        <f t="array" ref="L15">SUMPRODUCT(B15:H15, TRANSPOSE(Portfolio!$R$2:$R$8))/100*3/2</f>
        <v>#DIV/0!</v>
      </c>
      <c r="M15" s="22" t="str">
        <f t="shared" si="3"/>
        <v>#DIV/0!</v>
      </c>
    </row>
    <row r="16" ht="15.75" customHeight="1">
      <c r="A16" s="31">
        <v>45282.73611111111</v>
      </c>
      <c r="B16" s="22" t="str">
        <f>Historique!B19/Historique!B18-1</f>
        <v>#DIV/0!</v>
      </c>
      <c r="C16" s="22" t="str">
        <f>OFFSET(Historique!$B18, 1, C$2)/OFFSET(Historique!$B18, 0, C$2)-1</f>
        <v>#DIV/0!</v>
      </c>
      <c r="D16" s="22" t="str">
        <f>OFFSET(Historique!$B18, 1, D$2)/OFFSET(Historique!$B18, 0, D$2)-1</f>
        <v>#DIV/0!</v>
      </c>
      <c r="E16" s="22" t="str">
        <f>OFFSET(Historique!$B18, 1, E$2)/OFFSET(Historique!$B18, 0, E$2)-1</f>
        <v>#DIV/0!</v>
      </c>
      <c r="F16" s="22" t="str">
        <f>OFFSET(Historique!$B18, 1, F$2)/OFFSET(Historique!$B18, 0, F$2)-1</f>
        <v>#DIV/0!</v>
      </c>
      <c r="G16" s="22" t="str">
        <f>OFFSET(Historique!$B18, 1, G$2)/OFFSET(Historique!$B18, 0, G$2)-1</f>
        <v>#DIV/0!</v>
      </c>
      <c r="H16" s="22" t="str">
        <f>OFFSET(Historique!$B18, 1, H$2)/OFFSET(Historique!$B18, 0, H$2)-1</f>
        <v>#DIV/0!</v>
      </c>
      <c r="I16" s="22" t="str">
        <f>OFFSET(Historique!$B18, 1, I$2)/OFFSET(Historique!$B18, 0, I$2)-1</f>
        <v>#DIV/0!</v>
      </c>
      <c r="J16" s="22" t="str">
        <f t="array" ref="J16">SUMPRODUCT(B16:I16, TRANSPOSE(Portfolio!$R$2:$R$9))/100</f>
        <v>#DIV/0!</v>
      </c>
      <c r="K16" s="22" t="str">
        <f t="shared" si="2"/>
        <v>#DIV/0!</v>
      </c>
      <c r="L16" s="22" t="str">
        <f t="array" ref="L16">SUMPRODUCT(B16:H16, TRANSPOSE(Portfolio!$R$2:$R$8))/100*3/2</f>
        <v>#DIV/0!</v>
      </c>
      <c r="M16" s="22" t="str">
        <f t="shared" si="3"/>
        <v>#DIV/0!</v>
      </c>
    </row>
    <row r="17" ht="15.75" customHeight="1">
      <c r="A17" s="31">
        <v>45289.73611111111</v>
      </c>
      <c r="B17" s="22" t="str">
        <f>Historique!B20/Historique!B19-1</f>
        <v>#DIV/0!</v>
      </c>
      <c r="C17" s="22" t="str">
        <f>OFFSET(Historique!$B19, 1, C$2)/OFFSET(Historique!$B19, 0, C$2)-1</f>
        <v>#DIV/0!</v>
      </c>
      <c r="D17" s="22" t="str">
        <f>OFFSET(Historique!$B19, 1, D$2)/OFFSET(Historique!$B19, 0, D$2)-1</f>
        <v>#DIV/0!</v>
      </c>
      <c r="E17" s="22" t="str">
        <f>OFFSET(Historique!$B19, 1, E$2)/OFFSET(Historique!$B19, 0, E$2)-1</f>
        <v>#DIV/0!</v>
      </c>
      <c r="F17" s="22" t="str">
        <f>OFFSET(Historique!$B19, 1, F$2)/OFFSET(Historique!$B19, 0, F$2)-1</f>
        <v>#DIV/0!</v>
      </c>
      <c r="G17" s="22" t="str">
        <f>OFFSET(Historique!$B19, 1, G$2)/OFFSET(Historique!$B19, 0, G$2)-1</f>
        <v>#DIV/0!</v>
      </c>
      <c r="H17" s="22" t="str">
        <f>OFFSET(Historique!$B19, 1, H$2)/OFFSET(Historique!$B19, 0, H$2)-1</f>
        <v>#DIV/0!</v>
      </c>
      <c r="I17" s="22" t="str">
        <f>OFFSET(Historique!$B19, 1, I$2)/OFFSET(Historique!$B19, 0, I$2)-1</f>
        <v>#DIV/0!</v>
      </c>
      <c r="J17" s="22" t="str">
        <f t="array" ref="J17">SUMPRODUCT(B17:I17, TRANSPOSE(Portfolio!$R$2:$R$9))/100</f>
        <v>#DIV/0!</v>
      </c>
      <c r="K17" s="22" t="str">
        <f t="shared" si="2"/>
        <v>#DIV/0!</v>
      </c>
      <c r="L17" s="22" t="str">
        <f t="array" ref="L17">SUMPRODUCT(B17:H17, TRANSPOSE(Portfolio!$R$2:$R$8))/100*3/2</f>
        <v>#DIV/0!</v>
      </c>
      <c r="M17" s="22" t="str">
        <f t="shared" si="3"/>
        <v>#DIV/0!</v>
      </c>
    </row>
    <row r="18" ht="15.75" customHeight="1">
      <c r="A18" s="31">
        <v>45296.73611111111</v>
      </c>
      <c r="B18" s="22" t="str">
        <f>Historique!B21/Historique!B20-1</f>
        <v>#DIV/0!</v>
      </c>
      <c r="C18" s="22" t="str">
        <f>OFFSET(Historique!$B20, 1, C$2)/OFFSET(Historique!$B20, 0, C$2)-1</f>
        <v>#DIV/0!</v>
      </c>
      <c r="D18" s="22" t="str">
        <f>OFFSET(Historique!$B20, 1, D$2)/OFFSET(Historique!$B20, 0, D$2)-1</f>
        <v>#DIV/0!</v>
      </c>
      <c r="E18" s="22" t="str">
        <f>OFFSET(Historique!$B20, 1, E$2)/OFFSET(Historique!$B20, 0, E$2)-1</f>
        <v>#DIV/0!</v>
      </c>
      <c r="F18" s="22" t="str">
        <f>OFFSET(Historique!$B20, 1, F$2)/OFFSET(Historique!$B20, 0, F$2)-1</f>
        <v>#DIV/0!</v>
      </c>
      <c r="G18" s="22" t="str">
        <f>OFFSET(Historique!$B20, 1, G$2)/OFFSET(Historique!$B20, 0, G$2)-1</f>
        <v>#DIV/0!</v>
      </c>
      <c r="H18" s="22" t="str">
        <f>OFFSET(Historique!$B20, 1, H$2)/OFFSET(Historique!$B20, 0, H$2)-1</f>
        <v>#DIV/0!</v>
      </c>
      <c r="I18" s="22" t="str">
        <f>OFFSET(Historique!$B20, 1, I$2)/OFFSET(Historique!$B20, 0, I$2)-1</f>
        <v>#DIV/0!</v>
      </c>
      <c r="J18" s="22" t="str">
        <f t="array" ref="J18">SUMPRODUCT(B18:I18, TRANSPOSE(Portfolio!$R$2:$R$9))/100</f>
        <v>#DIV/0!</v>
      </c>
      <c r="K18" s="22" t="str">
        <f t="shared" si="2"/>
        <v>#DIV/0!</v>
      </c>
      <c r="L18" s="22" t="str">
        <f t="array" ref="L18">SUMPRODUCT(B18:H18, TRANSPOSE(Portfolio!$R$2:$R$8))/100*3/2</f>
        <v>#DIV/0!</v>
      </c>
      <c r="M18" s="22" t="str">
        <f t="shared" si="3"/>
        <v>#DIV/0!</v>
      </c>
    </row>
    <row r="19" ht="15.75" customHeight="1">
      <c r="A19" s="31">
        <v>45303.73611111111</v>
      </c>
      <c r="B19" s="22" t="str">
        <f>Historique!B22/Historique!B21-1</f>
        <v>#DIV/0!</v>
      </c>
      <c r="C19" s="22" t="str">
        <f>OFFSET(Historique!$B21, 1, C$2)/OFFSET(Historique!$B21, 0, C$2)-1</f>
        <v>#DIV/0!</v>
      </c>
      <c r="D19" s="22" t="str">
        <f>OFFSET(Historique!$B21, 1, D$2)/OFFSET(Historique!$B21, 0, D$2)-1</f>
        <v>#DIV/0!</v>
      </c>
      <c r="E19" s="22" t="str">
        <f>OFFSET(Historique!$B21, 1, E$2)/OFFSET(Historique!$B21, 0, E$2)-1</f>
        <v>#DIV/0!</v>
      </c>
      <c r="F19" s="22" t="str">
        <f>OFFSET(Historique!$B21, 1, F$2)/OFFSET(Historique!$B21, 0, F$2)-1</f>
        <v>#DIV/0!</v>
      </c>
      <c r="G19" s="22" t="str">
        <f>OFFSET(Historique!$B21, 1, G$2)/OFFSET(Historique!$B21, 0, G$2)-1</f>
        <v>#DIV/0!</v>
      </c>
      <c r="H19" s="22" t="str">
        <f>OFFSET(Historique!$B21, 1, H$2)/OFFSET(Historique!$B21, 0, H$2)-1</f>
        <v>#DIV/0!</v>
      </c>
      <c r="I19" s="22" t="str">
        <f>OFFSET(Historique!$B21, 1, I$2)/OFFSET(Historique!$B21, 0, I$2)-1</f>
        <v>#DIV/0!</v>
      </c>
      <c r="J19" s="22" t="str">
        <f t="array" ref="J19">SUMPRODUCT(B19:I19, TRANSPOSE(Portfolio!$R$2:$R$9))/100</f>
        <v>#DIV/0!</v>
      </c>
      <c r="K19" s="22" t="str">
        <f t="shared" si="2"/>
        <v>#DIV/0!</v>
      </c>
      <c r="L19" s="22" t="str">
        <f t="array" ref="L19">SUMPRODUCT(B19:H19, TRANSPOSE(Portfolio!$R$2:$R$8))/100*3/2</f>
        <v>#DIV/0!</v>
      </c>
      <c r="M19" s="22" t="str">
        <f t="shared" si="3"/>
        <v>#DIV/0!</v>
      </c>
    </row>
    <row r="20" ht="15.75" customHeight="1">
      <c r="A20" s="31">
        <v>45310.73611111111</v>
      </c>
      <c r="B20" s="22" t="str">
        <f>Historique!B23/Historique!B22-1</f>
        <v>#DIV/0!</v>
      </c>
      <c r="C20" s="22" t="str">
        <f>OFFSET(Historique!$B22, 1, C$2)/OFFSET(Historique!$B22, 0, C$2)-1</f>
        <v>#DIV/0!</v>
      </c>
      <c r="D20" s="22" t="str">
        <f>OFFSET(Historique!$B22, 1, D$2)/OFFSET(Historique!$B22, 0, D$2)-1</f>
        <v>#DIV/0!</v>
      </c>
      <c r="E20" s="22" t="str">
        <f>OFFSET(Historique!$B22, 1, E$2)/OFFSET(Historique!$B22, 0, E$2)-1</f>
        <v>#DIV/0!</v>
      </c>
      <c r="F20" s="22" t="str">
        <f>OFFSET(Historique!$B22, 1, F$2)/OFFSET(Historique!$B22, 0, F$2)-1</f>
        <v>#DIV/0!</v>
      </c>
      <c r="G20" s="22" t="str">
        <f>OFFSET(Historique!$B22, 1, G$2)/OFFSET(Historique!$B22, 0, G$2)-1</f>
        <v>#DIV/0!</v>
      </c>
      <c r="H20" s="22" t="str">
        <f>OFFSET(Historique!$B22, 1, H$2)/OFFSET(Historique!$B22, 0, H$2)-1</f>
        <v>#DIV/0!</v>
      </c>
      <c r="I20" s="22" t="str">
        <f>OFFSET(Historique!$B22, 1, I$2)/OFFSET(Historique!$B22, 0, I$2)-1</f>
        <v>#DIV/0!</v>
      </c>
      <c r="J20" s="22" t="str">
        <f t="array" ref="J20">SUMPRODUCT(B20:I20, TRANSPOSE(Portfolio!$R$2:$R$9))/100</f>
        <v>#DIV/0!</v>
      </c>
      <c r="K20" s="22" t="str">
        <f t="shared" si="2"/>
        <v>#DIV/0!</v>
      </c>
      <c r="L20" s="22" t="str">
        <f t="array" ref="L20">SUMPRODUCT(B20:H20, TRANSPOSE(Portfolio!$R$2:$R$8))/100*3/2</f>
        <v>#DIV/0!</v>
      </c>
      <c r="M20" s="22" t="str">
        <f t="shared" si="3"/>
        <v>#DIV/0!</v>
      </c>
    </row>
    <row r="21" ht="15.75" customHeight="1">
      <c r="A21" s="31">
        <v>45317.73611111111</v>
      </c>
      <c r="B21" s="22" t="str">
        <f>Historique!B24/Historique!B23-1</f>
        <v>#DIV/0!</v>
      </c>
      <c r="C21" s="22" t="str">
        <f>OFFSET(Historique!$B23, 1, C$2)/OFFSET(Historique!$B23, 0, C$2)-1</f>
        <v>#DIV/0!</v>
      </c>
      <c r="D21" s="22" t="str">
        <f>OFFSET(Historique!$B23, 1, D$2)/OFFSET(Historique!$B23, 0, D$2)-1</f>
        <v>#DIV/0!</v>
      </c>
      <c r="E21" s="22" t="str">
        <f>OFFSET(Historique!$B23, 1, E$2)/OFFSET(Historique!$B23, 0, E$2)-1</f>
        <v>#DIV/0!</v>
      </c>
      <c r="F21" s="22" t="str">
        <f>OFFSET(Historique!$B23, 1, F$2)/OFFSET(Historique!$B23, 0, F$2)-1</f>
        <v>#DIV/0!</v>
      </c>
      <c r="G21" s="22" t="str">
        <f>OFFSET(Historique!$B23, 1, G$2)/OFFSET(Historique!$B23, 0, G$2)-1</f>
        <v>#DIV/0!</v>
      </c>
      <c r="H21" s="22" t="str">
        <f>OFFSET(Historique!$B23, 1, H$2)/OFFSET(Historique!$B23, 0, H$2)-1</f>
        <v>#DIV/0!</v>
      </c>
      <c r="I21" s="22" t="str">
        <f>OFFSET(Historique!$B23, 1, I$2)/OFFSET(Historique!$B23, 0, I$2)-1</f>
        <v>#DIV/0!</v>
      </c>
      <c r="J21" s="22" t="str">
        <f t="array" ref="J21">SUMPRODUCT(B21:I21, TRANSPOSE(Portfolio!$R$2:$R$9))/100</f>
        <v>#DIV/0!</v>
      </c>
      <c r="K21" s="22" t="str">
        <f t="shared" si="2"/>
        <v>#DIV/0!</v>
      </c>
      <c r="L21" s="22" t="str">
        <f t="array" ref="L21">SUMPRODUCT(B21:H21, TRANSPOSE(Portfolio!$R$2:$R$8))/100*3/2</f>
        <v>#DIV/0!</v>
      </c>
      <c r="M21" s="22" t="str">
        <f t="shared" si="3"/>
        <v>#DIV/0!</v>
      </c>
    </row>
    <row r="22" ht="15.75" customHeight="1">
      <c r="A22" s="31">
        <v>45324.73611111111</v>
      </c>
      <c r="B22" s="22" t="str">
        <f>Historique!B25/Historique!B24-1</f>
        <v>#DIV/0!</v>
      </c>
      <c r="C22" s="22" t="str">
        <f>OFFSET(Historique!$B24, 1, C$2)/OFFSET(Historique!$B24, 0, C$2)-1</f>
        <v>#DIV/0!</v>
      </c>
      <c r="D22" s="22" t="str">
        <f>OFFSET(Historique!$B24, 1, D$2)/OFFSET(Historique!$B24, 0, D$2)-1</f>
        <v>#DIV/0!</v>
      </c>
      <c r="E22" s="22" t="str">
        <f>OFFSET(Historique!$B24, 1, E$2)/OFFSET(Historique!$B24, 0, E$2)-1</f>
        <v>#DIV/0!</v>
      </c>
      <c r="F22" s="22" t="str">
        <f>OFFSET(Historique!$B24, 1, F$2)/OFFSET(Historique!$B24, 0, F$2)-1</f>
        <v>#DIV/0!</v>
      </c>
      <c r="G22" s="22" t="str">
        <f>OFFSET(Historique!$B24, 1, G$2)/OFFSET(Historique!$B24, 0, G$2)-1</f>
        <v>#DIV/0!</v>
      </c>
      <c r="H22" s="22" t="str">
        <f>OFFSET(Historique!$B24, 1, H$2)/OFFSET(Historique!$B24, 0, H$2)-1</f>
        <v>#DIV/0!</v>
      </c>
      <c r="I22" s="22" t="str">
        <f>OFFSET(Historique!$B24, 1, I$2)/OFFSET(Historique!$B24, 0, I$2)-1</f>
        <v>#DIV/0!</v>
      </c>
      <c r="J22" s="22" t="str">
        <f t="array" ref="J22">SUMPRODUCT(B22:I22, TRANSPOSE(Portfolio!$R$2:$R$9))/100</f>
        <v>#DIV/0!</v>
      </c>
      <c r="K22" s="22" t="str">
        <f t="shared" si="2"/>
        <v>#DIV/0!</v>
      </c>
      <c r="L22" s="22" t="str">
        <f t="array" ref="L22">SUMPRODUCT(B22:H22, TRANSPOSE(Portfolio!$R$2:$R$8))/100*3/2</f>
        <v>#DIV/0!</v>
      </c>
      <c r="M22" s="22" t="str">
        <f t="shared" si="3"/>
        <v>#DIV/0!</v>
      </c>
    </row>
    <row r="23" ht="15.75" customHeight="1">
      <c r="A23" s="31">
        <v>45331.73611111111</v>
      </c>
      <c r="B23" s="22" t="str">
        <f>Historique!B26/Historique!B25-1</f>
        <v>#DIV/0!</v>
      </c>
      <c r="C23" s="22" t="str">
        <f>OFFSET(Historique!$B25, 1, C$2)/OFFSET(Historique!$B25, 0, C$2)-1</f>
        <v>#DIV/0!</v>
      </c>
      <c r="D23" s="22" t="str">
        <f>OFFSET(Historique!$B25, 1, D$2)/OFFSET(Historique!$B25, 0, D$2)-1</f>
        <v>#DIV/0!</v>
      </c>
      <c r="E23" s="22" t="str">
        <f>OFFSET(Historique!$B25, 1, E$2)/OFFSET(Historique!$B25, 0, E$2)-1</f>
        <v>#DIV/0!</v>
      </c>
      <c r="F23" s="22" t="str">
        <f>OFFSET(Historique!$B25, 1, F$2)/OFFSET(Historique!$B25, 0, F$2)-1</f>
        <v>#DIV/0!</v>
      </c>
      <c r="G23" s="22" t="str">
        <f>OFFSET(Historique!$B25, 1, G$2)/OFFSET(Historique!$B25, 0, G$2)-1</f>
        <v>#DIV/0!</v>
      </c>
      <c r="H23" s="22" t="str">
        <f>OFFSET(Historique!$B25, 1, H$2)/OFFSET(Historique!$B25, 0, H$2)-1</f>
        <v>#DIV/0!</v>
      </c>
      <c r="I23" s="22" t="str">
        <f>OFFSET(Historique!$B25, 1, I$2)/OFFSET(Historique!$B25, 0, I$2)-1</f>
        <v>#DIV/0!</v>
      </c>
      <c r="J23" s="22" t="str">
        <f t="array" ref="J23">SUMPRODUCT(B23:I23, TRANSPOSE(Portfolio!$R$2:$R$9))/100</f>
        <v>#DIV/0!</v>
      </c>
      <c r="K23" s="22" t="str">
        <f t="shared" si="2"/>
        <v>#DIV/0!</v>
      </c>
      <c r="L23" s="22" t="str">
        <f t="array" ref="L23">SUMPRODUCT(B23:H23, TRANSPOSE(Portfolio!$R$2:$R$8))/100*3/2</f>
        <v>#DIV/0!</v>
      </c>
      <c r="M23" s="22" t="str">
        <f t="shared" si="3"/>
        <v>#DIV/0!</v>
      </c>
    </row>
    <row r="24" ht="15.75" customHeight="1">
      <c r="A24" s="31">
        <v>45338.73611111111</v>
      </c>
      <c r="B24" s="22" t="str">
        <f>Historique!B27/Historique!B26-1</f>
        <v>#DIV/0!</v>
      </c>
      <c r="C24" s="22" t="str">
        <f>OFFSET(Historique!$B26, 1, C$2)/OFFSET(Historique!$B26, 0, C$2)-1</f>
        <v>#DIV/0!</v>
      </c>
      <c r="D24" s="22" t="str">
        <f>OFFSET(Historique!$B26, 1, D$2)/OFFSET(Historique!$B26, 0, D$2)-1</f>
        <v>#DIV/0!</v>
      </c>
      <c r="E24" s="22" t="str">
        <f>OFFSET(Historique!$B26, 1, E$2)/OFFSET(Historique!$B26, 0, E$2)-1</f>
        <v>#DIV/0!</v>
      </c>
      <c r="F24" s="22" t="str">
        <f>OFFSET(Historique!$B26, 1, F$2)/OFFSET(Historique!$B26, 0, F$2)-1</f>
        <v>#DIV/0!</v>
      </c>
      <c r="G24" s="22" t="str">
        <f>OFFSET(Historique!$B26, 1, G$2)/OFFSET(Historique!$B26, 0, G$2)-1</f>
        <v>#DIV/0!</v>
      </c>
      <c r="H24" s="22" t="str">
        <f>OFFSET(Historique!$B26, 1, H$2)/OFFSET(Historique!$B26, 0, H$2)-1</f>
        <v>#DIV/0!</v>
      </c>
      <c r="I24" s="22" t="str">
        <f>OFFSET(Historique!$B26, 1, I$2)/OFFSET(Historique!$B26, 0, I$2)-1</f>
        <v>#DIV/0!</v>
      </c>
      <c r="J24" s="22" t="str">
        <f t="array" ref="J24">SUMPRODUCT(B24:I24, TRANSPOSE(Portfolio!$R$2:$R$9))/100</f>
        <v>#DIV/0!</v>
      </c>
      <c r="K24" s="22" t="str">
        <f t="shared" si="2"/>
        <v>#DIV/0!</v>
      </c>
      <c r="L24" s="22" t="str">
        <f t="array" ref="L24">SUMPRODUCT(B24:H24, TRANSPOSE(Portfolio!$R$2:$R$8))/100*3/2</f>
        <v>#DIV/0!</v>
      </c>
      <c r="M24" s="22" t="str">
        <f t="shared" si="3"/>
        <v>#DIV/0!</v>
      </c>
    </row>
    <row r="25" ht="15.75" customHeight="1">
      <c r="A25" s="31">
        <v>45345.73611111111</v>
      </c>
      <c r="B25" s="22" t="str">
        <f>Historique!B28/Historique!B27-1</f>
        <v>#DIV/0!</v>
      </c>
      <c r="C25" s="22" t="str">
        <f>OFFSET(Historique!$B27, 1, C$2)/OFFSET(Historique!$B27, 0, C$2)-1</f>
        <v>#DIV/0!</v>
      </c>
      <c r="D25" s="22" t="str">
        <f>OFFSET(Historique!$B27, 1, D$2)/OFFSET(Historique!$B27, 0, D$2)-1</f>
        <v>#DIV/0!</v>
      </c>
      <c r="E25" s="22" t="str">
        <f>OFFSET(Historique!$B27, 1, E$2)/OFFSET(Historique!$B27, 0, E$2)-1</f>
        <v>#DIV/0!</v>
      </c>
      <c r="F25" s="22" t="str">
        <f>OFFSET(Historique!$B27, 1, F$2)/OFFSET(Historique!$B27, 0, F$2)-1</f>
        <v>#DIV/0!</v>
      </c>
      <c r="G25" s="22" t="str">
        <f>OFFSET(Historique!$B27, 1, G$2)/OFFSET(Historique!$B27, 0, G$2)-1</f>
        <v>#DIV/0!</v>
      </c>
      <c r="H25" s="22" t="str">
        <f>OFFSET(Historique!$B27, 1, H$2)/OFFSET(Historique!$B27, 0, H$2)-1</f>
        <v>#DIV/0!</v>
      </c>
      <c r="I25" s="22" t="str">
        <f>OFFSET(Historique!$B27, 1, I$2)/OFFSET(Historique!$B27, 0, I$2)-1</f>
        <v>#DIV/0!</v>
      </c>
      <c r="J25" s="22" t="str">
        <f t="array" ref="J25">SUMPRODUCT(B25:I25, TRANSPOSE(Portfolio!$R$2:$R$9))/100</f>
        <v>#DIV/0!</v>
      </c>
      <c r="K25" s="22" t="str">
        <f t="shared" si="2"/>
        <v>#DIV/0!</v>
      </c>
      <c r="L25" s="22" t="str">
        <f t="array" ref="L25">SUMPRODUCT(B25:H25, TRANSPOSE(Portfolio!$R$2:$R$8))/100*3/2</f>
        <v>#DIV/0!</v>
      </c>
      <c r="M25" s="22" t="str">
        <f t="shared" si="3"/>
        <v>#DIV/0!</v>
      </c>
    </row>
    <row r="26" ht="15.75" customHeight="1">
      <c r="A26" s="31">
        <v>45352.73611111111</v>
      </c>
      <c r="B26" s="22" t="str">
        <f>Historique!B29/Historique!B28-1</f>
        <v>#DIV/0!</v>
      </c>
      <c r="C26" s="22" t="str">
        <f>OFFSET(Historique!$B28, 1, C$2)/OFFSET(Historique!$B28, 0, C$2)-1</f>
        <v>#DIV/0!</v>
      </c>
      <c r="D26" s="22" t="str">
        <f>OFFSET(Historique!$B28, 1, D$2)/OFFSET(Historique!$B28, 0, D$2)-1</f>
        <v>#DIV/0!</v>
      </c>
      <c r="E26" s="22" t="str">
        <f>OFFSET(Historique!$B28, 1, E$2)/OFFSET(Historique!$B28, 0, E$2)-1</f>
        <v>#DIV/0!</v>
      </c>
      <c r="F26" s="22" t="str">
        <f>OFFSET(Historique!$B28, 1, F$2)/OFFSET(Historique!$B28, 0, F$2)-1</f>
        <v>#DIV/0!</v>
      </c>
      <c r="G26" s="22" t="str">
        <f>OFFSET(Historique!$B28, 1, G$2)/OFFSET(Historique!$B28, 0, G$2)-1</f>
        <v>#DIV/0!</v>
      </c>
      <c r="H26" s="22" t="str">
        <f>OFFSET(Historique!$B28, 1, H$2)/OFFSET(Historique!$B28, 0, H$2)-1</f>
        <v>#DIV/0!</v>
      </c>
      <c r="I26" s="22" t="str">
        <f>OFFSET(Historique!$B28, 1, I$2)/OFFSET(Historique!$B28, 0, I$2)-1</f>
        <v>#DIV/0!</v>
      </c>
      <c r="J26" s="22" t="str">
        <f t="array" ref="J26">SUMPRODUCT(B26:I26, TRANSPOSE(Portfolio!$R$2:$R$9))/100</f>
        <v>#DIV/0!</v>
      </c>
      <c r="K26" s="22" t="str">
        <f t="shared" si="2"/>
        <v>#DIV/0!</v>
      </c>
      <c r="L26" s="22" t="str">
        <f t="array" ref="L26">SUMPRODUCT(B26:H26, TRANSPOSE(Portfolio!$R$2:$R$8))/100*3/2</f>
        <v>#DIV/0!</v>
      </c>
      <c r="M26" s="22" t="str">
        <f t="shared" si="3"/>
        <v>#DIV/0!</v>
      </c>
    </row>
    <row r="27" ht="15.75" customHeight="1">
      <c r="A27" s="31">
        <v>45359.73611111111</v>
      </c>
      <c r="B27" s="22" t="str">
        <f>Historique!B30/Historique!B29-1</f>
        <v>#DIV/0!</v>
      </c>
      <c r="C27" s="22" t="str">
        <f>OFFSET(Historique!$B29, 1, C$2)/OFFSET(Historique!$B29, 0, C$2)-1</f>
        <v>#DIV/0!</v>
      </c>
      <c r="D27" s="22" t="str">
        <f>OFFSET(Historique!$B29, 1, D$2)/OFFSET(Historique!$B29, 0, D$2)-1</f>
        <v>#DIV/0!</v>
      </c>
      <c r="E27" s="22" t="str">
        <f>OFFSET(Historique!$B29, 1, E$2)/OFFSET(Historique!$B29, 0, E$2)-1</f>
        <v>#DIV/0!</v>
      </c>
      <c r="F27" s="22" t="str">
        <f>OFFSET(Historique!$B29, 1, F$2)/OFFSET(Historique!$B29, 0, F$2)-1</f>
        <v>#DIV/0!</v>
      </c>
      <c r="G27" s="22" t="str">
        <f>OFFSET(Historique!$B29, 1, G$2)/OFFSET(Historique!$B29, 0, G$2)-1</f>
        <v>#DIV/0!</v>
      </c>
      <c r="H27" s="22" t="str">
        <f>OFFSET(Historique!$B29, 1, H$2)/OFFSET(Historique!$B29, 0, H$2)-1</f>
        <v>#DIV/0!</v>
      </c>
      <c r="I27" s="22" t="str">
        <f>OFFSET(Historique!$B29, 1, I$2)/OFFSET(Historique!$B29, 0, I$2)-1</f>
        <v>#DIV/0!</v>
      </c>
      <c r="J27" s="22" t="str">
        <f t="array" ref="J27">SUMPRODUCT(B27:I27, TRANSPOSE(Portfolio!$R$2:$R$9))/100</f>
        <v>#DIV/0!</v>
      </c>
      <c r="K27" s="22" t="str">
        <f t="shared" si="2"/>
        <v>#DIV/0!</v>
      </c>
      <c r="L27" s="22" t="str">
        <f t="array" ref="L27">SUMPRODUCT(B27:H27, TRANSPOSE(Portfolio!$R$2:$R$8))/100*3/2</f>
        <v>#DIV/0!</v>
      </c>
      <c r="M27" s="22" t="str">
        <f t="shared" si="3"/>
        <v>#DIV/0!</v>
      </c>
    </row>
    <row r="28" ht="15.75" customHeight="1">
      <c r="A28" s="31">
        <v>45366.73611111111</v>
      </c>
      <c r="B28" s="22" t="str">
        <f>Historique!B31/Historique!B30-1</f>
        <v>#DIV/0!</v>
      </c>
      <c r="C28" s="22" t="str">
        <f>OFFSET(Historique!$B30, 1, C$2)/OFFSET(Historique!$B30, 0, C$2)-1</f>
        <v>#DIV/0!</v>
      </c>
      <c r="D28" s="22" t="str">
        <f>OFFSET(Historique!$B30, 1, D$2)/OFFSET(Historique!$B30, 0, D$2)-1</f>
        <v>#DIV/0!</v>
      </c>
      <c r="E28" s="22" t="str">
        <f>OFFSET(Historique!$B30, 1, E$2)/OFFSET(Historique!$B30, 0, E$2)-1</f>
        <v>#DIV/0!</v>
      </c>
      <c r="F28" s="22" t="str">
        <f>OFFSET(Historique!$B30, 1, F$2)/OFFSET(Historique!$B30, 0, F$2)-1</f>
        <v>#DIV/0!</v>
      </c>
      <c r="G28" s="22" t="str">
        <f>OFFSET(Historique!$B30, 1, G$2)/OFFSET(Historique!$B30, 0, G$2)-1</f>
        <v>#DIV/0!</v>
      </c>
      <c r="H28" s="22" t="str">
        <f>OFFSET(Historique!$B30, 1, H$2)/OFFSET(Historique!$B30, 0, H$2)-1</f>
        <v>#DIV/0!</v>
      </c>
      <c r="I28" s="22" t="str">
        <f>OFFSET(Historique!$B30, 1, I$2)/OFFSET(Historique!$B30, 0, I$2)-1</f>
        <v>#DIV/0!</v>
      </c>
      <c r="J28" s="22" t="str">
        <f t="array" ref="J28">SUMPRODUCT(B28:I28, TRANSPOSE(Portfolio!$R$2:$R$9))/100</f>
        <v>#DIV/0!</v>
      </c>
      <c r="K28" s="22" t="str">
        <f t="shared" si="2"/>
        <v>#DIV/0!</v>
      </c>
      <c r="L28" s="22" t="str">
        <f t="array" ref="L28">SUMPRODUCT(B28:H28, TRANSPOSE(Portfolio!$R$2:$R$8))/100*3/2</f>
        <v>#DIV/0!</v>
      </c>
      <c r="M28" s="22" t="str">
        <f t="shared" si="3"/>
        <v>#DIV/0!</v>
      </c>
    </row>
    <row r="29" ht="15.75" customHeight="1">
      <c r="A29" s="31">
        <v>45373.73611111111</v>
      </c>
      <c r="B29" s="22" t="str">
        <f>Historique!B32/Historique!B31-1</f>
        <v>#DIV/0!</v>
      </c>
      <c r="C29" s="22" t="str">
        <f>OFFSET(Historique!$B31, 1, C$2)/OFFSET(Historique!$B31, 0, C$2)-1</f>
        <v>#DIV/0!</v>
      </c>
      <c r="D29" s="22" t="str">
        <f>OFFSET(Historique!$B31, 1, D$2)/OFFSET(Historique!$B31, 0, D$2)-1</f>
        <v>#DIV/0!</v>
      </c>
      <c r="E29" s="22" t="str">
        <f>OFFSET(Historique!$B31, 1, E$2)/OFFSET(Historique!$B31, 0, E$2)-1</f>
        <v>#DIV/0!</v>
      </c>
      <c r="F29" s="22" t="str">
        <f>OFFSET(Historique!$B31, 1, F$2)/OFFSET(Historique!$B31, 0, F$2)-1</f>
        <v>#DIV/0!</v>
      </c>
      <c r="G29" s="22" t="str">
        <f>OFFSET(Historique!$B31, 1, G$2)/OFFSET(Historique!$B31, 0, G$2)-1</f>
        <v>#DIV/0!</v>
      </c>
      <c r="H29" s="22" t="str">
        <f>OFFSET(Historique!$B31, 1, H$2)/OFFSET(Historique!$B31, 0, H$2)-1</f>
        <v>#DIV/0!</v>
      </c>
      <c r="I29" s="22" t="str">
        <f>OFFSET(Historique!$B31, 1, I$2)/OFFSET(Historique!$B31, 0, I$2)-1</f>
        <v>#DIV/0!</v>
      </c>
      <c r="J29" s="22" t="str">
        <f t="array" ref="J29">SUMPRODUCT(B29:I29, TRANSPOSE(Portfolio!$R$2:$R$9))/100</f>
        <v>#DIV/0!</v>
      </c>
      <c r="K29" s="22" t="str">
        <f t="shared" si="2"/>
        <v>#DIV/0!</v>
      </c>
      <c r="L29" s="22" t="str">
        <f t="array" ref="L29">SUMPRODUCT(B29:H29, TRANSPOSE(Portfolio!$R$2:$R$8))/100*3/2</f>
        <v>#DIV/0!</v>
      </c>
      <c r="M29" s="22" t="str">
        <f t="shared" si="3"/>
        <v>#DIV/0!</v>
      </c>
    </row>
    <row r="30" ht="15.75" customHeight="1">
      <c r="A30" s="31">
        <v>45379.73611111111</v>
      </c>
      <c r="B30" s="22" t="str">
        <f>Historique!B33/Historique!B32-1</f>
        <v>#DIV/0!</v>
      </c>
      <c r="C30" s="22" t="str">
        <f>OFFSET(Historique!$B32, 1, C$2)/OFFSET(Historique!$B32, 0, C$2)-1</f>
        <v>#DIV/0!</v>
      </c>
      <c r="D30" s="22" t="str">
        <f>OFFSET(Historique!$B32, 1, D$2)/OFFSET(Historique!$B32, 0, D$2)-1</f>
        <v>#DIV/0!</v>
      </c>
      <c r="E30" s="22" t="str">
        <f>OFFSET(Historique!$B32, 1, E$2)/OFFSET(Historique!$B32, 0, E$2)-1</f>
        <v>#DIV/0!</v>
      </c>
      <c r="F30" s="22" t="str">
        <f>OFFSET(Historique!$B32, 1, F$2)/OFFSET(Historique!$B32, 0, F$2)-1</f>
        <v>#DIV/0!</v>
      </c>
      <c r="G30" s="22" t="str">
        <f>OFFSET(Historique!$B32, 1, G$2)/OFFSET(Historique!$B32, 0, G$2)-1</f>
        <v>#DIV/0!</v>
      </c>
      <c r="H30" s="22" t="str">
        <f>OFFSET(Historique!$B32, 1, H$2)/OFFSET(Historique!$B32, 0, H$2)-1</f>
        <v>#DIV/0!</v>
      </c>
      <c r="I30" s="22" t="str">
        <f>OFFSET(Historique!$B32, 1, I$2)/OFFSET(Historique!$B32, 0, I$2)-1</f>
        <v>#DIV/0!</v>
      </c>
      <c r="J30" s="22" t="str">
        <f t="array" ref="J30">SUMPRODUCT(B30:I30, TRANSPOSE(Portfolio!$R$2:$R$9))/100</f>
        <v>#DIV/0!</v>
      </c>
      <c r="K30" s="22" t="str">
        <f t="shared" si="2"/>
        <v>#DIV/0!</v>
      </c>
      <c r="L30" s="22" t="str">
        <f t="array" ref="L30">SUMPRODUCT(B30:H30, TRANSPOSE(Portfolio!$R$2:$R$8))/100*3/2</f>
        <v>#DIV/0!</v>
      </c>
      <c r="M30" s="22" t="str">
        <f t="shared" si="3"/>
        <v>#DIV/0!</v>
      </c>
    </row>
    <row r="31" ht="15.75" customHeight="1">
      <c r="A31" s="31">
        <v>45387.73611111111</v>
      </c>
      <c r="B31" s="22" t="str">
        <f>Historique!B34/Historique!B33-1</f>
        <v>#DIV/0!</v>
      </c>
      <c r="C31" s="22" t="str">
        <f>OFFSET(Historique!$B33, 1, C$2)/OFFSET(Historique!$B33, 0, C$2)-1</f>
        <v>#DIV/0!</v>
      </c>
      <c r="D31" s="22" t="str">
        <f>OFFSET(Historique!$B33, 1, D$2)/OFFSET(Historique!$B33, 0, D$2)-1</f>
        <v>#DIV/0!</v>
      </c>
      <c r="E31" s="22" t="str">
        <f>OFFSET(Historique!$B33, 1, E$2)/OFFSET(Historique!$B33, 0, E$2)-1</f>
        <v>#DIV/0!</v>
      </c>
      <c r="F31" s="22" t="str">
        <f>OFFSET(Historique!$B33, 1, F$2)/OFFSET(Historique!$B33, 0, F$2)-1</f>
        <v>#DIV/0!</v>
      </c>
      <c r="G31" s="22" t="str">
        <f>OFFSET(Historique!$B33, 1, G$2)/OFFSET(Historique!$B33, 0, G$2)-1</f>
        <v>#DIV/0!</v>
      </c>
      <c r="H31" s="22" t="str">
        <f>OFFSET(Historique!$B33, 1, H$2)/OFFSET(Historique!$B33, 0, H$2)-1</f>
        <v>#DIV/0!</v>
      </c>
      <c r="I31" s="22" t="str">
        <f>OFFSET(Historique!$B33, 1, I$2)/OFFSET(Historique!$B33, 0, I$2)-1</f>
        <v>#DIV/0!</v>
      </c>
      <c r="J31" s="22" t="str">
        <f t="array" ref="J31">SUMPRODUCT(B31:I31, TRANSPOSE(Portfolio!$R$2:$R$9))/100</f>
        <v>#DIV/0!</v>
      </c>
      <c r="K31" s="22" t="str">
        <f t="shared" si="2"/>
        <v>#DIV/0!</v>
      </c>
      <c r="L31" s="22" t="str">
        <f t="array" ref="L31">SUMPRODUCT(B31:H31, TRANSPOSE(Portfolio!$R$2:$R$8))/100*3/2</f>
        <v>#DIV/0!</v>
      </c>
      <c r="M31" s="22" t="str">
        <f t="shared" si="3"/>
        <v>#DIV/0!</v>
      </c>
    </row>
    <row r="32" ht="15.75" customHeight="1">
      <c r="A32" s="31">
        <v>45394.73611111111</v>
      </c>
      <c r="B32" s="22" t="str">
        <f>Historique!B35/Historique!B34-1</f>
        <v>#DIV/0!</v>
      </c>
      <c r="C32" s="22" t="str">
        <f>OFFSET(Historique!$B34, 1, C$2)/OFFSET(Historique!$B34, 0, C$2)-1</f>
        <v>#DIV/0!</v>
      </c>
      <c r="D32" s="22" t="str">
        <f>OFFSET(Historique!$B34, 1, D$2)/OFFSET(Historique!$B34, 0, D$2)-1</f>
        <v>#DIV/0!</v>
      </c>
      <c r="E32" s="22" t="str">
        <f>OFFSET(Historique!$B34, 1, E$2)/OFFSET(Historique!$B34, 0, E$2)-1</f>
        <v>#DIV/0!</v>
      </c>
      <c r="F32" s="22" t="str">
        <f>OFFSET(Historique!$B34, 1, F$2)/OFFSET(Historique!$B34, 0, F$2)-1</f>
        <v>#DIV/0!</v>
      </c>
      <c r="G32" s="22" t="str">
        <f>OFFSET(Historique!$B34, 1, G$2)/OFFSET(Historique!$B34, 0, G$2)-1</f>
        <v>#DIV/0!</v>
      </c>
      <c r="H32" s="22" t="str">
        <f>OFFSET(Historique!$B34, 1, H$2)/OFFSET(Historique!$B34, 0, H$2)-1</f>
        <v>#DIV/0!</v>
      </c>
      <c r="I32" s="22" t="str">
        <f>OFFSET(Historique!$B34, 1, I$2)/OFFSET(Historique!$B34, 0, I$2)-1</f>
        <v>#DIV/0!</v>
      </c>
      <c r="J32" s="22" t="str">
        <f t="array" ref="J32">SUMPRODUCT(B32:I32, TRANSPOSE(Portfolio!$R$2:$R$9))/100</f>
        <v>#DIV/0!</v>
      </c>
      <c r="K32" s="22" t="str">
        <f t="shared" si="2"/>
        <v>#DIV/0!</v>
      </c>
      <c r="L32" s="22" t="str">
        <f t="array" ref="L32">SUMPRODUCT(B32:H32, TRANSPOSE(Portfolio!$R$2:$R$8))/100*3/2</f>
        <v>#DIV/0!</v>
      </c>
      <c r="M32" s="22" t="str">
        <f t="shared" si="3"/>
        <v>#DIV/0!</v>
      </c>
    </row>
    <row r="33" ht="15.75" customHeight="1">
      <c r="A33" s="31">
        <v>45401.73611111111</v>
      </c>
      <c r="B33" s="22" t="str">
        <f>Historique!B36/Historique!B35-1</f>
        <v>#DIV/0!</v>
      </c>
      <c r="C33" s="22" t="str">
        <f>OFFSET(Historique!$B35, 1, C$2)/OFFSET(Historique!$B35, 0, C$2)-1</f>
        <v>#DIV/0!</v>
      </c>
      <c r="D33" s="22" t="str">
        <f>OFFSET(Historique!$B35, 1, D$2)/OFFSET(Historique!$B35, 0, D$2)-1</f>
        <v>#DIV/0!</v>
      </c>
      <c r="E33" s="22" t="str">
        <f>OFFSET(Historique!$B35, 1, E$2)/OFFSET(Historique!$B35, 0, E$2)-1</f>
        <v>#DIV/0!</v>
      </c>
      <c r="F33" s="22" t="str">
        <f>OFFSET(Historique!$B35, 1, F$2)/OFFSET(Historique!$B35, 0, F$2)-1</f>
        <v>#DIV/0!</v>
      </c>
      <c r="G33" s="22" t="str">
        <f>OFFSET(Historique!$B35, 1, G$2)/OFFSET(Historique!$B35, 0, G$2)-1</f>
        <v>#DIV/0!</v>
      </c>
      <c r="H33" s="22" t="str">
        <f>OFFSET(Historique!$B35, 1, H$2)/OFFSET(Historique!$B35, 0, H$2)-1</f>
        <v>#DIV/0!</v>
      </c>
      <c r="I33" s="22" t="str">
        <f>OFFSET(Historique!$B35, 1, I$2)/OFFSET(Historique!$B35, 0, I$2)-1</f>
        <v>#DIV/0!</v>
      </c>
      <c r="J33" s="22" t="str">
        <f t="array" ref="J33">SUMPRODUCT(B33:I33, TRANSPOSE(Portfolio!$R$2:$R$9))/100</f>
        <v>#DIV/0!</v>
      </c>
      <c r="K33" s="22" t="str">
        <f t="shared" si="2"/>
        <v>#DIV/0!</v>
      </c>
      <c r="L33" s="22" t="str">
        <f t="array" ref="L33">SUMPRODUCT(B33:H33, TRANSPOSE(Portfolio!$R$2:$R$8))/100*3/2</f>
        <v>#DIV/0!</v>
      </c>
      <c r="M33" s="22" t="str">
        <f t="shared" si="3"/>
        <v>#DIV/0!</v>
      </c>
    </row>
    <row r="34" ht="15.75" customHeight="1">
      <c r="A34" s="31">
        <v>45408.73611111111</v>
      </c>
      <c r="B34" s="22" t="str">
        <f>Historique!B37/Historique!B36-1</f>
        <v>#DIV/0!</v>
      </c>
      <c r="C34" s="22" t="str">
        <f>OFFSET(Historique!$B36, 1, C$2)/OFFSET(Historique!$B36, 0, C$2)-1</f>
        <v>#DIV/0!</v>
      </c>
      <c r="D34" s="22" t="str">
        <f>OFFSET(Historique!$B36, 1, D$2)/OFFSET(Historique!$B36, 0, D$2)-1</f>
        <v>#DIV/0!</v>
      </c>
      <c r="E34" s="22" t="str">
        <f>OFFSET(Historique!$B36, 1, E$2)/OFFSET(Historique!$B36, 0, E$2)-1</f>
        <v>#DIV/0!</v>
      </c>
      <c r="F34" s="22" t="str">
        <f>OFFSET(Historique!$B36, 1, F$2)/OFFSET(Historique!$B36, 0, F$2)-1</f>
        <v>#DIV/0!</v>
      </c>
      <c r="G34" s="22" t="str">
        <f>OFFSET(Historique!$B36, 1, G$2)/OFFSET(Historique!$B36, 0, G$2)-1</f>
        <v>#DIV/0!</v>
      </c>
      <c r="H34" s="22" t="str">
        <f>OFFSET(Historique!$B36, 1, H$2)/OFFSET(Historique!$B36, 0, H$2)-1</f>
        <v>#DIV/0!</v>
      </c>
      <c r="I34" s="22" t="str">
        <f>OFFSET(Historique!$B36, 1, I$2)/OFFSET(Historique!$B36, 0, I$2)-1</f>
        <v>#DIV/0!</v>
      </c>
      <c r="J34" s="22" t="str">
        <f t="array" ref="J34">SUMPRODUCT(B34:I34, TRANSPOSE(Portfolio!$R$2:$R$9))/100</f>
        <v>#DIV/0!</v>
      </c>
      <c r="K34" s="22" t="str">
        <f t="shared" si="2"/>
        <v>#DIV/0!</v>
      </c>
      <c r="L34" s="22" t="str">
        <f t="array" ref="L34">SUMPRODUCT(B34:H34, TRANSPOSE(Portfolio!$R$2:$R$8))/100*3/2</f>
        <v>#DIV/0!</v>
      </c>
      <c r="M34" s="22" t="str">
        <f t="shared" si="3"/>
        <v>#DIV/0!</v>
      </c>
    </row>
    <row r="35" ht="15.75" customHeight="1">
      <c r="A35" s="31">
        <v>45415.73611111111</v>
      </c>
      <c r="B35" s="22" t="str">
        <f>Historique!B38/Historique!B37-1</f>
        <v>#DIV/0!</v>
      </c>
      <c r="C35" s="22" t="str">
        <f>OFFSET(Historique!$B37, 1, C$2)/OFFSET(Historique!$B37, 0, C$2)-1</f>
        <v>#DIV/0!</v>
      </c>
      <c r="D35" s="22" t="str">
        <f>OFFSET(Historique!$B37, 1, D$2)/OFFSET(Historique!$B37, 0, D$2)-1</f>
        <v>#DIV/0!</v>
      </c>
      <c r="E35" s="22" t="str">
        <f>OFFSET(Historique!$B37, 1, E$2)/OFFSET(Historique!$B37, 0, E$2)-1</f>
        <v>#DIV/0!</v>
      </c>
      <c r="F35" s="22" t="str">
        <f>OFFSET(Historique!$B37, 1, F$2)/OFFSET(Historique!$B37, 0, F$2)-1</f>
        <v>#DIV/0!</v>
      </c>
      <c r="G35" s="22" t="str">
        <f>OFFSET(Historique!$B37, 1, G$2)/OFFSET(Historique!$B37, 0, G$2)-1</f>
        <v>#DIV/0!</v>
      </c>
      <c r="H35" s="22" t="str">
        <f>OFFSET(Historique!$B37, 1, H$2)/OFFSET(Historique!$B37, 0, H$2)-1</f>
        <v>#DIV/0!</v>
      </c>
      <c r="I35" s="22" t="str">
        <f>OFFSET(Historique!$B37, 1, I$2)/OFFSET(Historique!$B37, 0, I$2)-1</f>
        <v>#DIV/0!</v>
      </c>
      <c r="J35" s="22" t="str">
        <f t="array" ref="J35">SUMPRODUCT(B35:I35, TRANSPOSE(Portfolio!$R$2:$R$9))/100</f>
        <v>#DIV/0!</v>
      </c>
      <c r="K35" s="22" t="str">
        <f t="shared" si="2"/>
        <v>#DIV/0!</v>
      </c>
      <c r="L35" s="22" t="str">
        <f t="array" ref="L35">SUMPRODUCT(B35:H35, TRANSPOSE(Portfolio!$R$2:$R$8))/100*3/2</f>
        <v>#DIV/0!</v>
      </c>
      <c r="M35" s="22" t="str">
        <f t="shared" si="3"/>
        <v>#DIV/0!</v>
      </c>
    </row>
    <row r="36" ht="15.75" customHeight="1">
      <c r="A36" s="31">
        <v>45422.73611111111</v>
      </c>
      <c r="B36" s="22" t="str">
        <f>Historique!B39/Historique!B38-1</f>
        <v>#DIV/0!</v>
      </c>
      <c r="C36" s="22" t="str">
        <f>OFFSET(Historique!$B38, 1, C$2)/OFFSET(Historique!$B38, 0, C$2)-1</f>
        <v>#DIV/0!</v>
      </c>
      <c r="D36" s="22" t="str">
        <f>OFFSET(Historique!$B38, 1, D$2)/OFFSET(Historique!$B38, 0, D$2)-1</f>
        <v>#DIV/0!</v>
      </c>
      <c r="E36" s="22" t="str">
        <f>OFFSET(Historique!$B38, 1, E$2)/OFFSET(Historique!$B38, 0, E$2)-1</f>
        <v>#DIV/0!</v>
      </c>
      <c r="F36" s="22" t="str">
        <f>OFFSET(Historique!$B38, 1, F$2)/OFFSET(Historique!$B38, 0, F$2)-1</f>
        <v>#DIV/0!</v>
      </c>
      <c r="G36" s="22" t="str">
        <f>OFFSET(Historique!$B38, 1, G$2)/OFFSET(Historique!$B38, 0, G$2)-1</f>
        <v>#DIV/0!</v>
      </c>
      <c r="H36" s="22" t="str">
        <f>OFFSET(Historique!$B38, 1, H$2)/OFFSET(Historique!$B38, 0, H$2)-1</f>
        <v>#DIV/0!</v>
      </c>
      <c r="I36" s="22" t="str">
        <f>OFFSET(Historique!$B38, 1, I$2)/OFFSET(Historique!$B38, 0, I$2)-1</f>
        <v>#DIV/0!</v>
      </c>
      <c r="J36" s="22" t="str">
        <f t="array" ref="J36">SUMPRODUCT(B36:I36, TRANSPOSE(Portfolio!$R$2:$R$9))/100</f>
        <v>#DIV/0!</v>
      </c>
      <c r="K36" s="22" t="str">
        <f t="shared" si="2"/>
        <v>#DIV/0!</v>
      </c>
      <c r="L36" s="22" t="str">
        <f t="array" ref="L36">SUMPRODUCT(B36:H36, TRANSPOSE(Portfolio!$R$2:$R$8))/100*3/2</f>
        <v>#DIV/0!</v>
      </c>
      <c r="M36" s="22" t="str">
        <f t="shared" si="3"/>
        <v>#DIV/0!</v>
      </c>
    </row>
    <row r="37" ht="15.75" customHeight="1">
      <c r="A37" s="31">
        <v>45428.73611111111</v>
      </c>
      <c r="B37" s="22" t="str">
        <f>Historique!B40/Historique!B39-1</f>
        <v>#DIV/0!</v>
      </c>
      <c r="C37" s="22" t="str">
        <f>OFFSET(Historique!$B39, 1, C$2)/OFFSET(Historique!$B39, 0, C$2)-1</f>
        <v>#DIV/0!</v>
      </c>
      <c r="D37" s="22" t="str">
        <f>OFFSET(Historique!$B39, 1, D$2)/OFFSET(Historique!$B39, 0, D$2)-1</f>
        <v>#DIV/0!</v>
      </c>
      <c r="E37" s="22" t="str">
        <f>OFFSET(Historique!$B39, 1, E$2)/OFFSET(Historique!$B39, 0, E$2)-1</f>
        <v>#DIV/0!</v>
      </c>
      <c r="F37" s="22" t="str">
        <f>OFFSET(Historique!$B39, 1, F$2)/OFFSET(Historique!$B39, 0, F$2)-1</f>
        <v>#DIV/0!</v>
      </c>
      <c r="G37" s="22" t="str">
        <f>OFFSET(Historique!$B39, 1, G$2)/OFFSET(Historique!$B39, 0, G$2)-1</f>
        <v>#DIV/0!</v>
      </c>
      <c r="H37" s="22" t="str">
        <f>OFFSET(Historique!$B39, 1, H$2)/OFFSET(Historique!$B39, 0, H$2)-1</f>
        <v>#DIV/0!</v>
      </c>
      <c r="I37" s="22" t="str">
        <f>OFFSET(Historique!$B39, 1, I$2)/OFFSET(Historique!$B39, 0, I$2)-1</f>
        <v>#DIV/0!</v>
      </c>
      <c r="J37" s="22" t="str">
        <f t="array" ref="J37">SUMPRODUCT(B37:I37, TRANSPOSE(Portfolio!$R$2:$R$9))/100</f>
        <v>#DIV/0!</v>
      </c>
      <c r="K37" s="22" t="str">
        <f t="shared" si="2"/>
        <v>#DIV/0!</v>
      </c>
      <c r="L37" s="22" t="str">
        <f t="array" ref="L37">SUMPRODUCT(B37:H37, TRANSPOSE(Portfolio!$R$2:$R$8))/100*3/2</f>
        <v>#DIV/0!</v>
      </c>
      <c r="M37" s="22" t="str">
        <f t="shared" si="3"/>
        <v>#DIV/0!</v>
      </c>
    </row>
    <row r="38" ht="15.75" customHeight="1">
      <c r="A38" s="31">
        <v>45436.73611111111</v>
      </c>
      <c r="B38" s="22" t="str">
        <f>Historique!B41/Historique!B40-1</f>
        <v>#DIV/0!</v>
      </c>
      <c r="C38" s="22" t="str">
        <f>OFFSET(Historique!$B40, 1, C$2)/OFFSET(Historique!$B40, 0, C$2)-1</f>
        <v>#DIV/0!</v>
      </c>
      <c r="D38" s="22" t="str">
        <f>OFFSET(Historique!$B40, 1, D$2)/OFFSET(Historique!$B40, 0, D$2)-1</f>
        <v>#DIV/0!</v>
      </c>
      <c r="E38" s="22" t="str">
        <f>OFFSET(Historique!$B40, 1, E$2)/OFFSET(Historique!$B40, 0, E$2)-1</f>
        <v>#DIV/0!</v>
      </c>
      <c r="F38" s="22" t="str">
        <f>OFFSET(Historique!$B40, 1, F$2)/OFFSET(Historique!$B40, 0, F$2)-1</f>
        <v>#DIV/0!</v>
      </c>
      <c r="G38" s="22" t="str">
        <f>OFFSET(Historique!$B40, 1, G$2)/OFFSET(Historique!$B40, 0, G$2)-1</f>
        <v>#DIV/0!</v>
      </c>
      <c r="H38" s="22" t="str">
        <f>OFFSET(Historique!$B40, 1, H$2)/OFFSET(Historique!$B40, 0, H$2)-1</f>
        <v>#DIV/0!</v>
      </c>
      <c r="I38" s="22" t="str">
        <f>OFFSET(Historique!$B40, 1, I$2)/OFFSET(Historique!$B40, 0, I$2)-1</f>
        <v>#DIV/0!</v>
      </c>
      <c r="J38" s="22" t="str">
        <f t="array" ref="J38">SUMPRODUCT(B38:I38, TRANSPOSE(Portfolio!$R$2:$R$9))/100</f>
        <v>#DIV/0!</v>
      </c>
      <c r="K38" s="22" t="str">
        <f t="shared" si="2"/>
        <v>#DIV/0!</v>
      </c>
      <c r="L38" s="22" t="str">
        <f t="array" ref="L38">SUMPRODUCT(B38:H38, TRANSPOSE(Portfolio!$R$2:$R$8))/100*3/2</f>
        <v>#DIV/0!</v>
      </c>
      <c r="M38" s="22" t="str">
        <f t="shared" si="3"/>
        <v>#DIV/0!</v>
      </c>
    </row>
    <row r="39" ht="15.75" customHeight="1">
      <c r="A39" s="31">
        <v>45443.73611111111</v>
      </c>
      <c r="B39" s="22" t="str">
        <f>Historique!B42/Historique!B41-1</f>
        <v>#DIV/0!</v>
      </c>
      <c r="C39" s="22" t="str">
        <f>OFFSET(Historique!$B41, 1, C$2)/OFFSET(Historique!$B41, 0, C$2)-1</f>
        <v>#DIV/0!</v>
      </c>
      <c r="D39" s="22" t="str">
        <f>OFFSET(Historique!$B41, 1, D$2)/OFFSET(Historique!$B41, 0, D$2)-1</f>
        <v>#DIV/0!</v>
      </c>
      <c r="E39" s="22" t="str">
        <f>OFFSET(Historique!$B41, 1, E$2)/OFFSET(Historique!$B41, 0, E$2)-1</f>
        <v>#DIV/0!</v>
      </c>
      <c r="F39" s="22" t="str">
        <f>OFFSET(Historique!$B41, 1, F$2)/OFFSET(Historique!$B41, 0, F$2)-1</f>
        <v>#DIV/0!</v>
      </c>
      <c r="G39" s="22" t="str">
        <f>OFFSET(Historique!$B41, 1, G$2)/OFFSET(Historique!$B41, 0, G$2)-1</f>
        <v>#DIV/0!</v>
      </c>
      <c r="H39" s="22" t="str">
        <f>OFFSET(Historique!$B41, 1, H$2)/OFFSET(Historique!$B41, 0, H$2)-1</f>
        <v>#DIV/0!</v>
      </c>
      <c r="I39" s="22" t="str">
        <f>OFFSET(Historique!$B41, 1, I$2)/OFFSET(Historique!$B41, 0, I$2)-1</f>
        <v>#DIV/0!</v>
      </c>
      <c r="J39" s="22" t="str">
        <f t="array" ref="J39">SUMPRODUCT(B39:I39, TRANSPOSE(Portfolio!$R$2:$R$9))/100</f>
        <v>#DIV/0!</v>
      </c>
      <c r="K39" s="22" t="str">
        <f t="shared" si="2"/>
        <v>#DIV/0!</v>
      </c>
      <c r="L39" s="22" t="str">
        <f t="array" ref="L39">SUMPRODUCT(B39:H39, TRANSPOSE(Portfolio!$R$2:$R$8))/100*3/2</f>
        <v>#DIV/0!</v>
      </c>
      <c r="M39" s="22" t="str">
        <f t="shared" si="3"/>
        <v>#DIV/0!</v>
      </c>
    </row>
    <row r="40" ht="15.75" customHeight="1">
      <c r="A40" s="31">
        <v>45450.73611111111</v>
      </c>
      <c r="B40" s="22" t="str">
        <f>Historique!B43/Historique!B42-1</f>
        <v>#DIV/0!</v>
      </c>
      <c r="C40" s="22" t="str">
        <f>OFFSET(Historique!$B42, 1, C$2)/OFFSET(Historique!$B42, 0, C$2)-1</f>
        <v>#DIV/0!</v>
      </c>
      <c r="D40" s="22" t="str">
        <f>OFFSET(Historique!$B42, 1, D$2)/OFFSET(Historique!$B42, 0, D$2)-1</f>
        <v>#DIV/0!</v>
      </c>
      <c r="E40" s="22" t="str">
        <f>OFFSET(Historique!$B42, 1, E$2)/OFFSET(Historique!$B42, 0, E$2)-1</f>
        <v>#DIV/0!</v>
      </c>
      <c r="F40" s="22" t="str">
        <f>OFFSET(Historique!$B42, 1, F$2)/OFFSET(Historique!$B42, 0, F$2)-1</f>
        <v>#DIV/0!</v>
      </c>
      <c r="G40" s="22" t="str">
        <f>OFFSET(Historique!$B42, 1, G$2)/OFFSET(Historique!$B42, 0, G$2)-1</f>
        <v>#DIV/0!</v>
      </c>
      <c r="H40" s="22" t="str">
        <f>OFFSET(Historique!$B42, 1, H$2)/OFFSET(Historique!$B42, 0, H$2)-1</f>
        <v>#DIV/0!</v>
      </c>
      <c r="I40" s="22" t="str">
        <f>OFFSET(Historique!$B42, 1, I$2)/OFFSET(Historique!$B42, 0, I$2)-1</f>
        <v>#DIV/0!</v>
      </c>
      <c r="J40" s="22" t="str">
        <f t="array" ref="J40">SUMPRODUCT(B40:I40, TRANSPOSE(Portfolio!$R$2:$R$9))/100</f>
        <v>#DIV/0!</v>
      </c>
      <c r="K40" s="22" t="str">
        <f t="shared" si="2"/>
        <v>#DIV/0!</v>
      </c>
      <c r="L40" s="22" t="str">
        <f t="array" ref="L40">SUMPRODUCT(B40:H40, TRANSPOSE(Portfolio!$R$2:$R$8))/100*3/2</f>
        <v>#DIV/0!</v>
      </c>
      <c r="M40" s="22" t="str">
        <f t="shared" si="3"/>
        <v>#DIV/0!</v>
      </c>
    </row>
    <row r="41" ht="15.75" customHeight="1">
      <c r="A41" s="31">
        <v>45457.73611111111</v>
      </c>
      <c r="B41" s="22" t="str">
        <f>Historique!B44/Historique!B43-1</f>
        <v>#DIV/0!</v>
      </c>
      <c r="C41" s="22" t="str">
        <f>OFFSET(Historique!$B43, 1, C$2)/OFFSET(Historique!$B43, 0, C$2)-1</f>
        <v>#DIV/0!</v>
      </c>
      <c r="D41" s="22" t="str">
        <f>OFFSET(Historique!$B43, 1, D$2)/OFFSET(Historique!$B43, 0, D$2)-1</f>
        <v>#DIV/0!</v>
      </c>
      <c r="E41" s="22" t="str">
        <f>OFFSET(Historique!$B43, 1, E$2)/OFFSET(Historique!$B43, 0, E$2)-1</f>
        <v>#DIV/0!</v>
      </c>
      <c r="F41" s="22" t="str">
        <f>OFFSET(Historique!$B43, 1, F$2)/OFFSET(Historique!$B43, 0, F$2)-1</f>
        <v>#DIV/0!</v>
      </c>
      <c r="G41" s="22" t="str">
        <f>OFFSET(Historique!$B43, 1, G$2)/OFFSET(Historique!$B43, 0, G$2)-1</f>
        <v>#DIV/0!</v>
      </c>
      <c r="H41" s="22" t="str">
        <f>OFFSET(Historique!$B43, 1, H$2)/OFFSET(Historique!$B43, 0, H$2)-1</f>
        <v>#DIV/0!</v>
      </c>
      <c r="I41" s="22" t="str">
        <f>OFFSET(Historique!$B43, 1, I$2)/OFFSET(Historique!$B43, 0, I$2)-1</f>
        <v>#DIV/0!</v>
      </c>
      <c r="J41" s="22" t="str">
        <f t="array" ref="J41">SUMPRODUCT(B41:I41, TRANSPOSE(Portfolio!$R$2:$R$9))/100</f>
        <v>#DIV/0!</v>
      </c>
      <c r="K41" s="22" t="str">
        <f t="shared" si="2"/>
        <v>#DIV/0!</v>
      </c>
      <c r="L41" s="22" t="str">
        <f t="array" ref="L41">SUMPRODUCT(B41:H41, TRANSPOSE(Portfolio!$R$2:$R$8))/100*3/2</f>
        <v>#DIV/0!</v>
      </c>
      <c r="M41" s="22" t="str">
        <f t="shared" si="3"/>
        <v>#DIV/0!</v>
      </c>
    </row>
    <row r="42" ht="15.75" customHeight="1">
      <c r="A42" s="31">
        <v>45464.73611111111</v>
      </c>
      <c r="B42" s="22" t="str">
        <f>Historique!B45/Historique!B44-1</f>
        <v>#DIV/0!</v>
      </c>
      <c r="C42" s="22" t="str">
        <f>OFFSET(Historique!$B44, 1, C$2)/OFFSET(Historique!$B44, 0, C$2)-1</f>
        <v>#DIV/0!</v>
      </c>
      <c r="D42" s="22" t="str">
        <f>OFFSET(Historique!$B44, 1, D$2)/OFFSET(Historique!$B44, 0, D$2)-1</f>
        <v>#DIV/0!</v>
      </c>
      <c r="E42" s="22" t="str">
        <f>OFFSET(Historique!$B44, 1, E$2)/OFFSET(Historique!$B44, 0, E$2)-1</f>
        <v>#DIV/0!</v>
      </c>
      <c r="F42" s="22" t="str">
        <f>OFFSET(Historique!$B44, 1, F$2)/OFFSET(Historique!$B44, 0, F$2)-1</f>
        <v>#DIV/0!</v>
      </c>
      <c r="G42" s="22" t="str">
        <f>OFFSET(Historique!$B44, 1, G$2)/OFFSET(Historique!$B44, 0, G$2)-1</f>
        <v>#DIV/0!</v>
      </c>
      <c r="H42" s="22" t="str">
        <f>OFFSET(Historique!$B44, 1, H$2)/OFFSET(Historique!$B44, 0, H$2)-1</f>
        <v>#DIV/0!</v>
      </c>
      <c r="I42" s="22" t="str">
        <f>OFFSET(Historique!$B44, 1, I$2)/OFFSET(Historique!$B44, 0, I$2)-1</f>
        <v>#DIV/0!</v>
      </c>
      <c r="J42" s="22" t="str">
        <f t="array" ref="J42">SUMPRODUCT(B42:I42, TRANSPOSE(Portfolio!$R$2:$R$9))/100</f>
        <v>#DIV/0!</v>
      </c>
      <c r="K42" s="22" t="str">
        <f t="shared" si="2"/>
        <v>#DIV/0!</v>
      </c>
      <c r="L42" s="22" t="str">
        <f t="array" ref="L42">SUMPRODUCT(B42:H42, TRANSPOSE(Portfolio!$R$2:$R$8))/100*3/2</f>
        <v>#DIV/0!</v>
      </c>
      <c r="M42" s="22" t="str">
        <f t="shared" si="3"/>
        <v>#DIV/0!</v>
      </c>
    </row>
    <row r="43" ht="15.75" customHeight="1">
      <c r="A43" s="31">
        <v>45471.73611111111</v>
      </c>
      <c r="B43" s="22" t="str">
        <f>Historique!B46/Historique!B45-1</f>
        <v>#DIV/0!</v>
      </c>
      <c r="C43" s="22" t="str">
        <f>OFFSET(Historique!$B45, 1, C$2)/OFFSET(Historique!$B45, 0, C$2)-1</f>
        <v>#DIV/0!</v>
      </c>
      <c r="D43" s="22" t="str">
        <f>OFFSET(Historique!$B45, 1, D$2)/OFFSET(Historique!$B45, 0, D$2)-1</f>
        <v>#DIV/0!</v>
      </c>
      <c r="E43" s="22" t="str">
        <f>OFFSET(Historique!$B45, 1, E$2)/OFFSET(Historique!$B45, 0, E$2)-1</f>
        <v>#DIV/0!</v>
      </c>
      <c r="F43" s="22" t="str">
        <f>OFFSET(Historique!$B45, 1, F$2)/OFFSET(Historique!$B45, 0, F$2)-1</f>
        <v>#DIV/0!</v>
      </c>
      <c r="G43" s="22" t="str">
        <f>OFFSET(Historique!$B45, 1, G$2)/OFFSET(Historique!$B45, 0, G$2)-1</f>
        <v>#DIV/0!</v>
      </c>
      <c r="H43" s="22" t="str">
        <f>OFFSET(Historique!$B45, 1, H$2)/OFFSET(Historique!$B45, 0, H$2)-1</f>
        <v>#DIV/0!</v>
      </c>
      <c r="I43" s="22" t="str">
        <f>OFFSET(Historique!$B45, 1, I$2)/OFFSET(Historique!$B45, 0, I$2)-1</f>
        <v>#DIV/0!</v>
      </c>
      <c r="J43" s="22" t="str">
        <f t="array" ref="J43">SUMPRODUCT(B43:I43, TRANSPOSE(Portfolio!$R$2:$R$9))/100</f>
        <v>#DIV/0!</v>
      </c>
      <c r="K43" s="22" t="str">
        <f t="shared" si="2"/>
        <v>#DIV/0!</v>
      </c>
      <c r="L43" s="22" t="str">
        <f t="array" ref="L43">SUMPRODUCT(B43:H43, TRANSPOSE(Portfolio!$R$2:$R$8))/100*3/2</f>
        <v>#DIV/0!</v>
      </c>
      <c r="M43" s="22" t="str">
        <f t="shared" si="3"/>
        <v>#DIV/0!</v>
      </c>
    </row>
    <row r="44" ht="15.75" customHeight="1">
      <c r="A44" s="31">
        <v>45478.73611111111</v>
      </c>
      <c r="B44" s="22" t="str">
        <f>Historique!B47/Historique!B46-1</f>
        <v>#DIV/0!</v>
      </c>
      <c r="C44" s="22" t="str">
        <f>OFFSET(Historique!$B46, 1, C$2)/OFFSET(Historique!$B46, 0, C$2)-1</f>
        <v>#DIV/0!</v>
      </c>
      <c r="D44" s="22" t="str">
        <f>OFFSET(Historique!$B46, 1, D$2)/OFFSET(Historique!$B46, 0, D$2)-1</f>
        <v>#DIV/0!</v>
      </c>
      <c r="E44" s="22" t="str">
        <f>OFFSET(Historique!$B46, 1, E$2)/OFFSET(Historique!$B46, 0, E$2)-1</f>
        <v>#DIV/0!</v>
      </c>
      <c r="F44" s="22" t="str">
        <f>OFFSET(Historique!$B46, 1, F$2)/OFFSET(Historique!$B46, 0, F$2)-1</f>
        <v>#DIV/0!</v>
      </c>
      <c r="G44" s="22" t="str">
        <f>OFFSET(Historique!$B46, 1, G$2)/OFFSET(Historique!$B46, 0, G$2)-1</f>
        <v>#DIV/0!</v>
      </c>
      <c r="H44" s="22" t="str">
        <f>OFFSET(Historique!$B46, 1, H$2)/OFFSET(Historique!$B46, 0, H$2)-1</f>
        <v>#DIV/0!</v>
      </c>
      <c r="I44" s="22" t="str">
        <f>OFFSET(Historique!$B46, 1, I$2)/OFFSET(Historique!$B46, 0, I$2)-1</f>
        <v>#DIV/0!</v>
      </c>
      <c r="J44" s="22" t="str">
        <f t="array" ref="J44">SUMPRODUCT(B44:I44, TRANSPOSE(Portfolio!$R$2:$R$9))/100</f>
        <v>#DIV/0!</v>
      </c>
      <c r="K44" s="22" t="str">
        <f t="shared" si="2"/>
        <v>#DIV/0!</v>
      </c>
      <c r="L44" s="22" t="str">
        <f t="array" ref="L44">SUMPRODUCT(B44:H44, TRANSPOSE(Portfolio!$R$2:$R$8))/100*3/2</f>
        <v>#DIV/0!</v>
      </c>
      <c r="M44" s="22" t="str">
        <f t="shared" si="3"/>
        <v>#DIV/0!</v>
      </c>
    </row>
    <row r="45" ht="15.75" customHeight="1">
      <c r="A45" s="31">
        <v>45485.73611111111</v>
      </c>
      <c r="B45" s="22" t="str">
        <f>Historique!B48/Historique!B47-1</f>
        <v>#DIV/0!</v>
      </c>
      <c r="C45" s="22" t="str">
        <f>OFFSET(Historique!$B47, 1, C$2)/OFFSET(Historique!$B47, 0, C$2)-1</f>
        <v>#DIV/0!</v>
      </c>
      <c r="D45" s="22" t="str">
        <f>OFFSET(Historique!$B47, 1, D$2)/OFFSET(Historique!$B47, 0, D$2)-1</f>
        <v>#DIV/0!</v>
      </c>
      <c r="E45" s="22" t="str">
        <f>OFFSET(Historique!$B47, 1, E$2)/OFFSET(Historique!$B47, 0, E$2)-1</f>
        <v>#DIV/0!</v>
      </c>
      <c r="F45" s="22" t="str">
        <f>OFFSET(Historique!$B47, 1, F$2)/OFFSET(Historique!$B47, 0, F$2)-1</f>
        <v>#DIV/0!</v>
      </c>
      <c r="G45" s="22" t="str">
        <f>OFFSET(Historique!$B47, 1, G$2)/OFFSET(Historique!$B47, 0, G$2)-1</f>
        <v>#DIV/0!</v>
      </c>
      <c r="H45" s="22" t="str">
        <f>OFFSET(Historique!$B47, 1, H$2)/OFFSET(Historique!$B47, 0, H$2)-1</f>
        <v>#DIV/0!</v>
      </c>
      <c r="I45" s="22" t="str">
        <f>OFFSET(Historique!$B47, 1, I$2)/OFFSET(Historique!$B47, 0, I$2)-1</f>
        <v>#DIV/0!</v>
      </c>
      <c r="J45" s="22" t="str">
        <f t="array" ref="J45">SUMPRODUCT(B45:I45, TRANSPOSE(Portfolio!$R$2:$R$9))/100</f>
        <v>#DIV/0!</v>
      </c>
      <c r="K45" s="22" t="str">
        <f t="shared" si="2"/>
        <v>#DIV/0!</v>
      </c>
      <c r="L45" s="22" t="str">
        <f t="array" ref="L45">SUMPRODUCT(B45:H45, TRANSPOSE(Portfolio!$R$2:$R$8))/100*3/2</f>
        <v>#DIV/0!</v>
      </c>
      <c r="M45" s="22" t="str">
        <f t="shared" si="3"/>
        <v>#DIV/0!</v>
      </c>
    </row>
    <row r="46" ht="15.75" customHeight="1">
      <c r="A46" s="31">
        <v>45490.73611111111</v>
      </c>
      <c r="B46" s="22" t="str">
        <f>Historique!B49/Historique!B48-1</f>
        <v>#DIV/0!</v>
      </c>
      <c r="C46" s="22" t="str">
        <f>OFFSET(Historique!$B48, 1, C$2)/OFFSET(Historique!$B48, 0, C$2)-1</f>
        <v>#DIV/0!</v>
      </c>
      <c r="D46" s="22" t="str">
        <f>OFFSET(Historique!$B48, 1, D$2)/OFFSET(Historique!$B48, 0, D$2)-1</f>
        <v>#DIV/0!</v>
      </c>
      <c r="E46" s="22" t="str">
        <f>OFFSET(Historique!$B48, 1, E$2)/OFFSET(Historique!$B48, 0, E$2)-1</f>
        <v>#DIV/0!</v>
      </c>
      <c r="F46" s="22" t="str">
        <f>OFFSET(Historique!$B48, 1, F$2)/OFFSET(Historique!$B48, 0, F$2)-1</f>
        <v>#DIV/0!</v>
      </c>
      <c r="G46" s="22" t="str">
        <f>OFFSET(Historique!$B48, 1, G$2)/OFFSET(Historique!$B48, 0, G$2)-1</f>
        <v>#DIV/0!</v>
      </c>
      <c r="H46" s="22" t="str">
        <f>OFFSET(Historique!$B48, 1, H$2)/OFFSET(Historique!$B48, 0, H$2)-1</f>
        <v>#DIV/0!</v>
      </c>
      <c r="I46" s="22" t="str">
        <f>OFFSET(Historique!$B48, 1, I$2)/OFFSET(Historique!$B48, 0, I$2)-1</f>
        <v>#DIV/0!</v>
      </c>
      <c r="J46" s="22" t="str">
        <f t="array" ref="J46">SUMPRODUCT(B46:I46, TRANSPOSE(Portfolio!$R$2:$R$9))/100</f>
        <v>#DIV/0!</v>
      </c>
      <c r="K46" s="22" t="str">
        <f t="shared" si="2"/>
        <v>#DIV/0!</v>
      </c>
      <c r="L46" s="22" t="str">
        <f t="array" ref="L46">SUMPRODUCT(B46:H46, TRANSPOSE(Portfolio!$R$2:$R$8))/100*3/2</f>
        <v>#DIV/0!</v>
      </c>
      <c r="M46" s="22" t="str">
        <f t="shared" si="3"/>
        <v>#DIV/0!</v>
      </c>
    </row>
    <row r="47" ht="15.75" customHeight="1">
      <c r="A47" s="31">
        <v>45499.73611111111</v>
      </c>
      <c r="B47" s="22" t="str">
        <f>Historique!B50/Historique!B49-1</f>
        <v>#DIV/0!</v>
      </c>
      <c r="C47" s="22" t="str">
        <f>OFFSET(Historique!$B49, 1, C$2)/OFFSET(Historique!$B49, 0, C$2)-1</f>
        <v>#DIV/0!</v>
      </c>
      <c r="D47" s="22" t="str">
        <f>OFFSET(Historique!$B49, 1, D$2)/OFFSET(Historique!$B49, 0, D$2)-1</f>
        <v>#DIV/0!</v>
      </c>
      <c r="E47" s="22" t="str">
        <f>OFFSET(Historique!$B49, 1, E$2)/OFFSET(Historique!$B49, 0, E$2)-1</f>
        <v>#DIV/0!</v>
      </c>
      <c r="F47" s="22" t="str">
        <f>OFFSET(Historique!$B49, 1, F$2)/OFFSET(Historique!$B49, 0, F$2)-1</f>
        <v>#DIV/0!</v>
      </c>
      <c r="G47" s="22" t="str">
        <f>OFFSET(Historique!$B49, 1, G$2)/OFFSET(Historique!$B49, 0, G$2)-1</f>
        <v>#DIV/0!</v>
      </c>
      <c r="H47" s="22" t="str">
        <f>OFFSET(Historique!$B49, 1, H$2)/OFFSET(Historique!$B49, 0, H$2)-1</f>
        <v>#DIV/0!</v>
      </c>
      <c r="I47" s="22" t="str">
        <f>OFFSET(Historique!$B49, 1, I$2)/OFFSET(Historique!$B49, 0, I$2)-1</f>
        <v>#DIV/0!</v>
      </c>
      <c r="J47" s="22" t="str">
        <f t="array" ref="J47">SUMPRODUCT(B47:I47, TRANSPOSE(Portfolio!$R$2:$R$9))/100</f>
        <v>#DIV/0!</v>
      </c>
      <c r="K47" s="22" t="str">
        <f t="shared" si="2"/>
        <v>#DIV/0!</v>
      </c>
      <c r="L47" s="22" t="str">
        <f t="array" ref="L47">SUMPRODUCT(B47:H47, TRANSPOSE(Portfolio!$R$2:$R$8))/100*3/2</f>
        <v>#DIV/0!</v>
      </c>
      <c r="M47" s="22" t="str">
        <f t="shared" si="3"/>
        <v>#DIV/0!</v>
      </c>
    </row>
    <row r="48" ht="15.75" customHeight="1">
      <c r="A48" s="31">
        <v>45506.73611111111</v>
      </c>
      <c r="B48" s="22" t="str">
        <f>Historique!B51/Historique!B50-1</f>
        <v>#DIV/0!</v>
      </c>
      <c r="C48" s="22" t="str">
        <f>OFFSET(Historique!$B50, 1, C$2)/OFFSET(Historique!$B50, 0, C$2)-1</f>
        <v>#DIV/0!</v>
      </c>
      <c r="D48" s="22" t="str">
        <f>OFFSET(Historique!$B50, 1, D$2)/OFFSET(Historique!$B50, 0, D$2)-1</f>
        <v>#DIV/0!</v>
      </c>
      <c r="E48" s="22" t="str">
        <f>OFFSET(Historique!$B50, 1, E$2)/OFFSET(Historique!$B50, 0, E$2)-1</f>
        <v>#DIV/0!</v>
      </c>
      <c r="F48" s="22" t="str">
        <f>OFFSET(Historique!$B50, 1, F$2)/OFFSET(Historique!$B50, 0, F$2)-1</f>
        <v>#DIV/0!</v>
      </c>
      <c r="G48" s="22" t="str">
        <f>OFFSET(Historique!$B50, 1, G$2)/OFFSET(Historique!$B50, 0, G$2)-1</f>
        <v>#DIV/0!</v>
      </c>
      <c r="H48" s="22" t="str">
        <f>OFFSET(Historique!$B50, 1, H$2)/OFFSET(Historique!$B50, 0, H$2)-1</f>
        <v>#DIV/0!</v>
      </c>
      <c r="I48" s="22" t="str">
        <f>OFFSET(Historique!$B50, 1, I$2)/OFFSET(Historique!$B50, 0, I$2)-1</f>
        <v>#DIV/0!</v>
      </c>
      <c r="J48" s="22" t="str">
        <f t="array" ref="J48">SUMPRODUCT(B48:I48, TRANSPOSE(Portfolio!$R$2:$R$9))/100</f>
        <v>#DIV/0!</v>
      </c>
      <c r="K48" s="22" t="str">
        <f t="shared" si="2"/>
        <v>#DIV/0!</v>
      </c>
      <c r="L48" s="22" t="str">
        <f t="array" ref="L48">SUMPRODUCT(B48:H48, TRANSPOSE(Portfolio!$R$2:$R$8))/100*3/2</f>
        <v>#DIV/0!</v>
      </c>
      <c r="M48" s="22" t="str">
        <f t="shared" si="3"/>
        <v>#DIV/0!</v>
      </c>
    </row>
    <row r="49" ht="15.75" customHeight="1">
      <c r="A49" s="31">
        <v>45513.73611111111</v>
      </c>
      <c r="B49" s="22" t="str">
        <f>Historique!B52/Historique!B51-1</f>
        <v>#DIV/0!</v>
      </c>
      <c r="C49" s="22" t="str">
        <f>OFFSET(Historique!$B51, 1, C$2)/OFFSET(Historique!$B51, 0, C$2)-1</f>
        <v>#DIV/0!</v>
      </c>
      <c r="D49" s="22" t="str">
        <f>OFFSET(Historique!$B51, 1, D$2)/OFFSET(Historique!$B51, 0, D$2)-1</f>
        <v>#DIV/0!</v>
      </c>
      <c r="E49" s="22" t="str">
        <f>OFFSET(Historique!$B51, 1, E$2)/OFFSET(Historique!$B51, 0, E$2)-1</f>
        <v>#DIV/0!</v>
      </c>
      <c r="F49" s="22" t="str">
        <f>OFFSET(Historique!$B51, 1, F$2)/OFFSET(Historique!$B51, 0, F$2)-1</f>
        <v>#DIV/0!</v>
      </c>
      <c r="G49" s="22" t="str">
        <f>OFFSET(Historique!$B51, 1, G$2)/OFFSET(Historique!$B51, 0, G$2)-1</f>
        <v>#DIV/0!</v>
      </c>
      <c r="H49" s="22" t="str">
        <f>OFFSET(Historique!$B51, 1, H$2)/OFFSET(Historique!$B51, 0, H$2)-1</f>
        <v>#DIV/0!</v>
      </c>
      <c r="I49" s="22" t="str">
        <f>OFFSET(Historique!$B51, 1, I$2)/OFFSET(Historique!$B51, 0, I$2)-1</f>
        <v>#DIV/0!</v>
      </c>
      <c r="J49" s="22" t="str">
        <f t="array" ref="J49">SUMPRODUCT(B49:I49, TRANSPOSE(Portfolio!$R$2:$R$9))/100</f>
        <v>#DIV/0!</v>
      </c>
      <c r="K49" s="22" t="str">
        <f t="shared" si="2"/>
        <v>#DIV/0!</v>
      </c>
      <c r="L49" s="22" t="str">
        <f t="array" ref="L49">SUMPRODUCT(B49:H49, TRANSPOSE(Portfolio!$R$2:$R$8))/100*3/2</f>
        <v>#DIV/0!</v>
      </c>
      <c r="M49" s="22" t="str">
        <f t="shared" si="3"/>
        <v>#DIV/0!</v>
      </c>
    </row>
    <row r="50" ht="15.75" customHeight="1">
      <c r="A50" s="31">
        <v>45520.73611111111</v>
      </c>
      <c r="B50" s="22" t="str">
        <f>Historique!B53/Historique!B52-1</f>
        <v>#DIV/0!</v>
      </c>
      <c r="C50" s="22" t="str">
        <f>OFFSET(Historique!$B52, 1, C$2)/OFFSET(Historique!$B52, 0, C$2)-1</f>
        <v>#DIV/0!</v>
      </c>
      <c r="D50" s="22" t="str">
        <f>OFFSET(Historique!$B52, 1, D$2)/OFFSET(Historique!$B52, 0, D$2)-1</f>
        <v>#DIV/0!</v>
      </c>
      <c r="E50" s="22" t="str">
        <f>OFFSET(Historique!$B52, 1, E$2)/OFFSET(Historique!$B52, 0, E$2)-1</f>
        <v>#DIV/0!</v>
      </c>
      <c r="F50" s="22" t="str">
        <f>OFFSET(Historique!$B52, 1, F$2)/OFFSET(Historique!$B52, 0, F$2)-1</f>
        <v>#DIV/0!</v>
      </c>
      <c r="G50" s="22" t="str">
        <f>OFFSET(Historique!$B52, 1, G$2)/OFFSET(Historique!$B52, 0, G$2)-1</f>
        <v>#DIV/0!</v>
      </c>
      <c r="H50" s="22" t="str">
        <f>OFFSET(Historique!$B52, 1, H$2)/OFFSET(Historique!$B52, 0, H$2)-1</f>
        <v>#DIV/0!</v>
      </c>
      <c r="I50" s="22" t="str">
        <f>OFFSET(Historique!$B52, 1, I$2)/OFFSET(Historique!$B52, 0, I$2)-1</f>
        <v>#DIV/0!</v>
      </c>
      <c r="J50" s="22" t="str">
        <f t="array" ref="J50">SUMPRODUCT(B50:I50, TRANSPOSE(Portfolio!$R$2:$R$9))/100</f>
        <v>#DIV/0!</v>
      </c>
      <c r="K50" s="22" t="str">
        <f t="shared" si="2"/>
        <v>#DIV/0!</v>
      </c>
      <c r="L50" s="22" t="str">
        <f t="array" ref="L50">SUMPRODUCT(B50:H50, TRANSPOSE(Portfolio!$R$2:$R$8))/100*3/2</f>
        <v>#DIV/0!</v>
      </c>
      <c r="M50" s="22" t="str">
        <f t="shared" si="3"/>
        <v>#DIV/0!</v>
      </c>
    </row>
    <row r="51" ht="15.75" customHeight="1">
      <c r="A51" s="31">
        <v>45527.73611111111</v>
      </c>
      <c r="B51" s="22" t="str">
        <f>Historique!B54/Historique!B53-1</f>
        <v>#DIV/0!</v>
      </c>
      <c r="C51" s="22" t="str">
        <f>OFFSET(Historique!$B53, 1, C$2)/OFFSET(Historique!$B53, 0, C$2)-1</f>
        <v>#DIV/0!</v>
      </c>
      <c r="D51" s="22" t="str">
        <f>OFFSET(Historique!$B53, 1, D$2)/OFFSET(Historique!$B53, 0, D$2)-1</f>
        <v>#DIV/0!</v>
      </c>
      <c r="E51" s="22" t="str">
        <f>OFFSET(Historique!$B53, 1, E$2)/OFFSET(Historique!$B53, 0, E$2)-1</f>
        <v>#DIV/0!</v>
      </c>
      <c r="F51" s="22" t="str">
        <f>OFFSET(Historique!$B53, 1, F$2)/OFFSET(Historique!$B53, 0, F$2)-1</f>
        <v>#DIV/0!</v>
      </c>
      <c r="G51" s="22" t="str">
        <f>OFFSET(Historique!$B53, 1, G$2)/OFFSET(Historique!$B53, 0, G$2)-1</f>
        <v>#DIV/0!</v>
      </c>
      <c r="H51" s="22" t="str">
        <f>OFFSET(Historique!$B53, 1, H$2)/OFFSET(Historique!$B53, 0, H$2)-1</f>
        <v>#DIV/0!</v>
      </c>
      <c r="I51" s="22" t="str">
        <f>OFFSET(Historique!$B53, 1, I$2)/OFFSET(Historique!$B53, 0, I$2)-1</f>
        <v>#DIV/0!</v>
      </c>
      <c r="J51" s="22" t="str">
        <f t="array" ref="J51">SUMPRODUCT(B51:I51, TRANSPOSE(Portfolio!$R$2:$R$9))/100</f>
        <v>#DIV/0!</v>
      </c>
      <c r="K51" s="22" t="str">
        <f t="shared" si="2"/>
        <v>#DIV/0!</v>
      </c>
      <c r="L51" s="22" t="str">
        <f t="array" ref="L51">SUMPRODUCT(B51:H51, TRANSPOSE(Portfolio!$R$2:$R$8))/100*3/2</f>
        <v>#DIV/0!</v>
      </c>
      <c r="M51" s="22" t="str">
        <f t="shared" si="3"/>
        <v>#DIV/0!</v>
      </c>
    </row>
    <row r="52" ht="15.75" customHeight="1">
      <c r="A52" s="31">
        <v>45534.73611111111</v>
      </c>
      <c r="B52" s="22" t="str">
        <f>Historique!B55/Historique!B54-1</f>
        <v>#DIV/0!</v>
      </c>
      <c r="C52" s="22" t="str">
        <f>OFFSET(Historique!$B54, 1, C$2)/OFFSET(Historique!$B54, 0, C$2)-1</f>
        <v>#DIV/0!</v>
      </c>
      <c r="D52" s="22" t="str">
        <f>OFFSET(Historique!$B54, 1, D$2)/OFFSET(Historique!$B54, 0, D$2)-1</f>
        <v>#DIV/0!</v>
      </c>
      <c r="E52" s="22" t="str">
        <f>OFFSET(Historique!$B54, 1, E$2)/OFFSET(Historique!$B54, 0, E$2)-1</f>
        <v>#DIV/0!</v>
      </c>
      <c r="F52" s="22" t="str">
        <f>OFFSET(Historique!$B54, 1, F$2)/OFFSET(Historique!$B54, 0, F$2)-1</f>
        <v>#DIV/0!</v>
      </c>
      <c r="G52" s="22" t="str">
        <f>OFFSET(Historique!$B54, 1, G$2)/OFFSET(Historique!$B54, 0, G$2)-1</f>
        <v>#DIV/0!</v>
      </c>
      <c r="H52" s="22" t="str">
        <f>OFFSET(Historique!$B54, 1, H$2)/OFFSET(Historique!$B54, 0, H$2)-1</f>
        <v>#DIV/0!</v>
      </c>
      <c r="I52" s="22" t="str">
        <f>OFFSET(Historique!$B54, 1, I$2)/OFFSET(Historique!$B54, 0, I$2)-1</f>
        <v>#DIV/0!</v>
      </c>
      <c r="J52" s="22" t="str">
        <f t="array" ref="J52">SUMPRODUCT(B52:I52, TRANSPOSE(Portfolio!$R$2:$R$9))/100</f>
        <v>#DIV/0!</v>
      </c>
      <c r="K52" s="22" t="str">
        <f t="shared" si="2"/>
        <v>#DIV/0!</v>
      </c>
      <c r="L52" s="22" t="str">
        <f t="array" ref="L52">SUMPRODUCT(B52:H52, TRANSPOSE(Portfolio!$R$2:$R$8))/100*3/2</f>
        <v>#DIV/0!</v>
      </c>
      <c r="M52" s="22" t="str">
        <f t="shared" si="3"/>
        <v>#DIV/0!</v>
      </c>
    </row>
    <row r="53" ht="15.75" customHeight="1">
      <c r="A53" s="31">
        <v>45541.73611111111</v>
      </c>
      <c r="B53" s="22" t="str">
        <f>Historique!B56/Historique!B55-1</f>
        <v>#DIV/0!</v>
      </c>
      <c r="C53" s="22" t="str">
        <f>OFFSET(Historique!$B55, 1, C$2)/OFFSET(Historique!$B55, 0, C$2)-1</f>
        <v>#DIV/0!</v>
      </c>
      <c r="D53" s="22" t="str">
        <f>OFFSET(Historique!$B55, 1, D$2)/OFFSET(Historique!$B55, 0, D$2)-1</f>
        <v>#DIV/0!</v>
      </c>
      <c r="E53" s="22" t="str">
        <f>OFFSET(Historique!$B55, 1, E$2)/OFFSET(Historique!$B55, 0, E$2)-1</f>
        <v>#DIV/0!</v>
      </c>
      <c r="F53" s="22" t="str">
        <f>OFFSET(Historique!$B55, 1, F$2)/OFFSET(Historique!$B55, 0, F$2)-1</f>
        <v>#DIV/0!</v>
      </c>
      <c r="G53" s="22" t="str">
        <f>OFFSET(Historique!$B55, 1, G$2)/OFFSET(Historique!$B55, 0, G$2)-1</f>
        <v>#DIV/0!</v>
      </c>
      <c r="H53" s="22" t="str">
        <f>OFFSET(Historique!$B55, 1, H$2)/OFFSET(Historique!$B55, 0, H$2)-1</f>
        <v>#DIV/0!</v>
      </c>
      <c r="I53" s="22" t="str">
        <f>OFFSET(Historique!$B55, 1, I$2)/OFFSET(Historique!$B55, 0, I$2)-1</f>
        <v>#DIV/0!</v>
      </c>
      <c r="J53" s="22" t="str">
        <f t="array" ref="J53">SUMPRODUCT(B53:I53, TRANSPOSE(Portfolio!$R$2:$R$9))/100</f>
        <v>#DIV/0!</v>
      </c>
      <c r="K53" s="22" t="str">
        <f t="shared" si="2"/>
        <v>#DIV/0!</v>
      </c>
      <c r="L53" s="22" t="str">
        <f t="array" ref="L53">SUMPRODUCT(B53:H53, TRANSPOSE(Portfolio!$R$2:$R$8))/100*3/2</f>
        <v>#DIV/0!</v>
      </c>
      <c r="M53" s="22" t="str">
        <f t="shared" si="3"/>
        <v>#DIV/0!</v>
      </c>
    </row>
    <row r="54" ht="15.75" customHeight="1">
      <c r="A54" s="31">
        <v>45548.73611111111</v>
      </c>
      <c r="B54" s="22" t="str">
        <f>Historique!B57/Historique!B56-1</f>
        <v>#DIV/0!</v>
      </c>
      <c r="C54" s="22" t="str">
        <f>OFFSET(Historique!$B56, 1, C$2)/OFFSET(Historique!$B56, 0, C$2)-1</f>
        <v>#DIV/0!</v>
      </c>
      <c r="D54" s="22" t="str">
        <f>OFFSET(Historique!$B56, 1, D$2)/OFFSET(Historique!$B56, 0, D$2)-1</f>
        <v>#DIV/0!</v>
      </c>
      <c r="E54" s="22" t="str">
        <f>OFFSET(Historique!$B56, 1, E$2)/OFFSET(Historique!$B56, 0, E$2)-1</f>
        <v>#DIV/0!</v>
      </c>
      <c r="F54" s="22" t="str">
        <f>OFFSET(Historique!$B56, 1, F$2)/OFFSET(Historique!$B56, 0, F$2)-1</f>
        <v>#DIV/0!</v>
      </c>
      <c r="G54" s="22" t="str">
        <f>OFFSET(Historique!$B56, 1, G$2)/OFFSET(Historique!$B56, 0, G$2)-1</f>
        <v>#DIV/0!</v>
      </c>
      <c r="H54" s="22" t="str">
        <f>OFFSET(Historique!$B56, 1, H$2)/OFFSET(Historique!$B56, 0, H$2)-1</f>
        <v>#DIV/0!</v>
      </c>
      <c r="I54" s="22" t="str">
        <f>OFFSET(Historique!$B56, 1, I$2)/OFFSET(Historique!$B56, 0, I$2)-1</f>
        <v>#DIV/0!</v>
      </c>
      <c r="J54" s="22" t="str">
        <f t="array" ref="J54">SUMPRODUCT(B54:I54, TRANSPOSE(Portfolio!$R$2:$R$9))/100</f>
        <v>#DIV/0!</v>
      </c>
      <c r="K54" s="22" t="str">
        <f t="shared" si="2"/>
        <v>#DIV/0!</v>
      </c>
      <c r="L54" s="22" t="str">
        <f t="array" ref="L54">SUMPRODUCT(B54:H54, TRANSPOSE(Portfolio!$R$2:$R$8))/100*3/2</f>
        <v>#DIV/0!</v>
      </c>
      <c r="M54" s="22" t="str">
        <f t="shared" si="3"/>
        <v>#DIV/0!</v>
      </c>
    </row>
    <row r="55" ht="15.75" customHeight="1">
      <c r="A55" s="31">
        <v>45554.73611111111</v>
      </c>
      <c r="B55" s="22" t="str">
        <f>Historique!B58/Historique!B57-1</f>
        <v>#DIV/0!</v>
      </c>
      <c r="C55" s="22" t="str">
        <f>OFFSET(Historique!$B57, 1, C$2)/OFFSET(Historique!$B57, 0, C$2)-1</f>
        <v>#DIV/0!</v>
      </c>
      <c r="D55" s="22" t="str">
        <f>OFFSET(Historique!$B57, 1, D$2)/OFFSET(Historique!$B57, 0, D$2)-1</f>
        <v>#DIV/0!</v>
      </c>
      <c r="E55" s="22" t="str">
        <f>OFFSET(Historique!$B57, 1, E$2)/OFFSET(Historique!$B57, 0, E$2)-1</f>
        <v>#DIV/0!</v>
      </c>
      <c r="F55" s="22" t="str">
        <f>OFFSET(Historique!$B57, 1, F$2)/OFFSET(Historique!$B57, 0, F$2)-1</f>
        <v>#DIV/0!</v>
      </c>
      <c r="G55" s="22" t="str">
        <f>OFFSET(Historique!$B57, 1, G$2)/OFFSET(Historique!$B57, 0, G$2)-1</f>
        <v>#DIV/0!</v>
      </c>
      <c r="H55" s="22" t="str">
        <f>OFFSET(Historique!$B57, 1, H$2)/OFFSET(Historique!$B57, 0, H$2)-1</f>
        <v>#DIV/0!</v>
      </c>
      <c r="I55" s="22" t="str">
        <f>OFFSET(Historique!$B57, 1, I$2)/OFFSET(Historique!$B57, 0, I$2)-1</f>
        <v>#DIV/0!</v>
      </c>
      <c r="J55" s="22" t="str">
        <f t="array" ref="J55">SUMPRODUCT(B55:I55, TRANSPOSE(Portfolio!$R$2:$R$9))/100</f>
        <v>#DIV/0!</v>
      </c>
      <c r="K55" s="22" t="str">
        <f t="shared" si="2"/>
        <v>#DIV/0!</v>
      </c>
      <c r="L55" s="22" t="str">
        <f t="array" ref="L55">SUMPRODUCT(B55:H55, TRANSPOSE(Portfolio!$R$2:$R$8))/100*3/2</f>
        <v>#DIV/0!</v>
      </c>
      <c r="M55" s="22" t="str">
        <f t="shared" si="3"/>
        <v>#DIV/0!</v>
      </c>
    </row>
    <row r="56" ht="15.75" customHeight="1">
      <c r="A56" s="31">
        <v>45562.73611111111</v>
      </c>
      <c r="B56" s="22" t="str">
        <f>Historique!B59/Historique!B58-1</f>
        <v>#DIV/0!</v>
      </c>
      <c r="C56" s="22" t="str">
        <f>OFFSET(Historique!$B58, 1, C$2)/OFFSET(Historique!$B58, 0, C$2)-1</f>
        <v>#DIV/0!</v>
      </c>
      <c r="D56" s="22" t="str">
        <f>D55</f>
        <v>#DIV/0!</v>
      </c>
      <c r="E56" s="22" t="str">
        <f>OFFSET(Historique!$B58, 1, E$2)/OFFSET(Historique!$B58, 0, E$2)-1</f>
        <v>#DIV/0!</v>
      </c>
      <c r="F56" s="22" t="str">
        <f>OFFSET(Historique!$B58, 1, F$2)/OFFSET(Historique!$B58, 0, F$2)-1</f>
        <v>#DIV/0!</v>
      </c>
      <c r="G56" s="22" t="str">
        <f>OFFSET(Historique!$B58, 1, G$2)/OFFSET(Historique!$B58, 0, G$2)-1</f>
        <v>#DIV/0!</v>
      </c>
      <c r="H56" s="22" t="str">
        <f>OFFSET(Historique!$B58, 1, H$2)/OFFSET(Historique!$B58, 0, H$2)-1</f>
        <v>#DIV/0!</v>
      </c>
      <c r="I56" s="22" t="str">
        <f>OFFSET(Historique!$B58, 1, I$2)/OFFSET(Historique!$B58, 0, I$2)-1</f>
        <v>#DIV/0!</v>
      </c>
      <c r="J56" s="22" t="str">
        <f t="array" ref="J56">SUMPRODUCT(B56:I56, TRANSPOSE(Portfolio!$R$2:$R$9))/100</f>
        <v>#DIV/0!</v>
      </c>
      <c r="K56" s="22" t="str">
        <f t="shared" si="2"/>
        <v>#DIV/0!</v>
      </c>
      <c r="L56" s="22" t="str">
        <f t="array" ref="L56">SUMPRODUCT(B56:H56, TRANSPOSE(Portfolio!$R$2:$R$8))/100*3/2</f>
        <v>#DIV/0!</v>
      </c>
      <c r="M56" s="22" t="str">
        <f t="shared" si="3"/>
        <v>#DIV/0!</v>
      </c>
    </row>
    <row r="57" ht="15.75" customHeight="1"/>
    <row r="58" ht="15.75" customHeight="1"/>
    <row r="59" ht="15.75" customHeight="1">
      <c r="I59" s="22" t="s">
        <v>178</v>
      </c>
      <c r="J59" s="34" t="str">
        <f>STDEV(J3:J56)*SQRT(52)</f>
        <v>#DIV/0!</v>
      </c>
      <c r="L59" s="34" t="str">
        <f>STDEV(L3:L56)*SQRT(52)</f>
        <v>#DIV/0!</v>
      </c>
    </row>
    <row r="60" ht="15.75" customHeight="1">
      <c r="I60" s="22" t="s">
        <v>179</v>
      </c>
      <c r="J60" s="22" t="str">
        <f>(K56/100-1)/J59</f>
        <v>#DIV/0!</v>
      </c>
      <c r="L60" s="22" t="str">
        <f>(M56/100-1)/L59</f>
        <v>#DIV/0!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tr">
        <f>IFERROR(__xludf.DUMMYFUNCTION("GOOGLEFINANCE(""VIX1Y"", ""open"", DATE(2023,1,1), DATE(2023,12,31), ""DAILY"")"),"Date")</f>
        <v>Date</v>
      </c>
      <c r="B1" s="27" t="str">
        <f>IFERROR(__xludf.DUMMYFUNCTION("""COMPUTED_VALUE"""),"Open")</f>
        <v>Open</v>
      </c>
    </row>
    <row r="2">
      <c r="A2" s="27">
        <f>IFERROR(__xludf.DUMMYFUNCTION("""COMPUTED_VALUE"""),44929.63611111111)</f>
        <v>44929.63611</v>
      </c>
      <c r="B2" s="27">
        <f>IFERROR(__xludf.DUMMYFUNCTION("""COMPUTED_VALUE"""),27.31)</f>
        <v>27.31</v>
      </c>
    </row>
    <row r="3">
      <c r="A3" s="27">
        <f>IFERROR(__xludf.DUMMYFUNCTION("""COMPUTED_VALUE"""),44930.63611111111)</f>
        <v>44930.63611</v>
      </c>
      <c r="B3" s="27">
        <f>IFERROR(__xludf.DUMMYFUNCTION("""COMPUTED_VALUE"""),27.08)</f>
        <v>27.08</v>
      </c>
    </row>
    <row r="4">
      <c r="A4" s="27">
        <f>IFERROR(__xludf.DUMMYFUNCTION("""COMPUTED_VALUE"""),44931.63611111111)</f>
        <v>44931.63611</v>
      </c>
      <c r="B4" s="27">
        <f>IFERROR(__xludf.DUMMYFUNCTION("""COMPUTED_VALUE"""),26.93)</f>
        <v>26.93</v>
      </c>
    </row>
    <row r="5">
      <c r="A5" s="27">
        <f>IFERROR(__xludf.DUMMYFUNCTION("""COMPUTED_VALUE"""),44932.63611111111)</f>
        <v>44932.63611</v>
      </c>
      <c r="B5" s="27">
        <f>IFERROR(__xludf.DUMMYFUNCTION("""COMPUTED_VALUE"""),26.57)</f>
        <v>26.57</v>
      </c>
    </row>
    <row r="6">
      <c r="A6" s="27">
        <f>IFERROR(__xludf.DUMMYFUNCTION("""COMPUTED_VALUE"""),44935.63611111111)</f>
        <v>44935.63611</v>
      </c>
      <c r="B6" s="27">
        <f>IFERROR(__xludf.DUMMYFUNCTION("""COMPUTED_VALUE"""),26.06)</f>
        <v>26.06</v>
      </c>
    </row>
    <row r="7">
      <c r="A7" s="27">
        <f>IFERROR(__xludf.DUMMYFUNCTION("""COMPUTED_VALUE"""),44936.63611111111)</f>
        <v>44936.63611</v>
      </c>
      <c r="B7" s="27">
        <f>IFERROR(__xludf.DUMMYFUNCTION("""COMPUTED_VALUE"""),26.25)</f>
        <v>26.25</v>
      </c>
    </row>
    <row r="8">
      <c r="A8" s="27">
        <f>IFERROR(__xludf.DUMMYFUNCTION("""COMPUTED_VALUE"""),44937.63611111111)</f>
        <v>44937.63611</v>
      </c>
      <c r="B8" s="27">
        <f>IFERROR(__xludf.DUMMYFUNCTION("""COMPUTED_VALUE"""),25.64)</f>
        <v>25.64</v>
      </c>
    </row>
    <row r="9">
      <c r="A9" s="27">
        <f>IFERROR(__xludf.DUMMYFUNCTION("""COMPUTED_VALUE"""),44938.63611111111)</f>
        <v>44938.63611</v>
      </c>
      <c r="B9" s="27">
        <f>IFERROR(__xludf.DUMMYFUNCTION("""COMPUTED_VALUE"""),25.24)</f>
        <v>25.24</v>
      </c>
    </row>
    <row r="10">
      <c r="A10" s="27">
        <f>IFERROR(__xludf.DUMMYFUNCTION("""COMPUTED_VALUE"""),44939.63611111111)</f>
        <v>44939.63611</v>
      </c>
      <c r="B10" s="27">
        <f>IFERROR(__xludf.DUMMYFUNCTION("""COMPUTED_VALUE"""),25.12)</f>
        <v>25.12</v>
      </c>
    </row>
    <row r="11">
      <c r="A11" s="27">
        <f>IFERROR(__xludf.DUMMYFUNCTION("""COMPUTED_VALUE"""),44943.63611111111)</f>
        <v>44943.63611</v>
      </c>
      <c r="B11" s="27">
        <f>IFERROR(__xludf.DUMMYFUNCTION("""COMPUTED_VALUE"""),24.81)</f>
        <v>24.81</v>
      </c>
    </row>
    <row r="12">
      <c r="A12" s="27">
        <f>IFERROR(__xludf.DUMMYFUNCTION("""COMPUTED_VALUE"""),44944.63611111111)</f>
        <v>44944.63611</v>
      </c>
      <c r="B12" s="27">
        <f>IFERROR(__xludf.DUMMYFUNCTION("""COMPUTED_VALUE"""),24.71)</f>
        <v>24.71</v>
      </c>
    </row>
    <row r="13">
      <c r="A13" s="27">
        <f>IFERROR(__xludf.DUMMYFUNCTION("""COMPUTED_VALUE"""),44945.63611111111)</f>
        <v>44945.63611</v>
      </c>
      <c r="B13" s="27">
        <f>IFERROR(__xludf.DUMMYFUNCTION("""COMPUTED_VALUE"""),25.71)</f>
        <v>25.71</v>
      </c>
    </row>
    <row r="14">
      <c r="A14" s="27">
        <f>IFERROR(__xludf.DUMMYFUNCTION("""COMPUTED_VALUE"""),44946.63611111111)</f>
        <v>44946.63611</v>
      </c>
      <c r="B14" s="27">
        <f>IFERROR(__xludf.DUMMYFUNCTION("""COMPUTED_VALUE"""),25.22)</f>
        <v>25.22</v>
      </c>
    </row>
    <row r="15">
      <c r="A15" s="27">
        <f>IFERROR(__xludf.DUMMYFUNCTION("""COMPUTED_VALUE"""),44949.63611111111)</f>
        <v>44949.63611</v>
      </c>
      <c r="B15" s="27">
        <f>IFERROR(__xludf.DUMMYFUNCTION("""COMPUTED_VALUE"""),24.7)</f>
        <v>24.7</v>
      </c>
    </row>
    <row r="16">
      <c r="A16" s="27">
        <f>IFERROR(__xludf.DUMMYFUNCTION("""COMPUTED_VALUE"""),44950.63611111111)</f>
        <v>44950.63611</v>
      </c>
      <c r="B16" s="27">
        <f>IFERROR(__xludf.DUMMYFUNCTION("""COMPUTED_VALUE"""),24.46)</f>
        <v>24.46</v>
      </c>
    </row>
    <row r="17">
      <c r="A17" s="27">
        <f>IFERROR(__xludf.DUMMYFUNCTION("""COMPUTED_VALUE"""),44951.63611111111)</f>
        <v>44951.63611</v>
      </c>
      <c r="B17" s="27">
        <f>IFERROR(__xludf.DUMMYFUNCTION("""COMPUTED_VALUE"""),24.36)</f>
        <v>24.36</v>
      </c>
    </row>
    <row r="18">
      <c r="A18" s="27">
        <f>IFERROR(__xludf.DUMMYFUNCTION("""COMPUTED_VALUE"""),44952.63611111111)</f>
        <v>44952.63611</v>
      </c>
      <c r="B18" s="27">
        <f>IFERROR(__xludf.DUMMYFUNCTION("""COMPUTED_VALUE"""),23.62)</f>
        <v>23.62</v>
      </c>
    </row>
    <row r="19">
      <c r="A19" s="27">
        <f>IFERROR(__xludf.DUMMYFUNCTION("""COMPUTED_VALUE"""),44953.63611111111)</f>
        <v>44953.63611</v>
      </c>
      <c r="B19" s="27">
        <f>IFERROR(__xludf.DUMMYFUNCTION("""COMPUTED_VALUE"""),23.47)</f>
        <v>23.47</v>
      </c>
    </row>
    <row r="20">
      <c r="A20" s="27">
        <f>IFERROR(__xludf.DUMMYFUNCTION("""COMPUTED_VALUE"""),44956.63611111111)</f>
        <v>44956.63611</v>
      </c>
      <c r="B20" s="27">
        <f>IFERROR(__xludf.DUMMYFUNCTION("""COMPUTED_VALUE"""),23.58)</f>
        <v>23.58</v>
      </c>
    </row>
    <row r="21">
      <c r="A21" s="27">
        <f>IFERROR(__xludf.DUMMYFUNCTION("""COMPUTED_VALUE"""),44957.63611111111)</f>
        <v>44957.63611</v>
      </c>
      <c r="B21" s="27">
        <f>IFERROR(__xludf.DUMMYFUNCTION("""COMPUTED_VALUE"""),23.64)</f>
        <v>23.64</v>
      </c>
    </row>
    <row r="22">
      <c r="A22" s="27">
        <f>IFERROR(__xludf.DUMMYFUNCTION("""COMPUTED_VALUE"""),44958.63611111111)</f>
        <v>44958.63611</v>
      </c>
      <c r="B22" s="27">
        <f>IFERROR(__xludf.DUMMYFUNCTION("""COMPUTED_VALUE"""),23.4)</f>
        <v>23.4</v>
      </c>
    </row>
    <row r="23">
      <c r="A23" s="27">
        <f>IFERROR(__xludf.DUMMYFUNCTION("""COMPUTED_VALUE"""),44959.63611111111)</f>
        <v>44959.63611</v>
      </c>
      <c r="B23" s="27">
        <f>IFERROR(__xludf.DUMMYFUNCTION("""COMPUTED_VALUE"""),22.86)</f>
        <v>22.86</v>
      </c>
    </row>
    <row r="24">
      <c r="A24" s="27">
        <f>IFERROR(__xludf.DUMMYFUNCTION("""COMPUTED_VALUE"""),44960.63611111111)</f>
        <v>44960.63611</v>
      </c>
      <c r="B24" s="27">
        <f>IFERROR(__xludf.DUMMYFUNCTION("""COMPUTED_VALUE"""),23.62)</f>
        <v>23.62</v>
      </c>
    </row>
    <row r="25">
      <c r="A25" s="27">
        <f>IFERROR(__xludf.DUMMYFUNCTION("""COMPUTED_VALUE"""),44963.63611111111)</f>
        <v>44963.63611</v>
      </c>
      <c r="B25" s="27">
        <f>IFERROR(__xludf.DUMMYFUNCTION("""COMPUTED_VALUE"""),23.72)</f>
        <v>23.72</v>
      </c>
    </row>
    <row r="26">
      <c r="A26" s="27">
        <f>IFERROR(__xludf.DUMMYFUNCTION("""COMPUTED_VALUE"""),44964.63611111111)</f>
        <v>44964.63611</v>
      </c>
      <c r="B26" s="27">
        <f>IFERROR(__xludf.DUMMYFUNCTION("""COMPUTED_VALUE"""),23.95)</f>
        <v>23.95</v>
      </c>
    </row>
    <row r="27">
      <c r="A27" s="27">
        <f>IFERROR(__xludf.DUMMYFUNCTION("""COMPUTED_VALUE"""),44965.63611111111)</f>
        <v>44965.63611</v>
      </c>
      <c r="B27" s="27">
        <f>IFERROR(__xludf.DUMMYFUNCTION("""COMPUTED_VALUE"""),23.52)</f>
        <v>23.52</v>
      </c>
    </row>
    <row r="28">
      <c r="A28" s="27">
        <f>IFERROR(__xludf.DUMMYFUNCTION("""COMPUTED_VALUE"""),44966.63611111111)</f>
        <v>44966.63611</v>
      </c>
      <c r="B28" s="27">
        <f>IFERROR(__xludf.DUMMYFUNCTION("""COMPUTED_VALUE"""),23.73)</f>
        <v>23.73</v>
      </c>
    </row>
    <row r="29">
      <c r="A29" s="27">
        <f>IFERROR(__xludf.DUMMYFUNCTION("""COMPUTED_VALUE"""),44967.63611111111)</f>
        <v>44967.63611</v>
      </c>
      <c r="B29" s="27">
        <f>IFERROR(__xludf.DUMMYFUNCTION("""COMPUTED_VALUE"""),24.64)</f>
        <v>24.64</v>
      </c>
    </row>
    <row r="30">
      <c r="A30" s="27">
        <f>IFERROR(__xludf.DUMMYFUNCTION("""COMPUTED_VALUE"""),44970.63611111111)</f>
        <v>44970.63611</v>
      </c>
      <c r="B30" s="27">
        <f>IFERROR(__xludf.DUMMYFUNCTION("""COMPUTED_VALUE"""),24.53)</f>
        <v>24.53</v>
      </c>
    </row>
    <row r="31">
      <c r="A31" s="27">
        <f>IFERROR(__xludf.DUMMYFUNCTION("""COMPUTED_VALUE"""),44971.63611111111)</f>
        <v>44971.63611</v>
      </c>
      <c r="B31" s="27">
        <f>IFERROR(__xludf.DUMMYFUNCTION("""COMPUTED_VALUE"""),24.05)</f>
        <v>24.05</v>
      </c>
    </row>
    <row r="32">
      <c r="A32" s="27">
        <f>IFERROR(__xludf.DUMMYFUNCTION("""COMPUTED_VALUE"""),44972.63611111111)</f>
        <v>44972.63611</v>
      </c>
      <c r="B32" s="27">
        <f>IFERROR(__xludf.DUMMYFUNCTION("""COMPUTED_VALUE"""),22.15)</f>
        <v>22.15</v>
      </c>
    </row>
    <row r="33">
      <c r="A33" s="27">
        <f>IFERROR(__xludf.DUMMYFUNCTION("""COMPUTED_VALUE"""),44973.63611111111)</f>
        <v>44973.63611</v>
      </c>
      <c r="B33" s="27">
        <f>IFERROR(__xludf.DUMMYFUNCTION("""COMPUTED_VALUE"""),23.75)</f>
        <v>23.75</v>
      </c>
    </row>
    <row r="34">
      <c r="A34" s="27">
        <f>IFERROR(__xludf.DUMMYFUNCTION("""COMPUTED_VALUE"""),44974.63611111111)</f>
        <v>44974.63611</v>
      </c>
      <c r="B34" s="27">
        <f>IFERROR(__xludf.DUMMYFUNCTION("""COMPUTED_VALUE"""),24.21)</f>
        <v>24.21</v>
      </c>
    </row>
    <row r="35">
      <c r="A35" s="27">
        <f>IFERROR(__xludf.DUMMYFUNCTION("""COMPUTED_VALUE"""),44978.63611111111)</f>
        <v>44978.63611</v>
      </c>
      <c r="B35" s="27">
        <f>IFERROR(__xludf.DUMMYFUNCTION("""COMPUTED_VALUE"""),24.52)</f>
        <v>24.52</v>
      </c>
    </row>
    <row r="36">
      <c r="A36" s="27">
        <f>IFERROR(__xludf.DUMMYFUNCTION("""COMPUTED_VALUE"""),44979.63611111111)</f>
        <v>44979.63611</v>
      </c>
      <c r="B36" s="27">
        <f>IFERROR(__xludf.DUMMYFUNCTION("""COMPUTED_VALUE"""),24.97)</f>
        <v>24.97</v>
      </c>
    </row>
    <row r="37">
      <c r="A37" s="27">
        <f>IFERROR(__xludf.DUMMYFUNCTION("""COMPUTED_VALUE"""),44980.63611111111)</f>
        <v>44980.63611</v>
      </c>
      <c r="B37" s="27">
        <f>IFERROR(__xludf.DUMMYFUNCTION("""COMPUTED_VALUE"""),24.28)</f>
        <v>24.28</v>
      </c>
    </row>
    <row r="38">
      <c r="A38" s="27">
        <f>IFERROR(__xludf.DUMMYFUNCTION("""COMPUTED_VALUE"""),44981.63611111111)</f>
        <v>44981.63611</v>
      </c>
      <c r="B38" s="27">
        <f>IFERROR(__xludf.DUMMYFUNCTION("""COMPUTED_VALUE"""),24.5)</f>
        <v>24.5</v>
      </c>
    </row>
    <row r="39">
      <c r="A39" s="27">
        <f>IFERROR(__xludf.DUMMYFUNCTION("""COMPUTED_VALUE"""),44984.63611111111)</f>
        <v>44984.63611</v>
      </c>
      <c r="B39" s="27">
        <f>IFERROR(__xludf.DUMMYFUNCTION("""COMPUTED_VALUE"""),24.2)</f>
        <v>24.2</v>
      </c>
    </row>
    <row r="40">
      <c r="A40" s="27">
        <f>IFERROR(__xludf.DUMMYFUNCTION("""COMPUTED_VALUE"""),44985.63611111111)</f>
        <v>44985.63611</v>
      </c>
      <c r="B40" s="27">
        <f>IFERROR(__xludf.DUMMYFUNCTION("""COMPUTED_VALUE"""),24.14)</f>
        <v>24.14</v>
      </c>
    </row>
    <row r="41">
      <c r="A41" s="27">
        <f>IFERROR(__xludf.DUMMYFUNCTION("""COMPUTED_VALUE"""),44986.63611111111)</f>
        <v>44986.63611</v>
      </c>
      <c r="B41" s="27">
        <f>IFERROR(__xludf.DUMMYFUNCTION("""COMPUTED_VALUE"""),23.85)</f>
        <v>23.85</v>
      </c>
    </row>
    <row r="42">
      <c r="A42" s="27">
        <f>IFERROR(__xludf.DUMMYFUNCTION("""COMPUTED_VALUE"""),44987.63611111111)</f>
        <v>44987.63611</v>
      </c>
      <c r="B42" s="27">
        <f>IFERROR(__xludf.DUMMYFUNCTION("""COMPUTED_VALUE"""),24.43)</f>
        <v>24.43</v>
      </c>
    </row>
    <row r="43">
      <c r="A43" s="27">
        <f>IFERROR(__xludf.DUMMYFUNCTION("""COMPUTED_VALUE"""),44988.63611111111)</f>
        <v>44988.63611</v>
      </c>
      <c r="B43" s="27">
        <f>IFERROR(__xludf.DUMMYFUNCTION("""COMPUTED_VALUE"""),23.37)</f>
        <v>23.37</v>
      </c>
    </row>
    <row r="44">
      <c r="A44" s="27">
        <f>IFERROR(__xludf.DUMMYFUNCTION("""COMPUTED_VALUE"""),44991.63611111111)</f>
        <v>44991.63611</v>
      </c>
      <c r="B44" s="27">
        <f>IFERROR(__xludf.DUMMYFUNCTION("""COMPUTED_VALUE"""),23.02)</f>
        <v>23.02</v>
      </c>
    </row>
    <row r="45">
      <c r="A45" s="27">
        <f>IFERROR(__xludf.DUMMYFUNCTION("""COMPUTED_VALUE"""),44992.63611111111)</f>
        <v>44992.63611</v>
      </c>
      <c r="B45" s="27">
        <f>IFERROR(__xludf.DUMMYFUNCTION("""COMPUTED_VALUE"""),22.94)</f>
        <v>22.94</v>
      </c>
    </row>
    <row r="46">
      <c r="A46" s="27">
        <f>IFERROR(__xludf.DUMMYFUNCTION("""COMPUTED_VALUE"""),44993.63611111111)</f>
        <v>44993.63611</v>
      </c>
      <c r="B46" s="27">
        <f>IFERROR(__xludf.DUMMYFUNCTION("""COMPUTED_VALUE"""),23.2)</f>
        <v>23.2</v>
      </c>
    </row>
    <row r="47">
      <c r="A47" s="27">
        <f>IFERROR(__xludf.DUMMYFUNCTION("""COMPUTED_VALUE"""),44994.63611111111)</f>
        <v>44994.63611</v>
      </c>
      <c r="B47" s="27">
        <f>IFERROR(__xludf.DUMMYFUNCTION("""COMPUTED_VALUE"""),22.82)</f>
        <v>22.82</v>
      </c>
    </row>
    <row r="48">
      <c r="A48" s="27">
        <f>IFERROR(__xludf.DUMMYFUNCTION("""COMPUTED_VALUE"""),44995.63611111111)</f>
        <v>44995.63611</v>
      </c>
      <c r="B48" s="27">
        <f>IFERROR(__xludf.DUMMYFUNCTION("""COMPUTED_VALUE"""),24.19)</f>
        <v>24.19</v>
      </c>
    </row>
    <row r="49">
      <c r="A49" s="27">
        <f>IFERROR(__xludf.DUMMYFUNCTION("""COMPUTED_VALUE"""),44998.63611111111)</f>
        <v>44998.63611</v>
      </c>
      <c r="B49" s="27">
        <f>IFERROR(__xludf.DUMMYFUNCTION("""COMPUTED_VALUE"""),27.39)</f>
        <v>27.39</v>
      </c>
    </row>
    <row r="50">
      <c r="A50" s="27">
        <f>IFERROR(__xludf.DUMMYFUNCTION("""COMPUTED_VALUE"""),44999.63611111111)</f>
        <v>44999.63611</v>
      </c>
      <c r="B50" s="27">
        <f>IFERROR(__xludf.DUMMYFUNCTION("""COMPUTED_VALUE"""),24.56)</f>
        <v>24.56</v>
      </c>
    </row>
    <row r="51">
      <c r="A51" s="27">
        <f>IFERROR(__xludf.DUMMYFUNCTION("""COMPUTED_VALUE"""),45000.63611111111)</f>
        <v>45000.63611</v>
      </c>
      <c r="B51" s="27">
        <f>IFERROR(__xludf.DUMMYFUNCTION("""COMPUTED_VALUE"""),26.99)</f>
        <v>26.99</v>
      </c>
    </row>
    <row r="52">
      <c r="A52" s="27">
        <f>IFERROR(__xludf.DUMMYFUNCTION("""COMPUTED_VALUE"""),45001.63611111111)</f>
        <v>45001.63611</v>
      </c>
      <c r="B52" s="27">
        <f>IFERROR(__xludf.DUMMYFUNCTION("""COMPUTED_VALUE"""),27.81)</f>
        <v>27.81</v>
      </c>
    </row>
    <row r="53">
      <c r="A53" s="27">
        <f>IFERROR(__xludf.DUMMYFUNCTION("""COMPUTED_VALUE"""),45002.63611111111)</f>
        <v>45002.63611</v>
      </c>
      <c r="B53" s="27">
        <f>IFERROR(__xludf.DUMMYFUNCTION("""COMPUTED_VALUE"""),26.14)</f>
        <v>26.14</v>
      </c>
    </row>
    <row r="54">
      <c r="A54" s="27">
        <f>IFERROR(__xludf.DUMMYFUNCTION("""COMPUTED_VALUE"""),45005.63611111111)</f>
        <v>45005.63611</v>
      </c>
      <c r="B54" s="27">
        <f>IFERROR(__xludf.DUMMYFUNCTION("""COMPUTED_VALUE"""),27.3)</f>
        <v>27.3</v>
      </c>
    </row>
    <row r="55">
      <c r="A55" s="27">
        <f>IFERROR(__xludf.DUMMYFUNCTION("""COMPUTED_VALUE"""),45006.63611111111)</f>
        <v>45006.63611</v>
      </c>
      <c r="B55" s="27">
        <f>IFERROR(__xludf.DUMMYFUNCTION("""COMPUTED_VALUE"""),25.92)</f>
        <v>25.92</v>
      </c>
    </row>
    <row r="56">
      <c r="A56" s="27">
        <f>IFERROR(__xludf.DUMMYFUNCTION("""COMPUTED_VALUE"""),45007.63611111111)</f>
        <v>45007.63611</v>
      </c>
      <c r="B56" s="27">
        <f>IFERROR(__xludf.DUMMYFUNCTION("""COMPUTED_VALUE"""),25.02)</f>
        <v>25.02</v>
      </c>
    </row>
    <row r="57">
      <c r="A57" s="27">
        <f>IFERROR(__xludf.DUMMYFUNCTION("""COMPUTED_VALUE"""),45008.63611111111)</f>
        <v>45008.63611</v>
      </c>
      <c r="B57" s="27">
        <f>IFERROR(__xludf.DUMMYFUNCTION("""COMPUTED_VALUE"""),25.02)</f>
        <v>25.02</v>
      </c>
    </row>
    <row r="58">
      <c r="A58" s="27">
        <f>IFERROR(__xludf.DUMMYFUNCTION("""COMPUTED_VALUE"""),45009.63611111111)</f>
        <v>45009.63611</v>
      </c>
      <c r="B58" s="27">
        <f>IFERROR(__xludf.DUMMYFUNCTION("""COMPUTED_VALUE"""),26.54)</f>
        <v>26.54</v>
      </c>
    </row>
    <row r="59">
      <c r="A59" s="27">
        <f>IFERROR(__xludf.DUMMYFUNCTION("""COMPUTED_VALUE"""),45012.63611111111)</f>
        <v>45012.63611</v>
      </c>
      <c r="B59" s="27">
        <f>IFERROR(__xludf.DUMMYFUNCTION("""COMPUTED_VALUE"""),25.26)</f>
        <v>25.26</v>
      </c>
    </row>
    <row r="60">
      <c r="A60" s="27">
        <f>IFERROR(__xludf.DUMMYFUNCTION("""COMPUTED_VALUE"""),45013.63611111111)</f>
        <v>45013.63611</v>
      </c>
      <c r="B60" s="27">
        <f>IFERROR(__xludf.DUMMYFUNCTION("""COMPUTED_VALUE"""),25.23)</f>
        <v>25.23</v>
      </c>
    </row>
    <row r="61">
      <c r="A61" s="27">
        <f>IFERROR(__xludf.DUMMYFUNCTION("""COMPUTED_VALUE"""),45014.63611111111)</f>
        <v>45014.63611</v>
      </c>
      <c r="B61" s="27">
        <f>IFERROR(__xludf.DUMMYFUNCTION("""COMPUTED_VALUE"""),24.34)</f>
        <v>24.34</v>
      </c>
    </row>
    <row r="62">
      <c r="A62" s="27">
        <f>IFERROR(__xludf.DUMMYFUNCTION("""COMPUTED_VALUE"""),45015.63611111111)</f>
        <v>45015.63611</v>
      </c>
      <c r="B62" s="27">
        <f>IFERROR(__xludf.DUMMYFUNCTION("""COMPUTED_VALUE"""),24.06)</f>
        <v>24.06</v>
      </c>
    </row>
    <row r="63">
      <c r="A63" s="27">
        <f>IFERROR(__xludf.DUMMYFUNCTION("""COMPUTED_VALUE"""),45016.63611111111)</f>
        <v>45016.63611</v>
      </c>
      <c r="B63" s="27">
        <f>IFERROR(__xludf.DUMMYFUNCTION("""COMPUTED_VALUE"""),24.04)</f>
        <v>24.04</v>
      </c>
    </row>
    <row r="64">
      <c r="A64" s="27">
        <f>IFERROR(__xludf.DUMMYFUNCTION("""COMPUTED_VALUE"""),45019.63611111111)</f>
        <v>45019.63611</v>
      </c>
      <c r="B64" s="27">
        <f>IFERROR(__xludf.DUMMYFUNCTION("""COMPUTED_VALUE"""),24.07)</f>
        <v>24.07</v>
      </c>
    </row>
    <row r="65">
      <c r="A65" s="27">
        <f>IFERROR(__xludf.DUMMYFUNCTION("""COMPUTED_VALUE"""),45020.63611111111)</f>
        <v>45020.63611</v>
      </c>
      <c r="B65" s="27">
        <f>IFERROR(__xludf.DUMMYFUNCTION("""COMPUTED_VALUE"""),23.92)</f>
        <v>23.92</v>
      </c>
    </row>
    <row r="66">
      <c r="A66" s="27">
        <f>IFERROR(__xludf.DUMMYFUNCTION("""COMPUTED_VALUE"""),45021.63611111111)</f>
        <v>45021.63611</v>
      </c>
      <c r="B66" s="27">
        <f>IFERROR(__xludf.DUMMYFUNCTION("""COMPUTED_VALUE"""),24.49)</f>
        <v>24.49</v>
      </c>
    </row>
    <row r="67">
      <c r="A67" s="27">
        <f>IFERROR(__xludf.DUMMYFUNCTION("""COMPUTED_VALUE"""),45022.63611111111)</f>
        <v>45022.63611</v>
      </c>
      <c r="B67" s="27">
        <f>IFERROR(__xludf.DUMMYFUNCTION("""COMPUTED_VALUE"""),24.65)</f>
        <v>24.65</v>
      </c>
    </row>
    <row r="68">
      <c r="A68" s="27">
        <f>IFERROR(__xludf.DUMMYFUNCTION("""COMPUTED_VALUE"""),45026.63611111111)</f>
        <v>45026.63611</v>
      </c>
      <c r="B68" s="27">
        <f>IFERROR(__xludf.DUMMYFUNCTION("""COMPUTED_VALUE"""),24.47)</f>
        <v>24.47</v>
      </c>
    </row>
    <row r="69">
      <c r="A69" s="27">
        <f>IFERROR(__xludf.DUMMYFUNCTION("""COMPUTED_VALUE"""),45027.63611111111)</f>
        <v>45027.63611</v>
      </c>
      <c r="B69" s="27">
        <f>IFERROR(__xludf.DUMMYFUNCTION("""COMPUTED_VALUE"""),24.01)</f>
        <v>24.01</v>
      </c>
    </row>
    <row r="70">
      <c r="A70" s="27">
        <f>IFERROR(__xludf.DUMMYFUNCTION("""COMPUTED_VALUE"""),45028.63611111111)</f>
        <v>45028.63611</v>
      </c>
      <c r="B70" s="27">
        <f>IFERROR(__xludf.DUMMYFUNCTION("""COMPUTED_VALUE"""),23.83)</f>
        <v>23.83</v>
      </c>
    </row>
    <row r="71">
      <c r="A71" s="27">
        <f>IFERROR(__xludf.DUMMYFUNCTION("""COMPUTED_VALUE"""),45029.63611111111)</f>
        <v>45029.63611</v>
      </c>
      <c r="B71" s="27">
        <f>IFERROR(__xludf.DUMMYFUNCTION("""COMPUTED_VALUE"""),24.0)</f>
        <v>24</v>
      </c>
    </row>
    <row r="72">
      <c r="A72" s="27">
        <f>IFERROR(__xludf.DUMMYFUNCTION("""COMPUTED_VALUE"""),45030.63611111111)</f>
        <v>45030.63611</v>
      </c>
      <c r="B72" s="27">
        <f>IFERROR(__xludf.DUMMYFUNCTION("""COMPUTED_VALUE"""),23.68)</f>
        <v>23.68</v>
      </c>
    </row>
    <row r="73">
      <c r="A73" s="27">
        <f>IFERROR(__xludf.DUMMYFUNCTION("""COMPUTED_VALUE"""),45033.63611111111)</f>
        <v>45033.63611</v>
      </c>
      <c r="B73" s="27">
        <f>IFERROR(__xludf.DUMMYFUNCTION("""COMPUTED_VALUE"""),23.64)</f>
        <v>23.64</v>
      </c>
    </row>
    <row r="74">
      <c r="A74" s="27">
        <f>IFERROR(__xludf.DUMMYFUNCTION("""COMPUTED_VALUE"""),45034.63611111111)</f>
        <v>45034.63611</v>
      </c>
      <c r="B74" s="27">
        <f>IFERROR(__xludf.DUMMYFUNCTION("""COMPUTED_VALUE"""),23.29)</f>
        <v>23.29</v>
      </c>
    </row>
    <row r="75">
      <c r="A75" s="27">
        <f>IFERROR(__xludf.DUMMYFUNCTION("""COMPUTED_VALUE"""),45035.63611111111)</f>
        <v>45035.63611</v>
      </c>
      <c r="B75" s="27">
        <f>IFERROR(__xludf.DUMMYFUNCTION("""COMPUTED_VALUE"""),23.65)</f>
        <v>23.65</v>
      </c>
    </row>
    <row r="76">
      <c r="A76" s="27">
        <f>IFERROR(__xludf.DUMMYFUNCTION("""COMPUTED_VALUE"""),45036.63611111111)</f>
        <v>45036.63611</v>
      </c>
      <c r="B76" s="27">
        <f>IFERROR(__xludf.DUMMYFUNCTION("""COMPUTED_VALUE"""),24.07)</f>
        <v>24.07</v>
      </c>
    </row>
    <row r="77">
      <c r="A77" s="27">
        <f>IFERROR(__xludf.DUMMYFUNCTION("""COMPUTED_VALUE"""),45037.63611111111)</f>
        <v>45037.63611</v>
      </c>
      <c r="B77" s="27">
        <f>IFERROR(__xludf.DUMMYFUNCTION("""COMPUTED_VALUE"""),24.2)</f>
        <v>24.2</v>
      </c>
    </row>
    <row r="78">
      <c r="A78" s="27">
        <f>IFERROR(__xludf.DUMMYFUNCTION("""COMPUTED_VALUE"""),45040.63611111111)</f>
        <v>45040.63611</v>
      </c>
      <c r="B78" s="27">
        <f>IFERROR(__xludf.DUMMYFUNCTION("""COMPUTED_VALUE"""),24.27)</f>
        <v>24.27</v>
      </c>
    </row>
    <row r="79">
      <c r="A79" s="27">
        <f>IFERROR(__xludf.DUMMYFUNCTION("""COMPUTED_VALUE"""),45041.63611111111)</f>
        <v>45041.63611</v>
      </c>
      <c r="B79" s="27">
        <f>IFERROR(__xludf.DUMMYFUNCTION("""COMPUTED_VALUE"""),24.44)</f>
        <v>24.44</v>
      </c>
    </row>
    <row r="80">
      <c r="A80" s="27">
        <f>IFERROR(__xludf.DUMMYFUNCTION("""COMPUTED_VALUE"""),45042.63611111111)</f>
        <v>45042.63611</v>
      </c>
      <c r="B80" s="27">
        <f>IFERROR(__xludf.DUMMYFUNCTION("""COMPUTED_VALUE"""),25.04)</f>
        <v>25.04</v>
      </c>
    </row>
    <row r="81">
      <c r="A81" s="27">
        <f>IFERROR(__xludf.DUMMYFUNCTION("""COMPUTED_VALUE"""),45043.63611111111)</f>
        <v>45043.63611</v>
      </c>
      <c r="B81" s="27">
        <f>IFERROR(__xludf.DUMMYFUNCTION("""COMPUTED_VALUE"""),24.46)</f>
        <v>24.46</v>
      </c>
    </row>
    <row r="82">
      <c r="A82" s="27">
        <f>IFERROR(__xludf.DUMMYFUNCTION("""COMPUTED_VALUE"""),45044.63611111111)</f>
        <v>45044.63611</v>
      </c>
      <c r="B82" s="27">
        <f>IFERROR(__xludf.DUMMYFUNCTION("""COMPUTED_VALUE"""),24.45)</f>
        <v>24.45</v>
      </c>
    </row>
    <row r="83">
      <c r="A83" s="27">
        <f>IFERROR(__xludf.DUMMYFUNCTION("""COMPUTED_VALUE"""),45047.63611111111)</f>
        <v>45047.63611</v>
      </c>
      <c r="B83" s="27">
        <f>IFERROR(__xludf.DUMMYFUNCTION("""COMPUTED_VALUE"""),24.06)</f>
        <v>24.06</v>
      </c>
    </row>
    <row r="84">
      <c r="A84" s="27">
        <f>IFERROR(__xludf.DUMMYFUNCTION("""COMPUTED_VALUE"""),45048.63611111111)</f>
        <v>45048.63611</v>
      </c>
      <c r="B84" s="27">
        <f>IFERROR(__xludf.DUMMYFUNCTION("""COMPUTED_VALUE"""),24.03)</f>
        <v>24.03</v>
      </c>
    </row>
    <row r="85">
      <c r="A85" s="27">
        <f>IFERROR(__xludf.DUMMYFUNCTION("""COMPUTED_VALUE"""),45049.63611111111)</f>
        <v>45049.63611</v>
      </c>
      <c r="B85" s="27">
        <f>IFERROR(__xludf.DUMMYFUNCTION("""COMPUTED_VALUE"""),24.67)</f>
        <v>24.67</v>
      </c>
    </row>
    <row r="86">
      <c r="A86" s="27">
        <f>IFERROR(__xludf.DUMMYFUNCTION("""COMPUTED_VALUE"""),45050.63611111111)</f>
        <v>45050.63611</v>
      </c>
      <c r="B86" s="27">
        <f>IFERROR(__xludf.DUMMYFUNCTION("""COMPUTED_VALUE"""),25.1)</f>
        <v>25.1</v>
      </c>
    </row>
    <row r="87">
      <c r="A87" s="27">
        <f>IFERROR(__xludf.DUMMYFUNCTION("""COMPUTED_VALUE"""),45051.63611111111)</f>
        <v>45051.63611</v>
      </c>
      <c r="B87" s="27">
        <f>IFERROR(__xludf.DUMMYFUNCTION("""COMPUTED_VALUE"""),25.01)</f>
        <v>25.01</v>
      </c>
    </row>
    <row r="88">
      <c r="A88" s="27">
        <f>IFERROR(__xludf.DUMMYFUNCTION("""COMPUTED_VALUE"""),45054.63611111111)</f>
        <v>45054.63611</v>
      </c>
      <c r="B88" s="27">
        <f>IFERROR(__xludf.DUMMYFUNCTION("""COMPUTED_VALUE"""),24.72)</f>
        <v>24.72</v>
      </c>
    </row>
    <row r="89">
      <c r="A89" s="27">
        <f>IFERROR(__xludf.DUMMYFUNCTION("""COMPUTED_VALUE"""),45055.63611111111)</f>
        <v>45055.63611</v>
      </c>
      <c r="B89" s="27">
        <f>IFERROR(__xludf.DUMMYFUNCTION("""COMPUTED_VALUE"""),25.17)</f>
        <v>25.17</v>
      </c>
    </row>
    <row r="90">
      <c r="A90" s="27">
        <f>IFERROR(__xludf.DUMMYFUNCTION("""COMPUTED_VALUE"""),45056.63611111111)</f>
        <v>45056.63611</v>
      </c>
      <c r="B90" s="27">
        <f>IFERROR(__xludf.DUMMYFUNCTION("""COMPUTED_VALUE"""),24.43)</f>
        <v>24.43</v>
      </c>
    </row>
    <row r="91">
      <c r="A91" s="27">
        <f>IFERROR(__xludf.DUMMYFUNCTION("""COMPUTED_VALUE"""),45057.63611111111)</f>
        <v>45057.63611</v>
      </c>
      <c r="B91" s="27">
        <f>IFERROR(__xludf.DUMMYFUNCTION("""COMPUTED_VALUE"""),24.84)</f>
        <v>24.84</v>
      </c>
    </row>
    <row r="92">
      <c r="A92" s="27">
        <f>IFERROR(__xludf.DUMMYFUNCTION("""COMPUTED_VALUE"""),45058.63611111111)</f>
        <v>45058.63611</v>
      </c>
      <c r="B92" s="27">
        <f>IFERROR(__xludf.DUMMYFUNCTION("""COMPUTED_VALUE"""),24.58)</f>
        <v>24.58</v>
      </c>
    </row>
    <row r="93">
      <c r="A93" s="27">
        <f>IFERROR(__xludf.DUMMYFUNCTION("""COMPUTED_VALUE"""),45061.63611111111)</f>
        <v>45061.63611</v>
      </c>
      <c r="B93" s="27">
        <f>IFERROR(__xludf.DUMMYFUNCTION("""COMPUTED_VALUE"""),24.81)</f>
        <v>24.81</v>
      </c>
    </row>
    <row r="94">
      <c r="A94" s="27">
        <f>IFERROR(__xludf.DUMMYFUNCTION("""COMPUTED_VALUE"""),45062.63611111111)</f>
        <v>45062.63611</v>
      </c>
      <c r="B94" s="27">
        <f>IFERROR(__xludf.DUMMYFUNCTION("""COMPUTED_VALUE"""),24.69)</f>
        <v>24.69</v>
      </c>
    </row>
    <row r="95">
      <c r="A95" s="27">
        <f>IFERROR(__xludf.DUMMYFUNCTION("""COMPUTED_VALUE"""),45063.63611111111)</f>
        <v>45063.63611</v>
      </c>
      <c r="B95" s="27">
        <f>IFERROR(__xludf.DUMMYFUNCTION("""COMPUTED_VALUE"""),24.43)</f>
        <v>24.43</v>
      </c>
    </row>
    <row r="96">
      <c r="A96" s="27">
        <f>IFERROR(__xludf.DUMMYFUNCTION("""COMPUTED_VALUE"""),45064.63611111111)</f>
        <v>45064.63611</v>
      </c>
      <c r="B96" s="27">
        <f>IFERROR(__xludf.DUMMYFUNCTION("""COMPUTED_VALUE"""),24.4)</f>
        <v>24.4</v>
      </c>
    </row>
    <row r="97">
      <c r="A97" s="27">
        <f>IFERROR(__xludf.DUMMYFUNCTION("""COMPUTED_VALUE"""),45065.63611111111)</f>
        <v>45065.63611</v>
      </c>
      <c r="B97" s="27">
        <f>IFERROR(__xludf.DUMMYFUNCTION("""COMPUTED_VALUE"""),24.02)</f>
        <v>24.02</v>
      </c>
    </row>
    <row r="98">
      <c r="A98" s="27">
        <f>IFERROR(__xludf.DUMMYFUNCTION("""COMPUTED_VALUE"""),45068.63611111111)</f>
        <v>45068.63611</v>
      </c>
      <c r="B98" s="27">
        <f>IFERROR(__xludf.DUMMYFUNCTION("""COMPUTED_VALUE"""),24.43)</f>
        <v>24.43</v>
      </c>
    </row>
    <row r="99">
      <c r="A99" s="27">
        <f>IFERROR(__xludf.DUMMYFUNCTION("""COMPUTED_VALUE"""),45069.63611111111)</f>
        <v>45069.63611</v>
      </c>
      <c r="B99" s="27">
        <f>IFERROR(__xludf.DUMMYFUNCTION("""COMPUTED_VALUE"""),24.63)</f>
        <v>24.63</v>
      </c>
    </row>
    <row r="100">
      <c r="A100" s="27">
        <f>IFERROR(__xludf.DUMMYFUNCTION("""COMPUTED_VALUE"""),45070.63611111111)</f>
        <v>45070.63611</v>
      </c>
      <c r="B100" s="27">
        <f>IFERROR(__xludf.DUMMYFUNCTION("""COMPUTED_VALUE"""),25.02)</f>
        <v>25.02</v>
      </c>
    </row>
    <row r="101">
      <c r="A101" s="27">
        <f>IFERROR(__xludf.DUMMYFUNCTION("""COMPUTED_VALUE"""),45071.63611111111)</f>
        <v>45071.63611</v>
      </c>
      <c r="B101" s="27">
        <f>IFERROR(__xludf.DUMMYFUNCTION("""COMPUTED_VALUE"""),24.76)</f>
        <v>24.76</v>
      </c>
    </row>
    <row r="102">
      <c r="A102" s="27">
        <f>IFERROR(__xludf.DUMMYFUNCTION("""COMPUTED_VALUE"""),45072.63611111111)</f>
        <v>45072.63611</v>
      </c>
      <c r="B102" s="27">
        <f>IFERROR(__xludf.DUMMYFUNCTION("""COMPUTED_VALUE"""),24.51)</f>
        <v>24.51</v>
      </c>
    </row>
    <row r="103">
      <c r="A103" s="27">
        <f>IFERROR(__xludf.DUMMYFUNCTION("""COMPUTED_VALUE"""),45076.63611111111)</f>
        <v>45076.63611</v>
      </c>
      <c r="B103" s="27">
        <f>IFERROR(__xludf.DUMMYFUNCTION("""COMPUTED_VALUE"""),23.46)</f>
        <v>23.46</v>
      </c>
    </row>
    <row r="104">
      <c r="A104" s="27">
        <f>IFERROR(__xludf.DUMMYFUNCTION("""COMPUTED_VALUE"""),45077.63611111111)</f>
        <v>45077.63611</v>
      </c>
      <c r="B104" s="27">
        <f>IFERROR(__xludf.DUMMYFUNCTION("""COMPUTED_VALUE"""),23.88)</f>
        <v>23.88</v>
      </c>
    </row>
    <row r="105">
      <c r="A105" s="27">
        <f>IFERROR(__xludf.DUMMYFUNCTION("""COMPUTED_VALUE"""),45078.63611111111)</f>
        <v>45078.63611</v>
      </c>
      <c r="B105" s="27">
        <f>IFERROR(__xludf.DUMMYFUNCTION("""COMPUTED_VALUE"""),23.57)</f>
        <v>23.57</v>
      </c>
    </row>
    <row r="106">
      <c r="A106" s="27">
        <f>IFERROR(__xludf.DUMMYFUNCTION("""COMPUTED_VALUE"""),45079.63611111111)</f>
        <v>45079.63611</v>
      </c>
      <c r="B106" s="27">
        <f>IFERROR(__xludf.DUMMYFUNCTION("""COMPUTED_VALUE"""),22.93)</f>
        <v>22.93</v>
      </c>
    </row>
    <row r="107">
      <c r="A107" s="27">
        <f>IFERROR(__xludf.DUMMYFUNCTION("""COMPUTED_VALUE"""),45082.63611111111)</f>
        <v>45082.63611</v>
      </c>
      <c r="B107" s="27">
        <f>IFERROR(__xludf.DUMMYFUNCTION("""COMPUTED_VALUE"""),22.61)</f>
        <v>22.61</v>
      </c>
    </row>
    <row r="108">
      <c r="A108" s="27">
        <f>IFERROR(__xludf.DUMMYFUNCTION("""COMPUTED_VALUE"""),45083.63611111111)</f>
        <v>45083.63611</v>
      </c>
      <c r="B108" s="27">
        <f>IFERROR(__xludf.DUMMYFUNCTION("""COMPUTED_VALUE"""),22.23)</f>
        <v>22.23</v>
      </c>
    </row>
    <row r="109">
      <c r="A109" s="27">
        <f>IFERROR(__xludf.DUMMYFUNCTION("""COMPUTED_VALUE"""),45084.63611111111)</f>
        <v>45084.63611</v>
      </c>
      <c r="B109" s="27">
        <f>IFERROR(__xludf.DUMMYFUNCTION("""COMPUTED_VALUE"""),21.7)</f>
        <v>21.7</v>
      </c>
    </row>
    <row r="110">
      <c r="A110" s="27">
        <f>IFERROR(__xludf.DUMMYFUNCTION("""COMPUTED_VALUE"""),45085.63611111111)</f>
        <v>45085.63611</v>
      </c>
      <c r="B110" s="27">
        <f>IFERROR(__xludf.DUMMYFUNCTION("""COMPUTED_VALUE"""),21.62)</f>
        <v>21.62</v>
      </c>
    </row>
    <row r="111">
      <c r="A111" s="27">
        <f>IFERROR(__xludf.DUMMYFUNCTION("""COMPUTED_VALUE"""),45086.63611111111)</f>
        <v>45086.63611</v>
      </c>
      <c r="B111" s="27">
        <f>IFERROR(__xludf.DUMMYFUNCTION("""COMPUTED_VALUE"""),21.24)</f>
        <v>21.24</v>
      </c>
    </row>
    <row r="112">
      <c r="A112" s="27">
        <f>IFERROR(__xludf.DUMMYFUNCTION("""COMPUTED_VALUE"""),45089.63611111111)</f>
        <v>45089.63611</v>
      </c>
      <c r="B112" s="27">
        <f>IFERROR(__xludf.DUMMYFUNCTION("""COMPUTED_VALUE"""),21.41)</f>
        <v>21.41</v>
      </c>
    </row>
    <row r="113">
      <c r="A113" s="27">
        <f>IFERROR(__xludf.DUMMYFUNCTION("""COMPUTED_VALUE"""),45090.63611111111)</f>
        <v>45090.63611</v>
      </c>
      <c r="B113" s="27">
        <f>IFERROR(__xludf.DUMMYFUNCTION("""COMPUTED_VALUE"""),21.18)</f>
        <v>21.18</v>
      </c>
    </row>
    <row r="114">
      <c r="A114" s="27">
        <f>IFERROR(__xludf.DUMMYFUNCTION("""COMPUTED_VALUE"""),45091.63611111111)</f>
        <v>45091.63611</v>
      </c>
      <c r="B114" s="27">
        <f>IFERROR(__xludf.DUMMYFUNCTION("""COMPUTED_VALUE"""),21.35)</f>
        <v>21.35</v>
      </c>
    </row>
    <row r="115">
      <c r="A115" s="27">
        <f>IFERROR(__xludf.DUMMYFUNCTION("""COMPUTED_VALUE"""),45092.63611111111)</f>
        <v>45092.63611</v>
      </c>
      <c r="B115" s="27">
        <f>IFERROR(__xludf.DUMMYFUNCTION("""COMPUTED_VALUE"""),21.44)</f>
        <v>21.44</v>
      </c>
    </row>
    <row r="116">
      <c r="A116" s="27">
        <f>IFERROR(__xludf.DUMMYFUNCTION("""COMPUTED_VALUE"""),45093.63611111111)</f>
        <v>45093.63611</v>
      </c>
      <c r="B116" s="27">
        <f>IFERROR(__xludf.DUMMYFUNCTION("""COMPUTED_VALUE"""),21.36)</f>
        <v>21.36</v>
      </c>
    </row>
    <row r="117">
      <c r="A117" s="27">
        <f>IFERROR(__xludf.DUMMYFUNCTION("""COMPUTED_VALUE"""),45097.63611111111)</f>
        <v>45097.63611</v>
      </c>
      <c r="B117" s="27">
        <f>IFERROR(__xludf.DUMMYFUNCTION("""COMPUTED_VALUE"""),21.5)</f>
        <v>21.5</v>
      </c>
    </row>
    <row r="118">
      <c r="A118" s="27">
        <f>IFERROR(__xludf.DUMMYFUNCTION("""COMPUTED_VALUE"""),45098.63611111111)</f>
        <v>45098.63611</v>
      </c>
      <c r="B118" s="27">
        <f>IFERROR(__xludf.DUMMYFUNCTION("""COMPUTED_VALUE"""),21.51)</f>
        <v>21.51</v>
      </c>
    </row>
    <row r="119">
      <c r="A119" s="27">
        <f>IFERROR(__xludf.DUMMYFUNCTION("""COMPUTED_VALUE"""),45099.63611111111)</f>
        <v>45099.63611</v>
      </c>
      <c r="B119" s="27">
        <f>IFERROR(__xludf.DUMMYFUNCTION("""COMPUTED_VALUE"""),21.64)</f>
        <v>21.64</v>
      </c>
    </row>
    <row r="120">
      <c r="A120" s="27">
        <f>IFERROR(__xludf.DUMMYFUNCTION("""COMPUTED_VALUE"""),45100.63611111111)</f>
        <v>45100.63611</v>
      </c>
      <c r="B120" s="27">
        <f>IFERROR(__xludf.DUMMYFUNCTION("""COMPUTED_VALUE"""),21.65)</f>
        <v>21.65</v>
      </c>
    </row>
    <row r="121">
      <c r="A121" s="27">
        <f>IFERROR(__xludf.DUMMYFUNCTION("""COMPUTED_VALUE"""),45103.63611111111)</f>
        <v>45103.63611</v>
      </c>
      <c r="B121" s="27">
        <f>IFERROR(__xludf.DUMMYFUNCTION("""COMPUTED_VALUE"""),21.56)</f>
        <v>21.56</v>
      </c>
    </row>
    <row r="122">
      <c r="A122" s="27">
        <f>IFERROR(__xludf.DUMMYFUNCTION("""COMPUTED_VALUE"""),45104.63611111111)</f>
        <v>45104.63611</v>
      </c>
      <c r="B122" s="27">
        <f>IFERROR(__xludf.DUMMYFUNCTION("""COMPUTED_VALUE"""),21.36)</f>
        <v>21.36</v>
      </c>
    </row>
    <row r="123">
      <c r="A123" s="27">
        <f>IFERROR(__xludf.DUMMYFUNCTION("""COMPUTED_VALUE"""),45105.63611111111)</f>
        <v>45105.63611</v>
      </c>
      <c r="B123" s="27">
        <f>IFERROR(__xludf.DUMMYFUNCTION("""COMPUTED_VALUE"""),21.05)</f>
        <v>21.05</v>
      </c>
    </row>
    <row r="124">
      <c r="A124" s="27">
        <f>IFERROR(__xludf.DUMMYFUNCTION("""COMPUTED_VALUE"""),45106.63611111111)</f>
        <v>45106.63611</v>
      </c>
      <c r="B124" s="27">
        <f>IFERROR(__xludf.DUMMYFUNCTION("""COMPUTED_VALUE"""),20.69)</f>
        <v>20.69</v>
      </c>
    </row>
    <row r="125">
      <c r="A125" s="27">
        <f>IFERROR(__xludf.DUMMYFUNCTION("""COMPUTED_VALUE"""),45107.63611111111)</f>
        <v>45107.63611</v>
      </c>
      <c r="B125" s="27">
        <f>IFERROR(__xludf.DUMMYFUNCTION("""COMPUTED_VALUE"""),21.56)</f>
        <v>21.56</v>
      </c>
    </row>
    <row r="126">
      <c r="A126" s="27">
        <f>IFERROR(__xludf.DUMMYFUNCTION("""COMPUTED_VALUE"""),45110.54166666667)</f>
        <v>45110.54167</v>
      </c>
      <c r="B126" s="27">
        <f>IFERROR(__xludf.DUMMYFUNCTION("""COMPUTED_VALUE"""),20.51)</f>
        <v>20.51</v>
      </c>
    </row>
    <row r="127">
      <c r="A127" s="27">
        <f>IFERROR(__xludf.DUMMYFUNCTION("""COMPUTED_VALUE"""),45112.63611111111)</f>
        <v>45112.63611</v>
      </c>
      <c r="B127" s="27">
        <f>IFERROR(__xludf.DUMMYFUNCTION("""COMPUTED_VALUE"""),20.7)</f>
        <v>20.7</v>
      </c>
    </row>
    <row r="128">
      <c r="A128" s="27">
        <f>IFERROR(__xludf.DUMMYFUNCTION("""COMPUTED_VALUE"""),45113.63611111111)</f>
        <v>45113.63611</v>
      </c>
      <c r="B128" s="27">
        <f>IFERROR(__xludf.DUMMYFUNCTION("""COMPUTED_VALUE"""),21.23)</f>
        <v>21.23</v>
      </c>
    </row>
    <row r="129">
      <c r="A129" s="27">
        <f>IFERROR(__xludf.DUMMYFUNCTION("""COMPUTED_VALUE"""),45114.63611111111)</f>
        <v>45114.63611</v>
      </c>
      <c r="B129" s="27">
        <f>IFERROR(__xludf.DUMMYFUNCTION("""COMPUTED_VALUE"""),21.54)</f>
        <v>21.54</v>
      </c>
    </row>
    <row r="130">
      <c r="A130" s="27">
        <f>IFERROR(__xludf.DUMMYFUNCTION("""COMPUTED_VALUE"""),45117.63611111111)</f>
        <v>45117.63611</v>
      </c>
      <c r="B130" s="27">
        <f>IFERROR(__xludf.DUMMYFUNCTION("""COMPUTED_VALUE"""),21.4)</f>
        <v>21.4</v>
      </c>
    </row>
    <row r="131">
      <c r="A131" s="27">
        <f>IFERROR(__xludf.DUMMYFUNCTION("""COMPUTED_VALUE"""),45118.63611111111)</f>
        <v>45118.63611</v>
      </c>
      <c r="B131" s="27">
        <f>IFERROR(__xludf.DUMMYFUNCTION("""COMPUTED_VALUE"""),21.12)</f>
        <v>21.12</v>
      </c>
    </row>
    <row r="132">
      <c r="A132" s="27">
        <f>IFERROR(__xludf.DUMMYFUNCTION("""COMPUTED_VALUE"""),45119.63611111111)</f>
        <v>45119.63611</v>
      </c>
      <c r="B132" s="27">
        <f>IFERROR(__xludf.DUMMYFUNCTION("""COMPUTED_VALUE"""),20.65)</f>
        <v>20.65</v>
      </c>
    </row>
    <row r="133">
      <c r="A133" s="27">
        <f>IFERROR(__xludf.DUMMYFUNCTION("""COMPUTED_VALUE"""),45120.63611111111)</f>
        <v>45120.63611</v>
      </c>
      <c r="B133" s="27">
        <f>IFERROR(__xludf.DUMMYFUNCTION("""COMPUTED_VALUE"""),20.4)</f>
        <v>20.4</v>
      </c>
    </row>
    <row r="134">
      <c r="A134" s="27">
        <f>IFERROR(__xludf.DUMMYFUNCTION("""COMPUTED_VALUE"""),45121.63611111111)</f>
        <v>45121.63611</v>
      </c>
      <c r="B134" s="27">
        <f>IFERROR(__xludf.DUMMYFUNCTION("""COMPUTED_VALUE"""),20.25)</f>
        <v>20.25</v>
      </c>
    </row>
    <row r="135">
      <c r="A135" s="27">
        <f>IFERROR(__xludf.DUMMYFUNCTION("""COMPUTED_VALUE"""),45124.63611111111)</f>
        <v>45124.63611</v>
      </c>
      <c r="B135" s="27">
        <f>IFERROR(__xludf.DUMMYFUNCTION("""COMPUTED_VALUE"""),20.36)</f>
        <v>20.36</v>
      </c>
    </row>
    <row r="136">
      <c r="A136" s="27">
        <f>IFERROR(__xludf.DUMMYFUNCTION("""COMPUTED_VALUE"""),45125.63611111111)</f>
        <v>45125.63611</v>
      </c>
      <c r="B136" s="27">
        <f>IFERROR(__xludf.DUMMYFUNCTION("""COMPUTED_VALUE"""),20.7)</f>
        <v>20.7</v>
      </c>
    </row>
    <row r="137">
      <c r="A137" s="27">
        <f>IFERROR(__xludf.DUMMYFUNCTION("""COMPUTED_VALUE"""),45126.63611111111)</f>
        <v>45126.63611</v>
      </c>
      <c r="B137" s="27">
        <f>IFERROR(__xludf.DUMMYFUNCTION("""COMPUTED_VALUE"""),20.53)</f>
        <v>20.53</v>
      </c>
    </row>
    <row r="138">
      <c r="A138" s="27">
        <f>IFERROR(__xludf.DUMMYFUNCTION("""COMPUTED_VALUE"""),45127.63611111111)</f>
        <v>45127.63611</v>
      </c>
      <c r="B138" s="27">
        <f>IFERROR(__xludf.DUMMYFUNCTION("""COMPUTED_VALUE"""),20.88)</f>
        <v>20.88</v>
      </c>
    </row>
    <row r="139">
      <c r="A139" s="27">
        <f>IFERROR(__xludf.DUMMYFUNCTION("""COMPUTED_VALUE"""),45128.63611111111)</f>
        <v>45128.63611</v>
      </c>
      <c r="B139" s="27">
        <f>IFERROR(__xludf.DUMMYFUNCTION("""COMPUTED_VALUE"""),20.9)</f>
        <v>20.9</v>
      </c>
    </row>
    <row r="140">
      <c r="A140" s="27">
        <f>IFERROR(__xludf.DUMMYFUNCTION("""COMPUTED_VALUE"""),45131.63611111111)</f>
        <v>45131.63611</v>
      </c>
      <c r="B140" s="27">
        <f>IFERROR(__xludf.DUMMYFUNCTION("""COMPUTED_VALUE"""),20.74)</f>
        <v>20.74</v>
      </c>
    </row>
    <row r="141">
      <c r="A141" s="27">
        <f>IFERROR(__xludf.DUMMYFUNCTION("""COMPUTED_VALUE"""),45132.63611111111)</f>
        <v>45132.63611</v>
      </c>
      <c r="B141" s="27">
        <f>IFERROR(__xludf.DUMMYFUNCTION("""COMPUTED_VALUE"""),20.71)</f>
        <v>20.71</v>
      </c>
    </row>
    <row r="142">
      <c r="A142" s="27">
        <f>IFERROR(__xludf.DUMMYFUNCTION("""COMPUTED_VALUE"""),45133.63611111111)</f>
        <v>45133.63611</v>
      </c>
      <c r="B142" s="27">
        <f>IFERROR(__xludf.DUMMYFUNCTION("""COMPUTED_VALUE"""),20.78)</f>
        <v>20.78</v>
      </c>
    </row>
    <row r="143">
      <c r="A143" s="27">
        <f>IFERROR(__xludf.DUMMYFUNCTION("""COMPUTED_VALUE"""),45134.63611111111)</f>
        <v>45134.63611</v>
      </c>
      <c r="B143" s="27">
        <f>IFERROR(__xludf.DUMMYFUNCTION("""COMPUTED_VALUE"""),20.28)</f>
        <v>20.28</v>
      </c>
    </row>
    <row r="144">
      <c r="A144" s="27">
        <f>IFERROR(__xludf.DUMMYFUNCTION("""COMPUTED_VALUE"""),45135.63611111111)</f>
        <v>45135.63611</v>
      </c>
      <c r="B144" s="27">
        <f>IFERROR(__xludf.DUMMYFUNCTION("""COMPUTED_VALUE"""),20.42)</f>
        <v>20.42</v>
      </c>
    </row>
    <row r="145">
      <c r="A145" s="27">
        <f>IFERROR(__xludf.DUMMYFUNCTION("""COMPUTED_VALUE"""),45138.63611111111)</f>
        <v>45138.63611</v>
      </c>
      <c r="B145" s="27">
        <f>IFERROR(__xludf.DUMMYFUNCTION("""COMPUTED_VALUE"""),20.59)</f>
        <v>20.59</v>
      </c>
    </row>
    <row r="146">
      <c r="A146" s="27">
        <f>IFERROR(__xludf.DUMMYFUNCTION("""COMPUTED_VALUE"""),45139.63611111111)</f>
        <v>45139.63611</v>
      </c>
      <c r="B146" s="27">
        <f>IFERROR(__xludf.DUMMYFUNCTION("""COMPUTED_VALUE"""),20.81)</f>
        <v>20.81</v>
      </c>
    </row>
    <row r="147">
      <c r="A147" s="27">
        <f>IFERROR(__xludf.DUMMYFUNCTION("""COMPUTED_VALUE"""),45140.63611111111)</f>
        <v>45140.63611</v>
      </c>
      <c r="B147" s="27">
        <f>IFERROR(__xludf.DUMMYFUNCTION("""COMPUTED_VALUE"""),21.3)</f>
        <v>21.3</v>
      </c>
    </row>
    <row r="148">
      <c r="A148" s="27">
        <f>IFERROR(__xludf.DUMMYFUNCTION("""COMPUTED_VALUE"""),45141.63611111111)</f>
        <v>45141.63611</v>
      </c>
      <c r="B148" s="27">
        <f>IFERROR(__xludf.DUMMYFUNCTION("""COMPUTED_VALUE"""),21.92)</f>
        <v>21.92</v>
      </c>
    </row>
    <row r="149">
      <c r="A149" s="27">
        <f>IFERROR(__xludf.DUMMYFUNCTION("""COMPUTED_VALUE"""),45142.63611111111)</f>
        <v>45142.63611</v>
      </c>
      <c r="B149" s="27">
        <f>IFERROR(__xludf.DUMMYFUNCTION("""COMPUTED_VALUE"""),21.43)</f>
        <v>21.43</v>
      </c>
    </row>
    <row r="150">
      <c r="A150" s="27">
        <f>IFERROR(__xludf.DUMMYFUNCTION("""COMPUTED_VALUE"""),45145.63611111111)</f>
        <v>45145.63611</v>
      </c>
      <c r="B150" s="27">
        <f>IFERROR(__xludf.DUMMYFUNCTION("""COMPUTED_VALUE"""),21.74)</f>
        <v>21.74</v>
      </c>
    </row>
    <row r="151">
      <c r="A151" s="27">
        <f>IFERROR(__xludf.DUMMYFUNCTION("""COMPUTED_VALUE"""),45146.63611111111)</f>
        <v>45146.63611</v>
      </c>
      <c r="B151" s="27">
        <f>IFERROR(__xludf.DUMMYFUNCTION("""COMPUTED_VALUE"""),21.89)</f>
        <v>21.89</v>
      </c>
    </row>
    <row r="152">
      <c r="A152" s="27">
        <f>IFERROR(__xludf.DUMMYFUNCTION("""COMPUTED_VALUE"""),45147.63611111111)</f>
        <v>45147.63611</v>
      </c>
      <c r="B152" s="27">
        <f>IFERROR(__xludf.DUMMYFUNCTION("""COMPUTED_VALUE"""),21.67)</f>
        <v>21.67</v>
      </c>
    </row>
    <row r="153">
      <c r="A153" s="27">
        <f>IFERROR(__xludf.DUMMYFUNCTION("""COMPUTED_VALUE"""),45148.63611111111)</f>
        <v>45148.63611</v>
      </c>
      <c r="B153" s="27">
        <f>IFERROR(__xludf.DUMMYFUNCTION("""COMPUTED_VALUE"""),21.41)</f>
        <v>21.41</v>
      </c>
    </row>
    <row r="154">
      <c r="A154" s="27">
        <f>IFERROR(__xludf.DUMMYFUNCTION("""COMPUTED_VALUE"""),45149.63611111111)</f>
        <v>45149.63611</v>
      </c>
      <c r="B154" s="27">
        <f>IFERROR(__xludf.DUMMYFUNCTION("""COMPUTED_VALUE"""),21.91)</f>
        <v>21.91</v>
      </c>
    </row>
    <row r="155">
      <c r="A155" s="27">
        <f>IFERROR(__xludf.DUMMYFUNCTION("""COMPUTED_VALUE"""),45152.63611111111)</f>
        <v>45152.63611</v>
      </c>
      <c r="B155" s="27">
        <f>IFERROR(__xludf.DUMMYFUNCTION("""COMPUTED_VALUE"""),21.71)</f>
        <v>21.71</v>
      </c>
    </row>
    <row r="156">
      <c r="A156" s="27">
        <f>IFERROR(__xludf.DUMMYFUNCTION("""COMPUTED_VALUE"""),45153.63611111111)</f>
        <v>45153.63611</v>
      </c>
      <c r="B156" s="27">
        <f>IFERROR(__xludf.DUMMYFUNCTION("""COMPUTED_VALUE"""),21.62)</f>
        <v>21.62</v>
      </c>
    </row>
    <row r="157">
      <c r="A157" s="27">
        <f>IFERROR(__xludf.DUMMYFUNCTION("""COMPUTED_VALUE"""),45154.63611111111)</f>
        <v>45154.63611</v>
      </c>
      <c r="B157" s="27">
        <f>IFERROR(__xludf.DUMMYFUNCTION("""COMPUTED_VALUE"""),21.94)</f>
        <v>21.94</v>
      </c>
    </row>
    <row r="158">
      <c r="A158" s="27">
        <f>IFERROR(__xludf.DUMMYFUNCTION("""COMPUTED_VALUE"""),45155.63611111111)</f>
        <v>45155.63611</v>
      </c>
      <c r="B158" s="27">
        <f>IFERROR(__xludf.DUMMYFUNCTION("""COMPUTED_VALUE"""),22.07)</f>
        <v>22.07</v>
      </c>
    </row>
    <row r="159">
      <c r="A159" s="27">
        <f>IFERROR(__xludf.DUMMYFUNCTION("""COMPUTED_VALUE"""),45156.63611111111)</f>
        <v>45156.63611</v>
      </c>
      <c r="B159" s="27">
        <f>IFERROR(__xludf.DUMMYFUNCTION("""COMPUTED_VALUE"""),23.03)</f>
        <v>23.03</v>
      </c>
    </row>
    <row r="160">
      <c r="A160" s="27">
        <f>IFERROR(__xludf.DUMMYFUNCTION("""COMPUTED_VALUE"""),45159.63611111111)</f>
        <v>45159.63611</v>
      </c>
      <c r="B160" s="27">
        <f>IFERROR(__xludf.DUMMYFUNCTION("""COMPUTED_VALUE"""),22.43)</f>
        <v>22.43</v>
      </c>
    </row>
    <row r="161">
      <c r="A161" s="27">
        <f>IFERROR(__xludf.DUMMYFUNCTION("""COMPUTED_VALUE"""),45160.63611111111)</f>
        <v>45160.63611</v>
      </c>
      <c r="B161" s="27">
        <f>IFERROR(__xludf.DUMMYFUNCTION("""COMPUTED_VALUE"""),22.08)</f>
        <v>22.08</v>
      </c>
    </row>
    <row r="162">
      <c r="A162" s="27">
        <f>IFERROR(__xludf.DUMMYFUNCTION("""COMPUTED_VALUE"""),45161.63611111111)</f>
        <v>45161.63611</v>
      </c>
      <c r="B162" s="27">
        <f>IFERROR(__xludf.DUMMYFUNCTION("""COMPUTED_VALUE"""),22.15)</f>
        <v>22.15</v>
      </c>
    </row>
    <row r="163">
      <c r="A163" s="27">
        <f>IFERROR(__xludf.DUMMYFUNCTION("""COMPUTED_VALUE"""),45162.63611111111)</f>
        <v>45162.63611</v>
      </c>
      <c r="B163" s="27">
        <f>IFERROR(__xludf.DUMMYFUNCTION("""COMPUTED_VALUE"""),21.64)</f>
        <v>21.64</v>
      </c>
    </row>
    <row r="164">
      <c r="A164" s="27">
        <f>IFERROR(__xludf.DUMMYFUNCTION("""COMPUTED_VALUE"""),45163.63611111111)</f>
        <v>45163.63611</v>
      </c>
      <c r="B164" s="27">
        <f>IFERROR(__xludf.DUMMYFUNCTION("""COMPUTED_VALUE"""),21.93)</f>
        <v>21.93</v>
      </c>
    </row>
    <row r="165">
      <c r="A165" s="27">
        <f>IFERROR(__xludf.DUMMYFUNCTION("""COMPUTED_VALUE"""),45166.63611111111)</f>
        <v>45166.63611</v>
      </c>
      <c r="B165" s="27">
        <f>IFERROR(__xludf.DUMMYFUNCTION("""COMPUTED_VALUE"""),21.45)</f>
        <v>21.45</v>
      </c>
    </row>
    <row r="166">
      <c r="A166" s="27">
        <f>IFERROR(__xludf.DUMMYFUNCTION("""COMPUTED_VALUE"""),45167.63611111111)</f>
        <v>45167.63611</v>
      </c>
      <c r="B166" s="27">
        <f>IFERROR(__xludf.DUMMYFUNCTION("""COMPUTED_VALUE"""),21.18)</f>
        <v>21.18</v>
      </c>
    </row>
    <row r="167">
      <c r="A167" s="27">
        <f>IFERROR(__xludf.DUMMYFUNCTION("""COMPUTED_VALUE"""),45168.63611111111)</f>
        <v>45168.63611</v>
      </c>
      <c r="B167" s="27">
        <f>IFERROR(__xludf.DUMMYFUNCTION("""COMPUTED_VALUE"""),20.76)</f>
        <v>20.76</v>
      </c>
    </row>
    <row r="168">
      <c r="A168" s="27">
        <f>IFERROR(__xludf.DUMMYFUNCTION("""COMPUTED_VALUE"""),45169.63611111111)</f>
        <v>45169.63611</v>
      </c>
      <c r="B168" s="27">
        <f>IFERROR(__xludf.DUMMYFUNCTION("""COMPUTED_VALUE"""),20.64)</f>
        <v>20.64</v>
      </c>
    </row>
    <row r="169">
      <c r="A169" s="27">
        <f>IFERROR(__xludf.DUMMYFUNCTION("""COMPUTED_VALUE"""),45170.63611111111)</f>
        <v>45170.63611</v>
      </c>
      <c r="B169" s="27">
        <f>IFERROR(__xludf.DUMMYFUNCTION("""COMPUTED_VALUE"""),20.37)</f>
        <v>20.37</v>
      </c>
    </row>
    <row r="170">
      <c r="A170" s="27">
        <f>IFERROR(__xludf.DUMMYFUNCTION("""COMPUTED_VALUE"""),45174.63611111111)</f>
        <v>45174.63611</v>
      </c>
      <c r="B170" s="27">
        <f>IFERROR(__xludf.DUMMYFUNCTION("""COMPUTED_VALUE"""),20.61)</f>
        <v>20.61</v>
      </c>
    </row>
    <row r="171">
      <c r="A171" s="27">
        <f>IFERROR(__xludf.DUMMYFUNCTION("""COMPUTED_VALUE"""),45175.63611111111)</f>
        <v>45175.63611</v>
      </c>
      <c r="B171" s="27">
        <f>IFERROR(__xludf.DUMMYFUNCTION("""COMPUTED_VALUE"""),20.64)</f>
        <v>20.64</v>
      </c>
    </row>
    <row r="172">
      <c r="A172" s="27">
        <f>IFERROR(__xludf.DUMMYFUNCTION("""COMPUTED_VALUE"""),45176.63611111111)</f>
        <v>45176.63611</v>
      </c>
      <c r="B172" s="27">
        <f>IFERROR(__xludf.DUMMYFUNCTION("""COMPUTED_VALUE"""),21.1)</f>
        <v>21.1</v>
      </c>
    </row>
    <row r="173">
      <c r="A173" s="27">
        <f>IFERROR(__xludf.DUMMYFUNCTION("""COMPUTED_VALUE"""),45177.63611111111)</f>
        <v>45177.63611</v>
      </c>
      <c r="B173" s="27">
        <f>IFERROR(__xludf.DUMMYFUNCTION("""COMPUTED_VALUE"""),20.73)</f>
        <v>20.73</v>
      </c>
    </row>
    <row r="174">
      <c r="A174" s="27">
        <f>IFERROR(__xludf.DUMMYFUNCTION("""COMPUTED_VALUE"""),45180.63611111111)</f>
        <v>45180.63611</v>
      </c>
      <c r="B174" s="27">
        <f>IFERROR(__xludf.DUMMYFUNCTION("""COMPUTED_VALUE"""),20.35)</f>
        <v>20.35</v>
      </c>
    </row>
    <row r="175">
      <c r="A175" s="27">
        <f>IFERROR(__xludf.DUMMYFUNCTION("""COMPUTED_VALUE"""),45181.63611111111)</f>
        <v>45181.63611</v>
      </c>
      <c r="B175" s="27">
        <f>IFERROR(__xludf.DUMMYFUNCTION("""COMPUTED_VALUE"""),20.44)</f>
        <v>20.44</v>
      </c>
    </row>
    <row r="176">
      <c r="A176" s="27">
        <f>IFERROR(__xludf.DUMMYFUNCTION("""COMPUTED_VALUE"""),45182.63611111111)</f>
        <v>45182.63611</v>
      </c>
      <c r="B176" s="27">
        <f>IFERROR(__xludf.DUMMYFUNCTION("""COMPUTED_VALUE"""),20.37)</f>
        <v>20.37</v>
      </c>
    </row>
    <row r="177">
      <c r="A177" s="27">
        <f>IFERROR(__xludf.DUMMYFUNCTION("""COMPUTED_VALUE"""),45183.63611111111)</f>
        <v>45183.63611</v>
      </c>
      <c r="B177" s="27">
        <f>IFERROR(__xludf.DUMMYFUNCTION("""COMPUTED_VALUE"""),20.18)</f>
        <v>20.18</v>
      </c>
    </row>
    <row r="178">
      <c r="A178" s="27">
        <f>IFERROR(__xludf.DUMMYFUNCTION("""COMPUTED_VALUE"""),45184.63611111111)</f>
        <v>45184.63611</v>
      </c>
      <c r="B178" s="27">
        <f>IFERROR(__xludf.DUMMYFUNCTION("""COMPUTED_VALUE"""),20.13)</f>
        <v>20.13</v>
      </c>
    </row>
    <row r="179">
      <c r="A179" s="27">
        <f>IFERROR(__xludf.DUMMYFUNCTION("""COMPUTED_VALUE"""),45187.63611111111)</f>
        <v>45187.63611</v>
      </c>
      <c r="B179" s="27">
        <f>IFERROR(__xludf.DUMMYFUNCTION("""COMPUTED_VALUE"""),20.61)</f>
        <v>20.61</v>
      </c>
    </row>
    <row r="180">
      <c r="A180" s="27">
        <f>IFERROR(__xludf.DUMMYFUNCTION("""COMPUTED_VALUE"""),45188.63611111111)</f>
        <v>45188.63611</v>
      </c>
      <c r="B180" s="27">
        <f>IFERROR(__xludf.DUMMYFUNCTION("""COMPUTED_VALUE"""),20.45)</f>
        <v>20.45</v>
      </c>
    </row>
    <row r="181">
      <c r="A181" s="27">
        <f>IFERROR(__xludf.DUMMYFUNCTION("""COMPUTED_VALUE"""),45189.63611111111)</f>
        <v>45189.63611</v>
      </c>
      <c r="B181" s="27">
        <f>IFERROR(__xludf.DUMMYFUNCTION("""COMPUTED_VALUE"""),20.11)</f>
        <v>20.11</v>
      </c>
    </row>
    <row r="182">
      <c r="A182" s="27">
        <f>IFERROR(__xludf.DUMMYFUNCTION("""COMPUTED_VALUE"""),45190.63611111111)</f>
        <v>45190.63611</v>
      </c>
      <c r="B182" s="27">
        <f>IFERROR(__xludf.DUMMYFUNCTION("""COMPUTED_VALUE"""),21.0)</f>
        <v>21</v>
      </c>
    </row>
    <row r="183">
      <c r="A183" s="27">
        <f>IFERROR(__xludf.DUMMYFUNCTION("""COMPUTED_VALUE"""),45191.63611111111)</f>
        <v>45191.63611</v>
      </c>
      <c r="B183" s="27">
        <f>IFERROR(__xludf.DUMMYFUNCTION("""COMPUTED_VALUE"""),21.13)</f>
        <v>21.13</v>
      </c>
    </row>
    <row r="184">
      <c r="A184" s="27">
        <f>IFERROR(__xludf.DUMMYFUNCTION("""COMPUTED_VALUE"""),45194.63611111111)</f>
        <v>45194.63611</v>
      </c>
      <c r="B184" s="27">
        <f>IFERROR(__xludf.DUMMYFUNCTION("""COMPUTED_VALUE"""),21.53)</f>
        <v>21.53</v>
      </c>
    </row>
    <row r="185">
      <c r="A185" s="27">
        <f>IFERROR(__xludf.DUMMYFUNCTION("""COMPUTED_VALUE"""),45195.63611111111)</f>
        <v>45195.63611</v>
      </c>
      <c r="B185" s="27">
        <f>IFERROR(__xludf.DUMMYFUNCTION("""COMPUTED_VALUE"""),21.69)</f>
        <v>21.69</v>
      </c>
    </row>
    <row r="186">
      <c r="A186" s="27">
        <f>IFERROR(__xludf.DUMMYFUNCTION("""COMPUTED_VALUE"""),45196.63611111111)</f>
        <v>45196.63611</v>
      </c>
      <c r="B186" s="27">
        <f>IFERROR(__xludf.DUMMYFUNCTION("""COMPUTED_VALUE"""),22.2)</f>
        <v>22.2</v>
      </c>
    </row>
    <row r="187">
      <c r="A187" s="27">
        <f>IFERROR(__xludf.DUMMYFUNCTION("""COMPUTED_VALUE"""),45197.63611111111)</f>
        <v>45197.63611</v>
      </c>
      <c r="B187" s="27">
        <f>IFERROR(__xludf.DUMMYFUNCTION("""COMPUTED_VALUE"""),22.42)</f>
        <v>22.42</v>
      </c>
    </row>
    <row r="188">
      <c r="A188" s="27">
        <f>IFERROR(__xludf.DUMMYFUNCTION("""COMPUTED_VALUE"""),45198.63611111111)</f>
        <v>45198.63611</v>
      </c>
      <c r="B188" s="27">
        <f>IFERROR(__xludf.DUMMYFUNCTION("""COMPUTED_VALUE"""),21.61)</f>
        <v>21.61</v>
      </c>
    </row>
    <row r="189">
      <c r="A189" s="27">
        <f>IFERROR(__xludf.DUMMYFUNCTION("""COMPUTED_VALUE"""),45201.63611111111)</f>
        <v>45201.63611</v>
      </c>
      <c r="B189" s="27">
        <f>IFERROR(__xludf.DUMMYFUNCTION("""COMPUTED_VALUE"""),22.17)</f>
        <v>22.17</v>
      </c>
    </row>
    <row r="190">
      <c r="A190" s="27">
        <f>IFERROR(__xludf.DUMMYFUNCTION("""COMPUTED_VALUE"""),45202.63611111111)</f>
        <v>45202.63611</v>
      </c>
      <c r="B190" s="27">
        <f>IFERROR(__xludf.DUMMYFUNCTION("""COMPUTED_VALUE"""),22.43)</f>
        <v>22.43</v>
      </c>
    </row>
    <row r="191">
      <c r="A191" s="27">
        <f>IFERROR(__xludf.DUMMYFUNCTION("""COMPUTED_VALUE"""),45203.63611111111)</f>
        <v>45203.63611</v>
      </c>
      <c r="B191" s="27">
        <f>IFERROR(__xludf.DUMMYFUNCTION("""COMPUTED_VALUE"""),22.95)</f>
        <v>22.95</v>
      </c>
    </row>
    <row r="192">
      <c r="A192" s="27">
        <f>IFERROR(__xludf.DUMMYFUNCTION("""COMPUTED_VALUE"""),45204.63611111111)</f>
        <v>45204.63611</v>
      </c>
      <c r="B192" s="27">
        <f>IFERROR(__xludf.DUMMYFUNCTION("""COMPUTED_VALUE"""),22.76)</f>
        <v>22.76</v>
      </c>
    </row>
    <row r="193">
      <c r="A193" s="27">
        <f>IFERROR(__xludf.DUMMYFUNCTION("""COMPUTED_VALUE"""),45205.63611111111)</f>
        <v>45205.63611</v>
      </c>
      <c r="B193" s="27">
        <f>IFERROR(__xludf.DUMMYFUNCTION("""COMPUTED_VALUE"""),23.01)</f>
        <v>23.01</v>
      </c>
    </row>
    <row r="194">
      <c r="A194" s="27">
        <f>IFERROR(__xludf.DUMMYFUNCTION("""COMPUTED_VALUE"""),45208.63611111111)</f>
        <v>45208.63611</v>
      </c>
      <c r="B194" s="27">
        <f>IFERROR(__xludf.DUMMYFUNCTION("""COMPUTED_VALUE"""),22.86)</f>
        <v>22.86</v>
      </c>
    </row>
    <row r="195">
      <c r="A195" s="27">
        <f>IFERROR(__xludf.DUMMYFUNCTION("""COMPUTED_VALUE"""),45209.63611111111)</f>
        <v>45209.63611</v>
      </c>
      <c r="B195" s="27">
        <f>IFERROR(__xludf.DUMMYFUNCTION("""COMPUTED_VALUE"""),22.38)</f>
        <v>22.38</v>
      </c>
    </row>
    <row r="196">
      <c r="A196" s="27">
        <f>IFERROR(__xludf.DUMMYFUNCTION("""COMPUTED_VALUE"""),45210.63611111111)</f>
        <v>45210.63611</v>
      </c>
      <c r="B196" s="27">
        <f>IFERROR(__xludf.DUMMYFUNCTION("""COMPUTED_VALUE"""),22.0)</f>
        <v>22</v>
      </c>
    </row>
    <row r="197">
      <c r="A197" s="27">
        <f>IFERROR(__xludf.DUMMYFUNCTION("""COMPUTED_VALUE"""),45211.63611111111)</f>
        <v>45211.63611</v>
      </c>
      <c r="B197" s="27">
        <f>IFERROR(__xludf.DUMMYFUNCTION("""COMPUTED_VALUE"""),21.86)</f>
        <v>21.86</v>
      </c>
    </row>
    <row r="198">
      <c r="A198" s="27">
        <f>IFERROR(__xludf.DUMMYFUNCTION("""COMPUTED_VALUE"""),45212.63611111111)</f>
        <v>45212.63611</v>
      </c>
      <c r="B198" s="27">
        <f>IFERROR(__xludf.DUMMYFUNCTION("""COMPUTED_VALUE"""),22.13)</f>
        <v>22.13</v>
      </c>
    </row>
    <row r="199">
      <c r="A199" s="27">
        <f>IFERROR(__xludf.DUMMYFUNCTION("""COMPUTED_VALUE"""),45215.63611111111)</f>
        <v>45215.63611</v>
      </c>
      <c r="B199" s="27">
        <f>IFERROR(__xludf.DUMMYFUNCTION("""COMPUTED_VALUE"""),22.89)</f>
        <v>22.89</v>
      </c>
    </row>
    <row r="200">
      <c r="A200" s="27">
        <f>IFERROR(__xludf.DUMMYFUNCTION("""COMPUTED_VALUE"""),45216.63611111111)</f>
        <v>45216.63611</v>
      </c>
      <c r="B200" s="27">
        <f>IFERROR(__xludf.DUMMYFUNCTION("""COMPUTED_VALUE"""),22.97)</f>
        <v>22.97</v>
      </c>
    </row>
    <row r="201">
      <c r="A201" s="27">
        <f>IFERROR(__xludf.DUMMYFUNCTION("""COMPUTED_VALUE"""),45217.63611111111)</f>
        <v>45217.63611</v>
      </c>
      <c r="B201" s="27">
        <f>IFERROR(__xludf.DUMMYFUNCTION("""COMPUTED_VALUE"""),22.97)</f>
        <v>22.97</v>
      </c>
    </row>
    <row r="202">
      <c r="A202" s="27">
        <f>IFERROR(__xludf.DUMMYFUNCTION("""COMPUTED_VALUE"""),45218.63611111111)</f>
        <v>45218.63611</v>
      </c>
      <c r="B202" s="27">
        <f>IFERROR(__xludf.DUMMYFUNCTION("""COMPUTED_VALUE"""),23.53)</f>
        <v>23.53</v>
      </c>
    </row>
    <row r="203">
      <c r="A203" s="27">
        <f>IFERROR(__xludf.DUMMYFUNCTION("""COMPUTED_VALUE"""),45219.63611111111)</f>
        <v>45219.63611</v>
      </c>
      <c r="B203" s="27">
        <f>IFERROR(__xludf.DUMMYFUNCTION("""COMPUTED_VALUE"""),24.54)</f>
        <v>24.54</v>
      </c>
    </row>
    <row r="204">
      <c r="A204" s="27">
        <f>IFERROR(__xludf.DUMMYFUNCTION("""COMPUTED_VALUE"""),45222.63611111111)</f>
        <v>45222.63611</v>
      </c>
      <c r="B204" s="27">
        <f>IFERROR(__xludf.DUMMYFUNCTION("""COMPUTED_VALUE"""),24.65)</f>
        <v>24.65</v>
      </c>
    </row>
    <row r="205">
      <c r="A205" s="27">
        <f>IFERROR(__xludf.DUMMYFUNCTION("""COMPUTED_VALUE"""),45223.63611111111)</f>
        <v>45223.63611</v>
      </c>
      <c r="B205" s="27">
        <f>IFERROR(__xludf.DUMMYFUNCTION("""COMPUTED_VALUE"""),23.93)</f>
        <v>23.93</v>
      </c>
    </row>
    <row r="206">
      <c r="A206" s="27">
        <f>IFERROR(__xludf.DUMMYFUNCTION("""COMPUTED_VALUE"""),45224.63611111111)</f>
        <v>45224.63611</v>
      </c>
      <c r="B206" s="27">
        <f>IFERROR(__xludf.DUMMYFUNCTION("""COMPUTED_VALUE"""),23.57)</f>
        <v>23.57</v>
      </c>
    </row>
    <row r="207">
      <c r="A207" s="27">
        <f>IFERROR(__xludf.DUMMYFUNCTION("""COMPUTED_VALUE"""),45225.63611111111)</f>
        <v>45225.63611</v>
      </c>
      <c r="B207" s="27">
        <f>IFERROR(__xludf.DUMMYFUNCTION("""COMPUTED_VALUE"""),24.36)</f>
        <v>24.36</v>
      </c>
    </row>
    <row r="208">
      <c r="A208" s="27">
        <f>IFERROR(__xludf.DUMMYFUNCTION("""COMPUTED_VALUE"""),45226.63611111111)</f>
        <v>45226.63611</v>
      </c>
      <c r="B208" s="27">
        <f>IFERROR(__xludf.DUMMYFUNCTION("""COMPUTED_VALUE"""),24.09)</f>
        <v>24.09</v>
      </c>
    </row>
    <row r="209">
      <c r="A209" s="27">
        <f>IFERROR(__xludf.DUMMYFUNCTION("""COMPUTED_VALUE"""),45229.63611111111)</f>
        <v>45229.63611</v>
      </c>
      <c r="B209" s="27">
        <f>IFERROR(__xludf.DUMMYFUNCTION("""COMPUTED_VALUE"""),24.3)</f>
        <v>24.3</v>
      </c>
    </row>
    <row r="210">
      <c r="A210" s="27">
        <f>IFERROR(__xludf.DUMMYFUNCTION("""COMPUTED_VALUE"""),45230.63611111111)</f>
        <v>45230.63611</v>
      </c>
      <c r="B210" s="27">
        <f>IFERROR(__xludf.DUMMYFUNCTION("""COMPUTED_VALUE"""),23.65)</f>
        <v>23.65</v>
      </c>
    </row>
    <row r="211">
      <c r="A211" s="27">
        <f>IFERROR(__xludf.DUMMYFUNCTION("""COMPUTED_VALUE"""),45231.63611111111)</f>
        <v>45231.63611</v>
      </c>
      <c r="B211" s="27">
        <f>IFERROR(__xludf.DUMMYFUNCTION("""COMPUTED_VALUE"""),23.0)</f>
        <v>23</v>
      </c>
    </row>
    <row r="212">
      <c r="A212" s="27">
        <f>IFERROR(__xludf.DUMMYFUNCTION("""COMPUTED_VALUE"""),45232.63611111111)</f>
        <v>45232.63611</v>
      </c>
      <c r="B212" s="27">
        <f>IFERROR(__xludf.DUMMYFUNCTION("""COMPUTED_VALUE"""),22.03)</f>
        <v>22.03</v>
      </c>
    </row>
    <row r="213">
      <c r="A213" s="27">
        <f>IFERROR(__xludf.DUMMYFUNCTION("""COMPUTED_VALUE"""),45233.63611111111)</f>
        <v>45233.63611</v>
      </c>
      <c r="B213" s="27">
        <f>IFERROR(__xludf.DUMMYFUNCTION("""COMPUTED_VALUE"""),21.75)</f>
        <v>21.75</v>
      </c>
    </row>
    <row r="214">
      <c r="A214" s="27">
        <f>IFERROR(__xludf.DUMMYFUNCTION("""COMPUTED_VALUE"""),45236.63611111111)</f>
        <v>45236.63611</v>
      </c>
      <c r="B214" s="27">
        <f>IFERROR(__xludf.DUMMYFUNCTION("""COMPUTED_VALUE"""),21.55)</f>
        <v>21.55</v>
      </c>
    </row>
    <row r="215">
      <c r="A215" s="27">
        <f>IFERROR(__xludf.DUMMYFUNCTION("""COMPUTED_VALUE"""),45237.63611111111)</f>
        <v>45237.63611</v>
      </c>
      <c r="B215" s="27">
        <f>IFERROR(__xludf.DUMMYFUNCTION("""COMPUTED_VALUE"""),21.58)</f>
        <v>21.58</v>
      </c>
    </row>
    <row r="216">
      <c r="A216" s="27">
        <f>IFERROR(__xludf.DUMMYFUNCTION("""COMPUTED_VALUE"""),45238.63611111111)</f>
        <v>45238.63611</v>
      </c>
      <c r="B216" s="27">
        <f>IFERROR(__xludf.DUMMYFUNCTION("""COMPUTED_VALUE"""),21.48)</f>
        <v>21.48</v>
      </c>
    </row>
    <row r="217">
      <c r="A217" s="27">
        <f>IFERROR(__xludf.DUMMYFUNCTION("""COMPUTED_VALUE"""),45239.63611111111)</f>
        <v>45239.63611</v>
      </c>
      <c r="B217" s="27">
        <f>IFERROR(__xludf.DUMMYFUNCTION("""COMPUTED_VALUE"""),21.24)</f>
        <v>21.24</v>
      </c>
    </row>
    <row r="218">
      <c r="A218" s="27">
        <f>IFERROR(__xludf.DUMMYFUNCTION("""COMPUTED_VALUE"""),45240.63611111111)</f>
        <v>45240.63611</v>
      </c>
      <c r="B218" s="27">
        <f>IFERROR(__xludf.DUMMYFUNCTION("""COMPUTED_VALUE"""),21.56)</f>
        <v>21.56</v>
      </c>
    </row>
    <row r="219">
      <c r="A219" s="27">
        <f>IFERROR(__xludf.DUMMYFUNCTION("""COMPUTED_VALUE"""),45243.63611111111)</f>
        <v>45243.63611</v>
      </c>
      <c r="B219" s="27">
        <f>IFERROR(__xludf.DUMMYFUNCTION("""COMPUTED_VALUE"""),21.34)</f>
        <v>21.34</v>
      </c>
    </row>
    <row r="220">
      <c r="A220" s="27">
        <f>IFERROR(__xludf.DUMMYFUNCTION("""COMPUTED_VALUE"""),45244.63611111111)</f>
        <v>45244.63611</v>
      </c>
      <c r="B220" s="27">
        <f>IFERROR(__xludf.DUMMYFUNCTION("""COMPUTED_VALUE"""),20.8)</f>
        <v>20.8</v>
      </c>
    </row>
    <row r="221">
      <c r="A221" s="27">
        <f>IFERROR(__xludf.DUMMYFUNCTION("""COMPUTED_VALUE"""),45245.63611111111)</f>
        <v>45245.63611</v>
      </c>
      <c r="B221" s="27">
        <f>IFERROR(__xludf.DUMMYFUNCTION("""COMPUTED_VALUE"""),20.89)</f>
        <v>20.89</v>
      </c>
    </row>
    <row r="222">
      <c r="A222" s="27">
        <f>IFERROR(__xludf.DUMMYFUNCTION("""COMPUTED_VALUE"""),45246.63611111111)</f>
        <v>45246.63611</v>
      </c>
      <c r="B222" s="27">
        <f>IFERROR(__xludf.DUMMYFUNCTION("""COMPUTED_VALUE"""),21.09)</f>
        <v>21.09</v>
      </c>
    </row>
    <row r="223">
      <c r="A223" s="27">
        <f>IFERROR(__xludf.DUMMYFUNCTION("""COMPUTED_VALUE"""),45247.63611111111)</f>
        <v>45247.63611</v>
      </c>
      <c r="B223" s="27">
        <f>IFERROR(__xludf.DUMMYFUNCTION("""COMPUTED_VALUE"""),20.91)</f>
        <v>20.91</v>
      </c>
    </row>
    <row r="224">
      <c r="A224" s="27">
        <f>IFERROR(__xludf.DUMMYFUNCTION("""COMPUTED_VALUE"""),45250.63611111111)</f>
        <v>45250.63611</v>
      </c>
      <c r="B224" s="27">
        <f>IFERROR(__xludf.DUMMYFUNCTION("""COMPUTED_VALUE"""),20.77)</f>
        <v>20.77</v>
      </c>
    </row>
    <row r="225">
      <c r="A225" s="27">
        <f>IFERROR(__xludf.DUMMYFUNCTION("""COMPUTED_VALUE"""),45251.63611111111)</f>
        <v>45251.63611</v>
      </c>
      <c r="B225" s="27">
        <f>IFERROR(__xludf.DUMMYFUNCTION("""COMPUTED_VALUE"""),20.85)</f>
        <v>20.85</v>
      </c>
    </row>
    <row r="226">
      <c r="A226" s="27">
        <f>IFERROR(__xludf.DUMMYFUNCTION("""COMPUTED_VALUE"""),45252.63611111111)</f>
        <v>45252.63611</v>
      </c>
      <c r="B226" s="27">
        <f>IFERROR(__xludf.DUMMYFUNCTION("""COMPUTED_VALUE"""),20.51)</f>
        <v>20.51</v>
      </c>
    </row>
    <row r="227">
      <c r="A227" s="27">
        <f>IFERROR(__xludf.DUMMYFUNCTION("""COMPUTED_VALUE"""),45254.54166666667)</f>
        <v>45254.54167</v>
      </c>
      <c r="B227" s="27">
        <f>IFERROR(__xludf.DUMMYFUNCTION("""COMPUTED_VALUE"""),20.72)</f>
        <v>20.72</v>
      </c>
    </row>
    <row r="228">
      <c r="A228" s="27">
        <f>IFERROR(__xludf.DUMMYFUNCTION("""COMPUTED_VALUE"""),45257.63611111111)</f>
        <v>45257.63611</v>
      </c>
      <c r="B228" s="27">
        <f>IFERROR(__xludf.DUMMYFUNCTION("""COMPUTED_VALUE"""),20.54)</f>
        <v>20.54</v>
      </c>
    </row>
    <row r="229">
      <c r="A229" s="27">
        <f>IFERROR(__xludf.DUMMYFUNCTION("""COMPUTED_VALUE"""),45258.63611111111)</f>
        <v>45258.63611</v>
      </c>
      <c r="B229" s="27">
        <f>IFERROR(__xludf.DUMMYFUNCTION("""COMPUTED_VALUE"""),20.66)</f>
        <v>20.66</v>
      </c>
    </row>
    <row r="230">
      <c r="A230" s="27">
        <f>IFERROR(__xludf.DUMMYFUNCTION("""COMPUTED_VALUE"""),45259.63611111111)</f>
        <v>45259.63611</v>
      </c>
      <c r="B230" s="27">
        <f>IFERROR(__xludf.DUMMYFUNCTION("""COMPUTED_VALUE"""),20.45)</f>
        <v>20.45</v>
      </c>
    </row>
    <row r="231">
      <c r="A231" s="27">
        <f>IFERROR(__xludf.DUMMYFUNCTION("""COMPUTED_VALUE"""),45260.63611111111)</f>
        <v>45260.63611</v>
      </c>
      <c r="B231" s="27">
        <f>IFERROR(__xludf.DUMMYFUNCTION("""COMPUTED_VALUE"""),20.7)</f>
        <v>20.7</v>
      </c>
    </row>
    <row r="232">
      <c r="A232" s="27">
        <f>IFERROR(__xludf.DUMMYFUNCTION("""COMPUTED_VALUE"""),45261.63611111111)</f>
        <v>45261.63611</v>
      </c>
      <c r="B232" s="27">
        <f>IFERROR(__xludf.DUMMYFUNCTION("""COMPUTED_VALUE"""),20.69)</f>
        <v>20.69</v>
      </c>
    </row>
    <row r="233">
      <c r="A233" s="27">
        <f>IFERROR(__xludf.DUMMYFUNCTION("""COMPUTED_VALUE"""),45264.63611111111)</f>
        <v>45264.63611</v>
      </c>
      <c r="B233" s="27">
        <f>IFERROR(__xludf.DUMMYFUNCTION("""COMPUTED_VALUE"""),20.87)</f>
        <v>20.87</v>
      </c>
    </row>
    <row r="234">
      <c r="A234" s="27">
        <f>IFERROR(__xludf.DUMMYFUNCTION("""COMPUTED_VALUE"""),45265.63611111111)</f>
        <v>45265.63611</v>
      </c>
      <c r="B234" s="27">
        <f>IFERROR(__xludf.DUMMYFUNCTION("""COMPUTED_VALUE"""),20.86)</f>
        <v>20.86</v>
      </c>
    </row>
    <row r="235">
      <c r="A235" s="27">
        <f>IFERROR(__xludf.DUMMYFUNCTION("""COMPUTED_VALUE"""),45266.63611111111)</f>
        <v>45266.63611</v>
      </c>
      <c r="B235" s="27">
        <f>IFERROR(__xludf.DUMMYFUNCTION("""COMPUTED_VALUE"""),20.51)</f>
        <v>20.51</v>
      </c>
    </row>
    <row r="236">
      <c r="A236" s="27">
        <f>IFERROR(__xludf.DUMMYFUNCTION("""COMPUTED_VALUE"""),45267.63611111111)</f>
        <v>45267.63611</v>
      </c>
      <c r="B236" s="27">
        <f>IFERROR(__xludf.DUMMYFUNCTION("""COMPUTED_VALUE"""),20.6)</f>
        <v>20.6</v>
      </c>
    </row>
    <row r="237">
      <c r="A237" s="27">
        <f>IFERROR(__xludf.DUMMYFUNCTION("""COMPUTED_VALUE"""),45268.63611111111)</f>
        <v>45268.63611</v>
      </c>
      <c r="B237" s="27">
        <f>IFERROR(__xludf.DUMMYFUNCTION("""COMPUTED_VALUE"""),20.47)</f>
        <v>20.47</v>
      </c>
    </row>
    <row r="238">
      <c r="A238" s="27">
        <f>IFERROR(__xludf.DUMMYFUNCTION("""COMPUTED_VALUE"""),45271.63611111111)</f>
        <v>45271.63611</v>
      </c>
      <c r="B238" s="27">
        <f>IFERROR(__xludf.DUMMYFUNCTION("""COMPUTED_VALUE"""),20.46)</f>
        <v>20.46</v>
      </c>
    </row>
    <row r="239">
      <c r="A239" s="27">
        <f>IFERROR(__xludf.DUMMYFUNCTION("""COMPUTED_VALUE"""),45272.63611111111)</f>
        <v>45272.63611</v>
      </c>
      <c r="B239" s="27">
        <f>IFERROR(__xludf.DUMMYFUNCTION("""COMPUTED_VALUE"""),20.24)</f>
        <v>20.24</v>
      </c>
    </row>
    <row r="240">
      <c r="A240" s="27">
        <f>IFERROR(__xludf.DUMMYFUNCTION("""COMPUTED_VALUE"""),45273.63611111111)</f>
        <v>45273.63611</v>
      </c>
      <c r="B240" s="27">
        <f>IFERROR(__xludf.DUMMYFUNCTION("""COMPUTED_VALUE"""),19.7)</f>
        <v>19.7</v>
      </c>
    </row>
    <row r="241">
      <c r="A241" s="27">
        <f>IFERROR(__xludf.DUMMYFUNCTION("""COMPUTED_VALUE"""),45274.63611111111)</f>
        <v>45274.63611</v>
      </c>
      <c r="B241" s="27">
        <f>IFERROR(__xludf.DUMMYFUNCTION("""COMPUTED_VALUE"""),19.44)</f>
        <v>19.44</v>
      </c>
    </row>
    <row r="242">
      <c r="A242" s="27">
        <f>IFERROR(__xludf.DUMMYFUNCTION("""COMPUTED_VALUE"""),45275.63611111111)</f>
        <v>45275.63611</v>
      </c>
      <c r="B242" s="27">
        <f>IFERROR(__xludf.DUMMYFUNCTION("""COMPUTED_VALUE"""),19.59)</f>
        <v>19.59</v>
      </c>
    </row>
    <row r="243">
      <c r="A243" s="27">
        <f>IFERROR(__xludf.DUMMYFUNCTION("""COMPUTED_VALUE"""),45278.63611111111)</f>
        <v>45278.63611</v>
      </c>
      <c r="B243" s="27">
        <f>IFERROR(__xludf.DUMMYFUNCTION("""COMPUTED_VALUE"""),19.69)</f>
        <v>19.69</v>
      </c>
    </row>
    <row r="244">
      <c r="A244" s="27">
        <f>IFERROR(__xludf.DUMMYFUNCTION("""COMPUTED_VALUE"""),45279.63611111111)</f>
        <v>45279.63611</v>
      </c>
      <c r="B244" s="27">
        <f>IFERROR(__xludf.DUMMYFUNCTION("""COMPUTED_VALUE"""),19.78)</f>
        <v>19.78</v>
      </c>
    </row>
    <row r="245">
      <c r="A245" s="27">
        <f>IFERROR(__xludf.DUMMYFUNCTION("""COMPUTED_VALUE"""),45280.63611111111)</f>
        <v>45280.63611</v>
      </c>
      <c r="B245" s="27">
        <f>IFERROR(__xludf.DUMMYFUNCTION("""COMPUTED_VALUE"""),20.29)</f>
        <v>20.29</v>
      </c>
    </row>
    <row r="246">
      <c r="A246" s="27">
        <f>IFERROR(__xludf.DUMMYFUNCTION("""COMPUTED_VALUE"""),45281.63611111111)</f>
        <v>45281.63611</v>
      </c>
      <c r="B246" s="27">
        <f>IFERROR(__xludf.DUMMYFUNCTION("""COMPUTED_VALUE"""),20.49)</f>
        <v>20.49</v>
      </c>
    </row>
    <row r="247">
      <c r="A247" s="27">
        <f>IFERROR(__xludf.DUMMYFUNCTION("""COMPUTED_VALUE"""),45282.63611111111)</f>
        <v>45282.63611</v>
      </c>
      <c r="B247" s="27">
        <f>IFERROR(__xludf.DUMMYFUNCTION("""COMPUTED_VALUE"""),20.54)</f>
        <v>20.54</v>
      </c>
    </row>
    <row r="248">
      <c r="A248" s="27">
        <f>IFERROR(__xludf.DUMMYFUNCTION("""COMPUTED_VALUE"""),45286.63611111111)</f>
        <v>45286.63611</v>
      </c>
      <c r="B248" s="27">
        <f>IFERROR(__xludf.DUMMYFUNCTION("""COMPUTED_VALUE"""),20.59)</f>
        <v>20.59</v>
      </c>
    </row>
    <row r="249">
      <c r="A249" s="27">
        <f>IFERROR(__xludf.DUMMYFUNCTION("""COMPUTED_VALUE"""),45287.63611111111)</f>
        <v>45287.63611</v>
      </c>
      <c r="B249" s="27">
        <f>IFERROR(__xludf.DUMMYFUNCTION("""COMPUTED_VALUE"""),20.44)</f>
        <v>20.44</v>
      </c>
    </row>
    <row r="250">
      <c r="A250" s="27">
        <f>IFERROR(__xludf.DUMMYFUNCTION("""COMPUTED_VALUE"""),45288.63611111111)</f>
        <v>45288.63611</v>
      </c>
      <c r="B250" s="27">
        <f>IFERROR(__xludf.DUMMYFUNCTION("""COMPUTED_VALUE"""),20.39)</f>
        <v>20.39</v>
      </c>
    </row>
    <row r="251">
      <c r="A251" s="27">
        <f>IFERROR(__xludf.DUMMYFUNCTION("""COMPUTED_VALUE"""),45289.63611111111)</f>
        <v>45289.63611</v>
      </c>
      <c r="B251" s="27">
        <f>IFERROR(__xludf.DUMMYFUNCTION("""COMPUTED_VALUE"""),20.14)</f>
        <v>20.14</v>
      </c>
    </row>
  </sheetData>
  <drawing r:id="rId1"/>
</worksheet>
</file>